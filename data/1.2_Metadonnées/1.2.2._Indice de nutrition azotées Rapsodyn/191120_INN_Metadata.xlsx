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esktop\Erwan CORLOUER 2016-2021\1-DATA\1.2_Metadonnées\1.2.2._Indice de nutrition azotées Rapsodyn\"/>
    </mc:Choice>
  </mc:AlternateContent>
  <bookViews>
    <workbookView xWindow="0" yWindow="0" windowWidth="28800" windowHeight="11700" tabRatio="908"/>
  </bookViews>
  <sheets>
    <sheet name="READ ME" sheetId="45" r:id="rId1"/>
    <sheet name="MD11_BGA" sheetId="16" r:id="rId2"/>
    <sheet name="LR11_INRA" sheetId="13" r:id="rId3"/>
    <sheet name="LR12_INRA" sheetId="14" r:id="rId4"/>
    <sheet name="LR13_INRA" sheetId="15" r:id="rId5"/>
    <sheet name="DIJ13_TI" sheetId="17" r:id="rId6"/>
    <sheet name="CH14_EUR" sheetId="2" r:id="rId7"/>
    <sheet name="SEL14_MAD" sheetId="11" r:id="rId8"/>
    <sheet name="PRE14_R2N" sheetId="5" r:id="rId9"/>
    <sheet name="VER14_SYN" sheetId="10" r:id="rId10"/>
    <sheet name="MD15_BGA" sheetId="1" r:id="rId11"/>
    <sheet name="LR15_INRA" sheetId="7" r:id="rId12"/>
    <sheet name="YEB15_LE" sheetId="4" r:id="rId13"/>
    <sheet name="SEL15_MAD" sheetId="12" r:id="rId14"/>
    <sheet name="PRE15_R2N" sheetId="9" r:id="rId15"/>
    <sheet name="VER15_SYN" sheetId="6" r:id="rId16"/>
    <sheet name="DIJ15_TI" sheetId="3" r:id="rId17"/>
    <sheet name="LR16_INRA" sheetId="8" r:id="rId18"/>
    <sheet name="AU117_BGA" sheetId="20" r:id="rId19"/>
    <sheet name="AU217_BGA" sheetId="21" r:id="rId20"/>
    <sheet name="BLO17_EUR" sheetId="22" r:id="rId21"/>
    <sheet name="CHX17_EUR" sheetId="23" r:id="rId22"/>
    <sheet name="LR17_INRA" sheetId="18" r:id="rId23"/>
    <sheet name="ORM17_LE" sheetId="24" r:id="rId24"/>
    <sheet name="PR17_LE" sheetId="25" r:id="rId25"/>
    <sheet name="AUT17_MAD" sheetId="26" r:id="rId26"/>
    <sheet name="VIL17_MAD" sheetId="27" r:id="rId27"/>
    <sheet name="BEA17_R2N" sheetId="28" r:id="rId28"/>
    <sheet name="HOU17_R2N" sheetId="29" r:id="rId29"/>
    <sheet name="VER17_SYN" sheetId="30" r:id="rId30"/>
    <sheet name="CHA17_SYN" sheetId="31" r:id="rId31"/>
    <sheet name="DIJ17_TI" sheetId="32" r:id="rId32"/>
    <sheet name="BLO18_EUR" sheetId="33" r:id="rId33"/>
    <sheet name="CHL18_EUR" sheetId="34" r:id="rId34"/>
    <sheet name="LR18_INRA" sheetId="19" r:id="rId35"/>
    <sheet name="CV18_LE" sheetId="35" r:id="rId36"/>
    <sheet name="LIV18_LE" sheetId="36" r:id="rId37"/>
    <sheet name="AUT18_MAD" sheetId="37" r:id="rId38"/>
    <sheet name="VIL18_MAD" sheetId="38" r:id="rId39"/>
    <sheet name="CUP18_R2N" sheetId="39" r:id="rId40"/>
    <sheet name="LOU18_R2N" sheetId="40" r:id="rId41"/>
    <sheet name="PRE18_R2N" sheetId="41" r:id="rId42"/>
    <sheet name="CHR18_SYN" sheetId="42" r:id="rId43"/>
    <sheet name="CH218_SYN" sheetId="43" r:id="rId44"/>
    <sheet name="PUI18_SYN" sheetId="44" r:id="rId4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7" i="8" l="1"/>
  <c r="S34" i="18"/>
  <c r="AB15" i="19" l="1"/>
  <c r="AB16" i="19"/>
  <c r="AB17" i="19"/>
  <c r="AB18" i="19"/>
  <c r="AB19" i="19"/>
  <c r="AB20" i="19"/>
  <c r="M18" i="19"/>
  <c r="K18" i="19" s="1"/>
  <c r="T15" i="19"/>
  <c r="M15" i="19" s="1"/>
  <c r="K15" i="19" s="1"/>
  <c r="T16" i="19"/>
  <c r="T17" i="19"/>
  <c r="T18" i="19"/>
  <c r="T19" i="19"/>
  <c r="M19" i="19" s="1"/>
  <c r="K19" i="19" s="1"/>
  <c r="T20" i="19"/>
  <c r="J20" i="19"/>
  <c r="J19" i="19"/>
  <c r="J18" i="19"/>
  <c r="J17" i="19"/>
  <c r="J16" i="19"/>
  <c r="J15" i="19"/>
  <c r="I20" i="19"/>
  <c r="I19" i="19"/>
  <c r="I18" i="19"/>
  <c r="I17" i="19"/>
  <c r="I16" i="19"/>
  <c r="I15" i="19"/>
  <c r="J14" i="19"/>
  <c r="J13" i="19"/>
  <c r="J12" i="19"/>
  <c r="J11" i="19"/>
  <c r="J10" i="19"/>
  <c r="J9" i="19"/>
  <c r="J8" i="19"/>
  <c r="J7" i="19"/>
  <c r="J6" i="19"/>
  <c r="J5" i="19"/>
  <c r="I6" i="19"/>
  <c r="J4" i="19"/>
  <c r="J3" i="19"/>
  <c r="I14" i="19"/>
  <c r="I13" i="19"/>
  <c r="I12" i="19"/>
  <c r="I11" i="19"/>
  <c r="I10" i="19"/>
  <c r="I9" i="19"/>
  <c r="I8" i="19"/>
  <c r="I7" i="19"/>
  <c r="I5" i="19"/>
  <c r="I4" i="19"/>
  <c r="I3" i="19"/>
  <c r="AC20" i="19" l="1"/>
  <c r="AC19" i="19"/>
  <c r="AC17" i="19"/>
  <c r="M20" i="19"/>
  <c r="K20" i="19" s="1"/>
  <c r="U20" i="19" s="1"/>
  <c r="V20" i="19" s="1"/>
  <c r="U19" i="19"/>
  <c r="V19" i="19" s="1"/>
  <c r="T35" i="19"/>
  <c r="AC15" i="19"/>
  <c r="U18" i="19"/>
  <c r="V18" i="19" s="1"/>
  <c r="AC18" i="19"/>
  <c r="M17" i="19"/>
  <c r="K17" i="19" s="1"/>
  <c r="U17" i="19" s="1"/>
  <c r="V17" i="19" s="1"/>
  <c r="AC16" i="19"/>
  <c r="M16" i="19"/>
  <c r="K16" i="19" s="1"/>
  <c r="U16" i="19" s="1"/>
  <c r="V16" i="19" s="1"/>
  <c r="U15" i="19"/>
  <c r="V15" i="19" s="1"/>
  <c r="AD19" i="19" l="1"/>
  <c r="AD17" i="19"/>
  <c r="AD20" i="19"/>
  <c r="AD15" i="19"/>
  <c r="T36" i="19"/>
  <c r="AD18" i="19"/>
  <c r="T37" i="19"/>
  <c r="AD16" i="19"/>
  <c r="T34" i="19" l="1"/>
  <c r="AB14" i="19" l="1"/>
  <c r="T14" i="19"/>
  <c r="AB13" i="19"/>
  <c r="T13" i="19"/>
  <c r="M13" i="19" s="1"/>
  <c r="K13" i="19" s="1"/>
  <c r="AB12" i="19"/>
  <c r="T12" i="19"/>
  <c r="M12" i="19" s="1"/>
  <c r="AB11" i="19"/>
  <c r="AC11" i="19" s="1"/>
  <c r="T11" i="19"/>
  <c r="AB10" i="19"/>
  <c r="T10" i="19"/>
  <c r="AB9" i="19"/>
  <c r="T9" i="19"/>
  <c r="M9" i="19" s="1"/>
  <c r="K9" i="19" s="1"/>
  <c r="AB8" i="19"/>
  <c r="T8" i="19"/>
  <c r="M8" i="19" s="1"/>
  <c r="K8" i="19" s="1"/>
  <c r="U8" i="19" s="1"/>
  <c r="V8" i="19" s="1"/>
  <c r="AB7" i="19"/>
  <c r="T7" i="19"/>
  <c r="M7" i="19" s="1"/>
  <c r="K7" i="19" s="1"/>
  <c r="AB6" i="19"/>
  <c r="AC6" i="19" s="1"/>
  <c r="T6" i="19"/>
  <c r="AB5" i="19"/>
  <c r="T5" i="19"/>
  <c r="M5" i="19" s="1"/>
  <c r="K5" i="19" s="1"/>
  <c r="AB4" i="19"/>
  <c r="T4" i="19"/>
  <c r="M4" i="19" s="1"/>
  <c r="AB3" i="19"/>
  <c r="T3" i="19"/>
  <c r="M3" i="19" s="1"/>
  <c r="K3" i="19" s="1"/>
  <c r="AC9" i="19" l="1"/>
  <c r="AC4" i="19"/>
  <c r="AC8" i="19"/>
  <c r="AD8" i="19" s="1"/>
  <c r="U13" i="19"/>
  <c r="V13" i="19" s="1"/>
  <c r="U3" i="19"/>
  <c r="V3" i="19" s="1"/>
  <c r="U5" i="19"/>
  <c r="V5" i="19" s="1"/>
  <c r="AC10" i="19"/>
  <c r="K12" i="19"/>
  <c r="U12" i="19" s="1"/>
  <c r="V12" i="19" s="1"/>
  <c r="AD12" i="19" s="1"/>
  <c r="AC13" i="19"/>
  <c r="K4" i="19"/>
  <c r="U4" i="19" s="1"/>
  <c r="V4" i="19" s="1"/>
  <c r="AD4" i="19" s="1"/>
  <c r="U7" i="19"/>
  <c r="V7" i="19" s="1"/>
  <c r="AC7" i="19"/>
  <c r="AC12" i="19"/>
  <c r="AC3" i="19"/>
  <c r="AC5" i="19"/>
  <c r="M11" i="19"/>
  <c r="K11" i="19" s="1"/>
  <c r="U11" i="19" s="1"/>
  <c r="V11" i="19" s="1"/>
  <c r="AD11" i="19" s="1"/>
  <c r="AC14" i="19"/>
  <c r="S35" i="19"/>
  <c r="U9" i="19"/>
  <c r="M6" i="19"/>
  <c r="K6" i="19" s="1"/>
  <c r="U6" i="19" s="1"/>
  <c r="M10" i="19"/>
  <c r="K10" i="19" s="1"/>
  <c r="U10" i="19" s="1"/>
  <c r="V10" i="19" s="1"/>
  <c r="AD10" i="19" s="1"/>
  <c r="M14" i="19"/>
  <c r="K14" i="19" s="1"/>
  <c r="U14" i="19" s="1"/>
  <c r="V14" i="19" s="1"/>
  <c r="AD14" i="19" s="1"/>
  <c r="T37" i="18"/>
  <c r="S37" i="18"/>
  <c r="T36" i="18"/>
  <c r="S36" i="18"/>
  <c r="T35" i="18"/>
  <c r="S35" i="18"/>
  <c r="T34" i="18"/>
  <c r="AB9" i="18"/>
  <c r="AC9" i="18" s="1"/>
  <c r="AB10" i="18"/>
  <c r="AC10" i="18" s="1"/>
  <c r="AB11" i="18"/>
  <c r="AB12" i="18"/>
  <c r="AB13" i="18"/>
  <c r="AC13" i="18" s="1"/>
  <c r="AB14" i="18"/>
  <c r="AC14" i="18" s="1"/>
  <c r="T9" i="18"/>
  <c r="M9" i="18" s="1"/>
  <c r="K9" i="18" s="1"/>
  <c r="U9" i="18" s="1"/>
  <c r="V9" i="18" s="1"/>
  <c r="T10" i="18"/>
  <c r="M10" i="18" s="1"/>
  <c r="K10" i="18" s="1"/>
  <c r="U10" i="18" s="1"/>
  <c r="V10" i="18" s="1"/>
  <c r="T11" i="18"/>
  <c r="M11" i="18" s="1"/>
  <c r="K11" i="18" s="1"/>
  <c r="U11" i="18" s="1"/>
  <c r="V11" i="18" s="1"/>
  <c r="T12" i="18"/>
  <c r="M12" i="18" s="1"/>
  <c r="K12" i="18" s="1"/>
  <c r="U12" i="18" s="1"/>
  <c r="V12" i="18" s="1"/>
  <c r="T13" i="18"/>
  <c r="M13" i="18" s="1"/>
  <c r="K13" i="18" s="1"/>
  <c r="U13" i="18" s="1"/>
  <c r="V13" i="18" s="1"/>
  <c r="T14" i="18"/>
  <c r="M14" i="18" s="1"/>
  <c r="K14" i="18" s="1"/>
  <c r="U14" i="18" s="1"/>
  <c r="V14" i="18" s="1"/>
  <c r="J14" i="18"/>
  <c r="J13" i="18"/>
  <c r="J12" i="18"/>
  <c r="J11" i="18"/>
  <c r="J10" i="18"/>
  <c r="J9" i="18"/>
  <c r="I14" i="18"/>
  <c r="I13" i="18"/>
  <c r="I12" i="18"/>
  <c r="I11" i="18"/>
  <c r="I10" i="18"/>
  <c r="I9" i="18"/>
  <c r="AB4" i="18"/>
  <c r="AC4" i="18" s="1"/>
  <c r="AD4" i="18" s="1"/>
  <c r="AB5" i="18"/>
  <c r="AC5" i="18" s="1"/>
  <c r="AD5" i="18" s="1"/>
  <c r="AB6" i="18"/>
  <c r="AC6" i="18" s="1"/>
  <c r="AD6" i="18" s="1"/>
  <c r="AB7" i="18"/>
  <c r="AC7" i="18" s="1"/>
  <c r="AD7" i="18" s="1"/>
  <c r="AB8" i="18"/>
  <c r="AC8" i="18" s="1"/>
  <c r="AD8" i="18" s="1"/>
  <c r="AB3" i="18"/>
  <c r="AC3" i="18" s="1"/>
  <c r="AD3" i="18" s="1"/>
  <c r="V4" i="18"/>
  <c r="V5" i="18"/>
  <c r="V6" i="18"/>
  <c r="V7" i="18"/>
  <c r="V8" i="18"/>
  <c r="V3" i="18"/>
  <c r="U4" i="18"/>
  <c r="U5" i="18"/>
  <c r="U6" i="18"/>
  <c r="U7" i="18"/>
  <c r="U8" i="18"/>
  <c r="U3" i="18"/>
  <c r="K4" i="18"/>
  <c r="K5" i="18"/>
  <c r="K6" i="18"/>
  <c r="K7" i="18"/>
  <c r="K8" i="18"/>
  <c r="K3" i="18"/>
  <c r="M4" i="18"/>
  <c r="M5" i="18"/>
  <c r="M6" i="18"/>
  <c r="M7" i="18"/>
  <c r="M8" i="18"/>
  <c r="M3" i="18"/>
  <c r="T4" i="18"/>
  <c r="T5" i="18"/>
  <c r="T6" i="18"/>
  <c r="T7" i="18"/>
  <c r="T8" i="18"/>
  <c r="T3" i="18"/>
  <c r="J8" i="18"/>
  <c r="J7" i="18"/>
  <c r="J6" i="18"/>
  <c r="J5" i="18"/>
  <c r="J4" i="18"/>
  <c r="J3" i="18"/>
  <c r="I8" i="18"/>
  <c r="I7" i="18"/>
  <c r="I6" i="18"/>
  <c r="I5" i="18"/>
  <c r="I4" i="18"/>
  <c r="I3" i="18"/>
  <c r="AD7" i="19" l="1"/>
  <c r="AD3" i="19"/>
  <c r="S36" i="19"/>
  <c r="AD13" i="19"/>
  <c r="AD5" i="19"/>
  <c r="V6" i="19"/>
  <c r="AD6" i="19" s="1"/>
  <c r="S37" i="19"/>
  <c r="V9" i="19"/>
  <c r="AD9" i="19" s="1"/>
  <c r="AC12" i="18"/>
  <c r="AD12" i="18" s="1"/>
  <c r="AD13" i="18"/>
  <c r="AC11" i="18"/>
  <c r="AD11" i="18" s="1"/>
  <c r="AD10" i="18"/>
  <c r="AD14" i="18"/>
  <c r="AD9" i="18"/>
  <c r="S34" i="19" l="1"/>
  <c r="S40" i="8"/>
  <c r="S39" i="8"/>
  <c r="S38" i="8"/>
  <c r="S37" i="8"/>
  <c r="R40" i="8"/>
  <c r="R39" i="8"/>
  <c r="R38" i="8"/>
  <c r="Z16" i="8"/>
  <c r="Z17" i="8"/>
  <c r="Z18" i="8"/>
  <c r="Z19" i="8"/>
  <c r="Z20" i="8"/>
  <c r="Z21" i="8"/>
  <c r="Z22" i="8"/>
  <c r="Z23" i="8"/>
  <c r="Z24" i="8"/>
  <c r="Z25" i="8"/>
  <c r="Z26" i="8"/>
  <c r="Z15" i="8"/>
  <c r="U16" i="8"/>
  <c r="U17" i="8"/>
  <c r="U18" i="8"/>
  <c r="U19" i="8"/>
  <c r="U20" i="8"/>
  <c r="U21" i="8"/>
  <c r="U22" i="8"/>
  <c r="U23" i="8"/>
  <c r="U24" i="8"/>
  <c r="U25" i="8"/>
  <c r="U26" i="8"/>
  <c r="U15" i="8"/>
  <c r="Y16" i="8"/>
  <c r="Y17" i="8"/>
  <c r="Y18" i="8"/>
  <c r="Y19" i="8"/>
  <c r="Y20" i="8"/>
  <c r="Y21" i="8"/>
  <c r="Y22" i="8"/>
  <c r="Y23" i="8"/>
  <c r="Y24" i="8"/>
  <c r="Y25" i="8"/>
  <c r="Y26" i="8"/>
  <c r="Y15" i="8"/>
  <c r="X16" i="8"/>
  <c r="X17" i="8"/>
  <c r="X18" i="8"/>
  <c r="X19" i="8"/>
  <c r="X20" i="8"/>
  <c r="X21" i="8"/>
  <c r="X22" i="8"/>
  <c r="X23" i="8"/>
  <c r="X24" i="8"/>
  <c r="X25" i="8"/>
  <c r="X26" i="8"/>
  <c r="X15" i="8"/>
  <c r="T16" i="8"/>
  <c r="T17" i="8"/>
  <c r="T18" i="8"/>
  <c r="T19" i="8"/>
  <c r="T20" i="8"/>
  <c r="T21" i="8"/>
  <c r="T22" i="8"/>
  <c r="T23" i="8"/>
  <c r="T24" i="8"/>
  <c r="T25" i="8"/>
  <c r="T26" i="8"/>
  <c r="T15" i="8"/>
  <c r="K16" i="8"/>
  <c r="K17" i="8"/>
  <c r="K18" i="8"/>
  <c r="K19" i="8"/>
  <c r="K20" i="8"/>
  <c r="K21" i="8"/>
  <c r="K22" i="8"/>
  <c r="K23" i="8"/>
  <c r="K24" i="8"/>
  <c r="K25" i="8"/>
  <c r="K26" i="8"/>
  <c r="K15" i="8"/>
  <c r="M16" i="8"/>
  <c r="M17" i="8"/>
  <c r="M18" i="8"/>
  <c r="M19" i="8"/>
  <c r="M20" i="8"/>
  <c r="M21" i="8"/>
  <c r="M22" i="8"/>
  <c r="M23" i="8"/>
  <c r="M24" i="8"/>
  <c r="M25" i="8"/>
  <c r="M26" i="8"/>
  <c r="M15" i="8"/>
  <c r="M23" i="2" l="1"/>
  <c r="M22" i="2"/>
  <c r="M21" i="2"/>
  <c r="M20" i="2"/>
  <c r="X7" i="2"/>
  <c r="Y7" i="2"/>
  <c r="W7" i="2"/>
  <c r="Z4" i="2"/>
  <c r="Z5" i="2"/>
  <c r="Z6" i="2"/>
  <c r="Z3" i="2"/>
  <c r="W3" i="2"/>
  <c r="Y3" i="2"/>
  <c r="X3" i="2"/>
  <c r="T4" i="2"/>
  <c r="T5" i="2"/>
  <c r="T6" i="2"/>
  <c r="T7" i="2"/>
  <c r="T8" i="2"/>
  <c r="T9" i="2"/>
  <c r="T10" i="2"/>
  <c r="T11" i="2"/>
  <c r="T12" i="2"/>
  <c r="T13" i="2"/>
  <c r="T14" i="2"/>
  <c r="T3" i="2"/>
  <c r="S39" i="7" l="1"/>
  <c r="R39" i="7"/>
  <c r="S38" i="7"/>
  <c r="R38" i="7"/>
  <c r="S37" i="7"/>
  <c r="R37" i="7"/>
  <c r="S36" i="7"/>
  <c r="R36" i="7"/>
  <c r="Z4" i="7"/>
  <c r="Z5" i="7"/>
  <c r="Z6" i="7"/>
  <c r="Z7" i="7"/>
  <c r="Z8" i="7"/>
  <c r="Z9" i="7"/>
  <c r="Z10" i="7"/>
  <c r="Z11" i="7"/>
  <c r="Z12" i="7"/>
  <c r="Z13" i="7"/>
  <c r="Z14" i="7"/>
  <c r="Z3" i="7"/>
  <c r="Y4" i="7"/>
  <c r="Y5" i="7"/>
  <c r="Y6" i="7"/>
  <c r="Y7" i="7"/>
  <c r="Y8" i="7"/>
  <c r="Y9" i="7"/>
  <c r="Y10" i="7"/>
  <c r="Y11" i="7"/>
  <c r="Y12" i="7"/>
  <c r="Y13" i="7"/>
  <c r="Y14" i="7"/>
  <c r="Y3" i="7"/>
  <c r="X4" i="7"/>
  <c r="X5" i="7"/>
  <c r="X6" i="7"/>
  <c r="X7" i="7"/>
  <c r="X8" i="7"/>
  <c r="X9" i="7"/>
  <c r="X10" i="7"/>
  <c r="X11" i="7"/>
  <c r="X12" i="7"/>
  <c r="X13" i="7"/>
  <c r="X14" i="7"/>
  <c r="X3" i="7"/>
  <c r="U4" i="7"/>
  <c r="U5" i="7"/>
  <c r="U6" i="7"/>
  <c r="U7" i="7"/>
  <c r="U8" i="7"/>
  <c r="U9" i="7"/>
  <c r="U10" i="7"/>
  <c r="U11" i="7"/>
  <c r="U12" i="7"/>
  <c r="U13" i="7"/>
  <c r="U14" i="7"/>
  <c r="U3" i="7"/>
  <c r="T4" i="7"/>
  <c r="T5" i="7"/>
  <c r="T6" i="7"/>
  <c r="T7" i="7"/>
  <c r="T8" i="7"/>
  <c r="T9" i="7"/>
  <c r="T10" i="7"/>
  <c r="T11" i="7"/>
  <c r="T12" i="7"/>
  <c r="T13" i="7"/>
  <c r="T14" i="7"/>
  <c r="T3" i="7"/>
  <c r="K4" i="7"/>
  <c r="K5" i="7"/>
  <c r="K6" i="7"/>
  <c r="K7" i="7"/>
  <c r="K8" i="7"/>
  <c r="K9" i="7"/>
  <c r="K10" i="7"/>
  <c r="K11" i="7"/>
  <c r="K12" i="7"/>
  <c r="K13" i="7"/>
  <c r="K14" i="7"/>
  <c r="K3" i="7"/>
  <c r="M4" i="7"/>
  <c r="M5" i="7"/>
  <c r="M6" i="7"/>
  <c r="M7" i="7"/>
  <c r="M8" i="7"/>
  <c r="M9" i="7"/>
  <c r="M10" i="7"/>
  <c r="M11" i="7"/>
  <c r="M12" i="7"/>
  <c r="M13" i="7"/>
  <c r="M14" i="7"/>
  <c r="M3" i="7"/>
  <c r="S4" i="7"/>
  <c r="S5" i="7"/>
  <c r="S6" i="7"/>
  <c r="S7" i="7"/>
  <c r="S8" i="7"/>
  <c r="S9" i="7"/>
  <c r="S10" i="7"/>
  <c r="S11" i="7"/>
  <c r="S12" i="7"/>
  <c r="S13" i="7"/>
  <c r="S14" i="7"/>
  <c r="S3" i="7"/>
  <c r="P4" i="7"/>
  <c r="P5" i="7"/>
  <c r="P6" i="7"/>
  <c r="P7" i="7"/>
  <c r="P8" i="7"/>
  <c r="P9" i="7"/>
  <c r="P10" i="7"/>
  <c r="P11" i="7"/>
  <c r="P12" i="7"/>
  <c r="P13" i="7"/>
  <c r="P14" i="7"/>
  <c r="P3" i="7"/>
  <c r="O18" i="44" l="1"/>
  <c r="O17" i="44"/>
  <c r="O16" i="44"/>
  <c r="O15" i="44"/>
  <c r="X10" i="44"/>
  <c r="W10" i="44" s="1"/>
  <c r="R10" i="44"/>
  <c r="L10" i="44" s="1"/>
  <c r="S10" i="44" s="1"/>
  <c r="T10" i="44" s="1"/>
  <c r="Y10" i="44" s="1"/>
  <c r="P10" i="44"/>
  <c r="O10" i="44"/>
  <c r="M10" i="44"/>
  <c r="I10" i="44"/>
  <c r="X9" i="44"/>
  <c r="Y9" i="44" s="1"/>
  <c r="S9" i="44"/>
  <c r="T9" i="44" s="1"/>
  <c r="R9" i="44"/>
  <c r="P9" i="44"/>
  <c r="O9" i="44"/>
  <c r="M9" i="44"/>
  <c r="L9" i="44"/>
  <c r="I9" i="44"/>
  <c r="O18" i="43"/>
  <c r="O17" i="43"/>
  <c r="O16" i="43"/>
  <c r="O15" i="43"/>
  <c r="X6" i="43"/>
  <c r="R6" i="43"/>
  <c r="S6" i="43" s="1"/>
  <c r="T6" i="43" s="1"/>
  <c r="P6" i="43"/>
  <c r="O6" i="43"/>
  <c r="L6" i="43" s="1"/>
  <c r="M6" i="43"/>
  <c r="I6" i="43"/>
  <c r="X5" i="43"/>
  <c r="W5" i="43"/>
  <c r="R5" i="43"/>
  <c r="L5" i="43" s="1"/>
  <c r="S5" i="43" s="1"/>
  <c r="T5" i="43" s="1"/>
  <c r="Y5" i="43" s="1"/>
  <c r="P5" i="43"/>
  <c r="O5" i="43"/>
  <c r="M5" i="43"/>
  <c r="I5" i="43"/>
  <c r="O18" i="42"/>
  <c r="O17" i="42"/>
  <c r="O16" i="42"/>
  <c r="O15" i="42"/>
  <c r="Y8" i="42"/>
  <c r="Y7" i="42"/>
  <c r="W8" i="42"/>
  <c r="W7" i="42"/>
  <c r="X8" i="42"/>
  <c r="X7" i="42"/>
  <c r="T8" i="42"/>
  <c r="T7" i="42"/>
  <c r="S5" i="42"/>
  <c r="S8" i="42"/>
  <c r="S7" i="42"/>
  <c r="L8" i="42"/>
  <c r="L7" i="42"/>
  <c r="R8" i="42"/>
  <c r="R7" i="42"/>
  <c r="P8" i="42"/>
  <c r="P7" i="42"/>
  <c r="O8" i="42"/>
  <c r="O7" i="42"/>
  <c r="M8" i="42"/>
  <c r="M7" i="42"/>
  <c r="I8" i="42"/>
  <c r="I7" i="42"/>
  <c r="T5" i="42"/>
  <c r="W4" i="41"/>
  <c r="K21" i="41" s="1"/>
  <c r="W3" i="41"/>
  <c r="K23" i="41"/>
  <c r="S6" i="41"/>
  <c r="S5" i="41"/>
  <c r="K22" i="41"/>
  <c r="K20" i="41"/>
  <c r="L24" i="40"/>
  <c r="L23" i="40"/>
  <c r="L22" i="40"/>
  <c r="L21" i="40"/>
  <c r="W4" i="40"/>
  <c r="W3" i="40"/>
  <c r="T6" i="40"/>
  <c r="T5" i="40"/>
  <c r="S6" i="40"/>
  <c r="S5" i="40"/>
  <c r="L6" i="40"/>
  <c r="L5" i="40"/>
  <c r="M23" i="39"/>
  <c r="M22" i="39"/>
  <c r="M21" i="39"/>
  <c r="W4" i="39"/>
  <c r="W3" i="39"/>
  <c r="M20" i="39"/>
  <c r="Y6" i="39"/>
  <c r="Y5" i="39"/>
  <c r="T6" i="39"/>
  <c r="T5" i="39"/>
  <c r="S6" i="39"/>
  <c r="S5" i="39"/>
  <c r="L6" i="39"/>
  <c r="L5" i="39"/>
  <c r="O16" i="38"/>
  <c r="O15" i="38"/>
  <c r="O14" i="38"/>
  <c r="O13" i="38"/>
  <c r="Y3" i="38"/>
  <c r="X3" i="38"/>
  <c r="W3" i="38"/>
  <c r="V3" i="38"/>
  <c r="U4" i="38"/>
  <c r="U3" i="38"/>
  <c r="X4" i="38"/>
  <c r="V4" i="38"/>
  <c r="W4" i="38" s="1"/>
  <c r="Y4" i="38" s="1"/>
  <c r="P14" i="37"/>
  <c r="P13" i="37"/>
  <c r="P12" i="37"/>
  <c r="P11" i="37"/>
  <c r="V3" i="37"/>
  <c r="Y3" i="37"/>
  <c r="Y4" i="37"/>
  <c r="X4" i="37"/>
  <c r="X3" i="37"/>
  <c r="R3" i="37"/>
  <c r="S3" i="37" s="1"/>
  <c r="W4" i="37"/>
  <c r="W3" i="37"/>
  <c r="Q3" i="37"/>
  <c r="P3" i="37"/>
  <c r="V4" i="37"/>
  <c r="U4" i="37"/>
  <c r="U3" i="37"/>
  <c r="R21" i="36"/>
  <c r="Q21" i="36"/>
  <c r="R20" i="36"/>
  <c r="Q20" i="36"/>
  <c r="R19" i="36"/>
  <c r="Q19" i="36"/>
  <c r="R18" i="36"/>
  <c r="Q18" i="36"/>
  <c r="AB4" i="36"/>
  <c r="AB5" i="36"/>
  <c r="AB6" i="36"/>
  <c r="AB7" i="36"/>
  <c r="AB8" i="36"/>
  <c r="AB9" i="36"/>
  <c r="AB10" i="36"/>
  <c r="AB3" i="36"/>
  <c r="AA3" i="36"/>
  <c r="M18" i="35"/>
  <c r="M17" i="35"/>
  <c r="M16" i="35"/>
  <c r="M15" i="35"/>
  <c r="AB4" i="35"/>
  <c r="AB3" i="35"/>
  <c r="AA3" i="35"/>
  <c r="V3" i="35"/>
  <c r="U3" i="35"/>
  <c r="T3" i="35"/>
  <c r="S3" i="35"/>
  <c r="L22" i="34"/>
  <c r="L21" i="34"/>
  <c r="L20" i="34"/>
  <c r="L19" i="34"/>
  <c r="Y3" i="34"/>
  <c r="Y4" i="34"/>
  <c r="W4" i="34"/>
  <c r="W3" i="34"/>
  <c r="N14" i="33"/>
  <c r="M14" i="33"/>
  <c r="N13" i="33"/>
  <c r="M13" i="33"/>
  <c r="N12" i="33"/>
  <c r="M12" i="33"/>
  <c r="N11" i="33"/>
  <c r="M11" i="33"/>
  <c r="W4" i="33"/>
  <c r="W5" i="33"/>
  <c r="W6" i="33"/>
  <c r="W3" i="33"/>
  <c r="S4" i="33"/>
  <c r="S5" i="33"/>
  <c r="S6" i="33"/>
  <c r="S3" i="33"/>
  <c r="T3" i="33" s="1"/>
  <c r="Y3" i="33" s="1"/>
  <c r="L4" i="33"/>
  <c r="L5" i="33"/>
  <c r="L6" i="33"/>
  <c r="L3" i="33"/>
  <c r="W4" i="32"/>
  <c r="N32" i="32" s="1"/>
  <c r="W5" i="32"/>
  <c r="W6" i="32"/>
  <c r="W7" i="32"/>
  <c r="W8" i="32"/>
  <c r="W9" i="32"/>
  <c r="W10" i="32"/>
  <c r="W11" i="32"/>
  <c r="W12" i="32"/>
  <c r="W13" i="32"/>
  <c r="W14" i="32"/>
  <c r="W15" i="32"/>
  <c r="W16" i="32"/>
  <c r="W17" i="32"/>
  <c r="W18" i="32"/>
  <c r="W19" i="32"/>
  <c r="W20" i="32"/>
  <c r="W21" i="32"/>
  <c r="W22" i="32"/>
  <c r="W23" i="32"/>
  <c r="W24" i="32"/>
  <c r="W25" i="32"/>
  <c r="O32" i="32" s="1"/>
  <c r="W26" i="32"/>
  <c r="W27" i="32"/>
  <c r="W3" i="32"/>
  <c r="T4" i="32"/>
  <c r="T5" i="32"/>
  <c r="T6" i="32"/>
  <c r="T7" i="32"/>
  <c r="T8" i="32"/>
  <c r="T9" i="32"/>
  <c r="T10" i="32"/>
  <c r="T11" i="32"/>
  <c r="T12" i="32"/>
  <c r="T13" i="32"/>
  <c r="T14" i="32"/>
  <c r="T15" i="32"/>
  <c r="T16" i="32"/>
  <c r="T17" i="32"/>
  <c r="T18" i="32"/>
  <c r="T19" i="32"/>
  <c r="T20" i="32"/>
  <c r="T21" i="32"/>
  <c r="T22" i="32"/>
  <c r="T23" i="32"/>
  <c r="T24" i="32"/>
  <c r="T25" i="32"/>
  <c r="T26" i="32"/>
  <c r="T27" i="32"/>
  <c r="T3" i="32"/>
  <c r="S4" i="32"/>
  <c r="S5" i="32"/>
  <c r="S6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22" i="32"/>
  <c r="S23" i="32"/>
  <c r="O34" i="32" s="1"/>
  <c r="S24" i="32"/>
  <c r="S25" i="32"/>
  <c r="S26" i="32"/>
  <c r="S27" i="32"/>
  <c r="S3" i="32"/>
  <c r="L4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3" i="32"/>
  <c r="O33" i="32"/>
  <c r="N33" i="32"/>
  <c r="O31" i="32"/>
  <c r="N31" i="32"/>
  <c r="W4" i="31"/>
  <c r="W5" i="31"/>
  <c r="W6" i="31"/>
  <c r="W7" i="31"/>
  <c r="W8" i="31"/>
  <c r="W9" i="31"/>
  <c r="W10" i="31"/>
  <c r="W11" i="31"/>
  <c r="W12" i="31"/>
  <c r="W13" i="31"/>
  <c r="W14" i="31"/>
  <c r="W15" i="31"/>
  <c r="W16" i="31"/>
  <c r="O22" i="31" s="1"/>
  <c r="W17" i="31"/>
  <c r="W3" i="31"/>
  <c r="T4" i="31"/>
  <c r="T5" i="31"/>
  <c r="T6" i="31"/>
  <c r="T7" i="31"/>
  <c r="T8" i="31"/>
  <c r="T9" i="31"/>
  <c r="T10" i="31"/>
  <c r="T11" i="31"/>
  <c r="T12" i="31"/>
  <c r="T13" i="31"/>
  <c r="T14" i="31"/>
  <c r="T15" i="31"/>
  <c r="T16" i="31"/>
  <c r="T17" i="31"/>
  <c r="T3" i="31"/>
  <c r="S4" i="31"/>
  <c r="S5" i="31"/>
  <c r="S6" i="31"/>
  <c r="S7" i="31"/>
  <c r="S8" i="31"/>
  <c r="S9" i="31"/>
  <c r="S10" i="31"/>
  <c r="S11" i="31"/>
  <c r="S12" i="31"/>
  <c r="S13" i="31"/>
  <c r="S14" i="31"/>
  <c r="S15" i="31"/>
  <c r="O24" i="31" s="1"/>
  <c r="S16" i="31"/>
  <c r="S17" i="31"/>
  <c r="S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3" i="31"/>
  <c r="N24" i="31"/>
  <c r="O23" i="31"/>
  <c r="N23" i="31"/>
  <c r="O21" i="31"/>
  <c r="N21" i="31"/>
  <c r="O34" i="30"/>
  <c r="N34" i="30"/>
  <c r="O33" i="30"/>
  <c r="N33" i="30"/>
  <c r="O32" i="30"/>
  <c r="N32" i="30"/>
  <c r="O31" i="30"/>
  <c r="N31" i="30"/>
  <c r="W4" i="30"/>
  <c r="W5" i="30"/>
  <c r="W6" i="30"/>
  <c r="W7" i="30"/>
  <c r="W8" i="30"/>
  <c r="W9" i="30"/>
  <c r="W10" i="30"/>
  <c r="W11" i="30"/>
  <c r="W12" i="30"/>
  <c r="W13" i="30"/>
  <c r="W14" i="30"/>
  <c r="W15" i="30"/>
  <c r="W16" i="30"/>
  <c r="W17" i="30"/>
  <c r="W18" i="30"/>
  <c r="W19" i="30"/>
  <c r="W20" i="30"/>
  <c r="W21" i="30"/>
  <c r="W22" i="30"/>
  <c r="W23" i="30"/>
  <c r="W24" i="30"/>
  <c r="W25" i="30"/>
  <c r="W26" i="30"/>
  <c r="W3" i="30"/>
  <c r="T4" i="30"/>
  <c r="T5" i="30"/>
  <c r="T6" i="30"/>
  <c r="T7" i="30"/>
  <c r="T8" i="30"/>
  <c r="T9" i="30"/>
  <c r="T10" i="30"/>
  <c r="T11" i="30"/>
  <c r="T12" i="30"/>
  <c r="T13" i="30"/>
  <c r="T14" i="30"/>
  <c r="T15" i="30"/>
  <c r="T16" i="30"/>
  <c r="T17" i="30"/>
  <c r="T18" i="30"/>
  <c r="T19" i="30"/>
  <c r="T20" i="30"/>
  <c r="T21" i="30"/>
  <c r="T22" i="30"/>
  <c r="T23" i="30"/>
  <c r="T24" i="30"/>
  <c r="T25" i="30"/>
  <c r="T26" i="30"/>
  <c r="T3" i="30"/>
  <c r="S4" i="30"/>
  <c r="S5" i="30"/>
  <c r="S6" i="30"/>
  <c r="S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22" i="30"/>
  <c r="S23" i="30"/>
  <c r="S24" i="30"/>
  <c r="S25" i="30"/>
  <c r="S26" i="30"/>
  <c r="S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3" i="30"/>
  <c r="N35" i="29"/>
  <c r="N34" i="29"/>
  <c r="N33" i="29"/>
  <c r="N32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O33" i="29" s="1"/>
  <c r="W24" i="29"/>
  <c r="W25" i="29"/>
  <c r="W26" i="29"/>
  <c r="W27" i="29"/>
  <c r="W3" i="29"/>
  <c r="O35" i="29"/>
  <c r="O34" i="29"/>
  <c r="O32" i="29"/>
  <c r="T4" i="29"/>
  <c r="T5" i="29"/>
  <c r="T6" i="29"/>
  <c r="T7" i="29"/>
  <c r="T8" i="29"/>
  <c r="T9" i="29"/>
  <c r="T10" i="29"/>
  <c r="T11" i="29"/>
  <c r="T12" i="29"/>
  <c r="T13" i="29"/>
  <c r="T14" i="29"/>
  <c r="T15" i="29"/>
  <c r="T16" i="29"/>
  <c r="T17" i="29"/>
  <c r="T18" i="29"/>
  <c r="T19" i="29"/>
  <c r="T20" i="29"/>
  <c r="T21" i="29"/>
  <c r="T22" i="29"/>
  <c r="T23" i="29"/>
  <c r="T24" i="29"/>
  <c r="T25" i="29"/>
  <c r="T26" i="29"/>
  <c r="T27" i="29"/>
  <c r="T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3" i="29"/>
  <c r="L4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3" i="29"/>
  <c r="O35" i="28"/>
  <c r="N35" i="28"/>
  <c r="O34" i="28"/>
  <c r="N34" i="28"/>
  <c r="O33" i="28"/>
  <c r="N33" i="28"/>
  <c r="O32" i="28"/>
  <c r="N32" i="28"/>
  <c r="W4" i="28"/>
  <c r="W5" i="28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3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3" i="28"/>
  <c r="Z3" i="28" s="1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3" i="28"/>
  <c r="N31" i="26"/>
  <c r="N30" i="26"/>
  <c r="N29" i="26"/>
  <c r="N28" i="26"/>
  <c r="W4" i="26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3" i="26"/>
  <c r="S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3" i="26"/>
  <c r="O50" i="25"/>
  <c r="N50" i="25"/>
  <c r="O49" i="25"/>
  <c r="N49" i="25"/>
  <c r="O48" i="25"/>
  <c r="N48" i="25"/>
  <c r="O47" i="25"/>
  <c r="N47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T33" i="25"/>
  <c r="T34" i="25"/>
  <c r="T35" i="25"/>
  <c r="T36" i="25"/>
  <c r="T37" i="25"/>
  <c r="T38" i="25"/>
  <c r="T39" i="25"/>
  <c r="T40" i="25"/>
  <c r="T41" i="25"/>
  <c r="T42" i="25"/>
  <c r="T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3" i="25"/>
  <c r="Q49" i="24"/>
  <c r="P49" i="24"/>
  <c r="Q48" i="24"/>
  <c r="P48" i="24"/>
  <c r="Q47" i="24"/>
  <c r="P47" i="24"/>
  <c r="Q46" i="24"/>
  <c r="P46" i="24"/>
  <c r="W4" i="24"/>
  <c r="W5" i="24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" i="24"/>
  <c r="T4" i="24"/>
  <c r="T5" i="24"/>
  <c r="T6" i="24"/>
  <c r="T7" i="24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" i="24"/>
  <c r="O50" i="23"/>
  <c r="N50" i="23"/>
  <c r="N48" i="23"/>
  <c r="N49" i="23"/>
  <c r="O49" i="23"/>
  <c r="O48" i="23"/>
  <c r="O47" i="23"/>
  <c r="N47" i="23"/>
  <c r="W4" i="23"/>
  <c r="W5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3" i="23"/>
  <c r="T4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3" i="23"/>
  <c r="T34" i="22"/>
  <c r="R50" i="22"/>
  <c r="Q50" i="22"/>
  <c r="R49" i="22"/>
  <c r="Q49" i="22"/>
  <c r="R48" i="22"/>
  <c r="Q48" i="22"/>
  <c r="R47" i="22"/>
  <c r="Q47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42" i="22"/>
  <c r="W3" i="22"/>
  <c r="T4" i="22"/>
  <c r="T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5" i="22"/>
  <c r="T36" i="22"/>
  <c r="T37" i="22"/>
  <c r="T38" i="22"/>
  <c r="T39" i="22"/>
  <c r="T40" i="22"/>
  <c r="T41" i="22"/>
  <c r="T42" i="22"/>
  <c r="T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3" i="22"/>
  <c r="O49" i="21"/>
  <c r="N49" i="21"/>
  <c r="O50" i="21"/>
  <c r="N50" i="21"/>
  <c r="O48" i="21"/>
  <c r="N48" i="21"/>
  <c r="O47" i="21"/>
  <c r="N47" i="21"/>
  <c r="W4" i="2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3" i="21"/>
  <c r="P20" i="20"/>
  <c r="P19" i="20"/>
  <c r="P18" i="20"/>
  <c r="P17" i="20"/>
  <c r="O20" i="20"/>
  <c r="O19" i="20"/>
  <c r="O18" i="20"/>
  <c r="O17" i="20"/>
  <c r="W4" i="20"/>
  <c r="W5" i="20"/>
  <c r="W6" i="20"/>
  <c r="W7" i="20"/>
  <c r="W8" i="20"/>
  <c r="W9" i="20"/>
  <c r="W10" i="20"/>
  <c r="W11" i="20"/>
  <c r="W12" i="20"/>
  <c r="W3" i="20"/>
  <c r="S8" i="20"/>
  <c r="T8" i="20" s="1"/>
  <c r="S9" i="20"/>
  <c r="T9" i="20" s="1"/>
  <c r="L4" i="20"/>
  <c r="S4" i="20" s="1"/>
  <c r="T4" i="20" s="1"/>
  <c r="L5" i="20"/>
  <c r="S5" i="20" s="1"/>
  <c r="T5" i="20" s="1"/>
  <c r="L6" i="20"/>
  <c r="S6" i="20" s="1"/>
  <c r="T6" i="20" s="1"/>
  <c r="L7" i="20"/>
  <c r="S7" i="20" s="1"/>
  <c r="T7" i="20" s="1"/>
  <c r="L8" i="20"/>
  <c r="L9" i="20"/>
  <c r="L10" i="20"/>
  <c r="S10" i="20" s="1"/>
  <c r="T10" i="20" s="1"/>
  <c r="L11" i="20"/>
  <c r="S11" i="20" s="1"/>
  <c r="T11" i="20" s="1"/>
  <c r="L12" i="20"/>
  <c r="S12" i="20" s="1"/>
  <c r="T12" i="20" s="1"/>
  <c r="L3" i="20"/>
  <c r="S3" i="20" s="1"/>
  <c r="T3" i="20" s="1"/>
  <c r="O59" i="3"/>
  <c r="N59" i="3"/>
  <c r="O58" i="3"/>
  <c r="N58" i="3"/>
  <c r="O57" i="3"/>
  <c r="N57" i="3"/>
  <c r="O56" i="3"/>
  <c r="N56" i="3"/>
  <c r="V27" i="3"/>
  <c r="U27" i="3"/>
  <c r="W9" i="44" l="1"/>
  <c r="Y6" i="43"/>
  <c r="W6" i="43"/>
  <c r="N34" i="32"/>
  <c r="N22" i="31"/>
  <c r="U28" i="3"/>
  <c r="U29" i="3"/>
  <c r="U30" i="3"/>
  <c r="U31" i="3"/>
  <c r="U32" i="3"/>
  <c r="U33" i="3"/>
  <c r="U34" i="3"/>
  <c r="U35" i="3"/>
  <c r="U36" i="3"/>
  <c r="U37" i="3"/>
  <c r="U38" i="3"/>
  <c r="T39" i="3"/>
  <c r="S15" i="17"/>
  <c r="S16" i="17"/>
  <c r="S17" i="17"/>
  <c r="S18" i="17"/>
  <c r="S19" i="17"/>
  <c r="S20" i="17"/>
  <c r="S21" i="17"/>
  <c r="S22" i="17"/>
  <c r="T15" i="17"/>
  <c r="Y15" i="17" s="1"/>
  <c r="R15" i="17"/>
  <c r="W16" i="17" l="1"/>
  <c r="L3" i="36"/>
  <c r="Q41" i="6" l="1"/>
  <c r="P41" i="6"/>
  <c r="Q40" i="6"/>
  <c r="P40" i="6"/>
  <c r="Q39" i="6"/>
  <c r="P39" i="6"/>
  <c r="Q38" i="6"/>
  <c r="P38" i="6"/>
  <c r="AK20" i="6"/>
  <c r="AK21" i="6"/>
  <c r="AK22" i="6"/>
  <c r="AK23" i="6"/>
  <c r="AK24" i="6"/>
  <c r="AK25" i="6"/>
  <c r="AK26" i="6"/>
  <c r="AK19" i="6"/>
  <c r="AI20" i="6"/>
  <c r="AI21" i="6"/>
  <c r="AI22" i="6"/>
  <c r="AI23" i="6"/>
  <c r="AI24" i="6"/>
  <c r="AI25" i="6"/>
  <c r="AI26" i="6"/>
  <c r="AI19" i="6"/>
  <c r="AF20" i="6"/>
  <c r="AF21" i="6"/>
  <c r="AF22" i="6"/>
  <c r="AF23" i="6"/>
  <c r="AF24" i="6"/>
  <c r="AF25" i="6"/>
  <c r="AF26" i="6"/>
  <c r="AF19" i="6"/>
  <c r="AB19" i="6"/>
  <c r="Y19" i="6"/>
  <c r="K19" i="6"/>
  <c r="M19" i="6"/>
  <c r="AH22" i="6"/>
  <c r="AG22" i="6"/>
  <c r="AG11" i="6"/>
  <c r="AG19" i="6"/>
  <c r="Y22" i="9"/>
  <c r="Y23" i="9"/>
  <c r="Y24" i="9"/>
  <c r="Y25" i="9"/>
  <c r="Y26" i="9"/>
  <c r="Y27" i="9"/>
  <c r="Y28" i="9"/>
  <c r="Y29" i="9"/>
  <c r="M51" i="9" s="1"/>
  <c r="Y30" i="9"/>
  <c r="Y31" i="9"/>
  <c r="Y32" i="9"/>
  <c r="Y21" i="9"/>
  <c r="X32" i="9"/>
  <c r="X22" i="9"/>
  <c r="X23" i="9"/>
  <c r="X24" i="9"/>
  <c r="X25" i="9"/>
  <c r="X26" i="9"/>
  <c r="M53" i="9" s="1"/>
  <c r="X27" i="9"/>
  <c r="X28" i="9"/>
  <c r="X29" i="9"/>
  <c r="X30" i="9"/>
  <c r="X31" i="9"/>
  <c r="X21" i="9"/>
  <c r="W21" i="9"/>
  <c r="W22" i="9"/>
  <c r="W23" i="9"/>
  <c r="W24" i="9"/>
  <c r="W25" i="9"/>
  <c r="W26" i="9"/>
  <c r="M52" i="9" s="1"/>
  <c r="W27" i="9"/>
  <c r="W28" i="9"/>
  <c r="W29" i="9"/>
  <c r="W30" i="9"/>
  <c r="W31" i="9"/>
  <c r="W32" i="9"/>
  <c r="T22" i="9"/>
  <c r="T23" i="9"/>
  <c r="T24" i="9"/>
  <c r="T25" i="9"/>
  <c r="T26" i="9"/>
  <c r="T27" i="9"/>
  <c r="T28" i="9"/>
  <c r="T29" i="9"/>
  <c r="T30" i="9"/>
  <c r="T31" i="9"/>
  <c r="T32" i="9"/>
  <c r="T21" i="9"/>
  <c r="S22" i="9"/>
  <c r="S23" i="9"/>
  <c r="S24" i="9"/>
  <c r="S25" i="9"/>
  <c r="S26" i="9"/>
  <c r="S27" i="9"/>
  <c r="M54" i="9" s="1"/>
  <c r="S28" i="9"/>
  <c r="S29" i="9"/>
  <c r="S30" i="9"/>
  <c r="S31" i="9"/>
  <c r="S32" i="9"/>
  <c r="S21" i="9"/>
  <c r="L54" i="9" s="1"/>
  <c r="J22" i="9"/>
  <c r="J23" i="9"/>
  <c r="J24" i="9"/>
  <c r="J25" i="9"/>
  <c r="J26" i="9"/>
  <c r="J27" i="9"/>
  <c r="J28" i="9"/>
  <c r="J29" i="9"/>
  <c r="J30" i="9"/>
  <c r="J31" i="9"/>
  <c r="J32" i="9"/>
  <c r="J21" i="9"/>
  <c r="L22" i="9"/>
  <c r="L23" i="9"/>
  <c r="L24" i="9"/>
  <c r="L25" i="9"/>
  <c r="L26" i="9"/>
  <c r="L27" i="9"/>
  <c r="L28" i="9"/>
  <c r="L29" i="9"/>
  <c r="L30" i="9"/>
  <c r="L31" i="9"/>
  <c r="L32" i="9"/>
  <c r="L21" i="9"/>
  <c r="L53" i="9"/>
  <c r="Y12" i="4"/>
  <c r="Y13" i="4"/>
  <c r="Y14" i="4"/>
  <c r="Y15" i="4"/>
  <c r="Y16" i="4"/>
  <c r="Y17" i="4"/>
  <c r="Y18" i="4"/>
  <c r="R32" i="4"/>
  <c r="Y11" i="4"/>
  <c r="Q32" i="4" s="1"/>
  <c r="X12" i="4"/>
  <c r="X13" i="4"/>
  <c r="X14" i="4"/>
  <c r="X15" i="4"/>
  <c r="X16" i="4"/>
  <c r="X17" i="4"/>
  <c r="X18" i="4"/>
  <c r="Q34" i="4"/>
  <c r="R34" i="4"/>
  <c r="X11" i="4"/>
  <c r="W12" i="4"/>
  <c r="W13" i="4"/>
  <c r="W14" i="4"/>
  <c r="W15" i="4"/>
  <c r="W16" i="4"/>
  <c r="W17" i="4"/>
  <c r="W18" i="4"/>
  <c r="R33" i="4" s="1"/>
  <c r="W11" i="4"/>
  <c r="Q33" i="4" s="1"/>
  <c r="T12" i="4"/>
  <c r="T13" i="4"/>
  <c r="T14" i="4"/>
  <c r="T15" i="4"/>
  <c r="T16" i="4"/>
  <c r="T17" i="4"/>
  <c r="T18" i="4"/>
  <c r="T11" i="4"/>
  <c r="R35" i="4"/>
  <c r="S12" i="4"/>
  <c r="S13" i="4"/>
  <c r="S14" i="4"/>
  <c r="S15" i="4"/>
  <c r="S16" i="4"/>
  <c r="S17" i="4"/>
  <c r="S18" i="4"/>
  <c r="S11" i="4"/>
  <c r="J12" i="4"/>
  <c r="J13" i="4"/>
  <c r="J14" i="4"/>
  <c r="J15" i="4"/>
  <c r="J16" i="4"/>
  <c r="J17" i="4"/>
  <c r="J18" i="4"/>
  <c r="J11" i="4"/>
  <c r="L12" i="4"/>
  <c r="L13" i="4"/>
  <c r="L14" i="4"/>
  <c r="L15" i="4"/>
  <c r="L16" i="4"/>
  <c r="L17" i="4"/>
  <c r="L18" i="4"/>
  <c r="L11" i="4"/>
  <c r="R12" i="4"/>
  <c r="R13" i="4"/>
  <c r="R14" i="4"/>
  <c r="R15" i="4"/>
  <c r="R16" i="4"/>
  <c r="R17" i="4"/>
  <c r="R18" i="4"/>
  <c r="R11" i="4"/>
  <c r="O12" i="4"/>
  <c r="O13" i="4"/>
  <c r="O14" i="4"/>
  <c r="O15" i="4"/>
  <c r="O16" i="4"/>
  <c r="O17" i="4"/>
  <c r="O18" i="4"/>
  <c r="O11" i="4"/>
  <c r="Q35" i="4"/>
  <c r="N46" i="1"/>
  <c r="M46" i="1"/>
  <c r="N45" i="1"/>
  <c r="M45" i="1"/>
  <c r="N44" i="1"/>
  <c r="M44" i="1"/>
  <c r="N43" i="1"/>
  <c r="M43" i="1"/>
  <c r="Y16" i="1"/>
  <c r="Y17" i="1"/>
  <c r="Y18" i="1"/>
  <c r="Y19" i="1"/>
  <c r="Y20" i="1"/>
  <c r="Y21" i="1"/>
  <c r="Y22" i="1"/>
  <c r="Y23" i="1"/>
  <c r="Y24" i="1"/>
  <c r="Y25" i="1"/>
  <c r="Y26" i="1"/>
  <c r="Y15" i="1"/>
  <c r="X16" i="1"/>
  <c r="X17" i="1"/>
  <c r="X18" i="1"/>
  <c r="X19" i="1"/>
  <c r="X20" i="1"/>
  <c r="X21" i="1"/>
  <c r="X22" i="1"/>
  <c r="X23" i="1"/>
  <c r="X24" i="1"/>
  <c r="X25" i="1"/>
  <c r="X26" i="1"/>
  <c r="X15" i="1"/>
  <c r="W16" i="1"/>
  <c r="W17" i="1"/>
  <c r="W18" i="1"/>
  <c r="W19" i="1"/>
  <c r="W20" i="1"/>
  <c r="W21" i="1"/>
  <c r="W22" i="1"/>
  <c r="W23" i="1"/>
  <c r="W24" i="1"/>
  <c r="W25" i="1"/>
  <c r="W26" i="1"/>
  <c r="W15" i="1"/>
  <c r="T16" i="1"/>
  <c r="T17" i="1"/>
  <c r="T18" i="1"/>
  <c r="T19" i="1"/>
  <c r="T20" i="1"/>
  <c r="T21" i="1"/>
  <c r="T22" i="1"/>
  <c r="T23" i="1"/>
  <c r="T24" i="1"/>
  <c r="T25" i="1"/>
  <c r="T26" i="1"/>
  <c r="T15" i="1"/>
  <c r="T25" i="15"/>
  <c r="L16" i="1"/>
  <c r="L17" i="1"/>
  <c r="L18" i="1"/>
  <c r="L19" i="1"/>
  <c r="S19" i="1" s="1"/>
  <c r="L20" i="1"/>
  <c r="L21" i="1"/>
  <c r="S21" i="1" s="1"/>
  <c r="L22" i="1"/>
  <c r="L23" i="1"/>
  <c r="S23" i="1" s="1"/>
  <c r="L24" i="1"/>
  <c r="S24" i="1" s="1"/>
  <c r="L25" i="1"/>
  <c r="L26" i="1"/>
  <c r="S17" i="1"/>
  <c r="S20" i="1"/>
  <c r="S22" i="1"/>
  <c r="S25" i="1"/>
  <c r="L15" i="1"/>
  <c r="S15" i="1" s="1"/>
  <c r="S16" i="1"/>
  <c r="S18" i="1"/>
  <c r="S26" i="1"/>
  <c r="R16" i="1"/>
  <c r="R17" i="1"/>
  <c r="R18" i="1"/>
  <c r="R19" i="1"/>
  <c r="R20" i="1"/>
  <c r="R21" i="1"/>
  <c r="R22" i="1"/>
  <c r="R23" i="1"/>
  <c r="R24" i="1"/>
  <c r="R25" i="1"/>
  <c r="R26" i="1"/>
  <c r="R15" i="1"/>
  <c r="O16" i="1"/>
  <c r="O17" i="1"/>
  <c r="O18" i="1"/>
  <c r="O19" i="1"/>
  <c r="O20" i="1"/>
  <c r="O21" i="1"/>
  <c r="O22" i="1"/>
  <c r="O23" i="1"/>
  <c r="O24" i="1"/>
  <c r="O25" i="1"/>
  <c r="O26" i="1"/>
  <c r="O15" i="1"/>
  <c r="J42" i="10"/>
  <c r="J41" i="10"/>
  <c r="K42" i="10"/>
  <c r="K41" i="10"/>
  <c r="K40" i="10"/>
  <c r="J40" i="10"/>
  <c r="K39" i="10"/>
  <c r="J39" i="10"/>
  <c r="L46" i="5"/>
  <c r="K46" i="5"/>
  <c r="L45" i="5"/>
  <c r="K45" i="5"/>
  <c r="L44" i="5"/>
  <c r="K44" i="5"/>
  <c r="L43" i="5"/>
  <c r="K43" i="5"/>
  <c r="W23" i="5"/>
  <c r="X22" i="5"/>
  <c r="L23" i="2"/>
  <c r="K23" i="2"/>
  <c r="L22" i="2"/>
  <c r="K22" i="2"/>
  <c r="L21" i="2"/>
  <c r="K21" i="2"/>
  <c r="J18" i="17"/>
  <c r="P32" i="17"/>
  <c r="O32" i="17"/>
  <c r="W22" i="17"/>
  <c r="W21" i="17"/>
  <c r="W20" i="17"/>
  <c r="W19" i="17"/>
  <c r="W18" i="17"/>
  <c r="W17" i="17"/>
  <c r="W15" i="17"/>
  <c r="P31" i="17"/>
  <c r="O31" i="17"/>
  <c r="P30" i="17"/>
  <c r="O30" i="17"/>
  <c r="T24" i="15"/>
  <c r="N40" i="15"/>
  <c r="O42" i="15"/>
  <c r="X15" i="17"/>
  <c r="Y19" i="15"/>
  <c r="T19" i="15"/>
  <c r="L20" i="15"/>
  <c r="L19" i="15"/>
  <c r="R19" i="15"/>
  <c r="R20" i="15"/>
  <c r="R21" i="15"/>
  <c r="W21" i="15" s="1"/>
  <c r="R22" i="15"/>
  <c r="R23" i="15"/>
  <c r="R24" i="15"/>
  <c r="R25" i="15"/>
  <c r="W25" i="15" s="1"/>
  <c r="R26" i="15"/>
  <c r="R27" i="15"/>
  <c r="W27" i="15" s="1"/>
  <c r="R28" i="15"/>
  <c r="W28" i="15" s="1"/>
  <c r="R29" i="15"/>
  <c r="W29" i="15" s="1"/>
  <c r="R30" i="15"/>
  <c r="R31" i="15"/>
  <c r="R32" i="15"/>
  <c r="R33" i="15"/>
  <c r="R34" i="15"/>
  <c r="W22" i="15"/>
  <c r="W23" i="15"/>
  <c r="W24" i="15"/>
  <c r="W26" i="15"/>
  <c r="W31" i="15"/>
  <c r="W32" i="15"/>
  <c r="W33" i="15"/>
  <c r="W34" i="15"/>
  <c r="W20" i="15"/>
  <c r="W30" i="15"/>
  <c r="W19" i="15"/>
  <c r="L14" i="13"/>
  <c r="L14" i="16"/>
  <c r="J17" i="16"/>
  <c r="S29" i="13"/>
  <c r="Y24" i="16"/>
  <c r="S37" i="16"/>
  <c r="R20" i="17"/>
  <c r="T32" i="15"/>
  <c r="N42" i="15"/>
  <c r="O41" i="15"/>
  <c r="N41" i="15"/>
  <c r="N39" i="15"/>
  <c r="P65" i="16"/>
  <c r="P40" i="13"/>
  <c r="O40" i="13"/>
  <c r="P39" i="13"/>
  <c r="P49" i="14"/>
  <c r="O49" i="14"/>
  <c r="P48" i="14"/>
  <c r="O48" i="14"/>
  <c r="P47" i="14"/>
  <c r="O47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23" i="14"/>
  <c r="P46" i="14"/>
  <c r="L51" i="9" l="1"/>
  <c r="L52" i="9"/>
  <c r="O40" i="15"/>
  <c r="Y23" i="14"/>
  <c r="O39" i="13"/>
  <c r="P38" i="13"/>
  <c r="O38" i="13"/>
  <c r="W32" i="13"/>
  <c r="W31" i="13"/>
  <c r="W30" i="13"/>
  <c r="W29" i="13"/>
  <c r="W28" i="13"/>
  <c r="W27" i="13"/>
  <c r="W25" i="13"/>
  <c r="W23" i="13"/>
  <c r="W21" i="13"/>
  <c r="W20" i="13"/>
  <c r="P37" i="13"/>
  <c r="Q65" i="16"/>
  <c r="Q64" i="16"/>
  <c r="P64" i="16"/>
  <c r="Q63" i="16"/>
  <c r="Q62" i="16"/>
  <c r="P62" i="16"/>
  <c r="P63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27" i="16"/>
  <c r="S3" i="16"/>
  <c r="R8" i="44"/>
  <c r="S8" i="44" s="1"/>
  <c r="T8" i="44" s="1"/>
  <c r="Y8" i="44" s="1"/>
  <c r="O8" i="44"/>
  <c r="L8" i="44"/>
  <c r="R7" i="44"/>
  <c r="S7" i="44" s="1"/>
  <c r="T7" i="44" s="1"/>
  <c r="Y7" i="44" s="1"/>
  <c r="O7" i="44"/>
  <c r="L7" i="44"/>
  <c r="L4" i="43"/>
  <c r="S4" i="43" s="1"/>
  <c r="T4" i="43" s="1"/>
  <c r="Y4" i="43" s="1"/>
  <c r="S3" i="43"/>
  <c r="T3" i="43" s="1"/>
  <c r="Y3" i="43" s="1"/>
  <c r="L3" i="43"/>
  <c r="R6" i="42"/>
  <c r="S6" i="42" s="1"/>
  <c r="T6" i="42" s="1"/>
  <c r="Y6" i="42" s="1"/>
  <c r="O6" i="42"/>
  <c r="L6" i="42"/>
  <c r="R5" i="42"/>
  <c r="Y5" i="42" s="1"/>
  <c r="O5" i="42"/>
  <c r="L5" i="42"/>
  <c r="Q3" i="38" l="1"/>
  <c r="O4" i="38"/>
  <c r="N4" i="38"/>
  <c r="P4" i="38" s="1"/>
  <c r="Q4" i="38" s="1"/>
  <c r="R4" i="38" s="1"/>
  <c r="S4" i="38" s="1"/>
  <c r="O3" i="38"/>
  <c r="N3" i="38"/>
  <c r="P3" i="38" s="1"/>
  <c r="R3" i="38" s="1"/>
  <c r="S3" i="38" s="1"/>
  <c r="O4" i="37" l="1"/>
  <c r="N4" i="37"/>
  <c r="P4" i="37" s="1"/>
  <c r="Q4" i="37" s="1"/>
  <c r="R4" i="37" s="1"/>
  <c r="S4" i="37" s="1"/>
  <c r="O3" i="37"/>
  <c r="N3" i="37"/>
  <c r="U3" i="36" l="1"/>
  <c r="S3" i="36"/>
  <c r="T10" i="36"/>
  <c r="S10" i="36"/>
  <c r="U10" i="36" s="1"/>
  <c r="V10" i="36" s="1"/>
  <c r="AA10" i="36" s="1"/>
  <c r="L10" i="36"/>
  <c r="U9" i="36"/>
  <c r="V9" i="36" s="1"/>
  <c r="AA9" i="36" s="1"/>
  <c r="T9" i="36"/>
  <c r="S9" i="36"/>
  <c r="L9" i="36"/>
  <c r="T4" i="36"/>
  <c r="S4" i="36"/>
  <c r="U4" i="36" s="1"/>
  <c r="V4" i="36" s="1"/>
  <c r="AA4" i="36" s="1"/>
  <c r="L4" i="36"/>
  <c r="T3" i="36"/>
  <c r="V3" i="36"/>
  <c r="T4" i="35" l="1"/>
  <c r="S4" i="35"/>
  <c r="U4" i="35" s="1"/>
  <c r="V4" i="35" s="1"/>
  <c r="AA4" i="35" s="1"/>
  <c r="L4" i="35"/>
  <c r="L3" i="35"/>
  <c r="L4" i="34" l="1"/>
  <c r="S4" i="34" s="1"/>
  <c r="T4" i="34" s="1"/>
  <c r="L3" i="34"/>
  <c r="S3" i="34" s="1"/>
  <c r="T3" i="34" s="1"/>
  <c r="T6" i="33" l="1"/>
  <c r="Y6" i="33" s="1"/>
  <c r="T5" i="33"/>
  <c r="Y5" i="33" s="1"/>
  <c r="T4" i="33"/>
  <c r="Y4" i="33" s="1"/>
  <c r="AA50" i="3" l="1"/>
  <c r="Z50" i="3"/>
  <c r="AB50" i="3" s="1"/>
  <c r="T50" i="3"/>
  <c r="U50" i="3" s="1"/>
  <c r="V50" i="3" s="1"/>
  <c r="P50" i="3"/>
  <c r="Z49" i="3"/>
  <c r="AA49" i="3" s="1"/>
  <c r="U49" i="3"/>
  <c r="V49" i="3" s="1"/>
  <c r="T49" i="3"/>
  <c r="P49" i="3"/>
  <c r="Z48" i="3"/>
  <c r="T48" i="3"/>
  <c r="U48" i="3" s="1"/>
  <c r="V48" i="3" s="1"/>
  <c r="P48" i="3"/>
  <c r="Z47" i="3"/>
  <c r="AB47" i="3" s="1"/>
  <c r="U47" i="3"/>
  <c r="V47" i="3" s="1"/>
  <c r="T47" i="3"/>
  <c r="P47" i="3"/>
  <c r="Z46" i="3"/>
  <c r="AB46" i="3" s="1"/>
  <c r="T46" i="3"/>
  <c r="U46" i="3" s="1"/>
  <c r="V46" i="3" s="1"/>
  <c r="P46" i="3"/>
  <c r="Z45" i="3"/>
  <c r="AA45" i="3" s="1"/>
  <c r="U45" i="3"/>
  <c r="V45" i="3" s="1"/>
  <c r="AB45" i="3" s="1"/>
  <c r="T45" i="3"/>
  <c r="P45" i="3"/>
  <c r="AA44" i="3"/>
  <c r="Z44" i="3"/>
  <c r="AB44" i="3" s="1"/>
  <c r="T44" i="3"/>
  <c r="U44" i="3" s="1"/>
  <c r="V44" i="3" s="1"/>
  <c r="P44" i="3"/>
  <c r="Z43" i="3"/>
  <c r="U43" i="3"/>
  <c r="V43" i="3" s="1"/>
  <c r="T43" i="3"/>
  <c r="P43" i="3"/>
  <c r="AA42" i="3"/>
  <c r="Z42" i="3"/>
  <c r="T42" i="3"/>
  <c r="U42" i="3" s="1"/>
  <c r="V42" i="3" s="1"/>
  <c r="P42" i="3"/>
  <c r="Z41" i="3"/>
  <c r="AA41" i="3" s="1"/>
  <c r="U41" i="3"/>
  <c r="V41" i="3" s="1"/>
  <c r="T41" i="3"/>
  <c r="P41" i="3"/>
  <c r="Z40" i="3"/>
  <c r="T40" i="3"/>
  <c r="U40" i="3" s="1"/>
  <c r="V40" i="3" s="1"/>
  <c r="P40" i="3"/>
  <c r="Z39" i="3"/>
  <c r="AB39" i="3" s="1"/>
  <c r="U39" i="3"/>
  <c r="V39" i="3" s="1"/>
  <c r="P39" i="3"/>
  <c r="V38" i="3"/>
  <c r="T38" i="3"/>
  <c r="P38" i="3"/>
  <c r="AA37" i="3"/>
  <c r="Z37" i="3"/>
  <c r="T37" i="3"/>
  <c r="V37" i="3" s="1"/>
  <c r="P37" i="3"/>
  <c r="Z36" i="3"/>
  <c r="AA36" i="3" s="1"/>
  <c r="V36" i="3"/>
  <c r="T36" i="3"/>
  <c r="P36" i="3"/>
  <c r="Z35" i="3"/>
  <c r="T35" i="3"/>
  <c r="V35" i="3" s="1"/>
  <c r="P35" i="3"/>
  <c r="Z34" i="3"/>
  <c r="V34" i="3"/>
  <c r="T34" i="3"/>
  <c r="P34" i="3"/>
  <c r="Z33" i="3"/>
  <c r="T33" i="3"/>
  <c r="V33" i="3" s="1"/>
  <c r="P33" i="3"/>
  <c r="Z32" i="3"/>
  <c r="AA32" i="3" s="1"/>
  <c r="V32" i="3"/>
  <c r="AB32" i="3" s="1"/>
  <c r="T32" i="3"/>
  <c r="P32" i="3"/>
  <c r="AA31" i="3"/>
  <c r="Z31" i="3"/>
  <c r="T31" i="3"/>
  <c r="P31" i="3"/>
  <c r="Z30" i="3"/>
  <c r="V30" i="3"/>
  <c r="T30" i="3"/>
  <c r="P30" i="3"/>
  <c r="AA29" i="3"/>
  <c r="Z29" i="3"/>
  <c r="T29" i="3"/>
  <c r="V29" i="3" s="1"/>
  <c r="P29" i="3"/>
  <c r="Z28" i="3"/>
  <c r="AA28" i="3" s="1"/>
  <c r="V28" i="3"/>
  <c r="T28" i="3"/>
  <c r="P28" i="3"/>
  <c r="Z27" i="3"/>
  <c r="T27" i="3"/>
  <c r="P27" i="3"/>
  <c r="Z26" i="3"/>
  <c r="AB26" i="3" s="1"/>
  <c r="U26" i="3"/>
  <c r="V26" i="3" s="1"/>
  <c r="T26" i="3"/>
  <c r="L26" i="3" s="1"/>
  <c r="P26" i="3"/>
  <c r="Z25" i="3"/>
  <c r="AB25" i="3" s="1"/>
  <c r="U25" i="3"/>
  <c r="V25" i="3" s="1"/>
  <c r="T25" i="3"/>
  <c r="L25" i="3" s="1"/>
  <c r="P25" i="3"/>
  <c r="Z24" i="3"/>
  <c r="AB24" i="3" s="1"/>
  <c r="U24" i="3"/>
  <c r="V24" i="3" s="1"/>
  <c r="T24" i="3"/>
  <c r="L24" i="3" s="1"/>
  <c r="P24" i="3"/>
  <c r="Z23" i="3"/>
  <c r="AB23" i="3" s="1"/>
  <c r="U23" i="3"/>
  <c r="V23" i="3" s="1"/>
  <c r="T23" i="3"/>
  <c r="L23" i="3" s="1"/>
  <c r="P23" i="3"/>
  <c r="Z22" i="3"/>
  <c r="AB22" i="3" s="1"/>
  <c r="U22" i="3"/>
  <c r="V22" i="3" s="1"/>
  <c r="T22" i="3"/>
  <c r="L22" i="3" s="1"/>
  <c r="P22" i="3"/>
  <c r="Z21" i="3"/>
  <c r="AB21" i="3" s="1"/>
  <c r="U21" i="3"/>
  <c r="V21" i="3" s="1"/>
  <c r="T21" i="3"/>
  <c r="L21" i="3" s="1"/>
  <c r="P21" i="3"/>
  <c r="Z20" i="3"/>
  <c r="AB20" i="3" s="1"/>
  <c r="U20" i="3"/>
  <c r="V20" i="3" s="1"/>
  <c r="T20" i="3"/>
  <c r="L20" i="3" s="1"/>
  <c r="P20" i="3"/>
  <c r="Z19" i="3"/>
  <c r="AB19" i="3" s="1"/>
  <c r="U19" i="3"/>
  <c r="V19" i="3" s="1"/>
  <c r="T19" i="3"/>
  <c r="L19" i="3" s="1"/>
  <c r="P19" i="3"/>
  <c r="Z18" i="3"/>
  <c r="AB18" i="3" s="1"/>
  <c r="U18" i="3"/>
  <c r="V18" i="3" s="1"/>
  <c r="T18" i="3"/>
  <c r="L18" i="3" s="1"/>
  <c r="P18" i="3"/>
  <c r="Z17" i="3"/>
  <c r="AB17" i="3" s="1"/>
  <c r="U17" i="3"/>
  <c r="V17" i="3" s="1"/>
  <c r="T17" i="3"/>
  <c r="L17" i="3" s="1"/>
  <c r="P17" i="3"/>
  <c r="Z16" i="3"/>
  <c r="AB16" i="3" s="1"/>
  <c r="U16" i="3"/>
  <c r="V16" i="3" s="1"/>
  <c r="T16" i="3"/>
  <c r="L16" i="3" s="1"/>
  <c r="P16" i="3"/>
  <c r="Z15" i="3"/>
  <c r="AB15" i="3" s="1"/>
  <c r="U15" i="3"/>
  <c r="V15" i="3" s="1"/>
  <c r="T15" i="3"/>
  <c r="L15" i="3" s="1"/>
  <c r="P15" i="3"/>
  <c r="Z14" i="3"/>
  <c r="AB14" i="3" s="1"/>
  <c r="T14" i="3"/>
  <c r="L14" i="3" s="1"/>
  <c r="J14" i="3" s="1"/>
  <c r="U14" i="3" s="1"/>
  <c r="V14" i="3" s="1"/>
  <c r="P14" i="3"/>
  <c r="T13" i="3"/>
  <c r="Z13" i="3" s="1"/>
  <c r="P13" i="3"/>
  <c r="Z12" i="3"/>
  <c r="AA12" i="3" s="1"/>
  <c r="T12" i="3"/>
  <c r="L12" i="3" s="1"/>
  <c r="J12" i="3" s="1"/>
  <c r="U12" i="3" s="1"/>
  <c r="V12" i="3" s="1"/>
  <c r="P12" i="3"/>
  <c r="T11" i="3"/>
  <c r="Z11" i="3" s="1"/>
  <c r="P11" i="3"/>
  <c r="L11" i="3"/>
  <c r="J11" i="3" s="1"/>
  <c r="Z10" i="3"/>
  <c r="T10" i="3"/>
  <c r="P10" i="3"/>
  <c r="L10" i="3" s="1"/>
  <c r="J10" i="3" s="1"/>
  <c r="U10" i="3" s="1"/>
  <c r="V10" i="3" s="1"/>
  <c r="T9" i="3"/>
  <c r="Z9" i="3" s="1"/>
  <c r="P9" i="3"/>
  <c r="L9" i="3"/>
  <c r="J9" i="3" s="1"/>
  <c r="Z8" i="3"/>
  <c r="AA8" i="3" s="1"/>
  <c r="T8" i="3"/>
  <c r="L8" i="3" s="1"/>
  <c r="J8" i="3" s="1"/>
  <c r="U8" i="3" s="1"/>
  <c r="V8" i="3" s="1"/>
  <c r="AB8" i="3" s="1"/>
  <c r="P8" i="3"/>
  <c r="T7" i="3"/>
  <c r="P7" i="3"/>
  <c r="Z6" i="3"/>
  <c r="T6" i="3"/>
  <c r="L6" i="3" s="1"/>
  <c r="J6" i="3" s="1"/>
  <c r="U6" i="3" s="1"/>
  <c r="V6" i="3" s="1"/>
  <c r="P6" i="3"/>
  <c r="T5" i="3"/>
  <c r="Z5" i="3" s="1"/>
  <c r="P5" i="3"/>
  <c r="Z4" i="3"/>
  <c r="AA4" i="3" s="1"/>
  <c r="T4" i="3"/>
  <c r="L4" i="3" s="1"/>
  <c r="J4" i="3" s="1"/>
  <c r="U4" i="3" s="1"/>
  <c r="V4" i="3" s="1"/>
  <c r="P4" i="3"/>
  <c r="T3" i="3"/>
  <c r="Z3" i="3" s="1"/>
  <c r="P3" i="3"/>
  <c r="L3" i="3"/>
  <c r="J3" i="3" s="1"/>
  <c r="AB34" i="3" l="1"/>
  <c r="AB37" i="3"/>
  <c r="AA3" i="3"/>
  <c r="AA9" i="3"/>
  <c r="AB29" i="3"/>
  <c r="AB33" i="3"/>
  <c r="AB42" i="3"/>
  <c r="AB27" i="3"/>
  <c r="AB40" i="3"/>
  <c r="AB6" i="3"/>
  <c r="AB10" i="3"/>
  <c r="AA13" i="3"/>
  <c r="AA5" i="3"/>
  <c r="AB30" i="3"/>
  <c r="AB43" i="3"/>
  <c r="AA11" i="3"/>
  <c r="AB35" i="3"/>
  <c r="AB48" i="3"/>
  <c r="AB12" i="3"/>
  <c r="AB49" i="3"/>
  <c r="AA6" i="3"/>
  <c r="Z7" i="3"/>
  <c r="U9" i="3"/>
  <c r="V9" i="3" s="1"/>
  <c r="AB9" i="3" s="1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V31" i="3"/>
  <c r="AB31" i="3" s="1"/>
  <c r="AA34" i="3"/>
  <c r="AA39" i="3"/>
  <c r="AA47" i="3"/>
  <c r="AB28" i="3"/>
  <c r="AB36" i="3"/>
  <c r="L5" i="3"/>
  <c r="J5" i="3" s="1"/>
  <c r="U5" i="3" s="1"/>
  <c r="V5" i="3" s="1"/>
  <c r="AB5" i="3" s="1"/>
  <c r="L13" i="3"/>
  <c r="J13" i="3" s="1"/>
  <c r="U13" i="3" s="1"/>
  <c r="V13" i="3" s="1"/>
  <c r="AB13" i="3" s="1"/>
  <c r="AA33" i="3"/>
  <c r="AA46" i="3"/>
  <c r="AB4" i="3"/>
  <c r="AA27" i="3"/>
  <c r="AA35" i="3"/>
  <c r="AA40" i="3"/>
  <c r="AB41" i="3"/>
  <c r="AA48" i="3"/>
  <c r="U3" i="3"/>
  <c r="V3" i="3" s="1"/>
  <c r="AB3" i="3" s="1"/>
  <c r="U11" i="3"/>
  <c r="V11" i="3" s="1"/>
  <c r="AB11" i="3" s="1"/>
  <c r="L7" i="3"/>
  <c r="J7" i="3" s="1"/>
  <c r="U7" i="3" s="1"/>
  <c r="V7" i="3" s="1"/>
  <c r="AA10" i="3"/>
  <c r="AA30" i="3"/>
  <c r="AA43" i="3"/>
  <c r="AB7" i="3" l="1"/>
  <c r="AA7" i="3"/>
  <c r="AH34" i="6" l="1"/>
  <c r="AG34" i="6"/>
  <c r="Z34" i="6"/>
  <c r="W34" i="6"/>
  <c r="V34" i="6"/>
  <c r="M34" i="6"/>
  <c r="K34" i="6" s="1"/>
  <c r="X34" i="6" s="1"/>
  <c r="AA34" i="6" s="1"/>
  <c r="AH33" i="6"/>
  <c r="AG33" i="6"/>
  <c r="Z33" i="6"/>
  <c r="W33" i="6"/>
  <c r="V33" i="6"/>
  <c r="M33" i="6"/>
  <c r="K33" i="6" s="1"/>
  <c r="X33" i="6" s="1"/>
  <c r="AA33" i="6" s="1"/>
  <c r="AG32" i="6"/>
  <c r="AH32" i="6" s="1"/>
  <c r="Z32" i="6"/>
  <c r="W32" i="6"/>
  <c r="V32" i="6"/>
  <c r="M32" i="6"/>
  <c r="K32" i="6" s="1"/>
  <c r="X32" i="6" s="1"/>
  <c r="AA32" i="6" s="1"/>
  <c r="AH31" i="6"/>
  <c r="AG31" i="6"/>
  <c r="Z31" i="6"/>
  <c r="W31" i="6"/>
  <c r="V31" i="6"/>
  <c r="M31" i="6"/>
  <c r="K31" i="6" s="1"/>
  <c r="X31" i="6" s="1"/>
  <c r="AA31" i="6" s="1"/>
  <c r="AH30" i="6"/>
  <c r="AG30" i="6"/>
  <c r="Z30" i="6"/>
  <c r="W30" i="6"/>
  <c r="V30" i="6"/>
  <c r="M30" i="6"/>
  <c r="K30" i="6" s="1"/>
  <c r="X30" i="6" s="1"/>
  <c r="AA30" i="6" s="1"/>
  <c r="AH29" i="6"/>
  <c r="AG29" i="6"/>
  <c r="Z29" i="6"/>
  <c r="W29" i="6"/>
  <c r="V29" i="6"/>
  <c r="M29" i="6"/>
  <c r="K29" i="6" s="1"/>
  <c r="X29" i="6" s="1"/>
  <c r="AA29" i="6" s="1"/>
  <c r="AG28" i="6"/>
  <c r="AH28" i="6" s="1"/>
  <c r="Z28" i="6"/>
  <c r="W28" i="6"/>
  <c r="V28" i="6"/>
  <c r="M28" i="6"/>
  <c r="K28" i="6" s="1"/>
  <c r="X28" i="6" s="1"/>
  <c r="AA28" i="6" s="1"/>
  <c r="AH27" i="6"/>
  <c r="AG27" i="6"/>
  <c r="Z27" i="6"/>
  <c r="W27" i="6"/>
  <c r="V27" i="6"/>
  <c r="M27" i="6"/>
  <c r="K27" i="6" s="1"/>
  <c r="X27" i="6" s="1"/>
  <c r="AA27" i="6" s="1"/>
  <c r="AH26" i="6"/>
  <c r="AG26" i="6"/>
  <c r="Z26" i="6"/>
  <c r="W26" i="6"/>
  <c r="V26" i="6"/>
  <c r="M26" i="6"/>
  <c r="K26" i="6" s="1"/>
  <c r="AG25" i="6"/>
  <c r="AH25" i="6" s="1"/>
  <c r="Z25" i="6"/>
  <c r="W25" i="6"/>
  <c r="V25" i="6"/>
  <c r="M25" i="6"/>
  <c r="K25" i="6" s="1"/>
  <c r="AG24" i="6"/>
  <c r="AH24" i="6" s="1"/>
  <c r="Z24" i="6"/>
  <c r="W24" i="6"/>
  <c r="V24" i="6"/>
  <c r="M24" i="6"/>
  <c r="K24" i="6" s="1"/>
  <c r="AG23" i="6"/>
  <c r="AH23" i="6" s="1"/>
  <c r="Z23" i="6"/>
  <c r="W23" i="6"/>
  <c r="V23" i="6"/>
  <c r="M23" i="6"/>
  <c r="K23" i="6" s="1"/>
  <c r="Z22" i="6"/>
  <c r="W22" i="6"/>
  <c r="V22" i="6"/>
  <c r="M22" i="6"/>
  <c r="K22" i="6" s="1"/>
  <c r="AH21" i="6"/>
  <c r="AG21" i="6"/>
  <c r="Z21" i="6"/>
  <c r="W21" i="6"/>
  <c r="V21" i="6"/>
  <c r="M21" i="6"/>
  <c r="K21" i="6" s="1"/>
  <c r="AG20" i="6"/>
  <c r="AH20" i="6" s="1"/>
  <c r="Z20" i="6"/>
  <c r="W20" i="6"/>
  <c r="V20" i="6"/>
  <c r="M20" i="6"/>
  <c r="K20" i="6" s="1"/>
  <c r="Y20" i="6" s="1"/>
  <c r="AB20" i="6" s="1"/>
  <c r="AH19" i="6"/>
  <c r="Z19" i="6"/>
  <c r="W19" i="6"/>
  <c r="V19" i="6"/>
  <c r="X19" i="6"/>
  <c r="AA19" i="6" s="1"/>
  <c r="AH18" i="6"/>
  <c r="AG18" i="6"/>
  <c r="Z18" i="6"/>
  <c r="W18" i="6"/>
  <c r="V18" i="6"/>
  <c r="M18" i="6"/>
  <c r="K18" i="6" s="1"/>
  <c r="X18" i="6" s="1"/>
  <c r="AA18" i="6" s="1"/>
  <c r="AG17" i="6"/>
  <c r="AH17" i="6" s="1"/>
  <c r="Z17" i="6"/>
  <c r="W17" i="6"/>
  <c r="V17" i="6"/>
  <c r="M17" i="6"/>
  <c r="K17" i="6" s="1"/>
  <c r="X17" i="6" s="1"/>
  <c r="AA17" i="6" s="1"/>
  <c r="AG16" i="6"/>
  <c r="AH16" i="6" s="1"/>
  <c r="Z16" i="6"/>
  <c r="W16" i="6"/>
  <c r="V16" i="6"/>
  <c r="M16" i="6"/>
  <c r="K16" i="6" s="1"/>
  <c r="X16" i="6" s="1"/>
  <c r="AA16" i="6" s="1"/>
  <c r="AH15" i="6"/>
  <c r="AG15" i="6"/>
  <c r="Z15" i="6"/>
  <c r="W15" i="6"/>
  <c r="V15" i="6"/>
  <c r="M15" i="6"/>
  <c r="K15" i="6" s="1"/>
  <c r="X15" i="6" s="1"/>
  <c r="AA15" i="6" s="1"/>
  <c r="AG14" i="6"/>
  <c r="AH14" i="6" s="1"/>
  <c r="Z14" i="6"/>
  <c r="W14" i="6"/>
  <c r="V14" i="6"/>
  <c r="M14" i="6"/>
  <c r="K14" i="6" s="1"/>
  <c r="X14" i="6" s="1"/>
  <c r="AA14" i="6" s="1"/>
  <c r="AG13" i="6"/>
  <c r="AH13" i="6" s="1"/>
  <c r="Z13" i="6"/>
  <c r="W13" i="6"/>
  <c r="V13" i="6"/>
  <c r="M13" i="6"/>
  <c r="K13" i="6" s="1"/>
  <c r="X13" i="6" s="1"/>
  <c r="AA13" i="6" s="1"/>
  <c r="AG12" i="6"/>
  <c r="AH12" i="6" s="1"/>
  <c r="Z12" i="6"/>
  <c r="W12" i="6"/>
  <c r="V12" i="6"/>
  <c r="M12" i="6"/>
  <c r="K12" i="6" s="1"/>
  <c r="X12" i="6" s="1"/>
  <c r="AA12" i="6" s="1"/>
  <c r="AH11" i="6"/>
  <c r="Z11" i="6"/>
  <c r="W11" i="6"/>
  <c r="V11" i="6"/>
  <c r="M11" i="6"/>
  <c r="K11" i="6"/>
  <c r="X11" i="6" s="1"/>
  <c r="AA11" i="6" s="1"/>
  <c r="AH10" i="6"/>
  <c r="AG10" i="6"/>
  <c r="Z10" i="6"/>
  <c r="W10" i="6"/>
  <c r="V10" i="6"/>
  <c r="M10" i="6"/>
  <c r="K10" i="6" s="1"/>
  <c r="X10" i="6" s="1"/>
  <c r="AA10" i="6" s="1"/>
  <c r="AH9" i="6"/>
  <c r="AG9" i="6"/>
  <c r="Z9" i="6"/>
  <c r="W9" i="6"/>
  <c r="V9" i="6"/>
  <c r="M9" i="6"/>
  <c r="K9" i="6" s="1"/>
  <c r="X9" i="6" s="1"/>
  <c r="AA9" i="6" s="1"/>
  <c r="AG8" i="6"/>
  <c r="AH8" i="6" s="1"/>
  <c r="Z8" i="6"/>
  <c r="W8" i="6"/>
  <c r="V8" i="6"/>
  <c r="M8" i="6"/>
  <c r="K8" i="6" s="1"/>
  <c r="X8" i="6" s="1"/>
  <c r="AA8" i="6" s="1"/>
  <c r="AH7" i="6"/>
  <c r="AG7" i="6"/>
  <c r="Z7" i="6"/>
  <c r="W7" i="6"/>
  <c r="V7" i="6"/>
  <c r="M7" i="6"/>
  <c r="K7" i="6" s="1"/>
  <c r="X7" i="6" s="1"/>
  <c r="AA7" i="6" s="1"/>
  <c r="AH6" i="6"/>
  <c r="AG6" i="6"/>
  <c r="Z6" i="6"/>
  <c r="W6" i="6"/>
  <c r="V6" i="6"/>
  <c r="M6" i="6"/>
  <c r="K6" i="6" s="1"/>
  <c r="X6" i="6" s="1"/>
  <c r="AA6" i="6" s="1"/>
  <c r="AH5" i="6"/>
  <c r="AG5" i="6"/>
  <c r="Z5" i="6"/>
  <c r="W5" i="6"/>
  <c r="V5" i="6"/>
  <c r="M5" i="6"/>
  <c r="K5" i="6" s="1"/>
  <c r="X5" i="6" s="1"/>
  <c r="AA5" i="6" s="1"/>
  <c r="AG4" i="6"/>
  <c r="AH4" i="6" s="1"/>
  <c r="Z4" i="6"/>
  <c r="W4" i="6"/>
  <c r="V4" i="6"/>
  <c r="M4" i="6"/>
  <c r="K4" i="6"/>
  <c r="X4" i="6" s="1"/>
  <c r="AA4" i="6" s="1"/>
  <c r="AH3" i="6"/>
  <c r="AJ3" i="6" s="1"/>
  <c r="AG3" i="6"/>
  <c r="Z3" i="6"/>
  <c r="W3" i="6"/>
  <c r="V3" i="6"/>
  <c r="M3" i="6"/>
  <c r="K3" i="6"/>
  <c r="X3" i="6" s="1"/>
  <c r="AA3" i="6" s="1"/>
  <c r="Y25" i="6" l="1"/>
  <c r="AB25" i="6" s="1"/>
  <c r="X25" i="6"/>
  <c r="AA25" i="6" s="1"/>
  <c r="AJ25" i="6" s="1"/>
  <c r="X23" i="6"/>
  <c r="AA23" i="6" s="1"/>
  <c r="Y23" i="6"/>
  <c r="AB23" i="6" s="1"/>
  <c r="X26" i="6"/>
  <c r="AA26" i="6" s="1"/>
  <c r="Y26" i="6"/>
  <c r="AB26" i="6" s="1"/>
  <c r="AJ14" i="6"/>
  <c r="AJ17" i="6"/>
  <c r="X22" i="6"/>
  <c r="AA22" i="6" s="1"/>
  <c r="AJ22" i="6" s="1"/>
  <c r="Y22" i="6"/>
  <c r="AB22" i="6" s="1"/>
  <c r="X21" i="6"/>
  <c r="AA21" i="6" s="1"/>
  <c r="AJ21" i="6" s="1"/>
  <c r="Y21" i="6"/>
  <c r="AB21" i="6" s="1"/>
  <c r="X24" i="6"/>
  <c r="AA24" i="6" s="1"/>
  <c r="AJ24" i="6" s="1"/>
  <c r="Y24" i="6"/>
  <c r="AB24" i="6" s="1"/>
  <c r="AJ13" i="6"/>
  <c r="AJ18" i="6"/>
  <c r="AJ34" i="6"/>
  <c r="AJ4" i="6"/>
  <c r="AJ11" i="6"/>
  <c r="AJ27" i="6"/>
  <c r="AJ32" i="6"/>
  <c r="AJ33" i="6"/>
  <c r="AJ30" i="6"/>
  <c r="AJ12" i="6"/>
  <c r="X20" i="6"/>
  <c r="AA20" i="6" s="1"/>
  <c r="AJ20" i="6" s="1"/>
  <c r="AJ15" i="6"/>
  <c r="AJ31" i="6"/>
  <c r="AJ7" i="6"/>
  <c r="AJ26" i="6"/>
  <c r="AJ6" i="6"/>
  <c r="AJ19" i="6"/>
  <c r="AJ5" i="6"/>
  <c r="AJ16" i="6"/>
  <c r="AJ10" i="6"/>
  <c r="AJ23" i="6"/>
  <c r="AJ28" i="6"/>
  <c r="AJ29" i="6"/>
  <c r="AJ8" i="6"/>
  <c r="AJ9" i="6"/>
  <c r="R32" i="9" l="1"/>
  <c r="O32" i="9"/>
  <c r="R31" i="9"/>
  <c r="O31" i="9"/>
  <c r="R30" i="9"/>
  <c r="O30" i="9"/>
  <c r="R29" i="9"/>
  <c r="O29" i="9"/>
  <c r="R28" i="9"/>
  <c r="O28" i="9"/>
  <c r="R27" i="9"/>
  <c r="O27" i="9"/>
  <c r="R26" i="9"/>
  <c r="O26" i="9"/>
  <c r="R25" i="9"/>
  <c r="O25" i="9"/>
  <c r="R24" i="9"/>
  <c r="O24" i="9"/>
  <c r="R23" i="9"/>
  <c r="O23" i="9"/>
  <c r="R22" i="9"/>
  <c r="O22" i="9"/>
  <c r="R21" i="9"/>
  <c r="O21" i="9"/>
  <c r="S34" i="10" l="1"/>
  <c r="T34" i="10" s="1"/>
  <c r="L34" i="10"/>
  <c r="J34" i="10"/>
  <c r="L33" i="10"/>
  <c r="J33" i="10" s="1"/>
  <c r="S33" i="10" s="1"/>
  <c r="T33" i="10" s="1"/>
  <c r="S32" i="10"/>
  <c r="T32" i="10" s="1"/>
  <c r="L32" i="10"/>
  <c r="J32" i="10"/>
  <c r="L31" i="10"/>
  <c r="J31" i="10" s="1"/>
  <c r="S31" i="10" s="1"/>
  <c r="T31" i="10" s="1"/>
  <c r="S30" i="10"/>
  <c r="T30" i="10" s="1"/>
  <c r="L30" i="10"/>
  <c r="J30" i="10"/>
  <c r="L29" i="10"/>
  <c r="J29" i="10" s="1"/>
  <c r="S29" i="10" s="1"/>
  <c r="T29" i="10" s="1"/>
  <c r="S28" i="10"/>
  <c r="T28" i="10" s="1"/>
  <c r="L28" i="10"/>
  <c r="J28" i="10"/>
  <c r="L27" i="10"/>
  <c r="J27" i="10" s="1"/>
  <c r="S27" i="10" s="1"/>
  <c r="T27" i="10" s="1"/>
  <c r="X26" i="10"/>
  <c r="W26" i="10"/>
  <c r="R26" i="10"/>
  <c r="O26" i="10"/>
  <c r="W25" i="10"/>
  <c r="X25" i="10" s="1"/>
  <c r="R25" i="10"/>
  <c r="L25" i="10" s="1"/>
  <c r="J25" i="10" s="1"/>
  <c r="O25" i="10"/>
  <c r="W24" i="10"/>
  <c r="X24" i="10" s="1"/>
  <c r="Y24" i="10" s="1"/>
  <c r="R24" i="10"/>
  <c r="O24" i="10"/>
  <c r="L24" i="10"/>
  <c r="J24" i="10" s="1"/>
  <c r="S24" i="10" s="1"/>
  <c r="T24" i="10" s="1"/>
  <c r="W23" i="10"/>
  <c r="X23" i="10" s="1"/>
  <c r="Y23" i="10" s="1"/>
  <c r="R23" i="10"/>
  <c r="O23" i="10"/>
  <c r="L23" i="10" s="1"/>
  <c r="J23" i="10" s="1"/>
  <c r="S23" i="10" s="1"/>
  <c r="T23" i="10" s="1"/>
  <c r="W22" i="10"/>
  <c r="X22" i="10" s="1"/>
  <c r="R22" i="10"/>
  <c r="O22" i="10"/>
  <c r="X21" i="10"/>
  <c r="W21" i="10"/>
  <c r="S21" i="10"/>
  <c r="T21" i="10" s="1"/>
  <c r="R21" i="10"/>
  <c r="O21" i="10"/>
  <c r="L21" i="10"/>
  <c r="J21" i="10"/>
  <c r="X20" i="10"/>
  <c r="W20" i="10"/>
  <c r="R20" i="10"/>
  <c r="S20" i="10" s="1"/>
  <c r="T20" i="10" s="1"/>
  <c r="Y20" i="10" s="1"/>
  <c r="O20" i="10"/>
  <c r="L20" i="10"/>
  <c r="J20" i="10"/>
  <c r="W19" i="10"/>
  <c r="X19" i="10" s="1"/>
  <c r="Y19" i="10" s="1"/>
  <c r="R19" i="10"/>
  <c r="S19" i="10" s="1"/>
  <c r="T19" i="10" s="1"/>
  <c r="O19" i="10"/>
  <c r="L19" i="10"/>
  <c r="J19" i="10" s="1"/>
  <c r="L18" i="10"/>
  <c r="J18" i="10" s="1"/>
  <c r="S18" i="10" s="1"/>
  <c r="T18" i="10" s="1"/>
  <c r="Y18" i="10" s="1"/>
  <c r="L17" i="10"/>
  <c r="J17" i="10"/>
  <c r="S17" i="10" s="1"/>
  <c r="T17" i="10" s="1"/>
  <c r="Y17" i="10" s="1"/>
  <c r="L16" i="10"/>
  <c r="J16" i="10"/>
  <c r="S16" i="10" s="1"/>
  <c r="T16" i="10" s="1"/>
  <c r="Y16" i="10" s="1"/>
  <c r="S15" i="10"/>
  <c r="T15" i="10" s="1"/>
  <c r="Y15" i="10" s="1"/>
  <c r="L15" i="10"/>
  <c r="J15" i="10"/>
  <c r="L14" i="10"/>
  <c r="J14" i="10" s="1"/>
  <c r="S14" i="10" s="1"/>
  <c r="T14" i="10" s="1"/>
  <c r="Y14" i="10" s="1"/>
  <c r="L13" i="10"/>
  <c r="J13" i="10"/>
  <c r="S13" i="10" s="1"/>
  <c r="T13" i="10" s="1"/>
  <c r="Y13" i="10" s="1"/>
  <c r="L12" i="10"/>
  <c r="J12" i="10" s="1"/>
  <c r="S12" i="10" s="1"/>
  <c r="T12" i="10" s="1"/>
  <c r="Y12" i="10" s="1"/>
  <c r="L11" i="10"/>
  <c r="J11" i="10" s="1"/>
  <c r="S11" i="10" s="1"/>
  <c r="T11" i="10" s="1"/>
  <c r="Y11" i="10" s="1"/>
  <c r="L10" i="10"/>
  <c r="J10" i="10" s="1"/>
  <c r="S10" i="10" s="1"/>
  <c r="T10" i="10" s="1"/>
  <c r="Y10" i="10" s="1"/>
  <c r="L9" i="10"/>
  <c r="J9" i="10"/>
  <c r="S9" i="10" s="1"/>
  <c r="T9" i="10" s="1"/>
  <c r="Y9" i="10" s="1"/>
  <c r="L8" i="10"/>
  <c r="J8" i="10"/>
  <c r="S8" i="10" s="1"/>
  <c r="T8" i="10" s="1"/>
  <c r="Y8" i="10" s="1"/>
  <c r="S7" i="10"/>
  <c r="T7" i="10" s="1"/>
  <c r="Y7" i="10" s="1"/>
  <c r="L7" i="10"/>
  <c r="J7" i="10"/>
  <c r="L6" i="10"/>
  <c r="J6" i="10" s="1"/>
  <c r="S6" i="10" s="1"/>
  <c r="T6" i="10" s="1"/>
  <c r="Y6" i="10" s="1"/>
  <c r="L5" i="10"/>
  <c r="J5" i="10"/>
  <c r="S5" i="10" s="1"/>
  <c r="T5" i="10" s="1"/>
  <c r="Y5" i="10" s="1"/>
  <c r="L4" i="10"/>
  <c r="J4" i="10" s="1"/>
  <c r="S4" i="10" s="1"/>
  <c r="T4" i="10" s="1"/>
  <c r="Y4" i="10" s="1"/>
  <c r="L3" i="10"/>
  <c r="J3" i="10" s="1"/>
  <c r="S3" i="10" s="1"/>
  <c r="T3" i="10" s="1"/>
  <c r="Y3" i="10" s="1"/>
  <c r="Y21" i="10" l="1"/>
  <c r="L26" i="10"/>
  <c r="J26" i="10" s="1"/>
  <c r="S26" i="10" s="1"/>
  <c r="T26" i="10" s="1"/>
  <c r="Y26" i="10" s="1"/>
  <c r="S25" i="10"/>
  <c r="T25" i="10" s="1"/>
  <c r="Y25" i="10" s="1"/>
  <c r="L22" i="10"/>
  <c r="J22" i="10" s="1"/>
  <c r="S22" i="10" s="1"/>
  <c r="T22" i="10" s="1"/>
  <c r="Y22" i="10" s="1"/>
  <c r="R38" i="5" l="1"/>
  <c r="W38" i="5" s="1"/>
  <c r="X38" i="5" s="1"/>
  <c r="O38" i="5"/>
  <c r="L38" i="5" s="1"/>
  <c r="J38" i="5" s="1"/>
  <c r="S38" i="5" s="1"/>
  <c r="T38" i="5" s="1"/>
  <c r="R37" i="5"/>
  <c r="L37" i="5" s="1"/>
  <c r="J37" i="5" s="1"/>
  <c r="O37" i="5"/>
  <c r="W36" i="5"/>
  <c r="X36" i="5" s="1"/>
  <c r="R36" i="5"/>
  <c r="L36" i="5" s="1"/>
  <c r="J36" i="5" s="1"/>
  <c r="S36" i="5" s="1"/>
  <c r="T36" i="5" s="1"/>
  <c r="O36" i="5"/>
  <c r="R35" i="5"/>
  <c r="L35" i="5" s="1"/>
  <c r="J35" i="5" s="1"/>
  <c r="O35" i="5"/>
  <c r="W34" i="5"/>
  <c r="X34" i="5" s="1"/>
  <c r="R34" i="5"/>
  <c r="L34" i="5" s="1"/>
  <c r="J34" i="5" s="1"/>
  <c r="S34" i="5" s="1"/>
  <c r="T34" i="5" s="1"/>
  <c r="O34" i="5"/>
  <c r="X33" i="5"/>
  <c r="Y33" i="5" s="1"/>
  <c r="W33" i="5"/>
  <c r="R33" i="5"/>
  <c r="O33" i="5"/>
  <c r="L33" i="5"/>
  <c r="J33" i="5" s="1"/>
  <c r="S33" i="5" s="1"/>
  <c r="T33" i="5" s="1"/>
  <c r="W32" i="5"/>
  <c r="X32" i="5" s="1"/>
  <c r="R32" i="5"/>
  <c r="O32" i="5"/>
  <c r="L32" i="5" s="1"/>
  <c r="J32" i="5" s="1"/>
  <c r="S32" i="5" s="1"/>
  <c r="T32" i="5" s="1"/>
  <c r="R31" i="5"/>
  <c r="W31" i="5" s="1"/>
  <c r="X31" i="5" s="1"/>
  <c r="O31" i="5"/>
  <c r="L31" i="5"/>
  <c r="J31" i="5" s="1"/>
  <c r="R30" i="5"/>
  <c r="W30" i="5" s="1"/>
  <c r="X30" i="5" s="1"/>
  <c r="O30" i="5"/>
  <c r="L30" i="5" s="1"/>
  <c r="J30" i="5" s="1"/>
  <c r="S30" i="5" s="1"/>
  <c r="T30" i="5" s="1"/>
  <c r="R29" i="5"/>
  <c r="L29" i="5" s="1"/>
  <c r="J29" i="5" s="1"/>
  <c r="O29" i="5"/>
  <c r="W28" i="5"/>
  <c r="X28" i="5" s="1"/>
  <c r="R28" i="5"/>
  <c r="L28" i="5" s="1"/>
  <c r="J28" i="5" s="1"/>
  <c r="S28" i="5" s="1"/>
  <c r="T28" i="5" s="1"/>
  <c r="O28" i="5"/>
  <c r="R27" i="5"/>
  <c r="L27" i="5" s="1"/>
  <c r="J27" i="5" s="1"/>
  <c r="O27" i="5"/>
  <c r="W26" i="5"/>
  <c r="X26" i="5" s="1"/>
  <c r="Y26" i="5" s="1"/>
  <c r="R26" i="5"/>
  <c r="L26" i="5" s="1"/>
  <c r="J26" i="5" s="1"/>
  <c r="S26" i="5" s="1"/>
  <c r="T26" i="5" s="1"/>
  <c r="O26" i="5"/>
  <c r="X25" i="5"/>
  <c r="W25" i="5"/>
  <c r="R25" i="5"/>
  <c r="O25" i="5"/>
  <c r="L25" i="5"/>
  <c r="J25" i="5" s="1"/>
  <c r="W24" i="5"/>
  <c r="X24" i="5" s="1"/>
  <c r="Y24" i="5" s="1"/>
  <c r="R24" i="5"/>
  <c r="S24" i="5" s="1"/>
  <c r="T24" i="5" s="1"/>
  <c r="O24" i="5"/>
  <c r="L24" i="5" s="1"/>
  <c r="J24" i="5" s="1"/>
  <c r="R23" i="5"/>
  <c r="X23" i="5" s="1"/>
  <c r="O23" i="5"/>
  <c r="L23" i="5"/>
  <c r="J23" i="5" s="1"/>
  <c r="R22" i="5"/>
  <c r="W22" i="5" s="1"/>
  <c r="O22" i="5"/>
  <c r="L22" i="5" s="1"/>
  <c r="J22" i="5" s="1"/>
  <c r="S22" i="5" s="1"/>
  <c r="T22" i="5" s="1"/>
  <c r="R21" i="5"/>
  <c r="L21" i="5" s="1"/>
  <c r="J21" i="5" s="1"/>
  <c r="O21" i="5"/>
  <c r="W20" i="5"/>
  <c r="X20" i="5" s="1"/>
  <c r="R20" i="5"/>
  <c r="L20" i="5" s="1"/>
  <c r="J20" i="5" s="1"/>
  <c r="S20" i="5" s="1"/>
  <c r="T20" i="5" s="1"/>
  <c r="O20" i="5"/>
  <c r="R19" i="5"/>
  <c r="L19" i="5" s="1"/>
  <c r="J19" i="5" s="1"/>
  <c r="O19" i="5"/>
  <c r="W18" i="5"/>
  <c r="X18" i="5" s="1"/>
  <c r="R18" i="5"/>
  <c r="L18" i="5" s="1"/>
  <c r="J18" i="5" s="1"/>
  <c r="S18" i="5" s="1"/>
  <c r="T18" i="5" s="1"/>
  <c r="O18" i="5"/>
  <c r="X17" i="5"/>
  <c r="W17" i="5"/>
  <c r="R17" i="5"/>
  <c r="S17" i="5" s="1"/>
  <c r="T17" i="5" s="1"/>
  <c r="O17" i="5"/>
  <c r="L17" i="5"/>
  <c r="J17" i="5" s="1"/>
  <c r="W16" i="5"/>
  <c r="X16" i="5" s="1"/>
  <c r="R16" i="5"/>
  <c r="O16" i="5"/>
  <c r="R15" i="5"/>
  <c r="W15" i="5" s="1"/>
  <c r="X15" i="5" s="1"/>
  <c r="O15" i="5"/>
  <c r="L15" i="5"/>
  <c r="J15" i="5" s="1"/>
  <c r="W14" i="5"/>
  <c r="X14" i="5" s="1"/>
  <c r="L14" i="5"/>
  <c r="J14" i="5"/>
  <c r="S14" i="5" s="1"/>
  <c r="T14" i="5" s="1"/>
  <c r="X13" i="5"/>
  <c r="Y13" i="5" s="1"/>
  <c r="W13" i="5"/>
  <c r="L13" i="5"/>
  <c r="J13" i="5" s="1"/>
  <c r="S13" i="5" s="1"/>
  <c r="T13" i="5" s="1"/>
  <c r="W12" i="5"/>
  <c r="X12" i="5" s="1"/>
  <c r="L12" i="5"/>
  <c r="J12" i="5"/>
  <c r="S12" i="5" s="1"/>
  <c r="T12" i="5" s="1"/>
  <c r="X11" i="5"/>
  <c r="W11" i="5"/>
  <c r="L11" i="5"/>
  <c r="J11" i="5" s="1"/>
  <c r="S11" i="5" s="1"/>
  <c r="T11" i="5" s="1"/>
  <c r="W10" i="5"/>
  <c r="X10" i="5" s="1"/>
  <c r="L10" i="5"/>
  <c r="J10" i="5" s="1"/>
  <c r="S10" i="5" s="1"/>
  <c r="T10" i="5" s="1"/>
  <c r="X9" i="5"/>
  <c r="W9" i="5"/>
  <c r="L9" i="5"/>
  <c r="J9" i="5" s="1"/>
  <c r="S9" i="5" s="1"/>
  <c r="T9" i="5" s="1"/>
  <c r="W8" i="5"/>
  <c r="X8" i="5" s="1"/>
  <c r="R8" i="5"/>
  <c r="L8" i="5" s="1"/>
  <c r="J8" i="5" s="1"/>
  <c r="S8" i="5" s="1"/>
  <c r="T8" i="5" s="1"/>
  <c r="O8" i="5"/>
  <c r="W7" i="5"/>
  <c r="R7" i="5"/>
  <c r="L7" i="5" s="1"/>
  <c r="J7" i="5" s="1"/>
  <c r="O7" i="5"/>
  <c r="W6" i="5"/>
  <c r="X6" i="5" s="1"/>
  <c r="R6" i="5"/>
  <c r="L6" i="5" s="1"/>
  <c r="J6" i="5" s="1"/>
  <c r="S6" i="5" s="1"/>
  <c r="T6" i="5" s="1"/>
  <c r="O6" i="5"/>
  <c r="X5" i="5"/>
  <c r="W5" i="5"/>
  <c r="R5" i="5"/>
  <c r="O5" i="5"/>
  <c r="L5" i="5"/>
  <c r="J5" i="5" s="1"/>
  <c r="W4" i="5"/>
  <c r="X4" i="5" s="1"/>
  <c r="R4" i="5"/>
  <c r="S4" i="5" s="1"/>
  <c r="T4" i="5" s="1"/>
  <c r="O4" i="5"/>
  <c r="L4" i="5" s="1"/>
  <c r="J4" i="5" s="1"/>
  <c r="X3" i="5"/>
  <c r="W3" i="5"/>
  <c r="R3" i="5"/>
  <c r="O3" i="5"/>
  <c r="L3" i="5"/>
  <c r="J3" i="5" s="1"/>
  <c r="Y8" i="5" l="1"/>
  <c r="Y11" i="5"/>
  <c r="Y22" i="5"/>
  <c r="Y14" i="5"/>
  <c r="S25" i="5"/>
  <c r="T25" i="5" s="1"/>
  <c r="Y25" i="5" s="1"/>
  <c r="Y31" i="5"/>
  <c r="Y36" i="5"/>
  <c r="Y30" i="5"/>
  <c r="Y6" i="5"/>
  <c r="Y9" i="5"/>
  <c r="Y12" i="5"/>
  <c r="Y23" i="5"/>
  <c r="Y28" i="5"/>
  <c r="Y18" i="5"/>
  <c r="Y17" i="5"/>
  <c r="Y20" i="5"/>
  <c r="Y4" i="5"/>
  <c r="S3" i="5"/>
  <c r="T3" i="5" s="1"/>
  <c r="Y3" i="5" s="1"/>
  <c r="S5" i="5"/>
  <c r="T5" i="5" s="1"/>
  <c r="Y5" i="5" s="1"/>
  <c r="Y10" i="5"/>
  <c r="Y32" i="5"/>
  <c r="Y34" i="5"/>
  <c r="Y38" i="5"/>
  <c r="S7" i="5"/>
  <c r="T7" i="5" s="1"/>
  <c r="S19" i="5"/>
  <c r="T19" i="5" s="1"/>
  <c r="S27" i="5"/>
  <c r="T27" i="5" s="1"/>
  <c r="S35" i="5"/>
  <c r="T35" i="5" s="1"/>
  <c r="L16" i="5"/>
  <c r="J16" i="5" s="1"/>
  <c r="S16" i="5" s="1"/>
  <c r="T16" i="5" s="1"/>
  <c r="Y16" i="5" s="1"/>
  <c r="W19" i="5"/>
  <c r="X19" i="5" s="1"/>
  <c r="S21" i="5"/>
  <c r="T21" i="5" s="1"/>
  <c r="W27" i="5"/>
  <c r="X27" i="5" s="1"/>
  <c r="S29" i="5"/>
  <c r="T29" i="5" s="1"/>
  <c r="W35" i="5"/>
  <c r="X35" i="5" s="1"/>
  <c r="Y35" i="5" s="1"/>
  <c r="S37" i="5"/>
  <c r="T37" i="5" s="1"/>
  <c r="S15" i="5"/>
  <c r="T15" i="5" s="1"/>
  <c r="Y15" i="5" s="1"/>
  <c r="W21" i="5"/>
  <c r="X21" i="5" s="1"/>
  <c r="S23" i="5"/>
  <c r="T23" i="5" s="1"/>
  <c r="W29" i="5"/>
  <c r="X29" i="5" s="1"/>
  <c r="S31" i="5"/>
  <c r="T31" i="5" s="1"/>
  <c r="W37" i="5"/>
  <c r="X37" i="5" s="1"/>
  <c r="X7" i="5"/>
  <c r="Y7" i="5" l="1"/>
  <c r="Y37" i="5"/>
  <c r="Y27" i="5"/>
  <c r="Y29" i="5"/>
  <c r="Y19" i="5"/>
  <c r="Y21" i="5"/>
  <c r="X26" i="11" l="1"/>
  <c r="Y26" i="11" s="1"/>
  <c r="W26" i="11"/>
  <c r="R26" i="11"/>
  <c r="L26" i="11" s="1"/>
  <c r="J26" i="11" s="1"/>
  <c r="S26" i="11" s="1"/>
  <c r="T26" i="11" s="1"/>
  <c r="O26" i="11"/>
  <c r="W25" i="11"/>
  <c r="X25" i="11" s="1"/>
  <c r="R25" i="11"/>
  <c r="O25" i="11"/>
  <c r="W24" i="11"/>
  <c r="X24" i="11" s="1"/>
  <c r="Y24" i="11" s="1"/>
  <c r="R24" i="11"/>
  <c r="O24" i="11"/>
  <c r="L24" i="11"/>
  <c r="J24" i="11" s="1"/>
  <c r="S24" i="11" s="1"/>
  <c r="T24" i="11" s="1"/>
  <c r="X23" i="11"/>
  <c r="W23" i="11"/>
  <c r="R23" i="11"/>
  <c r="L23" i="11" s="1"/>
  <c r="J23" i="11" s="1"/>
  <c r="O23" i="11"/>
  <c r="W22" i="11"/>
  <c r="X22" i="11" s="1"/>
  <c r="R22" i="11"/>
  <c r="L22" i="11" s="1"/>
  <c r="J22" i="11" s="1"/>
  <c r="O22" i="11"/>
  <c r="X21" i="11"/>
  <c r="W21" i="11"/>
  <c r="R21" i="11"/>
  <c r="O21" i="11"/>
  <c r="L21" i="11"/>
  <c r="J21" i="11" s="1"/>
  <c r="S21" i="11" s="1"/>
  <c r="T21" i="11" s="1"/>
  <c r="W20" i="11"/>
  <c r="X20" i="11" s="1"/>
  <c r="R20" i="11"/>
  <c r="O20" i="11"/>
  <c r="W19" i="11"/>
  <c r="X19" i="11" s="1"/>
  <c r="R19" i="11"/>
  <c r="O19" i="11"/>
  <c r="X18" i="11"/>
  <c r="W18" i="11"/>
  <c r="R18" i="11"/>
  <c r="L18" i="11" s="1"/>
  <c r="J18" i="11" s="1"/>
  <c r="S18" i="11" s="1"/>
  <c r="T18" i="11" s="1"/>
  <c r="O18" i="11"/>
  <c r="W17" i="11"/>
  <c r="X17" i="11" s="1"/>
  <c r="R17" i="11"/>
  <c r="O17" i="11"/>
  <c r="W16" i="11"/>
  <c r="X16" i="11" s="1"/>
  <c r="R16" i="11"/>
  <c r="O16" i="11"/>
  <c r="L16" i="11"/>
  <c r="J16" i="11" s="1"/>
  <c r="S16" i="11" s="1"/>
  <c r="T16" i="11" s="1"/>
  <c r="X15" i="11"/>
  <c r="W15" i="11"/>
  <c r="R15" i="11"/>
  <c r="L15" i="11" s="1"/>
  <c r="J15" i="11" s="1"/>
  <c r="O15" i="11"/>
  <c r="W14" i="11"/>
  <c r="X14" i="11" s="1"/>
  <c r="R14" i="11"/>
  <c r="L14" i="11" s="1"/>
  <c r="J14" i="11" s="1"/>
  <c r="O14" i="11"/>
  <c r="X13" i="11"/>
  <c r="Y13" i="11" s="1"/>
  <c r="W13" i="11"/>
  <c r="R13" i="11"/>
  <c r="O13" i="11"/>
  <c r="L13" i="11"/>
  <c r="J13" i="11" s="1"/>
  <c r="S13" i="11" s="1"/>
  <c r="T13" i="11" s="1"/>
  <c r="W12" i="11"/>
  <c r="X12" i="11" s="1"/>
  <c r="R12" i="11"/>
  <c r="O12" i="11"/>
  <c r="W11" i="11"/>
  <c r="X11" i="11" s="1"/>
  <c r="R11" i="11"/>
  <c r="O11" i="11"/>
  <c r="X10" i="11"/>
  <c r="W10" i="11"/>
  <c r="R10" i="11"/>
  <c r="L10" i="11" s="1"/>
  <c r="J10" i="11" s="1"/>
  <c r="S10" i="11" s="1"/>
  <c r="T10" i="11" s="1"/>
  <c r="Y10" i="11" s="1"/>
  <c r="O10" i="11"/>
  <c r="W9" i="11"/>
  <c r="X9" i="11" s="1"/>
  <c r="R9" i="11"/>
  <c r="O9" i="11"/>
  <c r="W8" i="11"/>
  <c r="R8" i="11"/>
  <c r="O8" i="11"/>
  <c r="L8" i="11"/>
  <c r="J8" i="11" s="1"/>
  <c r="S8" i="11" s="1"/>
  <c r="T8" i="11" s="1"/>
  <c r="X7" i="11"/>
  <c r="W7" i="11"/>
  <c r="R7" i="11"/>
  <c r="L7" i="11" s="1"/>
  <c r="J7" i="11" s="1"/>
  <c r="O7" i="11"/>
  <c r="W6" i="11"/>
  <c r="X6" i="11" s="1"/>
  <c r="R6" i="11"/>
  <c r="L6" i="11" s="1"/>
  <c r="J6" i="11" s="1"/>
  <c r="O6" i="11"/>
  <c r="X5" i="11"/>
  <c r="W5" i="11"/>
  <c r="R5" i="11"/>
  <c r="O5" i="11"/>
  <c r="L5" i="11"/>
  <c r="J5" i="11" s="1"/>
  <c r="S5" i="11" s="1"/>
  <c r="T5" i="11" s="1"/>
  <c r="Y5" i="11" s="1"/>
  <c r="W4" i="11"/>
  <c r="X4" i="11" s="1"/>
  <c r="R4" i="11"/>
  <c r="O4" i="11"/>
  <c r="W3" i="11"/>
  <c r="R3" i="11"/>
  <c r="O3" i="11"/>
  <c r="Y22" i="11" l="1"/>
  <c r="Y15" i="11"/>
  <c r="S12" i="11"/>
  <c r="T12" i="11" s="1"/>
  <c r="Y18" i="11"/>
  <c r="Y12" i="11"/>
  <c r="Y16" i="11"/>
  <c r="S19" i="11"/>
  <c r="T19" i="11" s="1"/>
  <c r="S17" i="11"/>
  <c r="T17" i="11" s="1"/>
  <c r="Y17" i="11" s="1"/>
  <c r="Y19" i="11"/>
  <c r="Y21" i="11"/>
  <c r="S20" i="11"/>
  <c r="T20" i="11" s="1"/>
  <c r="Y20" i="11" s="1"/>
  <c r="Y8" i="11"/>
  <c r="X3" i="11"/>
  <c r="S6" i="11"/>
  <c r="T6" i="11" s="1"/>
  <c r="Y6" i="11" s="1"/>
  <c r="L9" i="11"/>
  <c r="J9" i="11" s="1"/>
  <c r="S9" i="11" s="1"/>
  <c r="T9" i="11" s="1"/>
  <c r="Y9" i="11" s="1"/>
  <c r="S14" i="11"/>
  <c r="T14" i="11" s="1"/>
  <c r="Y14" i="11" s="1"/>
  <c r="L17" i="11"/>
  <c r="J17" i="11" s="1"/>
  <c r="S22" i="11"/>
  <c r="T22" i="11" s="1"/>
  <c r="L25" i="11"/>
  <c r="J25" i="11" s="1"/>
  <c r="S25" i="11" s="1"/>
  <c r="T25" i="11" s="1"/>
  <c r="Y25" i="11" s="1"/>
  <c r="S7" i="11"/>
  <c r="T7" i="11" s="1"/>
  <c r="Y7" i="11" s="1"/>
  <c r="S15" i="11"/>
  <c r="T15" i="11" s="1"/>
  <c r="S23" i="11"/>
  <c r="T23" i="11" s="1"/>
  <c r="Y23" i="11" s="1"/>
  <c r="L3" i="11"/>
  <c r="J3" i="11" s="1"/>
  <c r="S3" i="11" s="1"/>
  <c r="T3" i="11" s="1"/>
  <c r="Y3" i="11" s="1"/>
  <c r="L11" i="11"/>
  <c r="J11" i="11" s="1"/>
  <c r="S11" i="11" s="1"/>
  <c r="T11" i="11" s="1"/>
  <c r="Y11" i="11" s="1"/>
  <c r="L19" i="11"/>
  <c r="J19" i="11" s="1"/>
  <c r="L4" i="11"/>
  <c r="J4" i="11" s="1"/>
  <c r="S4" i="11" s="1"/>
  <c r="T4" i="11" s="1"/>
  <c r="Y4" i="11" s="1"/>
  <c r="L12" i="11"/>
  <c r="J12" i="11" s="1"/>
  <c r="L20" i="11"/>
  <c r="J20" i="11" s="1"/>
  <c r="X8" i="11"/>
  <c r="W14" i="2" l="1"/>
  <c r="X14" i="2" s="1"/>
  <c r="R14" i="2"/>
  <c r="L14" i="2" s="1"/>
  <c r="J14" i="2" s="1"/>
  <c r="O14" i="2"/>
  <c r="W13" i="2"/>
  <c r="X13" i="2" s="1"/>
  <c r="Y13" i="2" s="1"/>
  <c r="S13" i="2"/>
  <c r="R13" i="2"/>
  <c r="O13" i="2"/>
  <c r="L13" i="2"/>
  <c r="J13" i="2"/>
  <c r="W12" i="2"/>
  <c r="X12" i="2" s="1"/>
  <c r="Y12" i="2" s="1"/>
  <c r="R12" i="2"/>
  <c r="S12" i="2" s="1"/>
  <c r="O12" i="2"/>
  <c r="L12" i="2"/>
  <c r="J12" i="2"/>
  <c r="W11" i="2"/>
  <c r="X11" i="2" s="1"/>
  <c r="R11" i="2"/>
  <c r="S11" i="2" s="1"/>
  <c r="O11" i="2"/>
  <c r="L11" i="2"/>
  <c r="J11" i="2"/>
  <c r="X10" i="2"/>
  <c r="Y10" i="2" s="1"/>
  <c r="W10" i="2"/>
  <c r="R10" i="2"/>
  <c r="S10" i="2" s="1"/>
  <c r="O10" i="2"/>
  <c r="L10" i="2"/>
  <c r="J10" i="2"/>
  <c r="W9" i="2"/>
  <c r="X9" i="2" s="1"/>
  <c r="Y9" i="2" s="1"/>
  <c r="R9" i="2"/>
  <c r="S9" i="2" s="1"/>
  <c r="O9" i="2"/>
  <c r="L9" i="2"/>
  <c r="J9" i="2"/>
  <c r="W8" i="2"/>
  <c r="X8" i="2" s="1"/>
  <c r="R8" i="2"/>
  <c r="O8" i="2"/>
  <c r="L8" i="2"/>
  <c r="J8" i="2" s="1"/>
  <c r="R7" i="2"/>
  <c r="L7" i="2" s="1"/>
  <c r="J7" i="2" s="1"/>
  <c r="O7" i="2"/>
  <c r="W6" i="2"/>
  <c r="X6" i="2" s="1"/>
  <c r="R6" i="2"/>
  <c r="S6" i="2" s="1"/>
  <c r="L6" i="2"/>
  <c r="J6" i="2"/>
  <c r="W5" i="2"/>
  <c r="X5" i="2" s="1"/>
  <c r="Y5" i="2" s="1"/>
  <c r="R5" i="2"/>
  <c r="S5" i="2" s="1"/>
  <c r="L5" i="2"/>
  <c r="J5" i="2"/>
  <c r="W4" i="2"/>
  <c r="X4" i="2" s="1"/>
  <c r="R4" i="2"/>
  <c r="S4" i="2" s="1"/>
  <c r="L4" i="2"/>
  <c r="J4" i="2"/>
  <c r="R3" i="2"/>
  <c r="S3" i="2" s="1"/>
  <c r="L3" i="2"/>
  <c r="J3" i="2"/>
  <c r="S8" i="2" l="1"/>
  <c r="Y8" i="2" s="1"/>
  <c r="K20" i="2" s="1"/>
  <c r="Y11" i="2"/>
  <c r="Y4" i="2"/>
  <c r="Y6" i="2"/>
  <c r="S14" i="2"/>
  <c r="Y14" i="2" s="1"/>
  <c r="S7" i="2"/>
  <c r="L20" i="2" l="1"/>
  <c r="R22" i="17"/>
  <c r="O22" i="17"/>
  <c r="R21" i="17"/>
  <c r="O21" i="17"/>
  <c r="X20" i="17"/>
  <c r="O20" i="17"/>
  <c r="L20" i="17" s="1"/>
  <c r="J20" i="17" s="1"/>
  <c r="R19" i="17"/>
  <c r="L19" i="17" s="1"/>
  <c r="J19" i="17" s="1"/>
  <c r="O19" i="17"/>
  <c r="R18" i="17"/>
  <c r="O18" i="17"/>
  <c r="L18" i="17" s="1"/>
  <c r="R17" i="17"/>
  <c r="O17" i="17"/>
  <c r="R16" i="17"/>
  <c r="O16" i="17"/>
  <c r="O15" i="17"/>
  <c r="L15" i="17"/>
  <c r="J15" i="17" s="1"/>
  <c r="W14" i="17"/>
  <c r="R14" i="17"/>
  <c r="S14" i="17" s="1"/>
  <c r="T14" i="17" s="1"/>
  <c r="Y14" i="17" s="1"/>
  <c r="O14" i="17"/>
  <c r="W13" i="17"/>
  <c r="R13" i="17"/>
  <c r="S13" i="17" s="1"/>
  <c r="T13" i="17" s="1"/>
  <c r="Y13" i="17" s="1"/>
  <c r="O13" i="17"/>
  <c r="L13" i="17" s="1"/>
  <c r="J13" i="17" s="1"/>
  <c r="W12" i="17"/>
  <c r="R12" i="17"/>
  <c r="S12" i="17" s="1"/>
  <c r="T12" i="17" s="1"/>
  <c r="Y12" i="17" s="1"/>
  <c r="O12" i="17"/>
  <c r="W11" i="17"/>
  <c r="R11" i="17"/>
  <c r="S11" i="17" s="1"/>
  <c r="T11" i="17" s="1"/>
  <c r="Y11" i="17" s="1"/>
  <c r="O11" i="17"/>
  <c r="W10" i="17"/>
  <c r="R10" i="17"/>
  <c r="S10" i="17" s="1"/>
  <c r="T10" i="17" s="1"/>
  <c r="Y10" i="17" s="1"/>
  <c r="O10" i="17"/>
  <c r="W9" i="17"/>
  <c r="R9" i="17"/>
  <c r="S9" i="17" s="1"/>
  <c r="T9" i="17" s="1"/>
  <c r="Y9" i="17" s="1"/>
  <c r="O9" i="17"/>
  <c r="W8" i="17"/>
  <c r="R8" i="17"/>
  <c r="S8" i="17" s="1"/>
  <c r="T8" i="17" s="1"/>
  <c r="Y8" i="17" s="1"/>
  <c r="O8" i="17"/>
  <c r="W7" i="17"/>
  <c r="R7" i="17"/>
  <c r="S7" i="17" s="1"/>
  <c r="T7" i="17" s="1"/>
  <c r="Y7" i="17" s="1"/>
  <c r="O7" i="17"/>
  <c r="W6" i="17"/>
  <c r="R6" i="17"/>
  <c r="S6" i="17" s="1"/>
  <c r="T6" i="17" s="1"/>
  <c r="Y6" i="17" s="1"/>
  <c r="O6" i="17"/>
  <c r="L6" i="17"/>
  <c r="J6" i="17" s="1"/>
  <c r="W5" i="17"/>
  <c r="R5" i="17"/>
  <c r="S5" i="17" s="1"/>
  <c r="T5" i="17" s="1"/>
  <c r="Y5" i="17" s="1"/>
  <c r="O5" i="17"/>
  <c r="W4" i="17"/>
  <c r="R4" i="17"/>
  <c r="S4" i="17" s="1"/>
  <c r="T4" i="17" s="1"/>
  <c r="Y4" i="17" s="1"/>
  <c r="O4" i="17"/>
  <c r="W3" i="17"/>
  <c r="R3" i="17"/>
  <c r="S3" i="17" s="1"/>
  <c r="T3" i="17" s="1"/>
  <c r="Y3" i="17" s="1"/>
  <c r="O3" i="17"/>
  <c r="L11" i="17" l="1"/>
  <c r="J11" i="17" s="1"/>
  <c r="L4" i="17"/>
  <c r="J4" i="17" s="1"/>
  <c r="L9" i="17"/>
  <c r="J9" i="17" s="1"/>
  <c r="L3" i="17"/>
  <c r="J3" i="17" s="1"/>
  <c r="L8" i="17"/>
  <c r="J8" i="17" s="1"/>
  <c r="L5" i="17"/>
  <c r="J5" i="17" s="1"/>
  <c r="L10" i="17"/>
  <c r="J10" i="17" s="1"/>
  <c r="L7" i="17"/>
  <c r="J7" i="17" s="1"/>
  <c r="L12" i="17"/>
  <c r="J12" i="17" s="1"/>
  <c r="L17" i="17"/>
  <c r="J17" i="17" s="1"/>
  <c r="L16" i="17"/>
  <c r="J16" i="17" s="1"/>
  <c r="T18" i="17"/>
  <c r="L14" i="17"/>
  <c r="J14" i="17" s="1"/>
  <c r="T16" i="17"/>
  <c r="T22" i="17"/>
  <c r="Y22" i="17" s="1"/>
  <c r="T17" i="17"/>
  <c r="X17" i="17"/>
  <c r="X21" i="17"/>
  <c r="L22" i="17"/>
  <c r="J22" i="17" s="1"/>
  <c r="X19" i="17"/>
  <c r="X16" i="17"/>
  <c r="X18" i="17"/>
  <c r="L21" i="17"/>
  <c r="J21" i="17" s="1"/>
  <c r="X22" i="17"/>
  <c r="T20" i="17"/>
  <c r="Y20" i="17" s="1"/>
  <c r="Y16" i="17" l="1"/>
  <c r="Y18" i="17"/>
  <c r="T21" i="17"/>
  <c r="Y21" i="17" s="1"/>
  <c r="Y17" i="17"/>
  <c r="T19" i="17"/>
  <c r="Y19" i="17" s="1"/>
  <c r="Y34" i="15"/>
  <c r="T34" i="15"/>
  <c r="L34" i="15"/>
  <c r="O34" i="15"/>
  <c r="T33" i="15"/>
  <c r="Y33" i="15" s="1"/>
  <c r="O33" i="15"/>
  <c r="L33" i="15" s="1"/>
  <c r="Y32" i="15"/>
  <c r="O32" i="15"/>
  <c r="L32" i="15"/>
  <c r="T31" i="15"/>
  <c r="Y31" i="15" s="1"/>
  <c r="L31" i="15"/>
  <c r="O31" i="15"/>
  <c r="T30" i="15"/>
  <c r="Y30" i="15" s="1"/>
  <c r="O30" i="15"/>
  <c r="L30" i="15"/>
  <c r="T29" i="15"/>
  <c r="Y29" i="15" s="1"/>
  <c r="L29" i="15"/>
  <c r="O29" i="15"/>
  <c r="Y28" i="15"/>
  <c r="T28" i="15"/>
  <c r="O28" i="15"/>
  <c r="L28" i="15"/>
  <c r="T27" i="15"/>
  <c r="Y27" i="15" s="1"/>
  <c r="O39" i="15" s="1"/>
  <c r="L27" i="15"/>
  <c r="O27" i="15"/>
  <c r="Y26" i="15"/>
  <c r="T26" i="15"/>
  <c r="L26" i="15"/>
  <c r="O26" i="15"/>
  <c r="Y25" i="15"/>
  <c r="O25" i="15"/>
  <c r="L25" i="15" s="1"/>
  <c r="Y24" i="15"/>
  <c r="O24" i="15"/>
  <c r="L24" i="15"/>
  <c r="T23" i="15"/>
  <c r="Y23" i="15" s="1"/>
  <c r="L23" i="15"/>
  <c r="O23" i="15"/>
  <c r="T22" i="15"/>
  <c r="Y22" i="15" s="1"/>
  <c r="O22" i="15"/>
  <c r="L22" i="15"/>
  <c r="T21" i="15"/>
  <c r="Y21" i="15" s="1"/>
  <c r="L21" i="15"/>
  <c r="O21" i="15"/>
  <c r="Y20" i="15"/>
  <c r="T20" i="15"/>
  <c r="O20" i="15"/>
  <c r="O19" i="15"/>
  <c r="Y18" i="15"/>
  <c r="T18" i="15"/>
  <c r="R18" i="15"/>
  <c r="L18" i="15" s="1"/>
  <c r="O18" i="15"/>
  <c r="T17" i="15"/>
  <c r="Y17" i="15" s="1"/>
  <c r="R17" i="15"/>
  <c r="O17" i="15"/>
  <c r="L17" i="15" s="1"/>
  <c r="Y16" i="15"/>
  <c r="T16" i="15"/>
  <c r="R16" i="15"/>
  <c r="O16" i="15"/>
  <c r="L16" i="15"/>
  <c r="T15" i="15"/>
  <c r="Y15" i="15" s="1"/>
  <c r="R15" i="15"/>
  <c r="L15" i="15" s="1"/>
  <c r="O15" i="15"/>
  <c r="T14" i="15"/>
  <c r="Y14" i="15" s="1"/>
  <c r="R14" i="15"/>
  <c r="O14" i="15"/>
  <c r="L14" i="15"/>
  <c r="T13" i="15"/>
  <c r="Y13" i="15" s="1"/>
  <c r="R13" i="15"/>
  <c r="L13" i="15" s="1"/>
  <c r="O13" i="15"/>
  <c r="Y12" i="15"/>
  <c r="T12" i="15"/>
  <c r="R12" i="15"/>
  <c r="O12" i="15"/>
  <c r="L12" i="15"/>
  <c r="Y11" i="15"/>
  <c r="T11" i="15"/>
  <c r="R11" i="15"/>
  <c r="L11" i="15" s="1"/>
  <c r="O11" i="15"/>
  <c r="Y10" i="15"/>
  <c r="T10" i="15"/>
  <c r="R10" i="15"/>
  <c r="L10" i="15" s="1"/>
  <c r="O10" i="15"/>
  <c r="T9" i="15"/>
  <c r="Y9" i="15" s="1"/>
  <c r="R9" i="15"/>
  <c r="O9" i="15"/>
  <c r="L9" i="15" s="1"/>
  <c r="Y8" i="15"/>
  <c r="T8" i="15"/>
  <c r="R8" i="15"/>
  <c r="O8" i="15"/>
  <c r="L8" i="15"/>
  <c r="T7" i="15"/>
  <c r="Y7" i="15" s="1"/>
  <c r="R7" i="15"/>
  <c r="L7" i="15" s="1"/>
  <c r="O7" i="15"/>
  <c r="T6" i="15"/>
  <c r="Y6" i="15" s="1"/>
  <c r="R6" i="15"/>
  <c r="O6" i="15"/>
  <c r="L6" i="15"/>
  <c r="T5" i="15"/>
  <c r="Y5" i="15" s="1"/>
  <c r="R5" i="15"/>
  <c r="L5" i="15" s="1"/>
  <c r="O5" i="15"/>
  <c r="Y4" i="15"/>
  <c r="T4" i="15"/>
  <c r="R4" i="15"/>
  <c r="O4" i="15"/>
  <c r="L4" i="15"/>
  <c r="Y3" i="15"/>
  <c r="T3" i="15"/>
  <c r="R3" i="15"/>
  <c r="L3" i="15" s="1"/>
  <c r="O3" i="15"/>
  <c r="P29" i="17" l="1"/>
  <c r="O29" i="17"/>
  <c r="Y40" i="14"/>
  <c r="T40" i="14"/>
  <c r="O40" i="14"/>
  <c r="L40" i="14" s="1"/>
  <c r="J40" i="14" s="1"/>
  <c r="T39" i="14"/>
  <c r="Y39" i="14" s="1"/>
  <c r="O39" i="14"/>
  <c r="L39" i="14"/>
  <c r="J39" i="14" s="1"/>
  <c r="Y38" i="14"/>
  <c r="T38" i="14"/>
  <c r="O38" i="14"/>
  <c r="L38" i="14"/>
  <c r="J38" i="14"/>
  <c r="T37" i="14"/>
  <c r="Y37" i="14" s="1"/>
  <c r="O37" i="14"/>
  <c r="L37" i="14"/>
  <c r="J37" i="14" s="1"/>
  <c r="T36" i="14"/>
  <c r="Y36" i="14" s="1"/>
  <c r="O36" i="14"/>
  <c r="L36" i="14" s="1"/>
  <c r="J36" i="14" s="1"/>
  <c r="T35" i="14"/>
  <c r="Y35" i="14" s="1"/>
  <c r="O35" i="14"/>
  <c r="L35" i="14" s="1"/>
  <c r="J35" i="14" s="1"/>
  <c r="T34" i="14"/>
  <c r="Y34" i="14" s="1"/>
  <c r="O46" i="14" s="1"/>
  <c r="O34" i="14"/>
  <c r="L34" i="14" s="1"/>
  <c r="J34" i="14" s="1"/>
  <c r="Y33" i="14"/>
  <c r="T33" i="14"/>
  <c r="O33" i="14"/>
  <c r="L33" i="14"/>
  <c r="J33" i="14" s="1"/>
  <c r="Y32" i="14"/>
  <c r="T32" i="14"/>
  <c r="O32" i="14"/>
  <c r="L32" i="14" s="1"/>
  <c r="J32" i="14" s="1"/>
  <c r="T31" i="14"/>
  <c r="Y31" i="14" s="1"/>
  <c r="O31" i="14"/>
  <c r="L31" i="14"/>
  <c r="J31" i="14" s="1"/>
  <c r="Y30" i="14"/>
  <c r="T30" i="14"/>
  <c r="O30" i="14"/>
  <c r="L30" i="14"/>
  <c r="J30" i="14"/>
  <c r="T29" i="14"/>
  <c r="Y29" i="14" s="1"/>
  <c r="O29" i="14"/>
  <c r="L29" i="14"/>
  <c r="J29" i="14" s="1"/>
  <c r="T28" i="14"/>
  <c r="Y28" i="14" s="1"/>
  <c r="O28" i="14"/>
  <c r="L28" i="14" s="1"/>
  <c r="J28" i="14" s="1"/>
  <c r="T27" i="14"/>
  <c r="Y27" i="14" s="1"/>
  <c r="O27" i="14"/>
  <c r="L27" i="14" s="1"/>
  <c r="J27" i="14" s="1"/>
  <c r="Y26" i="14"/>
  <c r="T26" i="14"/>
  <c r="O26" i="14"/>
  <c r="L26" i="14" s="1"/>
  <c r="J26" i="14" s="1"/>
  <c r="T25" i="14"/>
  <c r="O25" i="14"/>
  <c r="L25" i="14"/>
  <c r="J25" i="14"/>
  <c r="T24" i="14"/>
  <c r="Y24" i="14" s="1"/>
  <c r="O24" i="14"/>
  <c r="L24" i="14"/>
  <c r="J24" i="14" s="1"/>
  <c r="T23" i="14"/>
  <c r="O23" i="14"/>
  <c r="L23" i="14" s="1"/>
  <c r="J23" i="14" s="1"/>
  <c r="T22" i="14"/>
  <c r="Y22" i="14" s="1"/>
  <c r="O22" i="14"/>
  <c r="L22" i="14" s="1"/>
  <c r="J22" i="14" s="1"/>
  <c r="Y21" i="14"/>
  <c r="T21" i="14"/>
  <c r="O21" i="14"/>
  <c r="L21" i="14" s="1"/>
  <c r="J21" i="14" s="1"/>
  <c r="Y20" i="14"/>
  <c r="T20" i="14"/>
  <c r="O20" i="14"/>
  <c r="L20" i="14"/>
  <c r="J20" i="14" s="1"/>
  <c r="Y19" i="14"/>
  <c r="T19" i="14"/>
  <c r="O19" i="14"/>
  <c r="L19" i="14" s="1"/>
  <c r="J19" i="14" s="1"/>
  <c r="T18" i="14"/>
  <c r="Y18" i="14" s="1"/>
  <c r="O18" i="14"/>
  <c r="L18" i="14"/>
  <c r="J18" i="14" s="1"/>
  <c r="Y17" i="14"/>
  <c r="T17" i="14"/>
  <c r="O17" i="14"/>
  <c r="L17" i="14"/>
  <c r="J17" i="14"/>
  <c r="T16" i="14"/>
  <c r="Y16" i="14" s="1"/>
  <c r="O16" i="14"/>
  <c r="L16" i="14"/>
  <c r="J16" i="14" s="1"/>
  <c r="T15" i="14"/>
  <c r="Y15" i="14" s="1"/>
  <c r="O15" i="14"/>
  <c r="L15" i="14" s="1"/>
  <c r="J15" i="14" s="1"/>
  <c r="T14" i="14"/>
  <c r="Y14" i="14" s="1"/>
  <c r="O14" i="14"/>
  <c r="L14" i="14" s="1"/>
  <c r="J14" i="14" s="1"/>
  <c r="Y13" i="14"/>
  <c r="T13" i="14"/>
  <c r="O13" i="14"/>
  <c r="L13" i="14" s="1"/>
  <c r="J13" i="14" s="1"/>
  <c r="Y12" i="14"/>
  <c r="T12" i="14"/>
  <c r="O12" i="14"/>
  <c r="L12" i="14"/>
  <c r="J12" i="14" s="1"/>
  <c r="Y11" i="14"/>
  <c r="T11" i="14"/>
  <c r="O11" i="14"/>
  <c r="L11" i="14" s="1"/>
  <c r="J11" i="14" s="1"/>
  <c r="T10" i="14"/>
  <c r="Y10" i="14" s="1"/>
  <c r="O10" i="14"/>
  <c r="L10" i="14"/>
  <c r="J10" i="14" s="1"/>
  <c r="Y9" i="14"/>
  <c r="T9" i="14"/>
  <c r="O9" i="14"/>
  <c r="L9" i="14"/>
  <c r="J9" i="14"/>
  <c r="T8" i="14"/>
  <c r="Y8" i="14" s="1"/>
  <c r="O8" i="14"/>
  <c r="L8" i="14"/>
  <c r="J8" i="14" s="1"/>
  <c r="T7" i="14"/>
  <c r="Y7" i="14" s="1"/>
  <c r="O7" i="14"/>
  <c r="L7" i="14" s="1"/>
  <c r="J7" i="14" s="1"/>
  <c r="T6" i="14"/>
  <c r="Y6" i="14" s="1"/>
  <c r="O6" i="14"/>
  <c r="L6" i="14" s="1"/>
  <c r="J6" i="14" s="1"/>
  <c r="Y5" i="14"/>
  <c r="T5" i="14"/>
  <c r="O5" i="14"/>
  <c r="L5" i="14" s="1"/>
  <c r="J5" i="14" s="1"/>
  <c r="Y4" i="14"/>
  <c r="T4" i="14"/>
  <c r="O4" i="14"/>
  <c r="L4" i="14"/>
  <c r="J4" i="14" s="1"/>
  <c r="Y3" i="14"/>
  <c r="T3" i="14"/>
  <c r="O3" i="14"/>
  <c r="L3" i="14" s="1"/>
  <c r="J3" i="14" s="1"/>
  <c r="L32" i="13" l="1"/>
  <c r="J32" i="13"/>
  <c r="S32" i="13" s="1"/>
  <c r="T32" i="13" s="1"/>
  <c r="Y32" i="13" s="1"/>
  <c r="L31" i="13"/>
  <c r="J31" i="13" s="1"/>
  <c r="S31" i="13" s="1"/>
  <c r="T31" i="13" s="1"/>
  <c r="Y31" i="13" s="1"/>
  <c r="L30" i="13"/>
  <c r="J30" i="13"/>
  <c r="S30" i="13" s="1"/>
  <c r="T30" i="13" s="1"/>
  <c r="Y30" i="13" s="1"/>
  <c r="L29" i="13"/>
  <c r="J29" i="13" s="1"/>
  <c r="T29" i="13" s="1"/>
  <c r="Y29" i="13" s="1"/>
  <c r="O37" i="13" s="1"/>
  <c r="L28" i="13"/>
  <c r="J28" i="13"/>
  <c r="S28" i="13" s="1"/>
  <c r="T28" i="13" s="1"/>
  <c r="Y28" i="13" s="1"/>
  <c r="L27" i="13"/>
  <c r="J27" i="13" s="1"/>
  <c r="S27" i="13" s="1"/>
  <c r="T27" i="13" s="1"/>
  <c r="Y27" i="13" s="1"/>
  <c r="W26" i="13"/>
  <c r="L26" i="13"/>
  <c r="J26" i="13"/>
  <c r="S26" i="13" s="1"/>
  <c r="T26" i="13" s="1"/>
  <c r="Y26" i="13" s="1"/>
  <c r="L25" i="13"/>
  <c r="J25" i="13" s="1"/>
  <c r="S25" i="13" s="1"/>
  <c r="T25" i="13" s="1"/>
  <c r="Y25" i="13" s="1"/>
  <c r="L23" i="13"/>
  <c r="J23" i="13"/>
  <c r="S23" i="13" s="1"/>
  <c r="T23" i="13" s="1"/>
  <c r="Y23" i="13" s="1"/>
  <c r="L21" i="13"/>
  <c r="J21" i="13" s="1"/>
  <c r="S21" i="13" s="1"/>
  <c r="T21" i="13" s="1"/>
  <c r="Y21" i="13" s="1"/>
  <c r="L20" i="13"/>
  <c r="J20" i="13"/>
  <c r="S20" i="13" s="1"/>
  <c r="T20" i="13" s="1"/>
  <c r="Y20" i="13" s="1"/>
  <c r="W19" i="13"/>
  <c r="L19" i="13"/>
  <c r="J19" i="13" s="1"/>
  <c r="S19" i="13" s="1"/>
  <c r="T19" i="13" s="1"/>
  <c r="Y19" i="13" s="1"/>
  <c r="W18" i="13"/>
  <c r="L18" i="13"/>
  <c r="J18" i="13"/>
  <c r="S18" i="13" s="1"/>
  <c r="T18" i="13" s="1"/>
  <c r="Y18" i="13" s="1"/>
  <c r="W17" i="13"/>
  <c r="L17" i="13"/>
  <c r="J17" i="13" s="1"/>
  <c r="S17" i="13" s="1"/>
  <c r="T17" i="13" s="1"/>
  <c r="Y17" i="13" s="1"/>
  <c r="W16" i="13"/>
  <c r="L16" i="13"/>
  <c r="J16" i="13"/>
  <c r="S16" i="13" s="1"/>
  <c r="T16" i="13" s="1"/>
  <c r="Y16" i="13" s="1"/>
  <c r="W15" i="13"/>
  <c r="L15" i="13"/>
  <c r="J15" i="13" s="1"/>
  <c r="S15" i="13" s="1"/>
  <c r="T15" i="13" s="1"/>
  <c r="Y15" i="13" s="1"/>
  <c r="W14" i="13"/>
  <c r="J14" i="13"/>
  <c r="S14" i="13" s="1"/>
  <c r="T14" i="13" s="1"/>
  <c r="Y14" i="13" s="1"/>
  <c r="W13" i="13"/>
  <c r="L13" i="13"/>
  <c r="J13" i="13" s="1"/>
  <c r="S13" i="13" s="1"/>
  <c r="T13" i="13" s="1"/>
  <c r="Y13" i="13" s="1"/>
  <c r="W11" i="13"/>
  <c r="L11" i="13"/>
  <c r="J11" i="13"/>
  <c r="S11" i="13" s="1"/>
  <c r="T11" i="13" s="1"/>
  <c r="Y11" i="13" s="1"/>
  <c r="W10" i="13"/>
  <c r="L10" i="13"/>
  <c r="J10" i="13" s="1"/>
  <c r="S10" i="13" s="1"/>
  <c r="T10" i="13" s="1"/>
  <c r="Y10" i="13" s="1"/>
  <c r="W9" i="13"/>
  <c r="L9" i="13"/>
  <c r="J9" i="13"/>
  <c r="S9" i="13" s="1"/>
  <c r="T9" i="13" s="1"/>
  <c r="Y9" i="13" s="1"/>
  <c r="W8" i="13"/>
  <c r="L8" i="13"/>
  <c r="J8" i="13" s="1"/>
  <c r="S8" i="13" s="1"/>
  <c r="T8" i="13" s="1"/>
  <c r="Y8" i="13" s="1"/>
  <c r="W7" i="13"/>
  <c r="L7" i="13"/>
  <c r="J7" i="13"/>
  <c r="S7" i="13" s="1"/>
  <c r="T7" i="13" s="1"/>
  <c r="Y7" i="13" s="1"/>
  <c r="W6" i="13"/>
  <c r="L6" i="13"/>
  <c r="J6" i="13" s="1"/>
  <c r="S6" i="13" s="1"/>
  <c r="T6" i="13" s="1"/>
  <c r="Y6" i="13" s="1"/>
  <c r="W5" i="13"/>
  <c r="L5" i="13"/>
  <c r="J5" i="13"/>
  <c r="S5" i="13" s="1"/>
  <c r="T5" i="13" s="1"/>
  <c r="Y5" i="13" s="1"/>
  <c r="W4" i="13"/>
  <c r="L4" i="13"/>
  <c r="J4" i="13" s="1"/>
  <c r="S4" i="13" s="1"/>
  <c r="T4" i="13" s="1"/>
  <c r="Y4" i="13" s="1"/>
  <c r="W3" i="13"/>
  <c r="L3" i="13"/>
  <c r="J3" i="13"/>
  <c r="S3" i="13" s="1"/>
  <c r="T3" i="13" s="1"/>
  <c r="Y3" i="13" s="1"/>
  <c r="Y3" i="16" l="1"/>
  <c r="R50" i="16"/>
  <c r="O50" i="16"/>
  <c r="R49" i="16"/>
  <c r="O49" i="16"/>
  <c r="R48" i="16"/>
  <c r="O48" i="16"/>
  <c r="R47" i="16"/>
  <c r="O47" i="16"/>
  <c r="R46" i="16"/>
  <c r="O46" i="16"/>
  <c r="R45" i="16"/>
  <c r="O45" i="16"/>
  <c r="R44" i="16"/>
  <c r="O44" i="16"/>
  <c r="R43" i="16"/>
  <c r="O43" i="16"/>
  <c r="R42" i="16"/>
  <c r="O42" i="16"/>
  <c r="R41" i="16"/>
  <c r="O41" i="16"/>
  <c r="R40" i="16"/>
  <c r="O40" i="16"/>
  <c r="R39" i="16"/>
  <c r="O39" i="16"/>
  <c r="R38" i="16"/>
  <c r="O38" i="16"/>
  <c r="R37" i="16"/>
  <c r="O37" i="16"/>
  <c r="R36" i="16"/>
  <c r="O36" i="16"/>
  <c r="R35" i="16"/>
  <c r="O35" i="16"/>
  <c r="R34" i="16"/>
  <c r="O34" i="16"/>
  <c r="R33" i="16"/>
  <c r="O33" i="16"/>
  <c r="R32" i="16"/>
  <c r="O32" i="16"/>
  <c r="R31" i="16"/>
  <c r="O31" i="16"/>
  <c r="R30" i="16"/>
  <c r="O30" i="16"/>
  <c r="R29" i="16"/>
  <c r="O29" i="16"/>
  <c r="R28" i="16"/>
  <c r="O28" i="16"/>
  <c r="R27" i="16"/>
  <c r="O27" i="16"/>
  <c r="W26" i="16"/>
  <c r="R26" i="16"/>
  <c r="O26" i="16"/>
  <c r="W25" i="16"/>
  <c r="R25" i="16"/>
  <c r="O25" i="16"/>
  <c r="W24" i="16"/>
  <c r="R24" i="16"/>
  <c r="O24" i="16"/>
  <c r="W23" i="16"/>
  <c r="R23" i="16"/>
  <c r="O23" i="16"/>
  <c r="W22" i="16"/>
  <c r="R22" i="16"/>
  <c r="O22" i="16"/>
  <c r="W21" i="16"/>
  <c r="R21" i="16"/>
  <c r="O21" i="16"/>
  <c r="W20" i="16"/>
  <c r="R20" i="16"/>
  <c r="O20" i="16"/>
  <c r="W19" i="16"/>
  <c r="R19" i="16"/>
  <c r="O19" i="16"/>
  <c r="W18" i="16"/>
  <c r="R18" i="16"/>
  <c r="O18" i="16"/>
  <c r="W17" i="16"/>
  <c r="R17" i="16"/>
  <c r="O17" i="16"/>
  <c r="W16" i="16"/>
  <c r="R16" i="16"/>
  <c r="O16" i="16"/>
  <c r="W15" i="16"/>
  <c r="R15" i="16"/>
  <c r="O15" i="16"/>
  <c r="W14" i="16"/>
  <c r="R14" i="16"/>
  <c r="O14" i="16"/>
  <c r="W13" i="16"/>
  <c r="R13" i="16"/>
  <c r="O13" i="16"/>
  <c r="W12" i="16"/>
  <c r="R12" i="16"/>
  <c r="O12" i="16"/>
  <c r="W11" i="16"/>
  <c r="R11" i="16"/>
  <c r="O11" i="16"/>
  <c r="W10" i="16"/>
  <c r="R10" i="16"/>
  <c r="L10" i="16" s="1"/>
  <c r="J10" i="16" s="1"/>
  <c r="O10" i="16"/>
  <c r="W9" i="16"/>
  <c r="R9" i="16"/>
  <c r="L9" i="16" s="1"/>
  <c r="O9" i="16"/>
  <c r="J9" i="16"/>
  <c r="W8" i="16"/>
  <c r="R8" i="16"/>
  <c r="O8" i="16"/>
  <c r="W7" i="16"/>
  <c r="R7" i="16"/>
  <c r="O7" i="16"/>
  <c r="L7" i="16"/>
  <c r="J7" i="16" s="1"/>
  <c r="W6" i="16"/>
  <c r="R6" i="16"/>
  <c r="O6" i="16"/>
  <c r="W5" i="16"/>
  <c r="R5" i="16"/>
  <c r="L5" i="16" s="1"/>
  <c r="J5" i="16" s="1"/>
  <c r="O5" i="16"/>
  <c r="W4" i="16"/>
  <c r="R4" i="16"/>
  <c r="O4" i="16"/>
  <c r="L4" i="16"/>
  <c r="J4" i="16" s="1"/>
  <c r="R3" i="16"/>
  <c r="O3" i="16"/>
  <c r="L3" i="16"/>
  <c r="J3" i="16" s="1"/>
  <c r="T3" i="16" s="1"/>
  <c r="L13" i="16" l="1"/>
  <c r="J13" i="16" s="1"/>
  <c r="S13" i="16" s="1"/>
  <c r="T13" i="16" s="1"/>
  <c r="Y13" i="16" s="1"/>
  <c r="L15" i="16"/>
  <c r="J15" i="16" s="1"/>
  <c r="S15" i="16" s="1"/>
  <c r="T15" i="16" s="1"/>
  <c r="Y15" i="16" s="1"/>
  <c r="L17" i="16"/>
  <c r="S17" i="16" s="1"/>
  <c r="T17" i="16" s="1"/>
  <c r="Y17" i="16" s="1"/>
  <c r="S19" i="16"/>
  <c r="T19" i="16" s="1"/>
  <c r="Y19" i="16" s="1"/>
  <c r="L19" i="16"/>
  <c r="J19" i="16" s="1"/>
  <c r="L21" i="16"/>
  <c r="J21" i="16" s="1"/>
  <c r="S21" i="16" s="1"/>
  <c r="T21" i="16" s="1"/>
  <c r="Y21" i="16" s="1"/>
  <c r="L23" i="16"/>
  <c r="J23" i="16" s="1"/>
  <c r="S23" i="16" s="1"/>
  <c r="T23" i="16" s="1"/>
  <c r="Y23" i="16" s="1"/>
  <c r="L25" i="16"/>
  <c r="J25" i="16" s="1"/>
  <c r="S25" i="16" s="1"/>
  <c r="T25" i="16" s="1"/>
  <c r="Y25" i="16" s="1"/>
  <c r="S27" i="16"/>
  <c r="T27" i="16" s="1"/>
  <c r="Y27" i="16" s="1"/>
  <c r="L27" i="16"/>
  <c r="J27" i="16" s="1"/>
  <c r="L29" i="16"/>
  <c r="J29" i="16" s="1"/>
  <c r="S29" i="16" s="1"/>
  <c r="T29" i="16" s="1"/>
  <c r="Y29" i="16" s="1"/>
  <c r="L31" i="16"/>
  <c r="J31" i="16" s="1"/>
  <c r="S31" i="16" s="1"/>
  <c r="T31" i="16" s="1"/>
  <c r="Y31" i="16" s="1"/>
  <c r="L33" i="16"/>
  <c r="J33" i="16" s="1"/>
  <c r="S33" i="16" s="1"/>
  <c r="T33" i="16" s="1"/>
  <c r="Y33" i="16" s="1"/>
  <c r="S35" i="16"/>
  <c r="T35" i="16" s="1"/>
  <c r="Y35" i="16" s="1"/>
  <c r="L35" i="16"/>
  <c r="J35" i="16" s="1"/>
  <c r="L37" i="16"/>
  <c r="J37" i="16" s="1"/>
  <c r="T37" i="16" s="1"/>
  <c r="Y37" i="16" s="1"/>
  <c r="L39" i="16"/>
  <c r="J39" i="16" s="1"/>
  <c r="S39" i="16" s="1"/>
  <c r="T39" i="16" s="1"/>
  <c r="Y39" i="16" s="1"/>
  <c r="L41" i="16"/>
  <c r="J41" i="16" s="1"/>
  <c r="S41" i="16" s="1"/>
  <c r="T41" i="16" s="1"/>
  <c r="Y41" i="16" s="1"/>
  <c r="S43" i="16"/>
  <c r="T43" i="16" s="1"/>
  <c r="Y43" i="16" s="1"/>
  <c r="L43" i="16"/>
  <c r="J43" i="16" s="1"/>
  <c r="L45" i="16"/>
  <c r="J45" i="16" s="1"/>
  <c r="S45" i="16" s="1"/>
  <c r="T45" i="16" s="1"/>
  <c r="Y45" i="16" s="1"/>
  <c r="S10" i="16"/>
  <c r="T10" i="16" s="1"/>
  <c r="Y10" i="16" s="1"/>
  <c r="L48" i="16"/>
  <c r="J48" i="16" s="1"/>
  <c r="S48" i="16" s="1"/>
  <c r="T48" i="16" s="1"/>
  <c r="Y48" i="16" s="1"/>
  <c r="S46" i="16"/>
  <c r="T46" i="16" s="1"/>
  <c r="Y46" i="16" s="1"/>
  <c r="L46" i="16"/>
  <c r="J46" i="16" s="1"/>
  <c r="L8" i="16"/>
  <c r="J8" i="16" s="1"/>
  <c r="S8" i="16" s="1"/>
  <c r="T8" i="16" s="1"/>
  <c r="Y8" i="16" s="1"/>
  <c r="S12" i="16"/>
  <c r="T12" i="16" s="1"/>
  <c r="Y12" i="16" s="1"/>
  <c r="L12" i="16"/>
  <c r="J12" i="16" s="1"/>
  <c r="S14" i="16"/>
  <c r="T14" i="16" s="1"/>
  <c r="Y14" i="16" s="1"/>
  <c r="J14" i="16"/>
  <c r="L16" i="16"/>
  <c r="J16" i="16" s="1"/>
  <c r="S16" i="16" s="1"/>
  <c r="T16" i="16" s="1"/>
  <c r="Y16" i="16" s="1"/>
  <c r="S18" i="16"/>
  <c r="T18" i="16" s="1"/>
  <c r="Y18" i="16" s="1"/>
  <c r="L18" i="16"/>
  <c r="J18" i="16" s="1"/>
  <c r="S20" i="16"/>
  <c r="T20" i="16" s="1"/>
  <c r="Y20" i="16" s="1"/>
  <c r="L20" i="16"/>
  <c r="J20" i="16" s="1"/>
  <c r="S22" i="16"/>
  <c r="T22" i="16" s="1"/>
  <c r="Y22" i="16" s="1"/>
  <c r="L22" i="16"/>
  <c r="J22" i="16" s="1"/>
  <c r="L24" i="16"/>
  <c r="J24" i="16" s="1"/>
  <c r="S24" i="16" s="1"/>
  <c r="T24" i="16" s="1"/>
  <c r="S26" i="16"/>
  <c r="T26" i="16" s="1"/>
  <c r="Y26" i="16" s="1"/>
  <c r="L26" i="16"/>
  <c r="J26" i="16" s="1"/>
  <c r="S28" i="16"/>
  <c r="T28" i="16" s="1"/>
  <c r="Y28" i="16" s="1"/>
  <c r="L28" i="16"/>
  <c r="J28" i="16" s="1"/>
  <c r="S30" i="16"/>
  <c r="T30" i="16" s="1"/>
  <c r="Y30" i="16" s="1"/>
  <c r="L30" i="16"/>
  <c r="J30" i="16" s="1"/>
  <c r="L32" i="16"/>
  <c r="J32" i="16" s="1"/>
  <c r="S32" i="16" s="1"/>
  <c r="T32" i="16" s="1"/>
  <c r="Y32" i="16" s="1"/>
  <c r="S34" i="16"/>
  <c r="T34" i="16" s="1"/>
  <c r="Y34" i="16" s="1"/>
  <c r="L34" i="16"/>
  <c r="J34" i="16" s="1"/>
  <c r="S36" i="16"/>
  <c r="T36" i="16" s="1"/>
  <c r="Y36" i="16" s="1"/>
  <c r="L36" i="16"/>
  <c r="J36" i="16" s="1"/>
  <c r="S38" i="16"/>
  <c r="T38" i="16" s="1"/>
  <c r="Y38" i="16" s="1"/>
  <c r="L38" i="16"/>
  <c r="J38" i="16" s="1"/>
  <c r="L40" i="16"/>
  <c r="J40" i="16" s="1"/>
  <c r="S40" i="16" s="1"/>
  <c r="T40" i="16" s="1"/>
  <c r="Y40" i="16" s="1"/>
  <c r="S42" i="16"/>
  <c r="T42" i="16" s="1"/>
  <c r="Y42" i="16" s="1"/>
  <c r="L42" i="16"/>
  <c r="J42" i="16" s="1"/>
  <c r="S44" i="16"/>
  <c r="T44" i="16" s="1"/>
  <c r="Y44" i="16" s="1"/>
  <c r="L44" i="16"/>
  <c r="J44" i="16" s="1"/>
  <c r="S49" i="16"/>
  <c r="T49" i="16" s="1"/>
  <c r="Y49" i="16" s="1"/>
  <c r="L49" i="16"/>
  <c r="J49" i="16" s="1"/>
  <c r="S4" i="16"/>
  <c r="T4" i="16" s="1"/>
  <c r="Y4" i="16" s="1"/>
  <c r="L11" i="16"/>
  <c r="J11" i="16" s="1"/>
  <c r="S11" i="16" s="1"/>
  <c r="T11" i="16" s="1"/>
  <c r="Y11" i="16" s="1"/>
  <c r="S47" i="16"/>
  <c r="T47" i="16" s="1"/>
  <c r="Y47" i="16" s="1"/>
  <c r="L47" i="16"/>
  <c r="J47" i="16" s="1"/>
  <c r="S5" i="16"/>
  <c r="T5" i="16" s="1"/>
  <c r="Y5" i="16" s="1"/>
  <c r="S9" i="16"/>
  <c r="T9" i="16" s="1"/>
  <c r="Y9" i="16" s="1"/>
  <c r="L6" i="16"/>
  <c r="J6" i="16" s="1"/>
  <c r="S6" i="16" s="1"/>
  <c r="T6" i="16" s="1"/>
  <c r="Y6" i="16" s="1"/>
  <c r="S7" i="16"/>
  <c r="T7" i="16" s="1"/>
  <c r="L50" i="16"/>
  <c r="J50" i="16" s="1"/>
  <c r="S50" i="16" s="1"/>
  <c r="T50" i="16" s="1"/>
  <c r="Y50" i="16" s="1"/>
</calcChain>
</file>

<file path=xl/comments1.xml><?xml version="1.0" encoding="utf-8"?>
<comments xmlns="http://schemas.openxmlformats.org/spreadsheetml/2006/main">
  <authors>
    <author>Tyfanie Bourlet</author>
  </authors>
  <commentList>
    <comment ref="Y7" authorId="0" shape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Attention!! Données non exploitable : Fertilisation trop proche du calcul de l'INN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K3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3 petites</t>
        </r>
      </text>
    </comment>
    <comment ref="M3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Manque des feuilles</t>
        </r>
      </text>
    </comment>
    <comment ref="M3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Erreur pas même échantillon</t>
        </r>
      </text>
    </comment>
  </commentList>
</comments>
</file>

<file path=xl/comments3.xml><?xml version="1.0" encoding="utf-8"?>
<comments xmlns="http://schemas.openxmlformats.org/spreadsheetml/2006/main">
  <authors>
    <author>adminigepp</author>
  </authors>
  <commentList>
    <comment ref="R8" authorId="0" shapeId="0">
      <text>
        <r>
          <rPr>
            <b/>
            <sz val="9"/>
            <color indexed="81"/>
            <rFont val="Tahoma"/>
            <family val="2"/>
          </rPr>
          <t>adminigepp:</t>
        </r>
        <r>
          <rPr>
            <sz val="9"/>
            <color indexed="81"/>
            <rFont val="Tahoma"/>
            <family val="2"/>
          </rPr>
          <t xml:space="preserve">
Hypothèse : MS total (g)
</t>
        </r>
      </text>
    </comment>
  </commentList>
</comments>
</file>

<file path=xl/sharedStrings.xml><?xml version="1.0" encoding="utf-8"?>
<sst xmlns="http://schemas.openxmlformats.org/spreadsheetml/2006/main" count="5727" uniqueCount="432">
  <si>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</si>
  <si>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</si>
  <si>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</si>
  <si>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</si>
  <si>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</si>
  <si>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</si>
  <si>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</si>
  <si>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</si>
  <si>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</si>
  <si>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</si>
  <si>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</si>
  <si>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</si>
  <si>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(g)</t>
  </si>
  <si>
    <t>MS (g)</t>
  </si>
  <si>
    <t>% Humidité</t>
  </si>
  <si>
    <t>MF Feuilles (g)</t>
  </si>
  <si>
    <t>MF Tige (g)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</si>
  <si>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</si>
  <si>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</si>
  <si>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</si>
  <si>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</si>
  <si>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</si>
  <si>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</si>
  <si>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</si>
  <si>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</si>
  <si>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</si>
  <si>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</si>
  <si>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</si>
  <si>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INN1</t>
  </si>
  <si>
    <t>N1 b1</t>
  </si>
  <si>
    <t>Aviso</t>
  </si>
  <si>
    <t>N1 b2</t>
  </si>
  <si>
    <t>NA</t>
  </si>
  <si>
    <t>Montego</t>
  </si>
  <si>
    <t>INN2</t>
  </si>
  <si>
    <t>INN3</t>
  </si>
  <si>
    <t>N2 b1</t>
  </si>
  <si>
    <t>N2 b2</t>
  </si>
  <si>
    <t>INN4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</si>
  <si>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</si>
  <si>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</si>
  <si>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</si>
  <si>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</si>
  <si>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t xml:space="preserve">Deux échantillons différents sont identifiés : 1/5 des plantes et 4/5 des plantes </t>
    </r>
    <r>
      <rPr>
        <b/>
        <sz val="10"/>
        <color rgb="FFFF0000"/>
        <rFont val="Arial"/>
        <family val="2"/>
      </rPr>
      <t>==&gt; Ici ce n'est pas le cas</t>
    </r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</si>
  <si>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</si>
  <si>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</si>
  <si>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</si>
  <si>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</si>
  <si>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</si>
  <si>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</si>
  <si>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</si>
  <si>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N1 B0</t>
  </si>
  <si>
    <t>G-001</t>
  </si>
  <si>
    <t>N1 b3</t>
  </si>
  <si>
    <t>G-002</t>
  </si>
  <si>
    <t>N2 B0</t>
  </si>
  <si>
    <t>N2 b3</t>
  </si>
  <si>
    <t>N0 B0</t>
  </si>
  <si>
    <t xml:space="preserve">Deux échantillons différents sont identifiés : 1/5 des plantes et 4/5 des plantes </t>
  </si>
  <si>
    <t>G-001: Aviso</t>
  </si>
  <si>
    <t>G-002: Montego</t>
  </si>
  <si>
    <t>G-125: Tenor</t>
  </si>
  <si>
    <t>G-126:Express</t>
  </si>
  <si>
    <t>N1</t>
  </si>
  <si>
    <t>N2</t>
  </si>
  <si>
    <t>N1 B1</t>
  </si>
  <si>
    <t>G-1</t>
  </si>
  <si>
    <t>N1 B2</t>
  </si>
  <si>
    <t>N1 B3</t>
  </si>
  <si>
    <t>N1 B4</t>
  </si>
  <si>
    <t>G-2</t>
  </si>
  <si>
    <t>N2 B1</t>
  </si>
  <si>
    <t>N2 B2</t>
  </si>
  <si>
    <t>N2 B3</t>
  </si>
  <si>
    <t>N2 B4</t>
  </si>
  <si>
    <t>Rep 1</t>
  </si>
  <si>
    <t>Alpaga</t>
  </si>
  <si>
    <t>DK-Exquisite</t>
  </si>
  <si>
    <t>Rep 2</t>
  </si>
  <si>
    <t>N-</t>
  </si>
  <si>
    <t>DK-EXQUISITE</t>
  </si>
  <si>
    <t>ALPAGA</t>
  </si>
  <si>
    <t>N+</t>
  </si>
  <si>
    <t>-</t>
  </si>
  <si>
    <r>
      <rPr>
        <b/>
        <sz val="10"/>
        <rFont val="Arial"/>
        <family val="2"/>
      </rPr>
      <t>X et Y</t>
    </r>
    <r>
      <rPr>
        <sz val="10"/>
        <rFont val="Arial"/>
        <family val="2"/>
      </rPr>
      <t xml:space="preserve"> = coordonnées</t>
    </r>
  </si>
  <si>
    <r>
      <rPr>
        <b/>
        <sz val="10"/>
        <rFont val="Arial"/>
        <family val="2"/>
      </rPr>
      <t xml:space="preserve">Modalite </t>
    </r>
    <r>
      <rPr>
        <sz val="10"/>
        <rFont val="Arial"/>
        <family val="2"/>
      </rPr>
      <t>= N+/N-</t>
    </r>
  </si>
  <si>
    <r>
      <rPr>
        <b/>
        <sz val="10"/>
        <rFont val="Arial"/>
        <family val="2"/>
      </rPr>
      <t>Genotype</t>
    </r>
    <r>
      <rPr>
        <sz val="10"/>
        <rFont val="Arial"/>
        <family val="2"/>
      </rPr>
      <t xml:space="preserve"> = Nom du génotype</t>
    </r>
  </si>
  <si>
    <t>Deux échantillons différents sont identifiés : 1/5 des plantes et 4/5 des plantes</t>
  </si>
  <si>
    <t>Pas de prélèvements effectués</t>
  </si>
  <si>
    <t>R1N1</t>
  </si>
  <si>
    <t>DKEXQUISITE</t>
  </si>
  <si>
    <t>DKEXSTORM</t>
  </si>
  <si>
    <t>R4N1</t>
  </si>
  <si>
    <t>R2N2</t>
  </si>
  <si>
    <t>R3N2</t>
  </si>
  <si>
    <t>N1 rep1</t>
  </si>
  <si>
    <t>N2 rep2</t>
  </si>
  <si>
    <t>N2 rep3</t>
  </si>
  <si>
    <t>N1 rep4</t>
  </si>
  <si>
    <t>N1 R1</t>
  </si>
  <si>
    <t>Pas prise en compte des silliques,,,</t>
  </si>
  <si>
    <t>N2 R2</t>
  </si>
  <si>
    <t>N2 R3</t>
  </si>
  <si>
    <t>N1 R4</t>
  </si>
  <si>
    <t>DK EXSTORM</t>
  </si>
  <si>
    <t>ALPAGA (158-9)</t>
  </si>
  <si>
    <t>?</t>
  </si>
  <si>
    <t>DK EXSTORM (142-12)</t>
  </si>
  <si>
    <t>ALPAGA (133-8)</t>
  </si>
  <si>
    <t>ALPAGA (184-3)</t>
  </si>
  <si>
    <t>DK EXSTORM (178-8)</t>
  </si>
  <si>
    <t>ALPAGA (154-1)</t>
  </si>
  <si>
    <t>DK EXSTORM (153-1)</t>
  </si>
  <si>
    <t>DK EXSTORM (169-2)</t>
  </si>
  <si>
    <t>INN 1</t>
  </si>
  <si>
    <t>06</t>
  </si>
  <si>
    <t>13</t>
  </si>
  <si>
    <r>
      <t>N</t>
    </r>
    <r>
      <rPr>
        <sz val="9"/>
        <color theme="1"/>
        <rFont val="Calibri"/>
        <family val="2"/>
      </rPr>
      <t>¯</t>
    </r>
  </si>
  <si>
    <t>B</t>
  </si>
  <si>
    <t>31</t>
  </si>
  <si>
    <t>08</t>
  </si>
  <si>
    <t>28</t>
  </si>
  <si>
    <t>55</t>
  </si>
  <si>
    <t>95</t>
  </si>
  <si>
    <t>15</t>
  </si>
  <si>
    <t>73</t>
  </si>
  <si>
    <t>INN 2</t>
  </si>
  <si>
    <t>02</t>
  </si>
  <si>
    <t>60</t>
  </si>
  <si>
    <r>
      <t>N</t>
    </r>
    <r>
      <rPr>
        <sz val="9"/>
        <color theme="1"/>
        <rFont val="Calibri"/>
        <family val="2"/>
      </rPr>
      <t>⁺</t>
    </r>
  </si>
  <si>
    <t>C1</t>
  </si>
  <si>
    <t>03</t>
  </si>
  <si>
    <t>89</t>
  </si>
  <si>
    <t>09</t>
  </si>
  <si>
    <t>96</t>
  </si>
  <si>
    <t>14</t>
  </si>
  <si>
    <t>17</t>
  </si>
  <si>
    <t>29</t>
  </si>
  <si>
    <t>18</t>
  </si>
  <si>
    <t>INN 3</t>
  </si>
  <si>
    <t>E</t>
  </si>
  <si>
    <t>INN 4</t>
  </si>
  <si>
    <t>75</t>
  </si>
  <si>
    <r>
      <t>N</t>
    </r>
    <r>
      <rPr>
        <sz val="11"/>
        <color theme="1"/>
        <rFont val="Calibri"/>
        <family val="2"/>
      </rPr>
      <t>⁺</t>
    </r>
  </si>
  <si>
    <t>G4</t>
  </si>
  <si>
    <t>66</t>
  </si>
  <si>
    <t>37</t>
  </si>
  <si>
    <r>
      <t>N</t>
    </r>
    <r>
      <rPr>
        <sz val="11"/>
        <color theme="1"/>
        <rFont val="Calibri"/>
        <family val="2"/>
      </rPr>
      <t>⁻</t>
    </r>
  </si>
  <si>
    <t>25</t>
  </si>
  <si>
    <t>07</t>
  </si>
  <si>
    <t>77</t>
  </si>
  <si>
    <t>45</t>
  </si>
  <si>
    <t>12</t>
  </si>
  <si>
    <t>78</t>
  </si>
  <si>
    <t>83</t>
  </si>
  <si>
    <t>16</t>
  </si>
  <si>
    <t>90</t>
  </si>
  <si>
    <t>10</t>
  </si>
  <si>
    <t>AVISO</t>
  </si>
  <si>
    <t>Bn</t>
  </si>
  <si>
    <t>non</t>
  </si>
  <si>
    <t>Ne mettre que les datas brutes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</si>
  <si>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</si>
  <si>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 DATA</t>
  </si>
  <si>
    <t>essai INN 15A03 (cf feuille "Parcellaire_data")</t>
  </si>
  <si>
    <t>BBCH16-18</t>
  </si>
  <si>
    <t>MONTEGO</t>
  </si>
  <si>
    <t>BBCH21</t>
  </si>
  <si>
    <t>BBCH65</t>
  </si>
  <si>
    <t>BBCH83</t>
  </si>
  <si>
    <t>4/5 DE LA BIOMASSE RECOLTEE
(Aliquote Reste)</t>
  </si>
  <si>
    <t>1/5 DE LA BIOMASSE RECOLTEE
Aliquote %N</t>
  </si>
  <si>
    <t>Engrais</t>
  </si>
  <si>
    <t>REPNO</t>
  </si>
  <si>
    <t>Accession</t>
  </si>
  <si>
    <t>MS(g)</t>
  </si>
  <si>
    <t>Humidity (%)</t>
  </si>
  <si>
    <t>MF aérienne (g)</t>
  </si>
  <si>
    <t>MF Racines (g)</t>
  </si>
  <si>
    <t>MS Racine (g)</t>
  </si>
  <si>
    <t>MF Totale (t)</t>
  </si>
  <si>
    <t>MF 1/5 (t)</t>
  </si>
  <si>
    <t>MS 1/5 (t)</t>
  </si>
  <si>
    <t>Racines</t>
  </si>
  <si>
    <t>B9</t>
  </si>
  <si>
    <t>G5</t>
  </si>
  <si>
    <t>MF siliques (g)</t>
  </si>
  <si>
    <t>MS siliques (g)</t>
  </si>
  <si>
    <t>siliques</t>
  </si>
  <si>
    <t>Carbone total sur sec (%)</t>
  </si>
  <si>
    <t>B1N2 Te2-3 (187)</t>
  </si>
  <si>
    <t>B10</t>
  </si>
  <si>
    <t>B2N2 Te2-3 (187)</t>
  </si>
  <si>
    <t>B2N2 Te3-3 (191)</t>
  </si>
  <si>
    <t>B1N2 Te3-1 (189)</t>
  </si>
  <si>
    <t>B1N2 Te1-3 (183)</t>
  </si>
  <si>
    <t>B2N2 Te1-3 (183)</t>
  </si>
  <si>
    <t>B2N1 te3-2</t>
  </si>
  <si>
    <t>B2N1 te2-1</t>
  </si>
  <si>
    <t>B2N1 te1-1</t>
  </si>
  <si>
    <t>B1N1 te1-1</t>
  </si>
  <si>
    <t>B1N1 te2-1</t>
  </si>
  <si>
    <t>B1N1 te3-1</t>
  </si>
  <si>
    <t>INN (avant 2ème apport N)</t>
  </si>
  <si>
    <t>B1N1 Te 2-1</t>
  </si>
  <si>
    <t>C2</t>
  </si>
  <si>
    <t>B1N1 Te 1-1</t>
  </si>
  <si>
    <t>B2N2 Te1-3</t>
  </si>
  <si>
    <t>B1N2 Te1-3</t>
  </si>
  <si>
    <t>B2N1 Te1-1</t>
  </si>
  <si>
    <t>B2N2 Te2-3</t>
  </si>
  <si>
    <t>B1N2 Te2-3</t>
  </si>
  <si>
    <t>B2N1 Te2-1</t>
  </si>
  <si>
    <t>B1N1 Te3-1</t>
  </si>
  <si>
    <t>B2N2 Te3-3</t>
  </si>
  <si>
    <t>B1N2 Te3-1</t>
  </si>
  <si>
    <t>B2N1 Te3-2</t>
  </si>
  <si>
    <t>INN3 (après 2ème apport N et avant flo)</t>
  </si>
  <si>
    <t>Te 1-1</t>
  </si>
  <si>
    <t>Te 2-1</t>
  </si>
  <si>
    <t>Te 3-1</t>
  </si>
  <si>
    <t>te 1-3</t>
  </si>
  <si>
    <t>Te 2-3</t>
  </si>
  <si>
    <t>Te 3-2</t>
  </si>
  <si>
    <t>Te 1-3</t>
  </si>
  <si>
    <t>Te 3-3</t>
  </si>
  <si>
    <t>Te1-1</t>
  </si>
  <si>
    <t>te2-1</t>
  </si>
  <si>
    <t>Te3-1</t>
  </si>
  <si>
    <t>Te1-3</t>
  </si>
  <si>
    <t>Te2-3</t>
  </si>
  <si>
    <t>Te2-1</t>
  </si>
  <si>
    <t>Te3-2</t>
  </si>
  <si>
    <t>Te3-3</t>
  </si>
  <si>
    <t>Te1-x = AVISO</t>
  </si>
  <si>
    <t>Te2-x= MONTEGO</t>
  </si>
  <si>
    <t>Te3-x=ALPAGA</t>
  </si>
  <si>
    <t>RAPSO_068</t>
  </si>
  <si>
    <t>RAPSO_302</t>
  </si>
  <si>
    <t>RAPSO_312</t>
  </si>
  <si>
    <t>RAPSO_314</t>
  </si>
  <si>
    <t>1013</t>
  </si>
  <si>
    <t>F1</t>
  </si>
  <si>
    <t>1004</t>
  </si>
  <si>
    <t>0702</t>
  </si>
  <si>
    <t>RAPSO_232</t>
  </si>
  <si>
    <t>0909</t>
  </si>
  <si>
    <t>RAPSO_234</t>
  </si>
  <si>
    <t>0713</t>
  </si>
  <si>
    <t>RAPSO_253</t>
  </si>
  <si>
    <t>0912</t>
  </si>
  <si>
    <t>RAPSO_260</t>
  </si>
  <si>
    <t>0705</t>
  </si>
  <si>
    <t>RAPSO_294</t>
  </si>
  <si>
    <t>1009</t>
  </si>
  <si>
    <t>RAPSO_301</t>
  </si>
  <si>
    <t>0910</t>
  </si>
  <si>
    <t>0905</t>
  </si>
  <si>
    <t>RAPSO_305</t>
  </si>
  <si>
    <t>0806</t>
  </si>
  <si>
    <t>RAPSO_311</t>
  </si>
  <si>
    <t>0710</t>
  </si>
  <si>
    <t>0802</t>
  </si>
  <si>
    <t>0703</t>
  </si>
  <si>
    <t>RAPSO_315</t>
  </si>
  <si>
    <t>0809</t>
  </si>
  <si>
    <t>RAPSO_316</t>
  </si>
  <si>
    <t>0808</t>
  </si>
  <si>
    <t>RAPSO_318</t>
  </si>
  <si>
    <t>0906</t>
  </si>
  <si>
    <t>RAPSO_325</t>
  </si>
  <si>
    <t>1012</t>
  </si>
  <si>
    <t>RAPSO_330</t>
  </si>
  <si>
    <t>0812</t>
  </si>
  <si>
    <t>RAPSO_333</t>
  </si>
  <si>
    <t>1003</t>
  </si>
  <si>
    <t>RAPSO_472</t>
  </si>
  <si>
    <t>1408</t>
  </si>
  <si>
    <t>1510</t>
  </si>
  <si>
    <t>1512</t>
  </si>
  <si>
    <t>1405</t>
  </si>
  <si>
    <t>1409</t>
  </si>
  <si>
    <t>F2</t>
  </si>
  <si>
    <t>1308</t>
  </si>
  <si>
    <t>1304</t>
  </si>
  <si>
    <t>1505</t>
  </si>
  <si>
    <t>1208</t>
  </si>
  <si>
    <t>1302</t>
  </si>
  <si>
    <t>1511</t>
  </si>
  <si>
    <t>1212</t>
  </si>
  <si>
    <t>1307</t>
  </si>
  <si>
    <t>1508</t>
  </si>
  <si>
    <t>1213</t>
  </si>
  <si>
    <t>1410</t>
  </si>
  <si>
    <t>1203</t>
  </si>
  <si>
    <t>1402</t>
  </si>
  <si>
    <t>1406</t>
  </si>
  <si>
    <t>1310</t>
  </si>
  <si>
    <t>RAPSO_209</t>
  </si>
  <si>
    <t>RAPSO_323</t>
  </si>
  <si>
    <t>Y8X62</t>
  </si>
  <si>
    <t>F</t>
  </si>
  <si>
    <t>Y8X57</t>
  </si>
  <si>
    <t>Y8X58</t>
  </si>
  <si>
    <t>Y8X61</t>
  </si>
  <si>
    <t>Y8X59</t>
  </si>
  <si>
    <t>Y8X65</t>
  </si>
  <si>
    <t>Y8X67</t>
  </si>
  <si>
    <t>Y8X71</t>
  </si>
  <si>
    <t>Y8X55</t>
  </si>
  <si>
    <t>Y8X54</t>
  </si>
  <si>
    <t>Y8X56</t>
  </si>
  <si>
    <t>Y8X73</t>
  </si>
  <si>
    <t>Y8X68</t>
  </si>
  <si>
    <t>Y8X64</t>
  </si>
  <si>
    <t>Y8X63</t>
  </si>
  <si>
    <t>Y8X69</t>
  </si>
  <si>
    <t>Y8X70</t>
  </si>
  <si>
    <t>Y8X66</t>
  </si>
  <si>
    <t>Y8X60</t>
  </si>
  <si>
    <t>Y8X72</t>
  </si>
  <si>
    <t>Y3X58</t>
  </si>
  <si>
    <t>Y3X56</t>
  </si>
  <si>
    <t>Y3X55</t>
  </si>
  <si>
    <t>Y3X57</t>
  </si>
  <si>
    <t>Y3X54</t>
  </si>
  <si>
    <t>Y17X56</t>
  </si>
  <si>
    <t>Y17X48</t>
  </si>
  <si>
    <t>Y17X53</t>
  </si>
  <si>
    <t>Y17X50</t>
  </si>
  <si>
    <t>Y17X44</t>
  </si>
  <si>
    <t>Y17X54</t>
  </si>
  <si>
    <t>Y17X59</t>
  </si>
  <si>
    <t>Y17X61</t>
  </si>
  <si>
    <t>Y17X62</t>
  </si>
  <si>
    <t>Y17X46</t>
  </si>
  <si>
    <t>Y17X60</t>
  </si>
  <si>
    <t>Y17X45</t>
  </si>
  <si>
    <t>Y17X49</t>
  </si>
  <si>
    <t>Y17X51</t>
  </si>
  <si>
    <t>Y17X52</t>
  </si>
  <si>
    <t>Y17X57</t>
  </si>
  <si>
    <t>Y17X55</t>
  </si>
  <si>
    <t>Y17X47</t>
  </si>
  <si>
    <t>Y17X58</t>
  </si>
  <si>
    <t>Y17X43</t>
  </si>
  <si>
    <t>Y13X66</t>
  </si>
  <si>
    <t>Y13X68</t>
  </si>
  <si>
    <t>Y13X65</t>
  </si>
  <si>
    <t>Y13X64</t>
  </si>
  <si>
    <t>Y13X67</t>
  </si>
  <si>
    <t xml:space="preserve"> 31/03/2017</t>
  </si>
  <si>
    <t>200</t>
  </si>
  <si>
    <t>171</t>
  </si>
  <si>
    <t>253</t>
  </si>
  <si>
    <t>214</t>
  </si>
  <si>
    <t>035</t>
  </si>
  <si>
    <t>022</t>
  </si>
  <si>
    <t>Taux MS</t>
  </si>
  <si>
    <t>MF tot</t>
  </si>
  <si>
    <t>Biomasse sèche</t>
  </si>
  <si>
    <t>04</t>
  </si>
  <si>
    <t>MF Tot</t>
  </si>
  <si>
    <t>01</t>
  </si>
  <si>
    <t>11</t>
  </si>
  <si>
    <t>N%_Dumas</t>
  </si>
  <si>
    <t>Taux_MS</t>
  </si>
  <si>
    <t>MF_Tot</t>
  </si>
  <si>
    <t>BS1</t>
  </si>
  <si>
    <t>BS2</t>
  </si>
  <si>
    <t>VCA</t>
  </si>
  <si>
    <t>MF</t>
  </si>
  <si>
    <t>MS</t>
  </si>
  <si>
    <t>f1</t>
  </si>
  <si>
    <t>6</t>
  </si>
  <si>
    <t>5</t>
  </si>
  <si>
    <t>22</t>
  </si>
  <si>
    <t>MONTEGIO</t>
  </si>
  <si>
    <t>2</t>
  </si>
  <si>
    <t>7</t>
  </si>
  <si>
    <t>MS Totale (Kg/Ha)</t>
  </si>
  <si>
    <t>1</t>
  </si>
  <si>
    <t>CH2</t>
  </si>
  <si>
    <t>BBCH60</t>
  </si>
  <si>
    <t>CHR</t>
  </si>
  <si>
    <t>PUI</t>
  </si>
  <si>
    <t>prelevé sur 2m20</t>
  </si>
  <si>
    <t xml:space="preserve">prelevé sur 2M06 </t>
  </si>
  <si>
    <t>PUI01</t>
  </si>
  <si>
    <t>prelevé sur 2M</t>
  </si>
  <si>
    <t>IPC</t>
  </si>
  <si>
    <t>INN3 Moyen</t>
  </si>
  <si>
    <t>% N MS1/5</t>
  </si>
  <si>
    <t>MSA Total (t/ha)</t>
  </si>
  <si>
    <t>%N 1/5</t>
  </si>
  <si>
    <t>N</t>
  </si>
  <si>
    <t>QT N</t>
  </si>
  <si>
    <t>Humidité</t>
  </si>
  <si>
    <t>MSTot</t>
  </si>
  <si>
    <t>%Ncrit</t>
  </si>
  <si>
    <t>QTéN</t>
  </si>
  <si>
    <t>Essai</t>
  </si>
  <si>
    <t>Panel</t>
  </si>
  <si>
    <t>Aviso-T</t>
  </si>
  <si>
    <t>Montego-T</t>
  </si>
  <si>
    <t>N2-DK-Exquisite</t>
  </si>
  <si>
    <t>Canopy A</t>
  </si>
  <si>
    <t>1+2A</t>
  </si>
  <si>
    <t>2B</t>
  </si>
  <si>
    <t>MS FSEN (g)</t>
  </si>
  <si>
    <t>MS FV</t>
  </si>
  <si>
    <t>MS TIGES</t>
  </si>
  <si>
    <t>MS HP Fleurs</t>
  </si>
  <si>
    <t>MSR2 Fleur</t>
  </si>
  <si>
    <t>N % NIRS</t>
  </si>
  <si>
    <t>FSEN</t>
  </si>
  <si>
    <t>FV</t>
  </si>
  <si>
    <t>HP Fleurs</t>
  </si>
  <si>
    <t>HP R2 Fleurs</t>
  </si>
  <si>
    <t>RN3</t>
  </si>
  <si>
    <t>Nam</t>
  </si>
  <si>
    <t>AUTEUR</t>
  </si>
  <si>
    <t>Erwan CORLOUER</t>
  </si>
  <si>
    <t>Version</t>
  </si>
  <si>
    <t>Description</t>
  </si>
  <si>
    <t>Compilation de l'ensemble des données INN3 des essais genergy AM_DH, RAPSODYN WP3 Panel, RAPSODYN WP4, RAPSODYN Canopy, pour l'élaboration des indicateurs (IPC) pour des analyses réseaux en PLS</t>
  </si>
  <si>
    <t>Mises à jours</t>
  </si>
  <si>
    <t>Auteur</t>
  </si>
  <si>
    <t>Date de la MàJ</t>
  </si>
  <si>
    <t>Commentaire</t>
  </si>
  <si>
    <t>E. CORLOUER</t>
  </si>
  <si>
    <t>Finalisation du fichier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</si>
</sst>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dd/mm/yy;@"/>
    <numFmt numFmtId="167" formatCode="d/m/yy;@"/>
    <numFmt numFmtId="168" formatCode="0.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name val="Arial"/>
      <family val="2"/>
    </font>
    <font>
      <sz val="8"/>
      <color indexed="8"/>
      <name val="Arial"/>
      <family val="2"/>
    </font>
    <font>
      <sz val="10"/>
      <name val="Arial"/>
      <family val="2"/>
      <charset val="1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14"/>
      <name val="Arial"/>
      <family val="2"/>
    </font>
    <font>
      <b/>
      <sz val="11"/>
      <name val="Geneva"/>
    </font>
    <font>
      <sz val="12"/>
      <name val="Arial"/>
      <family val="2"/>
    </font>
    <font>
      <b/>
      <sz val="16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9"/>
      <color rgb="FFFF0000"/>
      <name val="Geneva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00B0F0"/>
      </patternFill>
    </fill>
    <fill>
      <patternFill patternType="solid">
        <fgColor rgb="FFC00000"/>
        <bgColor indexed="64"/>
      </patternFill>
    </fill>
  </fills>
  <borders count="2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double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  <border>
      <left/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/>
      <top style="double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medium">
        <color indexed="64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6" fillId="0" borderId="0"/>
    <xf numFmtId="0" fontId="11" fillId="0" borderId="0"/>
    <xf numFmtId="0" fontId="13" fillId="0" borderId="0"/>
    <xf numFmtId="0" fontId="15" fillId="0" borderId="0"/>
    <xf numFmtId="0" fontId="4" fillId="0" borderId="0" applyNumberFormat="0" applyFont="0" applyFill="0" applyBorder="0" applyAlignment="0" applyProtection="0"/>
    <xf numFmtId="0" fontId="13" fillId="0" borderId="0"/>
    <xf numFmtId="0" fontId="4" fillId="0" borderId="0"/>
    <xf numFmtId="0" fontId="26" fillId="0" borderId="0"/>
    <xf numFmtId="0" fontId="4" fillId="0" borderId="0"/>
    <xf numFmtId="0" fontId="1" fillId="0" borderId="0"/>
  </cellStyleXfs>
  <cellXfs count="1821">
    <xf numFmtId="0" fontId="0" fillId="0" borderId="0" xfId="0"/>
    <xf numFmtId="0" fontId="4" fillId="0" borderId="0" xfId="2"/>
    <xf numFmtId="0" fontId="4" fillId="0" borderId="0" xfId="2" applyAlignment="1">
      <alignment horizontal="center"/>
    </xf>
    <xf numFmtId="0" fontId="6" fillId="0" borderId="7" xfId="3" applyBorder="1"/>
    <xf numFmtId="0" fontId="6" fillId="0" borderId="0" xfId="3"/>
    <xf numFmtId="0" fontId="8" fillId="3" borderId="9" xfId="2" applyFont="1" applyFill="1" applyBorder="1" applyAlignment="1">
      <alignment horizontal="center"/>
    </xf>
    <xf numFmtId="0" fontId="8" fillId="3" borderId="10" xfId="2" applyFont="1" applyFill="1" applyBorder="1" applyAlignment="1">
      <alignment horizontal="center"/>
    </xf>
    <xf numFmtId="0" fontId="8" fillId="3" borderId="11" xfId="2" applyFont="1" applyFill="1" applyBorder="1" applyAlignment="1">
      <alignment horizontal="center"/>
    </xf>
    <xf numFmtId="0" fontId="8" fillId="3" borderId="12" xfId="2" applyFont="1" applyFill="1" applyBorder="1" applyAlignment="1">
      <alignment horizontal="center"/>
    </xf>
    <xf numFmtId="0" fontId="8" fillId="3" borderId="13" xfId="2" applyFont="1" applyFill="1" applyBorder="1" applyAlignment="1">
      <alignment horizontal="center"/>
    </xf>
    <xf numFmtId="0" fontId="8" fillId="3" borderId="14" xfId="2" applyFont="1" applyFill="1" applyBorder="1" applyAlignment="1">
      <alignment horizontal="center"/>
    </xf>
    <xf numFmtId="0" fontId="8" fillId="3" borderId="15" xfId="2" applyFont="1" applyFill="1" applyBorder="1" applyAlignment="1">
      <alignment horizontal="center"/>
    </xf>
    <xf numFmtId="0" fontId="8" fillId="3" borderId="16" xfId="2" applyFont="1" applyFill="1" applyBorder="1" applyAlignment="1">
      <alignment horizontal="center"/>
    </xf>
    <xf numFmtId="0" fontId="8" fillId="3" borderId="7" xfId="2" applyFont="1" applyFill="1" applyBorder="1" applyAlignment="1">
      <alignment horizontal="center"/>
    </xf>
    <xf numFmtId="0" fontId="8" fillId="4" borderId="7" xfId="2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4" fillId="0" borderId="9" xfId="2" applyFont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4" fillId="0" borderId="9" xfId="2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4" fillId="0" borderId="12" xfId="2" applyFont="1" applyBorder="1" applyAlignment="1">
      <alignment horizontal="center"/>
    </xf>
    <xf numFmtId="0" fontId="4" fillId="0" borderId="12" xfId="2" applyBorder="1" applyAlignment="1">
      <alignment horizontal="center"/>
    </xf>
    <xf numFmtId="0" fontId="4" fillId="0" borderId="22" xfId="2" applyFont="1" applyBorder="1" applyAlignment="1">
      <alignment horizontal="center"/>
    </xf>
    <xf numFmtId="0" fontId="4" fillId="0" borderId="23" xfId="2" applyBorder="1" applyAlignment="1">
      <alignment horizontal="center"/>
    </xf>
    <xf numFmtId="0" fontId="4" fillId="0" borderId="24" xfId="2" applyBorder="1"/>
    <xf numFmtId="0" fontId="6" fillId="0" borderId="25" xfId="3" applyBorder="1"/>
    <xf numFmtId="0" fontId="4" fillId="0" borderId="26" xfId="2" applyNumberFormat="1" applyBorder="1" applyAlignment="1">
      <alignment horizontal="center"/>
    </xf>
    <xf numFmtId="0" fontId="4" fillId="0" borderId="27" xfId="2" applyBorder="1" applyAlignment="1">
      <alignment horizontal="center"/>
    </xf>
    <xf numFmtId="0" fontId="4" fillId="0" borderId="20" xfId="2" applyBorder="1"/>
    <xf numFmtId="0" fontId="4" fillId="0" borderId="9" xfId="2" applyNumberFormat="1" applyBorder="1" applyAlignment="1">
      <alignment horizontal="center"/>
    </xf>
    <xf numFmtId="0" fontId="4" fillId="0" borderId="1" xfId="2" applyBorder="1" applyAlignment="1">
      <alignment horizontal="center"/>
    </xf>
    <xf numFmtId="0" fontId="4" fillId="0" borderId="7" xfId="2" applyBorder="1"/>
    <xf numFmtId="0" fontId="4" fillId="0" borderId="12" xfId="2" applyNumberFormat="1" applyBorder="1" applyAlignment="1">
      <alignment horizontal="center"/>
    </xf>
    <xf numFmtId="0" fontId="4" fillId="0" borderId="28" xfId="2" applyBorder="1" applyAlignment="1">
      <alignment horizontal="center"/>
    </xf>
    <xf numFmtId="0" fontId="4" fillId="0" borderId="22" xfId="2" applyNumberFormat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justify"/>
    </xf>
    <xf numFmtId="0" fontId="10" fillId="6" borderId="7" xfId="0" applyFont="1" applyFill="1" applyBorder="1" applyAlignment="1">
      <alignment horizontal="center" vertical="justify"/>
    </xf>
    <xf numFmtId="0" fontId="4" fillId="0" borderId="29" xfId="2" applyNumberFormat="1" applyBorder="1" applyAlignment="1">
      <alignment horizontal="center"/>
    </xf>
    <xf numFmtId="0" fontId="4" fillId="0" borderId="30" xfId="2" applyBorder="1" applyAlignment="1">
      <alignment horizontal="center"/>
    </xf>
    <xf numFmtId="0" fontId="6" fillId="0" borderId="31" xfId="3" applyBorder="1"/>
    <xf numFmtId="0" fontId="4" fillId="0" borderId="0" xfId="2" applyNumberFormat="1" applyBorder="1" applyAlignment="1">
      <alignment horizontal="center"/>
    </xf>
    <xf numFmtId="0" fontId="4" fillId="0" borderId="0" xfId="2" applyBorder="1" applyAlignment="1">
      <alignment horizontal="center"/>
    </xf>
    <xf numFmtId="0" fontId="4" fillId="0" borderId="0" xfId="2" applyBorder="1"/>
    <xf numFmtId="0" fontId="6" fillId="0" borderId="0" xfId="3" applyBorder="1"/>
    <xf numFmtId="0" fontId="9" fillId="6" borderId="7" xfId="0" applyNumberFormat="1" applyFont="1" applyFill="1" applyBorder="1" applyAlignment="1">
      <alignment horizontal="center"/>
    </xf>
    <xf numFmtId="164" fontId="10" fillId="6" borderId="7" xfId="4" applyNumberFormat="1" applyFont="1" applyFill="1" applyBorder="1" applyAlignment="1">
      <alignment horizontal="center"/>
    </xf>
    <xf numFmtId="1" fontId="4" fillId="0" borderId="0" xfId="2" applyNumberFormat="1"/>
    <xf numFmtId="0" fontId="8" fillId="0" borderId="0" xfId="2" applyFont="1"/>
    <xf numFmtId="0" fontId="4" fillId="0" borderId="0" xfId="2" applyFont="1"/>
    <xf numFmtId="0" fontId="4" fillId="0" borderId="0" xfId="2" applyAlignment="1">
      <alignment horizontal="center" vertical="center"/>
    </xf>
    <xf numFmtId="0" fontId="6" fillId="0" borderId="7" xfId="3" applyBorder="1" applyAlignment="1">
      <alignment horizontal="center" vertical="center"/>
    </xf>
    <xf numFmtId="0" fontId="6" fillId="0" borderId="0" xfId="3" applyAlignment="1">
      <alignment horizontal="center" vertical="center"/>
    </xf>
    <xf numFmtId="0" fontId="8" fillId="3" borderId="12" xfId="2" applyFont="1" applyFill="1" applyBorder="1" applyAlignment="1">
      <alignment horizontal="center" vertical="center"/>
    </xf>
    <xf numFmtId="0" fontId="8" fillId="3" borderId="13" xfId="2" applyFont="1" applyFill="1" applyBorder="1" applyAlignment="1">
      <alignment horizontal="center" vertical="center"/>
    </xf>
    <xf numFmtId="0" fontId="8" fillId="3" borderId="32" xfId="2" applyFont="1" applyFill="1" applyBorder="1" applyAlignment="1">
      <alignment horizontal="center" vertical="center"/>
    </xf>
    <xf numFmtId="0" fontId="8" fillId="3" borderId="14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8" fillId="3" borderId="16" xfId="2" applyFont="1" applyFill="1" applyBorder="1" applyAlignment="1">
      <alignment horizontal="center" vertical="center"/>
    </xf>
    <xf numFmtId="0" fontId="8" fillId="3" borderId="33" xfId="2" applyFont="1" applyFill="1" applyBorder="1" applyAlignment="1">
      <alignment horizontal="center" vertical="center"/>
    </xf>
    <xf numFmtId="0" fontId="8" fillId="4" borderId="33" xfId="2" applyFont="1" applyFill="1" applyBorder="1" applyAlignment="1">
      <alignment horizontal="center" vertical="center"/>
    </xf>
    <xf numFmtId="0" fontId="14" fillId="7" borderId="20" xfId="5" applyFont="1" applyFill="1" applyBorder="1" applyAlignment="1">
      <alignment horizontal="center" vertical="center" wrapText="1"/>
    </xf>
    <xf numFmtId="15" fontId="14" fillId="7" borderId="34" xfId="5" applyNumberFormat="1" applyFont="1" applyFill="1" applyBorder="1" applyAlignment="1">
      <alignment horizontal="center" vertical="center" wrapText="1"/>
    </xf>
    <xf numFmtId="0" fontId="14" fillId="7" borderId="7" xfId="5" applyFont="1" applyFill="1" applyBorder="1" applyAlignment="1">
      <alignment horizontal="center" vertical="center" wrapText="1"/>
    </xf>
    <xf numFmtId="0" fontId="4" fillId="7" borderId="7" xfId="2" applyFont="1" applyFill="1" applyBorder="1" applyAlignment="1">
      <alignment horizontal="center" vertical="center"/>
    </xf>
    <xf numFmtId="0" fontId="4" fillId="7" borderId="7" xfId="2" applyFill="1" applyBorder="1" applyAlignment="1">
      <alignment horizontal="center" vertical="center"/>
    </xf>
    <xf numFmtId="164" fontId="14" fillId="7" borderId="19" xfId="5" applyNumberFormat="1" applyFont="1" applyFill="1" applyBorder="1" applyAlignment="1">
      <alignment horizontal="center" vertical="center" wrapText="1"/>
    </xf>
    <xf numFmtId="0" fontId="4" fillId="7" borderId="35" xfId="5" applyFont="1" applyFill="1" applyBorder="1" applyAlignment="1">
      <alignment horizontal="center" vertical="center" wrapText="1"/>
    </xf>
    <xf numFmtId="2" fontId="4" fillId="7" borderId="7" xfId="2" applyNumberFormat="1" applyFill="1" applyBorder="1" applyAlignment="1">
      <alignment horizontal="center" vertical="center"/>
    </xf>
    <xf numFmtId="165" fontId="6" fillId="7" borderId="7" xfId="3" applyNumberFormat="1" applyFill="1" applyBorder="1" applyAlignment="1">
      <alignment horizontal="center" vertical="center"/>
    </xf>
    <xf numFmtId="0" fontId="6" fillId="7" borderId="7" xfId="3" applyFill="1" applyBorder="1"/>
    <xf numFmtId="15" fontId="14" fillId="7" borderId="8" xfId="5" applyNumberFormat="1" applyFont="1" applyFill="1" applyBorder="1" applyAlignment="1">
      <alignment horizontal="center" vertical="center" wrapText="1"/>
    </xf>
    <xf numFmtId="164" fontId="14" fillId="7" borderId="21" xfId="5" applyNumberFormat="1" applyFont="1" applyFill="1" applyBorder="1" applyAlignment="1">
      <alignment horizontal="center" vertical="center" wrapText="1"/>
    </xf>
    <xf numFmtId="0" fontId="4" fillId="7" borderId="36" xfId="5" applyFont="1" applyFill="1" applyBorder="1" applyAlignment="1">
      <alignment horizontal="center" vertical="center" wrapText="1"/>
    </xf>
    <xf numFmtId="0" fontId="4" fillId="7" borderId="7" xfId="2" applyNumberFormat="1" applyFill="1" applyBorder="1" applyAlignment="1">
      <alignment horizontal="center" vertical="center"/>
    </xf>
    <xf numFmtId="0" fontId="14" fillId="0" borderId="7" xfId="5" applyFont="1" applyFill="1" applyBorder="1" applyAlignment="1">
      <alignment horizontal="center" vertical="center" wrapText="1"/>
    </xf>
    <xf numFmtId="15" fontId="14" fillId="0" borderId="8" xfId="5" applyNumberFormat="1" applyFont="1" applyFill="1" applyBorder="1" applyAlignment="1">
      <alignment horizontal="center" vertical="center" wrapText="1"/>
    </xf>
    <xf numFmtId="0" fontId="4" fillId="0" borderId="7" xfId="2" applyNumberFormat="1" applyBorder="1" applyAlignment="1">
      <alignment horizontal="center" vertical="center"/>
    </xf>
    <xf numFmtId="0" fontId="4" fillId="0" borderId="7" xfId="2" applyBorder="1" applyAlignment="1">
      <alignment horizontal="center" vertical="center"/>
    </xf>
    <xf numFmtId="164" fontId="14" fillId="0" borderId="21" xfId="5" applyNumberFormat="1" applyFont="1" applyFill="1" applyBorder="1" applyAlignment="1">
      <alignment horizontal="center" vertical="center" wrapText="1"/>
    </xf>
    <xf numFmtId="0" fontId="4" fillId="0" borderId="36" xfId="5" applyFont="1" applyFill="1" applyBorder="1" applyAlignment="1">
      <alignment horizontal="center" vertical="center" wrapText="1"/>
    </xf>
    <xf numFmtId="2" fontId="4" fillId="0" borderId="7" xfId="2" applyNumberFormat="1" applyFill="1" applyBorder="1" applyAlignment="1">
      <alignment horizontal="center" vertical="center"/>
    </xf>
    <xf numFmtId="2" fontId="4" fillId="0" borderId="7" xfId="2" applyNumberFormat="1" applyBorder="1" applyAlignment="1">
      <alignment horizontal="center" vertical="center"/>
    </xf>
    <xf numFmtId="165" fontId="6" fillId="0" borderId="7" xfId="3" applyNumberFormat="1" applyBorder="1" applyAlignment="1">
      <alignment horizontal="center" vertical="center"/>
    </xf>
    <xf numFmtId="2" fontId="4" fillId="0" borderId="36" xfId="5" applyNumberFormat="1" applyFont="1" applyFill="1" applyBorder="1" applyAlignment="1">
      <alignment horizontal="center" vertical="center" wrapText="1"/>
    </xf>
    <xf numFmtId="1" fontId="4" fillId="0" borderId="7" xfId="2" applyNumberFormat="1" applyBorder="1" applyAlignment="1">
      <alignment horizontal="center" vertical="center"/>
    </xf>
    <xf numFmtId="2" fontId="14" fillId="7" borderId="7" xfId="5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8" fillId="3" borderId="28" xfId="2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166" fontId="14" fillId="5" borderId="7" xfId="0" applyNumberFormat="1" applyFont="1" applyFill="1" applyBorder="1" applyAlignment="1">
      <alignment horizontal="center" vertical="center"/>
    </xf>
    <xf numFmtId="0" fontId="14" fillId="5" borderId="7" xfId="5" applyFont="1" applyFill="1" applyBorder="1" applyAlignment="1">
      <alignment horizontal="center" vertical="center" wrapText="1"/>
    </xf>
    <xf numFmtId="0" fontId="4" fillId="5" borderId="7" xfId="2" applyFont="1" applyFill="1" applyBorder="1" applyAlignment="1">
      <alignment horizontal="center" vertical="center"/>
    </xf>
    <xf numFmtId="0" fontId="14" fillId="5" borderId="7" xfId="2" applyFont="1" applyFill="1" applyBorder="1" applyAlignment="1">
      <alignment horizontal="center" vertical="center"/>
    </xf>
    <xf numFmtId="0" fontId="4" fillId="5" borderId="8" xfId="2" applyFill="1" applyBorder="1" applyAlignment="1">
      <alignment horizontal="center" vertical="center"/>
    </xf>
    <xf numFmtId="0" fontId="4" fillId="5" borderId="37" xfId="2" applyFill="1" applyBorder="1" applyAlignment="1">
      <alignment horizontal="center" vertical="center"/>
    </xf>
    <xf numFmtId="164" fontId="18" fillId="5" borderId="7" xfId="0" applyNumberFormat="1" applyFont="1" applyFill="1" applyBorder="1" applyAlignment="1">
      <alignment horizontal="center" vertical="center"/>
    </xf>
    <xf numFmtId="0" fontId="4" fillId="5" borderId="38" xfId="2" applyFill="1" applyBorder="1" applyAlignment="1">
      <alignment horizontal="center" vertical="center"/>
    </xf>
    <xf numFmtId="1" fontId="14" fillId="5" borderId="39" xfId="0" applyNumberFormat="1" applyFont="1" applyFill="1" applyBorder="1" applyAlignment="1">
      <alignment horizontal="center" vertical="center"/>
    </xf>
    <xf numFmtId="0" fontId="4" fillId="5" borderId="7" xfId="2" applyFill="1" applyBorder="1" applyAlignment="1">
      <alignment horizontal="center" vertical="center"/>
    </xf>
    <xf numFmtId="164" fontId="14" fillId="5" borderId="7" xfId="0" applyNumberFormat="1" applyFont="1" applyFill="1" applyBorder="1" applyAlignment="1">
      <alignment horizontal="center" vertical="center" wrapText="1"/>
    </xf>
    <xf numFmtId="164" fontId="4" fillId="5" borderId="7" xfId="2" applyNumberFormat="1" applyFill="1" applyBorder="1" applyAlignment="1">
      <alignment horizontal="center" vertical="center"/>
    </xf>
    <xf numFmtId="164" fontId="14" fillId="5" borderId="20" xfId="0" applyNumberFormat="1" applyFont="1" applyFill="1" applyBorder="1" applyAlignment="1">
      <alignment horizontal="center" vertical="center" wrapText="1"/>
    </xf>
    <xf numFmtId="2" fontId="4" fillId="5" borderId="7" xfId="2" applyNumberFormat="1" applyFill="1" applyBorder="1" applyAlignment="1">
      <alignment horizontal="center" vertical="center"/>
    </xf>
    <xf numFmtId="164" fontId="14" fillId="5" borderId="20" xfId="0" applyNumberFormat="1" applyFont="1" applyFill="1" applyBorder="1" applyAlignment="1">
      <alignment horizontal="center" vertical="center"/>
    </xf>
    <xf numFmtId="165" fontId="6" fillId="5" borderId="7" xfId="3" applyNumberFormat="1" applyFill="1" applyBorder="1" applyAlignment="1">
      <alignment horizontal="center" vertical="center"/>
    </xf>
    <xf numFmtId="0" fontId="6" fillId="5" borderId="7" xfId="3" applyFill="1" applyBorder="1"/>
    <xf numFmtId="164" fontId="14" fillId="5" borderId="7" xfId="0" applyNumberFormat="1" applyFont="1" applyFill="1" applyBorder="1" applyAlignment="1">
      <alignment horizontal="center" vertical="center"/>
    </xf>
    <xf numFmtId="0" fontId="4" fillId="5" borderId="7" xfId="2" applyNumberForma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166" fontId="14" fillId="0" borderId="7" xfId="0" applyNumberFormat="1" applyFont="1" applyFill="1" applyBorder="1" applyAlignment="1">
      <alignment horizontal="center" vertical="center"/>
    </xf>
    <xf numFmtId="0" fontId="4" fillId="0" borderId="7" xfId="2" applyNumberFormat="1" applyFill="1" applyBorder="1" applyAlignment="1">
      <alignment horizontal="center" vertical="center"/>
    </xf>
    <xf numFmtId="2" fontId="14" fillId="0" borderId="7" xfId="0" applyNumberFormat="1" applyFont="1" applyFill="1" applyBorder="1" applyAlignment="1">
      <alignment horizontal="center" vertical="center" wrapText="1"/>
    </xf>
    <xf numFmtId="0" fontId="4" fillId="0" borderId="8" xfId="2" applyFill="1" applyBorder="1" applyAlignment="1">
      <alignment horizontal="center" vertical="center"/>
    </xf>
    <xf numFmtId="0" fontId="4" fillId="0" borderId="37" xfId="2" applyFill="1" applyBorder="1" applyAlignment="1">
      <alignment horizontal="center" vertical="center"/>
    </xf>
    <xf numFmtId="164" fontId="14" fillId="0" borderId="7" xfId="0" applyNumberFormat="1" applyFont="1" applyFill="1" applyBorder="1" applyAlignment="1">
      <alignment horizontal="center" vertical="center"/>
    </xf>
    <xf numFmtId="0" fontId="4" fillId="0" borderId="38" xfId="2" applyFill="1" applyBorder="1" applyAlignment="1">
      <alignment horizontal="center" vertical="center"/>
    </xf>
    <xf numFmtId="1" fontId="19" fillId="0" borderId="39" xfId="0" applyNumberFormat="1" applyFont="1" applyFill="1" applyBorder="1" applyAlignment="1">
      <alignment horizontal="center" vertical="center"/>
    </xf>
    <xf numFmtId="0" fontId="4" fillId="0" borderId="7" xfId="2" applyFill="1" applyBorder="1" applyAlignment="1">
      <alignment horizontal="center" vertical="center"/>
    </xf>
    <xf numFmtId="164" fontId="14" fillId="0" borderId="7" xfId="0" applyNumberFormat="1" applyFont="1" applyFill="1" applyBorder="1" applyAlignment="1">
      <alignment horizontal="center" vertical="center" wrapText="1"/>
    </xf>
    <xf numFmtId="164" fontId="4" fillId="0" borderId="7" xfId="2" applyNumberFormat="1" applyFill="1" applyBorder="1" applyAlignment="1">
      <alignment horizontal="center" vertical="center"/>
    </xf>
    <xf numFmtId="164" fontId="14" fillId="0" borderId="20" xfId="0" applyNumberFormat="1" applyFont="1" applyFill="1" applyBorder="1" applyAlignment="1">
      <alignment horizontal="center" vertical="center" wrapText="1"/>
    </xf>
    <xf numFmtId="165" fontId="6" fillId="0" borderId="7" xfId="3" applyNumberFormat="1" applyFill="1" applyBorder="1" applyAlignment="1">
      <alignment horizontal="center" vertical="center"/>
    </xf>
    <xf numFmtId="0" fontId="6" fillId="0" borderId="7" xfId="3" applyFill="1" applyBorder="1"/>
    <xf numFmtId="1" fontId="14" fillId="0" borderId="39" xfId="0" applyNumberFormat="1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167" fontId="15" fillId="5" borderId="34" xfId="7" applyNumberFormat="1" applyFont="1" applyFill="1" applyBorder="1" applyAlignment="1">
      <alignment horizontal="center" wrapText="1"/>
    </xf>
    <xf numFmtId="0" fontId="0" fillId="5" borderId="21" xfId="0" applyFill="1" applyBorder="1" applyAlignment="1">
      <alignment horizontal="center"/>
    </xf>
    <xf numFmtId="2" fontId="0" fillId="5" borderId="20" xfId="0" applyNumberFormat="1" applyFill="1" applyBorder="1" applyAlignment="1">
      <alignment horizontal="center"/>
    </xf>
    <xf numFmtId="1" fontId="15" fillId="5" borderId="19" xfId="7" applyNumberFormat="1" applyFont="1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2" fontId="15" fillId="5" borderId="18" xfId="7" applyNumberFormat="1" applyFont="1" applyFill="1" applyBorder="1" applyAlignment="1">
      <alignment horizontal="center" wrapText="1"/>
    </xf>
    <xf numFmtId="0" fontId="0" fillId="5" borderId="1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167" fontId="15" fillId="5" borderId="8" xfId="7" applyNumberFormat="1" applyFont="1" applyFill="1" applyBorder="1" applyAlignment="1">
      <alignment horizontal="center" wrapText="1"/>
    </xf>
    <xf numFmtId="2" fontId="0" fillId="5" borderId="7" xfId="0" applyNumberFormat="1" applyFill="1" applyBorder="1" applyAlignment="1">
      <alignment horizontal="center"/>
    </xf>
    <xf numFmtId="1" fontId="15" fillId="5" borderId="21" xfId="7" applyNumberFormat="1" applyFont="1" applyFill="1" applyBorder="1" applyAlignment="1">
      <alignment horizontal="center" wrapText="1"/>
    </xf>
    <xf numFmtId="2" fontId="15" fillId="5" borderId="20" xfId="7" applyNumberFormat="1" applyFont="1" applyFill="1" applyBorder="1" applyAlignment="1">
      <alignment horizontal="center" wrapText="1"/>
    </xf>
    <xf numFmtId="0" fontId="0" fillId="5" borderId="8" xfId="0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167" fontId="15" fillId="6" borderId="8" xfId="8" applyNumberFormat="1" applyFont="1" applyFill="1" applyBorder="1" applyAlignment="1">
      <alignment horizontal="center" wrapText="1"/>
    </xf>
    <xf numFmtId="0" fontId="4" fillId="6" borderId="7" xfId="9" applyFont="1" applyFill="1" applyBorder="1" applyAlignment="1">
      <alignment horizontal="center"/>
    </xf>
    <xf numFmtId="0" fontId="15" fillId="6" borderId="7" xfId="9" applyFont="1" applyFill="1" applyBorder="1" applyAlignment="1">
      <alignment horizontal="center"/>
    </xf>
    <xf numFmtId="2" fontId="15" fillId="6" borderId="21" xfId="8" applyNumberFormat="1" applyFont="1" applyFill="1" applyBorder="1" applyAlignment="1">
      <alignment horizontal="center" wrapText="1"/>
    </xf>
    <xf numFmtId="2" fontId="0" fillId="6" borderId="7" xfId="0" applyNumberFormat="1" applyFill="1" applyBorder="1" applyAlignment="1">
      <alignment horizontal="center"/>
    </xf>
    <xf numFmtId="1" fontId="15" fillId="6" borderId="21" xfId="7" applyNumberFormat="1" applyFont="1" applyFill="1" applyBorder="1" applyAlignment="1">
      <alignment horizontal="center" wrapText="1"/>
    </xf>
    <xf numFmtId="2" fontId="15" fillId="6" borderId="7" xfId="8" applyNumberFormat="1" applyFont="1" applyFill="1" applyBorder="1" applyAlignment="1">
      <alignment horizontal="center" wrapText="1"/>
    </xf>
    <xf numFmtId="2" fontId="15" fillId="6" borderId="20" xfId="7" applyNumberFormat="1" applyFont="1" applyFill="1" applyBorder="1" applyAlignment="1">
      <alignment horizontal="center" wrapText="1"/>
    </xf>
    <xf numFmtId="0" fontId="0" fillId="6" borderId="8" xfId="0" applyFill="1" applyBorder="1" applyAlignment="1">
      <alignment horizontal="center" vertical="center"/>
    </xf>
    <xf numFmtId="14" fontId="4" fillId="0" borderId="9" xfId="2" applyNumberFormat="1" applyFont="1" applyBorder="1" applyAlignment="1">
      <alignment horizontal="center"/>
    </xf>
    <xf numFmtId="0" fontId="4" fillId="0" borderId="10" xfId="2" applyBorder="1" applyAlignment="1">
      <alignment horizontal="center"/>
    </xf>
    <xf numFmtId="0" fontId="4" fillId="0" borderId="1" xfId="2" applyBorder="1" applyAlignment="1">
      <alignment horizontal="center"/>
    </xf>
    <xf numFmtId="0" fontId="4" fillId="0" borderId="7" xfId="2" applyBorder="1" applyAlignment="1">
      <alignment horizontal="center"/>
    </xf>
    <xf numFmtId="2" fontId="4" fillId="0" borderId="46" xfId="2" applyNumberFormat="1" applyBorder="1" applyAlignment="1">
      <alignment horizontal="center"/>
    </xf>
    <xf numFmtId="2" fontId="4" fillId="0" borderId="9" xfId="2" applyNumberFormat="1" applyBorder="1" applyAlignment="1">
      <alignment horizontal="center"/>
    </xf>
    <xf numFmtId="165" fontId="6" fillId="0" borderId="7" xfId="3" applyNumberFormat="1" applyBorder="1" applyAlignment="1">
      <alignment horizontal="center"/>
    </xf>
    <xf numFmtId="14" fontId="4" fillId="0" borderId="12" xfId="2" applyNumberFormat="1" applyFont="1" applyBorder="1" applyAlignment="1">
      <alignment horizontal="center"/>
    </xf>
    <xf numFmtId="0" fontId="4" fillId="0" borderId="13" xfId="2" applyBorder="1" applyAlignment="1">
      <alignment horizontal="center"/>
    </xf>
    <xf numFmtId="0" fontId="4" fillId="0" borderId="33" xfId="2" applyBorder="1" applyAlignment="1">
      <alignment horizontal="center"/>
    </xf>
    <xf numFmtId="2" fontId="4" fillId="0" borderId="14" xfId="2" applyNumberFormat="1" applyBorder="1" applyAlignment="1">
      <alignment horizontal="center"/>
    </xf>
    <xf numFmtId="2" fontId="4" fillId="0" borderId="12" xfId="2" applyNumberFormat="1" applyBorder="1" applyAlignment="1">
      <alignment horizontal="center"/>
    </xf>
    <xf numFmtId="165" fontId="6" fillId="0" borderId="33" xfId="3" applyNumberFormat="1" applyBorder="1" applyAlignment="1">
      <alignment horizontal="center"/>
    </xf>
    <xf numFmtId="14" fontId="4" fillId="0" borderId="22" xfId="2" applyNumberFormat="1" applyFont="1" applyBorder="1" applyAlignment="1">
      <alignment horizontal="center"/>
    </xf>
    <xf numFmtId="0" fontId="4" fillId="0" borderId="22" xfId="2" applyBorder="1" applyAlignment="1">
      <alignment horizontal="center"/>
    </xf>
    <xf numFmtId="0" fontId="4" fillId="0" borderId="50" xfId="2" applyBorder="1" applyAlignment="1">
      <alignment horizontal="center"/>
    </xf>
    <xf numFmtId="0" fontId="4" fillId="0" borderId="24" xfId="2" applyBorder="1" applyAlignment="1">
      <alignment horizontal="center"/>
    </xf>
    <xf numFmtId="0" fontId="4" fillId="0" borderId="54" xfId="2" applyBorder="1" applyAlignment="1">
      <alignment horizontal="center"/>
    </xf>
    <xf numFmtId="2" fontId="4" fillId="0" borderId="53" xfId="2" applyNumberFormat="1" applyBorder="1" applyAlignment="1">
      <alignment horizontal="center"/>
    </xf>
    <xf numFmtId="2" fontId="4" fillId="0" borderId="22" xfId="2" applyNumberFormat="1" applyBorder="1" applyAlignment="1">
      <alignment horizontal="center"/>
    </xf>
    <xf numFmtId="165" fontId="6" fillId="0" borderId="24" xfId="3" applyNumberFormat="1" applyBorder="1" applyAlignment="1">
      <alignment horizontal="center"/>
    </xf>
    <xf numFmtId="0" fontId="4" fillId="0" borderId="26" xfId="2" applyFont="1" applyBorder="1" applyAlignment="1">
      <alignment horizontal="center"/>
    </xf>
    <xf numFmtId="14" fontId="4" fillId="0" borderId="26" xfId="2" applyNumberFormat="1" applyFont="1" applyBorder="1" applyAlignment="1">
      <alignment horizontal="center"/>
    </xf>
    <xf numFmtId="0" fontId="4" fillId="0" borderId="26" xfId="2" applyBorder="1" applyAlignment="1">
      <alignment horizontal="center"/>
    </xf>
    <xf numFmtId="0" fontId="4" fillId="0" borderId="55" xfId="2" applyBorder="1" applyAlignment="1">
      <alignment horizontal="center"/>
    </xf>
    <xf numFmtId="0" fontId="4" fillId="0" borderId="56" xfId="2" applyBorder="1" applyAlignment="1">
      <alignment horizontal="center"/>
    </xf>
    <xf numFmtId="0" fontId="4" fillId="0" borderId="20" xfId="2" applyBorder="1" applyAlignment="1">
      <alignment horizontal="center"/>
    </xf>
    <xf numFmtId="2" fontId="4" fillId="0" borderId="20" xfId="2" applyNumberFormat="1" applyBorder="1" applyAlignment="1">
      <alignment horizontal="center"/>
    </xf>
    <xf numFmtId="2" fontId="4" fillId="0" borderId="57" xfId="2" applyNumberFormat="1" applyBorder="1" applyAlignment="1">
      <alignment horizontal="center"/>
    </xf>
    <xf numFmtId="165" fontId="6" fillId="0" borderId="20" xfId="3" applyNumberFormat="1" applyBorder="1" applyAlignment="1">
      <alignment horizontal="center"/>
    </xf>
    <xf numFmtId="0" fontId="4" fillId="0" borderId="3" xfId="2" applyBorder="1" applyAlignment="1">
      <alignment horizontal="center"/>
    </xf>
    <xf numFmtId="0" fontId="4" fillId="0" borderId="11" xfId="2" applyBorder="1" applyAlignment="1">
      <alignment horizontal="center"/>
    </xf>
    <xf numFmtId="2" fontId="4" fillId="0" borderId="7" xfId="2" applyNumberFormat="1" applyBorder="1" applyAlignment="1">
      <alignment horizontal="center"/>
    </xf>
    <xf numFmtId="0" fontId="4" fillId="0" borderId="58" xfId="2" applyBorder="1" applyAlignment="1">
      <alignment horizontal="center"/>
    </xf>
    <xf numFmtId="0" fontId="4" fillId="0" borderId="32" xfId="2" applyBorder="1" applyAlignment="1">
      <alignment horizontal="center"/>
    </xf>
    <xf numFmtId="0" fontId="4" fillId="0" borderId="59" xfId="2" applyBorder="1" applyAlignment="1">
      <alignment horizontal="center"/>
    </xf>
    <xf numFmtId="2" fontId="4" fillId="0" borderId="24" xfId="2" applyNumberFormat="1" applyBorder="1" applyAlignment="1">
      <alignment horizontal="center"/>
    </xf>
    <xf numFmtId="165" fontId="6" fillId="0" borderId="7" xfId="3" applyNumberFormat="1" applyFill="1" applyBorder="1" applyAlignment="1">
      <alignment horizontal="center"/>
    </xf>
    <xf numFmtId="0" fontId="4" fillId="0" borderId="29" xfId="2" applyFont="1" applyBorder="1" applyAlignment="1">
      <alignment horizontal="center"/>
    </xf>
    <xf numFmtId="14" fontId="4" fillId="0" borderId="29" xfId="2" applyNumberFormat="1" applyFont="1" applyBorder="1" applyAlignment="1">
      <alignment horizontal="center"/>
    </xf>
    <xf numFmtId="0" fontId="4" fillId="0" borderId="29" xfId="2" applyBorder="1" applyAlignment="1">
      <alignment horizontal="center"/>
    </xf>
    <xf numFmtId="0" fontId="4" fillId="0" borderId="63" xfId="2" applyBorder="1" applyAlignment="1">
      <alignment horizontal="center"/>
    </xf>
    <xf numFmtId="0" fontId="4" fillId="0" borderId="60" xfId="2" applyBorder="1" applyAlignment="1">
      <alignment horizontal="center"/>
    </xf>
    <xf numFmtId="2" fontId="4" fillId="0" borderId="64" xfId="2" applyNumberFormat="1" applyBorder="1" applyAlignment="1">
      <alignment horizontal="center"/>
    </xf>
    <xf numFmtId="0" fontId="8" fillId="3" borderId="32" xfId="2" applyFont="1" applyFill="1" applyBorder="1" applyAlignment="1">
      <alignment horizontal="center"/>
    </xf>
    <xf numFmtId="0" fontId="8" fillId="3" borderId="33" xfId="2" applyFont="1" applyFill="1" applyBorder="1" applyAlignment="1">
      <alignment horizontal="center"/>
    </xf>
    <xf numFmtId="0" fontId="8" fillId="4" borderId="33" xfId="2" applyFont="1" applyFill="1" applyBorder="1" applyAlignment="1">
      <alignment horizontal="center"/>
    </xf>
    <xf numFmtId="0" fontId="4" fillId="0" borderId="65" xfId="2" applyFont="1" applyBorder="1" applyAlignment="1">
      <alignment horizontal="center"/>
    </xf>
    <xf numFmtId="14" fontId="4" fillId="0" borderId="65" xfId="2" applyNumberFormat="1" applyFont="1" applyBorder="1" applyAlignment="1">
      <alignment horizontal="center"/>
    </xf>
    <xf numFmtId="0" fontId="4" fillId="0" borderId="65" xfId="2" applyNumberFormat="1" applyBorder="1" applyAlignment="1">
      <alignment horizontal="center"/>
    </xf>
    <xf numFmtId="0" fontId="4" fillId="0" borderId="65" xfId="2" applyBorder="1" applyAlignment="1">
      <alignment horizontal="center"/>
    </xf>
    <xf numFmtId="0" fontId="0" fillId="0" borderId="66" xfId="0" applyBorder="1" applyAlignment="1">
      <alignment horizontal="center" vertical="center" wrapText="1"/>
    </xf>
    <xf numFmtId="0" fontId="4" fillId="0" borderId="67" xfId="2" applyBorder="1" applyAlignment="1">
      <alignment horizontal="center"/>
    </xf>
    <xf numFmtId="0" fontId="4" fillId="0" borderId="68" xfId="2" applyBorder="1" applyAlignment="1">
      <alignment horizontal="center"/>
    </xf>
    <xf numFmtId="2" fontId="4" fillId="0" borderId="69" xfId="2" applyNumberFormat="1" applyBorder="1" applyAlignment="1">
      <alignment horizontal="center"/>
    </xf>
    <xf numFmtId="2" fontId="4" fillId="0" borderId="65" xfId="2" applyNumberFormat="1" applyBorder="1" applyAlignment="1">
      <alignment horizontal="center"/>
    </xf>
    <xf numFmtId="0" fontId="0" fillId="0" borderId="7" xfId="0" applyNumberFormat="1" applyBorder="1"/>
    <xf numFmtId="0" fontId="0" fillId="0" borderId="70" xfId="0" applyBorder="1" applyAlignment="1">
      <alignment horizontal="center" vertical="center" wrapText="1"/>
    </xf>
    <xf numFmtId="0" fontId="0" fillId="0" borderId="18" xfId="0" applyNumberFormat="1" applyBorder="1"/>
    <xf numFmtId="0" fontId="0" fillId="0" borderId="7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4" fillId="0" borderId="73" xfId="2" applyBorder="1" applyAlignment="1">
      <alignment horizontal="center"/>
    </xf>
    <xf numFmtId="0" fontId="4" fillId="0" borderId="74" xfId="2" applyBorder="1" applyAlignment="1">
      <alignment horizontal="center"/>
    </xf>
    <xf numFmtId="2" fontId="4" fillId="0" borderId="29" xfId="2" applyNumberFormat="1" applyBorder="1" applyAlignment="1">
      <alignment horizontal="center"/>
    </xf>
    <xf numFmtId="0" fontId="0" fillId="0" borderId="75" xfId="0" applyNumberFormat="1" applyBorder="1"/>
    <xf numFmtId="0" fontId="4" fillId="0" borderId="77" xfId="2" applyBorder="1" applyAlignment="1">
      <alignment horizontal="center"/>
    </xf>
    <xf numFmtId="2" fontId="4" fillId="0" borderId="26" xfId="2" applyNumberFormat="1" applyBorder="1" applyAlignment="1">
      <alignment horizontal="center"/>
    </xf>
    <xf numFmtId="0" fontId="4" fillId="5" borderId="9" xfId="2" applyFont="1" applyFill="1" applyBorder="1" applyAlignment="1">
      <alignment horizontal="center"/>
    </xf>
    <xf numFmtId="14" fontId="25" fillId="5" borderId="7" xfId="2" applyNumberFormat="1" applyFont="1" applyFill="1" applyBorder="1"/>
    <xf numFmtId="0" fontId="4" fillId="5" borderId="9" xfId="2" applyNumberFormat="1" applyFill="1" applyBorder="1" applyAlignment="1">
      <alignment horizontal="center"/>
    </xf>
    <xf numFmtId="0" fontId="4" fillId="5" borderId="9" xfId="2" applyFill="1" applyBorder="1" applyAlignment="1">
      <alignment horizontal="center"/>
    </xf>
    <xf numFmtId="0" fontId="4" fillId="5" borderId="1" xfId="2" applyFill="1" applyBorder="1" applyAlignment="1">
      <alignment horizontal="center"/>
    </xf>
    <xf numFmtId="0" fontId="4" fillId="5" borderId="10" xfId="2" applyFill="1" applyBorder="1" applyAlignment="1">
      <alignment horizontal="center"/>
    </xf>
    <xf numFmtId="1" fontId="15" fillId="5" borderId="7" xfId="0" applyNumberFormat="1" applyFont="1" applyFill="1" applyBorder="1" applyAlignment="1">
      <alignment horizontal="center" wrapText="1"/>
    </xf>
    <xf numFmtId="0" fontId="4" fillId="5" borderId="7" xfId="2" applyFill="1" applyBorder="1" applyAlignment="1">
      <alignment horizontal="center"/>
    </xf>
    <xf numFmtId="2" fontId="4" fillId="5" borderId="46" xfId="2" applyNumberFormat="1" applyFill="1" applyBorder="1" applyAlignment="1">
      <alignment horizontal="center"/>
    </xf>
    <xf numFmtId="2" fontId="4" fillId="5" borderId="9" xfId="2" applyNumberFormat="1" applyFill="1" applyBorder="1" applyAlignment="1">
      <alignment horizontal="center"/>
    </xf>
    <xf numFmtId="165" fontId="6" fillId="5" borderId="7" xfId="3" applyNumberFormat="1" applyFill="1" applyBorder="1" applyAlignment="1">
      <alignment horizontal="center"/>
    </xf>
    <xf numFmtId="0" fontId="6" fillId="5" borderId="0" xfId="3" applyFill="1"/>
    <xf numFmtId="0" fontId="4" fillId="5" borderId="29" xfId="2" applyFont="1" applyFill="1" applyBorder="1" applyAlignment="1">
      <alignment horizontal="center"/>
    </xf>
    <xf numFmtId="14" fontId="25" fillId="5" borderId="24" xfId="2" applyNumberFormat="1" applyFont="1" applyFill="1" applyBorder="1"/>
    <xf numFmtId="0" fontId="4" fillId="5" borderId="29" xfId="2" applyFill="1" applyBorder="1" applyAlignment="1">
      <alignment horizontal="center"/>
    </xf>
    <xf numFmtId="0" fontId="4" fillId="5" borderId="60" xfId="2" applyFill="1" applyBorder="1" applyAlignment="1">
      <alignment horizontal="center"/>
    </xf>
    <xf numFmtId="0" fontId="4" fillId="5" borderId="73" xfId="2" applyFill="1" applyBorder="1" applyAlignment="1">
      <alignment horizontal="center"/>
    </xf>
    <xf numFmtId="1" fontId="15" fillId="5" borderId="59" xfId="0" applyNumberFormat="1" applyFont="1" applyFill="1" applyBorder="1" applyAlignment="1">
      <alignment horizontal="center" wrapText="1"/>
    </xf>
    <xf numFmtId="0" fontId="4" fillId="5" borderId="24" xfId="2" applyFill="1" applyBorder="1" applyAlignment="1">
      <alignment horizontal="center"/>
    </xf>
    <xf numFmtId="2" fontId="4" fillId="5" borderId="64" xfId="2" applyNumberFormat="1" applyFill="1" applyBorder="1" applyAlignment="1">
      <alignment horizontal="center"/>
    </xf>
    <xf numFmtId="2" fontId="4" fillId="5" borderId="30" xfId="2" applyNumberFormat="1" applyFill="1" applyBorder="1" applyAlignment="1">
      <alignment horizontal="center"/>
    </xf>
    <xf numFmtId="165" fontId="6" fillId="5" borderId="24" xfId="3" applyNumberFormat="1" applyFill="1" applyBorder="1" applyAlignment="1">
      <alignment horizontal="center"/>
    </xf>
    <xf numFmtId="14" fontId="25" fillId="0" borderId="7" xfId="2" applyNumberFormat="1" applyFont="1" applyBorder="1"/>
    <xf numFmtId="167" fontId="15" fillId="0" borderId="7" xfId="0" applyNumberFormat="1" applyFont="1" applyFill="1" applyBorder="1" applyAlignment="1">
      <alignment horizontal="left" wrapText="1"/>
    </xf>
    <xf numFmtId="0" fontId="15" fillId="0" borderId="7" xfId="2" applyFont="1" applyBorder="1" applyAlignment="1">
      <alignment horizontal="left"/>
    </xf>
    <xf numFmtId="1" fontId="15" fillId="0" borderId="20" xfId="0" applyNumberFormat="1" applyFont="1" applyFill="1" applyBorder="1" applyAlignment="1">
      <alignment horizontal="center" wrapText="1"/>
    </xf>
    <xf numFmtId="168" fontId="15" fillId="0" borderId="7" xfId="0" applyNumberFormat="1" applyFont="1" applyFill="1" applyBorder="1" applyAlignment="1">
      <alignment horizontal="center" wrapText="1"/>
    </xf>
    <xf numFmtId="2" fontId="15" fillId="0" borderId="7" xfId="0" applyNumberFormat="1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1" fontId="15" fillId="0" borderId="7" xfId="0" applyNumberFormat="1" applyFont="1" applyFill="1" applyBorder="1" applyAlignment="1">
      <alignment horizontal="center" wrapText="1"/>
    </xf>
    <xf numFmtId="14" fontId="25" fillId="0" borderId="24" xfId="2" applyNumberFormat="1" applyFont="1" applyBorder="1"/>
    <xf numFmtId="167" fontId="15" fillId="0" borderId="24" xfId="0" applyNumberFormat="1" applyFont="1" applyFill="1" applyBorder="1" applyAlignment="1">
      <alignment horizontal="left" wrapText="1"/>
    </xf>
    <xf numFmtId="0" fontId="15" fillId="0" borderId="24" xfId="2" applyFont="1" applyBorder="1" applyAlignment="1">
      <alignment horizontal="left"/>
    </xf>
    <xf numFmtId="1" fontId="15" fillId="0" borderId="24" xfId="0" applyNumberFormat="1" applyFont="1" applyFill="1" applyBorder="1" applyAlignment="1">
      <alignment horizontal="center" wrapText="1"/>
    </xf>
    <xf numFmtId="168" fontId="15" fillId="0" borderId="24" xfId="0" applyNumberFormat="1" applyFont="1" applyFill="1" applyBorder="1" applyAlignment="1">
      <alignment horizontal="center" wrapText="1"/>
    </xf>
    <xf numFmtId="2" fontId="15" fillId="0" borderId="24" xfId="0" applyNumberFormat="1" applyFont="1" applyFill="1" applyBorder="1" applyAlignment="1">
      <alignment horizontal="center" wrapText="1"/>
    </xf>
    <xf numFmtId="0" fontId="15" fillId="0" borderId="86" xfId="0" applyFont="1" applyFill="1" applyBorder="1" applyAlignment="1">
      <alignment horizontal="center" wrapText="1"/>
    </xf>
    <xf numFmtId="0" fontId="0" fillId="5" borderId="7" xfId="0" applyFill="1" applyBorder="1"/>
    <xf numFmtId="0" fontId="4" fillId="5" borderId="3" xfId="2" applyFill="1" applyBorder="1" applyAlignment="1">
      <alignment horizontal="center"/>
    </xf>
    <xf numFmtId="0" fontId="0" fillId="5" borderId="24" xfId="0" applyFill="1" applyBorder="1"/>
    <xf numFmtId="0" fontId="4" fillId="0" borderId="20" xfId="2" applyFont="1" applyBorder="1" applyAlignment="1">
      <alignment horizontal="center"/>
    </xf>
    <xf numFmtId="14" fontId="15" fillId="0" borderId="20" xfId="0" applyNumberFormat="1" applyFont="1" applyFill="1" applyBorder="1" applyAlignment="1">
      <alignment horizontal="center" wrapText="1"/>
    </xf>
    <xf numFmtId="0" fontId="4" fillId="0" borderId="20" xfId="2" applyNumberFormat="1" applyBorder="1" applyAlignment="1">
      <alignment horizontal="center"/>
    </xf>
    <xf numFmtId="0" fontId="0" fillId="0" borderId="20" xfId="0" applyBorder="1"/>
    <xf numFmtId="0" fontId="15" fillId="0" borderId="20" xfId="0" applyFont="1" applyFill="1" applyBorder="1" applyAlignment="1">
      <alignment horizontal="center" wrapText="1"/>
    </xf>
    <xf numFmtId="165" fontId="6" fillId="8" borderId="20" xfId="3" applyNumberFormat="1" applyFill="1" applyBorder="1" applyAlignment="1">
      <alignment horizontal="center"/>
    </xf>
    <xf numFmtId="0" fontId="4" fillId="0" borderId="7" xfId="2" applyFont="1" applyBorder="1" applyAlignment="1">
      <alignment horizontal="center"/>
    </xf>
    <xf numFmtId="14" fontId="15" fillId="0" borderId="7" xfId="0" applyNumberFormat="1" applyFont="1" applyFill="1" applyBorder="1" applyAlignment="1">
      <alignment horizontal="center" wrapText="1"/>
    </xf>
    <xf numFmtId="0" fontId="4" fillId="0" borderId="7" xfId="2" applyNumberFormat="1" applyBorder="1" applyAlignment="1">
      <alignment horizontal="center"/>
    </xf>
    <xf numFmtId="165" fontId="6" fillId="8" borderId="7" xfId="3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2" applyFont="1" applyBorder="1" applyAlignment="1">
      <alignment horizontal="center"/>
    </xf>
    <xf numFmtId="14" fontId="15" fillId="0" borderId="0" xfId="0" applyNumberFormat="1" applyFont="1" applyFill="1" applyBorder="1" applyAlignment="1">
      <alignment horizontal="center" wrapText="1"/>
    </xf>
    <xf numFmtId="0" fontId="4" fillId="5" borderId="9" xfId="2" applyNumberFormat="1" applyFont="1" applyFill="1" applyBorder="1" applyAlignment="1">
      <alignment horizontal="center"/>
    </xf>
    <xf numFmtId="0" fontId="4" fillId="5" borderId="1" xfId="2" applyNumberFormat="1" applyFill="1" applyBorder="1" applyAlignment="1">
      <alignment horizontal="center"/>
    </xf>
    <xf numFmtId="0" fontId="4" fillId="5" borderId="46" xfId="2" applyNumberFormat="1" applyFill="1" applyBorder="1" applyAlignment="1">
      <alignment horizontal="center"/>
    </xf>
    <xf numFmtId="0" fontId="4" fillId="5" borderId="11" xfId="2" applyFill="1" applyBorder="1" applyAlignment="1">
      <alignment horizontal="center"/>
    </xf>
    <xf numFmtId="165" fontId="1" fillId="5" borderId="7" xfId="3" applyNumberFormat="1" applyFont="1" applyFill="1" applyBorder="1" applyAlignment="1">
      <alignment horizontal="center"/>
    </xf>
    <xf numFmtId="0" fontId="0" fillId="5" borderId="0" xfId="0" applyFill="1"/>
    <xf numFmtId="0" fontId="4" fillId="5" borderId="29" xfId="2" applyNumberFormat="1" applyFont="1" applyFill="1" applyBorder="1" applyAlignment="1">
      <alignment horizontal="center"/>
    </xf>
    <xf numFmtId="0" fontId="4" fillId="5" borderId="60" xfId="2" applyNumberFormat="1" applyFill="1" applyBorder="1" applyAlignment="1">
      <alignment horizontal="center"/>
    </xf>
    <xf numFmtId="0" fontId="4" fillId="5" borderId="64" xfId="2" applyNumberFormat="1" applyFill="1" applyBorder="1" applyAlignment="1">
      <alignment horizontal="center"/>
    </xf>
    <xf numFmtId="0" fontId="4" fillId="5" borderId="63" xfId="2" applyFill="1" applyBorder="1" applyAlignment="1">
      <alignment horizontal="center"/>
    </xf>
    <xf numFmtId="0" fontId="4" fillId="5" borderId="62" xfId="2" applyFill="1" applyBorder="1" applyAlignment="1">
      <alignment horizontal="center"/>
    </xf>
    <xf numFmtId="2" fontId="4" fillId="5" borderId="29" xfId="2" applyNumberFormat="1" applyFill="1" applyBorder="1" applyAlignment="1">
      <alignment horizontal="center"/>
    </xf>
    <xf numFmtId="165" fontId="1" fillId="5" borderId="24" xfId="3" applyNumberFormat="1" applyFont="1" applyFill="1" applyBorder="1" applyAlignment="1">
      <alignment horizontal="center"/>
    </xf>
    <xf numFmtId="0" fontId="0" fillId="5" borderId="31" xfId="0" applyFill="1" applyBorder="1"/>
    <xf numFmtId="0" fontId="4" fillId="0" borderId="26" xfId="2" applyNumberFormat="1" applyFont="1" applyBorder="1" applyAlignment="1">
      <alignment horizontal="center"/>
    </xf>
    <xf numFmtId="0" fontId="4" fillId="0" borderId="27" xfId="2" applyNumberFormat="1" applyBorder="1" applyAlignment="1">
      <alignment horizontal="center"/>
    </xf>
    <xf numFmtId="0" fontId="4" fillId="0" borderId="57" xfId="2" applyNumberFormat="1" applyBorder="1" applyAlignment="1">
      <alignment horizontal="center"/>
    </xf>
    <xf numFmtId="2" fontId="4" fillId="0" borderId="27" xfId="2" applyNumberFormat="1" applyBorder="1" applyAlignment="1">
      <alignment horizontal="center"/>
    </xf>
    <xf numFmtId="165" fontId="1" fillId="0" borderId="20" xfId="3" applyNumberFormat="1" applyFont="1" applyBorder="1" applyAlignment="1">
      <alignment horizontal="center"/>
    </xf>
    <xf numFmtId="0" fontId="4" fillId="0" borderId="1" xfId="2" applyNumberFormat="1" applyBorder="1" applyAlignment="1">
      <alignment horizontal="center"/>
    </xf>
    <xf numFmtId="0" fontId="0" fillId="0" borderId="7" xfId="0" applyBorder="1"/>
    <xf numFmtId="0" fontId="4" fillId="0" borderId="46" xfId="2" applyNumberFormat="1" applyBorder="1" applyAlignment="1">
      <alignment horizontal="center"/>
    </xf>
    <xf numFmtId="2" fontId="4" fillId="0" borderId="1" xfId="2" applyNumberFormat="1" applyBorder="1" applyAlignment="1">
      <alignment horizontal="center"/>
    </xf>
    <xf numFmtId="0" fontId="4" fillId="0" borderId="74" xfId="2" applyFont="1" applyBorder="1" applyAlignment="1">
      <alignment horizontal="center"/>
    </xf>
    <xf numFmtId="0" fontId="4" fillId="0" borderId="74" xfId="2" applyNumberFormat="1" applyFont="1" applyBorder="1" applyAlignment="1">
      <alignment horizontal="center"/>
    </xf>
    <xf numFmtId="0" fontId="4" fillId="0" borderId="60" xfId="2" applyNumberFormat="1" applyBorder="1" applyAlignment="1">
      <alignment horizontal="center"/>
    </xf>
    <xf numFmtId="0" fontId="0" fillId="0" borderId="24" xfId="0" applyBorder="1"/>
    <xf numFmtId="0" fontId="4" fillId="0" borderId="64" xfId="2" applyNumberFormat="1" applyBorder="1" applyAlignment="1">
      <alignment horizontal="center"/>
    </xf>
    <xf numFmtId="0" fontId="4" fillId="0" borderId="97" xfId="2" applyBorder="1" applyAlignment="1">
      <alignment horizontal="center"/>
    </xf>
    <xf numFmtId="0" fontId="4" fillId="0" borderId="95" xfId="2" applyBorder="1" applyAlignment="1">
      <alignment horizontal="center"/>
    </xf>
    <xf numFmtId="2" fontId="4" fillId="0" borderId="98" xfId="2" applyNumberFormat="1" applyBorder="1" applyAlignment="1">
      <alignment horizontal="center"/>
    </xf>
    <xf numFmtId="2" fontId="4" fillId="0" borderId="60" xfId="2" applyNumberFormat="1" applyBorder="1" applyAlignment="1">
      <alignment horizontal="center"/>
    </xf>
    <xf numFmtId="165" fontId="1" fillId="0" borderId="99" xfId="3" applyNumberFormat="1" applyFont="1" applyBorder="1" applyAlignment="1">
      <alignment horizontal="center"/>
    </xf>
    <xf numFmtId="165" fontId="6" fillId="0" borderId="99" xfId="3" applyNumberFormat="1" applyBorder="1" applyAlignment="1">
      <alignment horizontal="center"/>
    </xf>
    <xf numFmtId="0" fontId="0" fillId="0" borderId="31" xfId="0" applyBorder="1"/>
    <xf numFmtId="0" fontId="4" fillId="0" borderId="100" xfId="2" applyBorder="1" applyAlignment="1">
      <alignment horizontal="center"/>
    </xf>
    <xf numFmtId="0" fontId="0" fillId="0" borderId="34" xfId="0" applyBorder="1"/>
    <xf numFmtId="0" fontId="0" fillId="0" borderId="20" xfId="0" applyBorder="1" applyAlignment="1">
      <alignment horizontal="center" vertical="center"/>
    </xf>
    <xf numFmtId="0" fontId="4" fillId="0" borderId="4" xfId="2" applyBorder="1" applyAlignment="1">
      <alignment horizontal="center"/>
    </xf>
    <xf numFmtId="0" fontId="0" fillId="0" borderId="8" xfId="0" applyBorder="1"/>
    <xf numFmtId="0" fontId="0" fillId="0" borderId="7" xfId="0" applyBorder="1" applyAlignment="1">
      <alignment horizontal="center" vertical="center"/>
    </xf>
    <xf numFmtId="0" fontId="0" fillId="0" borderId="99" xfId="0" applyBorder="1"/>
    <xf numFmtId="0" fontId="4" fillId="0" borderId="101" xfId="2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26" fillId="0" borderId="0" xfId="10"/>
    <xf numFmtId="0" fontId="4" fillId="0" borderId="102" xfId="2" applyBorder="1" applyAlignment="1">
      <alignment horizontal="center"/>
    </xf>
    <xf numFmtId="0" fontId="6" fillId="0" borderId="106" xfId="3" applyBorder="1"/>
    <xf numFmtId="0" fontId="0" fillId="0" borderId="107" xfId="0" applyBorder="1"/>
    <xf numFmtId="0" fontId="8" fillId="3" borderId="108" xfId="2" applyFont="1" applyFill="1" applyBorder="1" applyAlignment="1">
      <alignment horizontal="center"/>
    </xf>
    <xf numFmtId="0" fontId="8" fillId="3" borderId="109" xfId="2" applyFont="1" applyFill="1" applyBorder="1" applyAlignment="1">
      <alignment horizontal="center"/>
    </xf>
    <xf numFmtId="0" fontId="8" fillId="9" borderId="110" xfId="0" applyFont="1" applyFill="1" applyBorder="1" applyAlignment="1">
      <alignment horizontal="center" vertical="center"/>
    </xf>
    <xf numFmtId="0" fontId="8" fillId="9" borderId="111" xfId="0" applyFont="1" applyFill="1" applyBorder="1" applyAlignment="1">
      <alignment horizontal="center" vertical="center"/>
    </xf>
    <xf numFmtId="0" fontId="8" fillId="9" borderId="112" xfId="0" applyFont="1" applyFill="1" applyBorder="1" applyAlignment="1">
      <alignment horizontal="center" vertical="center"/>
    </xf>
    <xf numFmtId="0" fontId="8" fillId="9" borderId="113" xfId="0" applyFont="1" applyFill="1" applyBorder="1" applyAlignment="1">
      <alignment horizontal="center" vertical="center"/>
    </xf>
    <xf numFmtId="0" fontId="8" fillId="3" borderId="110" xfId="2" applyFont="1" applyFill="1" applyBorder="1" applyAlignment="1">
      <alignment horizontal="center"/>
    </xf>
    <xf numFmtId="0" fontId="8" fillId="3" borderId="114" xfId="2" applyFont="1" applyFill="1" applyBorder="1" applyAlignment="1">
      <alignment horizontal="center"/>
    </xf>
    <xf numFmtId="0" fontId="8" fillId="3" borderId="115" xfId="2" applyFont="1" applyFill="1" applyBorder="1" applyAlignment="1">
      <alignment horizontal="center"/>
    </xf>
    <xf numFmtId="0" fontId="8" fillId="3" borderId="112" xfId="2" applyFont="1" applyFill="1" applyBorder="1" applyAlignment="1">
      <alignment horizontal="center"/>
    </xf>
    <xf numFmtId="0" fontId="8" fillId="3" borderId="116" xfId="2" applyFont="1" applyFill="1" applyBorder="1" applyAlignment="1">
      <alignment horizontal="center"/>
    </xf>
    <xf numFmtId="0" fontId="8" fillId="3" borderId="111" xfId="2" applyFont="1" applyFill="1" applyBorder="1" applyAlignment="1">
      <alignment horizontal="center"/>
    </xf>
    <xf numFmtId="0" fontId="8" fillId="4" borderId="110" xfId="2" applyFont="1" applyFill="1" applyBorder="1" applyAlignment="1">
      <alignment horizontal="center"/>
    </xf>
    <xf numFmtId="0" fontId="27" fillId="0" borderId="20" xfId="0" applyFont="1" applyBorder="1" applyAlignment="1">
      <alignment horizontal="center" vertical="center"/>
    </xf>
    <xf numFmtId="14" fontId="27" fillId="0" borderId="20" xfId="0" applyNumberFormat="1" applyFont="1" applyBorder="1" applyAlignment="1">
      <alignment horizontal="center" vertical="center"/>
    </xf>
    <xf numFmtId="49" fontId="27" fillId="0" borderId="20" xfId="0" applyNumberFormat="1" applyFont="1" applyBorder="1" applyAlignment="1">
      <alignment horizontal="center" vertical="center"/>
    </xf>
    <xf numFmtId="0" fontId="27" fillId="0" borderId="118" xfId="0" applyFont="1" applyBorder="1" applyAlignment="1">
      <alignment horizontal="center" vertical="center"/>
    </xf>
    <xf numFmtId="0" fontId="27" fillId="0" borderId="119" xfId="0" applyFont="1" applyBorder="1" applyAlignment="1">
      <alignment horizontal="center" vertical="center"/>
    </xf>
    <xf numFmtId="0" fontId="4" fillId="0" borderId="121" xfId="2" applyBorder="1" applyAlignment="1">
      <alignment horizontal="center"/>
    </xf>
    <xf numFmtId="0" fontId="4" fillId="0" borderId="124" xfId="2" applyBorder="1" applyAlignment="1">
      <alignment horizontal="center"/>
    </xf>
    <xf numFmtId="0" fontId="4" fillId="0" borderId="125" xfId="2" applyBorder="1" applyAlignment="1">
      <alignment horizontal="center"/>
    </xf>
    <xf numFmtId="2" fontId="4" fillId="0" borderId="121" xfId="2" applyNumberFormat="1" applyBorder="1" applyAlignment="1">
      <alignment horizontal="center"/>
    </xf>
    <xf numFmtId="165" fontId="6" fillId="0" borderId="124" xfId="3" applyNumberFormat="1" applyBorder="1" applyAlignment="1">
      <alignment horizontal="center"/>
    </xf>
    <xf numFmtId="165" fontId="6" fillId="0" borderId="123" xfId="3" applyNumberFormat="1" applyBorder="1" applyAlignment="1">
      <alignment horizontal="center"/>
    </xf>
    <xf numFmtId="0" fontId="27" fillId="0" borderId="7" xfId="0" applyFont="1" applyBorder="1" applyAlignment="1">
      <alignment horizontal="center" vertical="center"/>
    </xf>
    <xf numFmtId="14" fontId="27" fillId="0" borderId="7" xfId="0" applyNumberFormat="1" applyFont="1" applyBorder="1" applyAlignment="1">
      <alignment horizontal="center" vertical="center"/>
    </xf>
    <xf numFmtId="49" fontId="27" fillId="0" borderId="7" xfId="0" applyNumberFormat="1" applyFont="1" applyBorder="1" applyAlignment="1">
      <alignment horizontal="center" vertical="center"/>
    </xf>
    <xf numFmtId="0" fontId="27" fillId="0" borderId="126" xfId="0" applyFont="1" applyBorder="1" applyAlignment="1">
      <alignment horizontal="center" vertical="center"/>
    </xf>
    <xf numFmtId="0" fontId="27" fillId="0" borderId="127" xfId="0" applyFont="1" applyBorder="1" applyAlignment="1">
      <alignment horizontal="center" vertical="center"/>
    </xf>
    <xf numFmtId="0" fontId="4" fillId="0" borderId="129" xfId="2" applyBorder="1" applyAlignment="1">
      <alignment horizontal="center"/>
    </xf>
    <xf numFmtId="0" fontId="4" fillId="0" borderId="126" xfId="2" applyBorder="1" applyAlignment="1">
      <alignment horizontal="center"/>
    </xf>
    <xf numFmtId="0" fontId="4" fillId="0" borderId="130" xfId="2" applyBorder="1" applyAlignment="1">
      <alignment horizontal="center"/>
    </xf>
    <xf numFmtId="2" fontId="4" fillId="0" borderId="129" xfId="2" applyNumberFormat="1" applyBorder="1" applyAlignment="1">
      <alignment horizontal="center"/>
    </xf>
    <xf numFmtId="165" fontId="6" fillId="0" borderId="126" xfId="3" applyNumberFormat="1" applyBorder="1" applyAlignment="1">
      <alignment horizontal="center"/>
    </xf>
    <xf numFmtId="165" fontId="6" fillId="0" borderId="128" xfId="3" applyNumberFormat="1" applyBorder="1" applyAlignment="1">
      <alignment horizontal="center"/>
    </xf>
    <xf numFmtId="0" fontId="4" fillId="0" borderId="131" xfId="2" applyBorder="1" applyAlignment="1">
      <alignment horizontal="center"/>
    </xf>
    <xf numFmtId="0" fontId="4" fillId="0" borderId="134" xfId="2" applyBorder="1" applyAlignment="1">
      <alignment horizontal="center"/>
    </xf>
    <xf numFmtId="0" fontId="4" fillId="0" borderId="135" xfId="2" applyBorder="1" applyAlignment="1">
      <alignment horizontal="center"/>
    </xf>
    <xf numFmtId="2" fontId="4" fillId="0" borderId="131" xfId="2" applyNumberFormat="1" applyBorder="1" applyAlignment="1">
      <alignment horizontal="center"/>
    </xf>
    <xf numFmtId="165" fontId="6" fillId="0" borderId="134" xfId="3" applyNumberFormat="1" applyBorder="1" applyAlignment="1">
      <alignment horizontal="center"/>
    </xf>
    <xf numFmtId="165" fontId="6" fillId="0" borderId="133" xfId="3" applyNumberFormat="1" applyBorder="1" applyAlignment="1">
      <alignment horizontal="center"/>
    </xf>
    <xf numFmtId="0" fontId="27" fillId="0" borderId="126" xfId="0" applyFont="1" applyFill="1" applyBorder="1" applyAlignment="1">
      <alignment horizontal="center" vertical="center"/>
    </xf>
    <xf numFmtId="0" fontId="4" fillId="0" borderId="128" xfId="2" applyBorder="1" applyAlignment="1">
      <alignment horizontal="center"/>
    </xf>
    <xf numFmtId="2" fontId="4" fillId="0" borderId="126" xfId="2" applyNumberFormat="1" applyBorder="1" applyAlignment="1">
      <alignment horizontal="center"/>
    </xf>
    <xf numFmtId="0" fontId="27" fillId="0" borderId="106" xfId="0" applyFont="1" applyBorder="1" applyAlignment="1">
      <alignment horizontal="center" vertical="center"/>
    </xf>
    <xf numFmtId="14" fontId="27" fillId="0" borderId="106" xfId="0" applyNumberFormat="1" applyFont="1" applyBorder="1" applyAlignment="1">
      <alignment horizontal="center" vertical="center"/>
    </xf>
    <xf numFmtId="49" fontId="27" fillId="0" borderId="106" xfId="0" applyNumberFormat="1" applyFont="1" applyBorder="1" applyAlignment="1">
      <alignment horizontal="center" vertical="center"/>
    </xf>
    <xf numFmtId="0" fontId="27" fillId="0" borderId="138" xfId="0" applyFont="1" applyBorder="1" applyAlignment="1">
      <alignment horizontal="center" vertical="center"/>
    </xf>
    <xf numFmtId="0" fontId="27" fillId="0" borderId="139" xfId="0" applyFont="1" applyBorder="1" applyAlignment="1">
      <alignment horizontal="center" vertical="center"/>
    </xf>
    <xf numFmtId="0" fontId="4" fillId="0" borderId="138" xfId="2" applyBorder="1" applyAlignment="1">
      <alignment horizontal="center"/>
    </xf>
    <xf numFmtId="0" fontId="4" fillId="0" borderId="140" xfId="2" applyBorder="1" applyAlignment="1">
      <alignment horizontal="center"/>
    </xf>
    <xf numFmtId="2" fontId="4" fillId="0" borderId="138" xfId="2" applyNumberFormat="1" applyBorder="1" applyAlignment="1">
      <alignment horizontal="center"/>
    </xf>
    <xf numFmtId="165" fontId="6" fillId="0" borderId="138" xfId="3" applyNumberFormat="1" applyBorder="1" applyAlignment="1">
      <alignment horizontal="center"/>
    </xf>
    <xf numFmtId="165" fontId="6" fillId="0" borderId="140" xfId="3" applyNumberFormat="1" applyBorder="1" applyAlignment="1">
      <alignment horizontal="center"/>
    </xf>
    <xf numFmtId="0" fontId="4" fillId="0" borderId="118" xfId="2" applyBorder="1" applyAlignment="1">
      <alignment horizontal="center"/>
    </xf>
    <xf numFmtId="0" fontId="4" fillId="0" borderId="120" xfId="2" applyBorder="1" applyAlignment="1">
      <alignment horizontal="center"/>
    </xf>
    <xf numFmtId="2" fontId="4" fillId="0" borderId="118" xfId="2" applyNumberFormat="1" applyBorder="1" applyAlignment="1">
      <alignment horizontal="center"/>
    </xf>
    <xf numFmtId="165" fontId="6" fillId="0" borderId="118" xfId="3" applyNumberFormat="1" applyBorder="1" applyAlignment="1">
      <alignment horizontal="center"/>
    </xf>
    <xf numFmtId="165" fontId="6" fillId="0" borderId="120" xfId="3" applyNumberFormat="1" applyBorder="1" applyAlignment="1">
      <alignment horizontal="center"/>
    </xf>
    <xf numFmtId="2" fontId="4" fillId="0" borderId="134" xfId="2" applyNumberFormat="1" applyBorder="1" applyAlignment="1">
      <alignment horizontal="center"/>
    </xf>
    <xf numFmtId="0" fontId="27" fillId="0" borderId="134" xfId="0" applyFont="1" applyBorder="1" applyAlignment="1">
      <alignment horizontal="center" vertical="center"/>
    </xf>
    <xf numFmtId="0" fontId="27" fillId="0" borderId="132" xfId="0" applyFont="1" applyBorder="1" applyAlignment="1">
      <alignment horizontal="center" vertical="center"/>
    </xf>
    <xf numFmtId="0" fontId="27" fillId="0" borderId="124" xfId="0" applyFont="1" applyBorder="1" applyAlignment="1">
      <alignment horizontal="center" vertical="center"/>
    </xf>
    <xf numFmtId="0" fontId="27" fillId="0" borderId="122" xfId="0" applyFont="1" applyBorder="1" applyAlignment="1">
      <alignment horizontal="center" vertical="center"/>
    </xf>
    <xf numFmtId="0" fontId="27" fillId="0" borderId="145" xfId="0" applyFont="1" applyBorder="1" applyAlignment="1">
      <alignment horizontal="center" vertical="center"/>
    </xf>
    <xf numFmtId="0" fontId="27" fillId="0" borderId="146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144" xfId="0" applyFont="1" applyBorder="1" applyAlignment="1">
      <alignment horizontal="center" vertical="center"/>
    </xf>
    <xf numFmtId="0" fontId="27" fillId="0" borderId="136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1" fontId="27" fillId="0" borderId="136" xfId="0" applyNumberFormat="1" applyFont="1" applyBorder="1" applyAlignment="1">
      <alignment horizontal="center" vertical="center"/>
    </xf>
    <xf numFmtId="0" fontId="27" fillId="0" borderId="142" xfId="0" applyFont="1" applyBorder="1" applyAlignment="1">
      <alignment horizontal="center" vertical="center"/>
    </xf>
    <xf numFmtId="0" fontId="27" fillId="0" borderId="149" xfId="0" applyFont="1" applyBorder="1" applyAlignment="1">
      <alignment horizontal="center" vertical="center"/>
    </xf>
    <xf numFmtId="0" fontId="27" fillId="0" borderId="141" xfId="0" applyFont="1" applyBorder="1" applyAlignment="1">
      <alignment horizontal="center" vertical="center"/>
    </xf>
    <xf numFmtId="0" fontId="0" fillId="0" borderId="118" xfId="0" applyBorder="1"/>
    <xf numFmtId="0" fontId="0" fillId="0" borderId="120" xfId="0" applyBorder="1"/>
    <xf numFmtId="0" fontId="0" fillId="0" borderId="126" xfId="0" applyBorder="1"/>
    <xf numFmtId="0" fontId="0" fillId="0" borderId="128" xfId="0" applyBorder="1"/>
    <xf numFmtId="0" fontId="4" fillId="0" borderId="128" xfId="2" applyBorder="1"/>
    <xf numFmtId="0" fontId="6" fillId="0" borderId="126" xfId="3" applyBorder="1"/>
    <xf numFmtId="0" fontId="6" fillId="0" borderId="128" xfId="3" applyBorder="1"/>
    <xf numFmtId="0" fontId="0" fillId="0" borderId="150" xfId="0" applyBorder="1"/>
    <xf numFmtId="0" fontId="0" fillId="0" borderId="138" xfId="0" applyBorder="1"/>
    <xf numFmtId="0" fontId="27" fillId="0" borderId="141" xfId="0" applyFont="1" applyFill="1" applyBorder="1" applyAlignment="1">
      <alignment horizontal="center" vertical="center"/>
    </xf>
    <xf numFmtId="0" fontId="27" fillId="0" borderId="142" xfId="0" applyFont="1" applyFill="1" applyBorder="1" applyAlignment="1">
      <alignment horizontal="center" vertical="center"/>
    </xf>
    <xf numFmtId="0" fontId="4" fillId="0" borderId="140" xfId="2" applyBorder="1"/>
    <xf numFmtId="0" fontId="6" fillId="0" borderId="138" xfId="3" applyBorder="1"/>
    <xf numFmtId="0" fontId="6" fillId="0" borderId="140" xfId="3" applyBorder="1"/>
    <xf numFmtId="0" fontId="8" fillId="3" borderId="9" xfId="2" applyFont="1" applyFill="1" applyBorder="1" applyAlignment="1">
      <alignment horizontal="center" vertical="center" wrapText="1"/>
    </xf>
    <xf numFmtId="0" fontId="8" fillId="3" borderId="10" xfId="2" applyFont="1" applyFill="1" applyBorder="1" applyAlignment="1">
      <alignment horizontal="center" vertical="center" wrapText="1"/>
    </xf>
    <xf numFmtId="0" fontId="8" fillId="3" borderId="11" xfId="2" applyFont="1" applyFill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0" fontId="8" fillId="3" borderId="14" xfId="2" applyFont="1" applyFill="1" applyBorder="1" applyAlignment="1">
      <alignment horizontal="center" vertical="center" wrapText="1"/>
    </xf>
    <xf numFmtId="0" fontId="8" fillId="3" borderId="15" xfId="2" applyFont="1" applyFill="1" applyBorder="1" applyAlignment="1">
      <alignment horizontal="center" vertical="center" wrapText="1"/>
    </xf>
    <xf numFmtId="0" fontId="8" fillId="3" borderId="16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4" borderId="7" xfId="2" applyFont="1" applyFill="1" applyBorder="1" applyAlignment="1">
      <alignment horizontal="center" vertical="center" wrapText="1"/>
    </xf>
    <xf numFmtId="0" fontId="6" fillId="0" borderId="0" xfId="3" applyAlignment="1">
      <alignment vertical="center" wrapText="1"/>
    </xf>
    <xf numFmtId="2" fontId="6" fillId="0" borderId="7" xfId="3" applyNumberFormat="1" applyBorder="1" applyAlignment="1">
      <alignment horizontal="center"/>
    </xf>
    <xf numFmtId="14" fontId="25" fillId="5" borderId="7" xfId="2" applyNumberFormat="1" applyFont="1" applyFill="1" applyBorder="1" applyAlignment="1">
      <alignment horizontal="center"/>
    </xf>
    <xf numFmtId="0" fontId="6" fillId="5" borderId="0" xfId="3" applyFill="1" applyAlignment="1">
      <alignment horizontal="center"/>
    </xf>
    <xf numFmtId="0" fontId="4" fillId="5" borderId="152" xfId="2" applyFont="1" applyFill="1" applyBorder="1" applyAlignment="1">
      <alignment horizontal="center"/>
    </xf>
    <xf numFmtId="14" fontId="25" fillId="5" borderId="153" xfId="2" applyNumberFormat="1" applyFont="1" applyFill="1" applyBorder="1" applyAlignment="1">
      <alignment horizontal="center"/>
    </xf>
    <xf numFmtId="0" fontId="4" fillId="5" borderId="152" xfId="2" applyNumberFormat="1" applyFill="1" applyBorder="1" applyAlignment="1">
      <alignment horizontal="center"/>
    </xf>
    <xf numFmtId="0" fontId="4" fillId="5" borderId="152" xfId="2" applyFill="1" applyBorder="1" applyAlignment="1">
      <alignment horizontal="center"/>
    </xf>
    <xf numFmtId="0" fontId="4" fillId="5" borderId="154" xfId="2" applyFill="1" applyBorder="1" applyAlignment="1">
      <alignment horizontal="center"/>
    </xf>
    <xf numFmtId="0" fontId="4" fillId="5" borderId="155" xfId="2" applyFill="1" applyBorder="1" applyAlignment="1">
      <alignment horizontal="center"/>
    </xf>
    <xf numFmtId="1" fontId="15" fillId="5" borderId="156" xfId="0" applyNumberFormat="1" applyFont="1" applyFill="1" applyBorder="1" applyAlignment="1">
      <alignment horizontal="center" wrapText="1"/>
    </xf>
    <xf numFmtId="0" fontId="4" fillId="5" borderId="157" xfId="2" applyFill="1" applyBorder="1" applyAlignment="1">
      <alignment horizontal="center"/>
    </xf>
    <xf numFmtId="14" fontId="25" fillId="0" borderId="20" xfId="2" applyNumberFormat="1" applyFont="1" applyFill="1" applyBorder="1" applyAlignment="1">
      <alignment horizontal="center"/>
    </xf>
    <xf numFmtId="167" fontId="15" fillId="0" borderId="20" xfId="0" applyNumberFormat="1" applyFont="1" applyFill="1" applyBorder="1" applyAlignment="1">
      <alignment horizontal="center" wrapText="1"/>
    </xf>
    <xf numFmtId="0" fontId="15" fillId="0" borderId="20" xfId="2" applyFont="1" applyBorder="1" applyAlignment="1">
      <alignment horizontal="center"/>
    </xf>
    <xf numFmtId="168" fontId="15" fillId="0" borderId="20" xfId="0" applyNumberFormat="1" applyFont="1" applyFill="1" applyBorder="1" applyAlignment="1">
      <alignment wrapText="1"/>
    </xf>
    <xf numFmtId="1" fontId="15" fillId="0" borderId="158" xfId="0" applyNumberFormat="1" applyFont="1" applyFill="1" applyBorder="1" applyAlignment="1">
      <alignment horizontal="center" wrapText="1"/>
    </xf>
    <xf numFmtId="1" fontId="15" fillId="0" borderId="8" xfId="0" applyNumberFormat="1" applyFont="1" applyFill="1" applyBorder="1" applyAlignment="1">
      <alignment horizontal="center" wrapText="1"/>
    </xf>
    <xf numFmtId="2" fontId="4" fillId="0" borderId="159" xfId="2" applyNumberFormat="1" applyBorder="1" applyAlignment="1">
      <alignment horizontal="center"/>
    </xf>
    <xf numFmtId="0" fontId="6" fillId="0" borderId="0" xfId="3" applyBorder="1" applyAlignment="1">
      <alignment horizontal="center"/>
    </xf>
    <xf numFmtId="14" fontId="25" fillId="0" borderId="7" xfId="2" applyNumberFormat="1" applyFont="1" applyFill="1" applyBorder="1" applyAlignment="1">
      <alignment horizontal="center"/>
    </xf>
    <xf numFmtId="167" fontId="15" fillId="0" borderId="7" xfId="0" applyNumberFormat="1" applyFont="1" applyFill="1" applyBorder="1" applyAlignment="1">
      <alignment horizontal="center" wrapText="1"/>
    </xf>
    <xf numFmtId="0" fontId="15" fillId="0" borderId="7" xfId="2" applyFont="1" applyBorder="1" applyAlignment="1">
      <alignment horizontal="center"/>
    </xf>
    <xf numFmtId="168" fontId="15" fillId="0" borderId="7" xfId="0" applyNumberFormat="1" applyFont="1" applyFill="1" applyBorder="1" applyAlignment="1">
      <alignment wrapText="1"/>
    </xf>
    <xf numFmtId="2" fontId="4" fillId="0" borderId="160" xfId="2" applyNumberFormat="1" applyBorder="1" applyAlignment="1">
      <alignment horizontal="center"/>
    </xf>
    <xf numFmtId="167" fontId="15" fillId="0" borderId="161" xfId="0" applyNumberFormat="1" applyFont="1" applyFill="1" applyBorder="1" applyAlignment="1">
      <alignment horizontal="center" wrapText="1"/>
    </xf>
    <xf numFmtId="1" fontId="15" fillId="0" borderId="161" xfId="0" applyNumberFormat="1" applyFont="1" applyFill="1" applyBorder="1" applyAlignment="1">
      <alignment horizontal="center" wrapText="1"/>
    </xf>
    <xf numFmtId="168" fontId="15" fillId="0" borderId="161" xfId="0" applyNumberFormat="1" applyFont="1" applyFill="1" applyBorder="1" applyAlignment="1">
      <alignment wrapText="1"/>
    </xf>
    <xf numFmtId="1" fontId="15" fillId="0" borderId="162" xfId="0" applyNumberFormat="1" applyFont="1" applyFill="1" applyBorder="1" applyAlignment="1">
      <alignment horizontal="center" wrapText="1"/>
    </xf>
    <xf numFmtId="0" fontId="15" fillId="0" borderId="163" xfId="0" applyFont="1" applyFill="1" applyBorder="1" applyAlignment="1">
      <alignment horizontal="center" wrapText="1"/>
    </xf>
    <xf numFmtId="165" fontId="6" fillId="0" borderId="161" xfId="3" applyNumberFormat="1" applyBorder="1" applyAlignment="1">
      <alignment horizontal="center"/>
    </xf>
    <xf numFmtId="0" fontId="6" fillId="0" borderId="5" xfId="3" applyBorder="1" applyAlignment="1">
      <alignment horizontal="center"/>
    </xf>
    <xf numFmtId="167" fontId="15" fillId="0" borderId="164" xfId="0" applyNumberFormat="1" applyFont="1" applyFill="1" applyBorder="1" applyAlignment="1">
      <alignment horizontal="center" wrapText="1"/>
    </xf>
    <xf numFmtId="1" fontId="15" fillId="0" borderId="164" xfId="0" applyNumberFormat="1" applyFont="1" applyFill="1" applyBorder="1" applyAlignment="1">
      <alignment horizontal="center" wrapText="1"/>
    </xf>
    <xf numFmtId="168" fontId="15" fillId="0" borderId="164" xfId="0" applyNumberFormat="1" applyFont="1" applyFill="1" applyBorder="1" applyAlignment="1">
      <alignment wrapText="1"/>
    </xf>
    <xf numFmtId="1" fontId="15" fillId="0" borderId="165" xfId="0" applyNumberFormat="1" applyFont="1" applyFill="1" applyBorder="1" applyAlignment="1">
      <alignment horizontal="center" wrapText="1"/>
    </xf>
    <xf numFmtId="0" fontId="15" fillId="0" borderId="164" xfId="0" applyFont="1" applyFill="1" applyBorder="1" applyAlignment="1">
      <alignment horizontal="center" wrapText="1"/>
    </xf>
    <xf numFmtId="165" fontId="6" fillId="0" borderId="164" xfId="3" applyNumberFormat="1" applyBorder="1" applyAlignment="1">
      <alignment horizontal="center"/>
    </xf>
    <xf numFmtId="0" fontId="6" fillId="0" borderId="88" xfId="3" applyBorder="1" applyAlignment="1">
      <alignment horizontal="center"/>
    </xf>
    <xf numFmtId="0" fontId="4" fillId="0" borderId="166" xfId="2" applyFont="1" applyBorder="1" applyAlignment="1">
      <alignment horizontal="center"/>
    </xf>
    <xf numFmtId="14" fontId="25" fillId="0" borderId="153" xfId="2" applyNumberFormat="1" applyFont="1" applyFill="1" applyBorder="1" applyAlignment="1">
      <alignment horizontal="center"/>
    </xf>
    <xf numFmtId="0" fontId="4" fillId="0" borderId="152" xfId="2" applyNumberFormat="1" applyBorder="1" applyAlignment="1">
      <alignment horizontal="center"/>
    </xf>
    <xf numFmtId="167" fontId="15" fillId="0" borderId="153" xfId="0" applyNumberFormat="1" applyFont="1" applyFill="1" applyBorder="1" applyAlignment="1">
      <alignment horizontal="center" wrapText="1"/>
    </xf>
    <xf numFmtId="0" fontId="15" fillId="0" borderId="153" xfId="2" applyFont="1" applyBorder="1" applyAlignment="1">
      <alignment horizontal="center"/>
    </xf>
    <xf numFmtId="0" fontId="4" fillId="0" borderId="152" xfId="2" applyBorder="1" applyAlignment="1">
      <alignment horizontal="center"/>
    </xf>
    <xf numFmtId="0" fontId="4" fillId="0" borderId="154" xfId="2" applyBorder="1" applyAlignment="1">
      <alignment horizontal="center"/>
    </xf>
    <xf numFmtId="0" fontId="4" fillId="0" borderId="155" xfId="2" applyBorder="1" applyAlignment="1">
      <alignment horizontal="center"/>
    </xf>
    <xf numFmtId="1" fontId="15" fillId="0" borderId="153" xfId="0" applyNumberFormat="1" applyFont="1" applyFill="1" applyBorder="1" applyAlignment="1">
      <alignment horizontal="center" wrapText="1"/>
    </xf>
    <xf numFmtId="168" fontId="15" fillId="0" borderId="153" xfId="0" applyNumberFormat="1" applyFont="1" applyFill="1" applyBorder="1" applyAlignment="1">
      <alignment wrapText="1"/>
    </xf>
    <xf numFmtId="1" fontId="15" fillId="0" borderId="167" xfId="0" applyNumberFormat="1" applyFont="1" applyFill="1" applyBorder="1" applyAlignment="1">
      <alignment horizontal="center" wrapText="1"/>
    </xf>
    <xf numFmtId="2" fontId="4" fillId="0" borderId="168" xfId="2" applyNumberFormat="1" applyBorder="1" applyAlignment="1">
      <alignment horizontal="center"/>
    </xf>
    <xf numFmtId="0" fontId="15" fillId="0" borderId="169" xfId="0" applyFont="1" applyFill="1" applyBorder="1" applyAlignment="1">
      <alignment horizontal="center" wrapText="1"/>
    </xf>
    <xf numFmtId="165" fontId="6" fillId="0" borderId="153" xfId="3" applyNumberFormat="1" applyBorder="1" applyAlignment="1">
      <alignment horizontal="center"/>
    </xf>
    <xf numFmtId="0" fontId="6" fillId="0" borderId="31" xfId="3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32" fillId="2" borderId="174" xfId="3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/>
    </xf>
    <xf numFmtId="0" fontId="8" fillId="3" borderId="180" xfId="2" applyFont="1" applyFill="1" applyBorder="1" applyAlignment="1">
      <alignment horizontal="center"/>
    </xf>
    <xf numFmtId="0" fontId="8" fillId="3" borderId="181" xfId="2" applyFont="1" applyFill="1" applyBorder="1" applyAlignment="1">
      <alignment horizontal="center"/>
    </xf>
    <xf numFmtId="0" fontId="8" fillId="3" borderId="177" xfId="2" applyFont="1" applyFill="1" applyBorder="1" applyAlignment="1">
      <alignment horizontal="center"/>
    </xf>
    <xf numFmtId="0" fontId="8" fillId="3" borderId="179" xfId="2" applyFont="1" applyFill="1" applyBorder="1" applyAlignment="1">
      <alignment horizontal="center"/>
    </xf>
    <xf numFmtId="0" fontId="8" fillId="3" borderId="182" xfId="2" applyFont="1" applyFill="1" applyBorder="1" applyAlignment="1">
      <alignment horizontal="center"/>
    </xf>
    <xf numFmtId="0" fontId="8" fillId="3" borderId="183" xfId="2" applyFont="1" applyFill="1" applyBorder="1" applyAlignment="1">
      <alignment horizontal="center"/>
    </xf>
    <xf numFmtId="0" fontId="8" fillId="3" borderId="184" xfId="2" applyFont="1" applyFill="1" applyBorder="1" applyAlignment="1">
      <alignment horizontal="center"/>
    </xf>
    <xf numFmtId="0" fontId="8" fillId="3" borderId="185" xfId="2" applyFont="1" applyFill="1" applyBorder="1" applyAlignment="1">
      <alignment horizontal="center"/>
    </xf>
    <xf numFmtId="0" fontId="8" fillId="3" borderId="186" xfId="2" applyFont="1" applyFill="1" applyBorder="1" applyAlignment="1">
      <alignment horizontal="center"/>
    </xf>
    <xf numFmtId="0" fontId="8" fillId="3" borderId="187" xfId="2" applyFont="1" applyFill="1" applyBorder="1" applyAlignment="1">
      <alignment horizontal="center"/>
    </xf>
    <xf numFmtId="0" fontId="8" fillId="4" borderId="184" xfId="2" applyFont="1" applyFill="1" applyBorder="1" applyAlignment="1">
      <alignment horizontal="center"/>
    </xf>
    <xf numFmtId="0" fontId="33" fillId="5" borderId="9" xfId="2" applyFont="1" applyFill="1" applyBorder="1" applyAlignment="1">
      <alignment horizontal="center"/>
    </xf>
    <xf numFmtId="14" fontId="33" fillId="5" borderId="9" xfId="2" applyNumberFormat="1" applyFont="1" applyFill="1" applyBorder="1" applyAlignment="1">
      <alignment horizontal="center"/>
    </xf>
    <xf numFmtId="0" fontId="33" fillId="5" borderId="1" xfId="2" applyFont="1" applyFill="1" applyBorder="1" applyAlignment="1">
      <alignment horizontal="center"/>
    </xf>
    <xf numFmtId="0" fontId="33" fillId="5" borderId="19" xfId="2" applyFont="1" applyFill="1" applyBorder="1" applyAlignment="1">
      <alignment horizontal="center"/>
    </xf>
    <xf numFmtId="0" fontId="33" fillId="5" borderId="18" xfId="2" applyFont="1" applyFill="1" applyBorder="1" applyAlignment="1">
      <alignment horizontal="center"/>
    </xf>
    <xf numFmtId="2" fontId="33" fillId="5" borderId="80" xfId="2" applyNumberFormat="1" applyFont="1" applyFill="1" applyBorder="1" applyAlignment="1">
      <alignment horizontal="center"/>
    </xf>
    <xf numFmtId="1" fontId="33" fillId="5" borderId="93" xfId="2" applyNumberFormat="1" applyFont="1" applyFill="1" applyBorder="1" applyAlignment="1">
      <alignment horizontal="center"/>
    </xf>
    <xf numFmtId="2" fontId="33" fillId="5" borderId="20" xfId="2" applyNumberFormat="1" applyFont="1" applyFill="1" applyBorder="1" applyAlignment="1">
      <alignment horizontal="center"/>
    </xf>
    <xf numFmtId="0" fontId="33" fillId="5" borderId="20" xfId="2" applyFont="1" applyFill="1" applyBorder="1" applyAlignment="1">
      <alignment horizontal="center"/>
    </xf>
    <xf numFmtId="0" fontId="33" fillId="5" borderId="34" xfId="2" applyFont="1" applyFill="1" applyBorder="1" applyAlignment="1">
      <alignment horizontal="center"/>
    </xf>
    <xf numFmtId="164" fontId="33" fillId="5" borderId="19" xfId="2" applyNumberFormat="1" applyFont="1" applyFill="1" applyBorder="1" applyAlignment="1">
      <alignment horizontal="center"/>
    </xf>
    <xf numFmtId="164" fontId="33" fillId="5" borderId="18" xfId="2" applyNumberFormat="1" applyFont="1" applyFill="1" applyBorder="1" applyAlignment="1">
      <alignment horizontal="center"/>
    </xf>
    <xf numFmtId="164" fontId="33" fillId="5" borderId="9" xfId="2" applyNumberFormat="1" applyFont="1" applyFill="1" applyBorder="1" applyAlignment="1">
      <alignment horizontal="center"/>
    </xf>
    <xf numFmtId="164" fontId="33" fillId="5" borderId="1" xfId="2" applyNumberFormat="1" applyFont="1" applyFill="1" applyBorder="1" applyAlignment="1">
      <alignment horizontal="center"/>
    </xf>
    <xf numFmtId="2" fontId="33" fillId="5" borderId="19" xfId="2" applyNumberFormat="1" applyFont="1" applyFill="1" applyBorder="1" applyAlignment="1">
      <alignment horizontal="center"/>
    </xf>
    <xf numFmtId="164" fontId="33" fillId="5" borderId="80" xfId="2" applyNumberFormat="1" applyFont="1" applyFill="1" applyBorder="1" applyAlignment="1">
      <alignment horizontal="center"/>
    </xf>
    <xf numFmtId="0" fontId="33" fillId="5" borderId="21" xfId="2" applyFont="1" applyFill="1" applyBorder="1" applyAlignment="1">
      <alignment horizontal="center"/>
    </xf>
    <xf numFmtId="0" fontId="33" fillId="5" borderId="7" xfId="2" applyFont="1" applyFill="1" applyBorder="1" applyAlignment="1">
      <alignment horizontal="center"/>
    </xf>
    <xf numFmtId="2" fontId="33" fillId="5" borderId="79" xfId="2" applyNumberFormat="1" applyFont="1" applyFill="1" applyBorder="1" applyAlignment="1">
      <alignment horizontal="center"/>
    </xf>
    <xf numFmtId="1" fontId="33" fillId="5" borderId="39" xfId="2" applyNumberFormat="1" applyFont="1" applyFill="1" applyBorder="1" applyAlignment="1">
      <alignment horizontal="center"/>
    </xf>
    <xf numFmtId="2" fontId="33" fillId="5" borderId="7" xfId="2" applyNumberFormat="1" applyFont="1" applyFill="1" applyBorder="1" applyAlignment="1">
      <alignment horizontal="center"/>
    </xf>
    <xf numFmtId="0" fontId="33" fillId="5" borderId="8" xfId="2" applyFont="1" applyFill="1" applyBorder="1" applyAlignment="1">
      <alignment horizontal="center"/>
    </xf>
    <xf numFmtId="164" fontId="33" fillId="5" borderId="21" xfId="2" applyNumberFormat="1" applyFont="1" applyFill="1" applyBorder="1" applyAlignment="1">
      <alignment horizontal="center"/>
    </xf>
    <xf numFmtId="164" fontId="33" fillId="5" borderId="7" xfId="2" applyNumberFormat="1" applyFont="1" applyFill="1" applyBorder="1" applyAlignment="1">
      <alignment horizontal="center"/>
    </xf>
    <xf numFmtId="2" fontId="33" fillId="5" borderId="21" xfId="2" applyNumberFormat="1" applyFont="1" applyFill="1" applyBorder="1" applyAlignment="1">
      <alignment horizontal="center"/>
    </xf>
    <xf numFmtId="164" fontId="33" fillId="5" borderId="79" xfId="2" applyNumberFormat="1" applyFont="1" applyFill="1" applyBorder="1" applyAlignment="1">
      <alignment horizontal="center"/>
    </xf>
    <xf numFmtId="0" fontId="33" fillId="5" borderId="12" xfId="2" applyFont="1" applyFill="1" applyBorder="1" applyAlignment="1">
      <alignment horizontal="center"/>
    </xf>
    <xf numFmtId="0" fontId="33" fillId="5" borderId="28" xfId="2" applyFont="1" applyFill="1" applyBorder="1" applyAlignment="1">
      <alignment horizontal="center"/>
    </xf>
    <xf numFmtId="0" fontId="33" fillId="5" borderId="43" xfId="2" applyFont="1" applyFill="1" applyBorder="1" applyAlignment="1">
      <alignment horizontal="center"/>
    </xf>
    <xf numFmtId="0" fontId="33" fillId="5" borderId="40" xfId="2" applyFont="1" applyFill="1" applyBorder="1" applyAlignment="1">
      <alignment horizontal="center"/>
    </xf>
    <xf numFmtId="2" fontId="33" fillId="5" borderId="188" xfId="2" applyNumberFormat="1" applyFont="1" applyFill="1" applyBorder="1" applyAlignment="1">
      <alignment horizontal="center"/>
    </xf>
    <xf numFmtId="1" fontId="33" fillId="5" borderId="189" xfId="2" applyNumberFormat="1" applyFont="1" applyFill="1" applyBorder="1" applyAlignment="1">
      <alignment horizontal="center"/>
    </xf>
    <xf numFmtId="2" fontId="33" fillId="5" borderId="33" xfId="2" applyNumberFormat="1" applyFont="1" applyFill="1" applyBorder="1" applyAlignment="1">
      <alignment horizontal="center"/>
    </xf>
    <xf numFmtId="0" fontId="33" fillId="5" borderId="33" xfId="2" applyFont="1" applyFill="1" applyBorder="1" applyAlignment="1">
      <alignment horizontal="center"/>
    </xf>
    <xf numFmtId="0" fontId="33" fillId="5" borderId="48" xfId="2" applyFont="1" applyFill="1" applyBorder="1" applyAlignment="1">
      <alignment horizontal="center"/>
    </xf>
    <xf numFmtId="164" fontId="33" fillId="5" borderId="43" xfId="2" applyNumberFormat="1" applyFont="1" applyFill="1" applyBorder="1" applyAlignment="1">
      <alignment horizontal="center"/>
    </xf>
    <xf numFmtId="164" fontId="33" fillId="5" borderId="40" xfId="2" applyNumberFormat="1" applyFont="1" applyFill="1" applyBorder="1" applyAlignment="1">
      <alignment horizontal="center"/>
    </xf>
    <xf numFmtId="164" fontId="33" fillId="5" borderId="12" xfId="2" applyNumberFormat="1" applyFont="1" applyFill="1" applyBorder="1" applyAlignment="1">
      <alignment horizontal="center"/>
    </xf>
    <xf numFmtId="164" fontId="33" fillId="5" borderId="28" xfId="2" applyNumberFormat="1" applyFont="1" applyFill="1" applyBorder="1" applyAlignment="1">
      <alignment horizontal="center"/>
    </xf>
    <xf numFmtId="2" fontId="33" fillId="5" borderId="43" xfId="2" applyNumberFormat="1" applyFont="1" applyFill="1" applyBorder="1" applyAlignment="1">
      <alignment horizontal="center"/>
    </xf>
    <xf numFmtId="164" fontId="33" fillId="5" borderId="188" xfId="2" applyNumberFormat="1" applyFont="1" applyFill="1" applyBorder="1" applyAlignment="1">
      <alignment horizontal="center"/>
    </xf>
    <xf numFmtId="0" fontId="33" fillId="0" borderId="190" xfId="2" applyFont="1" applyBorder="1" applyAlignment="1">
      <alignment horizontal="center"/>
    </xf>
    <xf numFmtId="14" fontId="33" fillId="0" borderId="191" xfId="2" applyNumberFormat="1" applyFont="1" applyBorder="1" applyAlignment="1">
      <alignment horizontal="center"/>
    </xf>
    <xf numFmtId="0" fontId="33" fillId="0" borderId="191" xfId="2" applyFont="1" applyBorder="1" applyAlignment="1">
      <alignment horizontal="center"/>
    </xf>
    <xf numFmtId="0" fontId="33" fillId="0" borderId="192" xfId="2" applyFont="1" applyBorder="1" applyAlignment="1">
      <alignment horizontal="center"/>
    </xf>
    <xf numFmtId="0" fontId="33" fillId="0" borderId="19" xfId="2" applyFont="1" applyBorder="1" applyAlignment="1">
      <alignment horizontal="center"/>
    </xf>
    <xf numFmtId="0" fontId="33" fillId="0" borderId="18" xfId="2" applyFont="1" applyBorder="1" applyAlignment="1">
      <alignment horizontal="center"/>
    </xf>
    <xf numFmtId="2" fontId="33" fillId="0" borderId="80" xfId="2" applyNumberFormat="1" applyFont="1" applyFill="1" applyBorder="1" applyAlignment="1">
      <alignment horizontal="center"/>
    </xf>
    <xf numFmtId="1" fontId="33" fillId="0" borderId="78" xfId="2" applyNumberFormat="1" applyFont="1" applyFill="1" applyBorder="1" applyAlignment="1">
      <alignment horizontal="center"/>
    </xf>
    <xf numFmtId="2" fontId="33" fillId="0" borderId="18" xfId="2" applyNumberFormat="1" applyFont="1" applyFill="1" applyBorder="1" applyAlignment="1">
      <alignment horizontal="center"/>
    </xf>
    <xf numFmtId="1" fontId="33" fillId="0" borderId="18" xfId="2" applyNumberFormat="1" applyFont="1" applyFill="1" applyBorder="1" applyAlignment="1">
      <alignment horizontal="center"/>
    </xf>
    <xf numFmtId="1" fontId="33" fillId="0" borderId="17" xfId="2" applyNumberFormat="1" applyFont="1" applyFill="1" applyBorder="1" applyAlignment="1">
      <alignment horizontal="center"/>
    </xf>
    <xf numFmtId="164" fontId="33" fillId="0" borderId="19" xfId="2" applyNumberFormat="1" applyFont="1" applyFill="1" applyBorder="1" applyAlignment="1">
      <alignment horizontal="center"/>
    </xf>
    <xf numFmtId="164" fontId="33" fillId="0" borderId="18" xfId="2" applyNumberFormat="1" applyFont="1" applyFill="1" applyBorder="1" applyAlignment="1">
      <alignment horizontal="center"/>
    </xf>
    <xf numFmtId="164" fontId="33" fillId="0" borderId="18" xfId="2" applyNumberFormat="1" applyFont="1" applyBorder="1" applyAlignment="1">
      <alignment horizontal="center"/>
    </xf>
    <xf numFmtId="164" fontId="33" fillId="0" borderId="17" xfId="2" applyNumberFormat="1" applyFont="1" applyBorder="1" applyAlignment="1">
      <alignment horizontal="center"/>
    </xf>
    <xf numFmtId="2" fontId="33" fillId="0" borderId="19" xfId="2" applyNumberFormat="1" applyFont="1" applyFill="1" applyBorder="1" applyAlignment="1">
      <alignment horizontal="center"/>
    </xf>
    <xf numFmtId="164" fontId="33" fillId="0" borderId="80" xfId="2" applyNumberFormat="1" applyFont="1" applyFill="1" applyBorder="1" applyAlignment="1">
      <alignment horizontal="center"/>
    </xf>
    <xf numFmtId="0" fontId="33" fillId="0" borderId="193" xfId="2" applyFont="1" applyBorder="1" applyAlignment="1">
      <alignment horizontal="center"/>
    </xf>
    <xf numFmtId="14" fontId="33" fillId="0" borderId="26" xfId="2" applyNumberFormat="1" applyFont="1" applyBorder="1" applyAlignment="1">
      <alignment horizontal="center"/>
    </xf>
    <xf numFmtId="0" fontId="33" fillId="0" borderId="26" xfId="2" applyFont="1" applyBorder="1" applyAlignment="1">
      <alignment horizontal="center"/>
    </xf>
    <xf numFmtId="0" fontId="33" fillId="0" borderId="27" xfId="2" applyFont="1" applyBorder="1" applyAlignment="1">
      <alignment horizontal="center"/>
    </xf>
    <xf numFmtId="0" fontId="33" fillId="0" borderId="21" xfId="2" applyFont="1" applyBorder="1" applyAlignment="1">
      <alignment horizontal="center"/>
    </xf>
    <xf numFmtId="0" fontId="33" fillId="0" borderId="7" xfId="2" applyFont="1" applyBorder="1" applyAlignment="1">
      <alignment horizontal="center"/>
    </xf>
    <xf numFmtId="2" fontId="33" fillId="0" borderId="79" xfId="2" applyNumberFormat="1" applyFont="1" applyFill="1" applyBorder="1" applyAlignment="1">
      <alignment horizontal="center"/>
    </xf>
    <xf numFmtId="1" fontId="33" fillId="0" borderId="39" xfId="2" applyNumberFormat="1" applyFont="1" applyFill="1" applyBorder="1" applyAlignment="1">
      <alignment horizontal="center"/>
    </xf>
    <xf numFmtId="2" fontId="33" fillId="0" borderId="7" xfId="2" applyNumberFormat="1" applyFont="1" applyFill="1" applyBorder="1" applyAlignment="1">
      <alignment horizontal="center"/>
    </xf>
    <xf numFmtId="1" fontId="33" fillId="0" borderId="7" xfId="2" applyNumberFormat="1" applyFont="1" applyFill="1" applyBorder="1" applyAlignment="1">
      <alignment horizontal="center"/>
    </xf>
    <xf numFmtId="1" fontId="33" fillId="0" borderId="8" xfId="2" applyNumberFormat="1" applyFont="1" applyFill="1" applyBorder="1" applyAlignment="1">
      <alignment horizontal="center"/>
    </xf>
    <xf numFmtId="164" fontId="33" fillId="0" borderId="21" xfId="2" applyNumberFormat="1" applyFont="1" applyFill="1" applyBorder="1" applyAlignment="1">
      <alignment horizontal="center"/>
    </xf>
    <xf numFmtId="164" fontId="33" fillId="0" borderId="7" xfId="2" applyNumberFormat="1" applyFont="1" applyFill="1" applyBorder="1" applyAlignment="1">
      <alignment horizontal="center"/>
    </xf>
    <xf numFmtId="164" fontId="33" fillId="0" borderId="7" xfId="2" applyNumberFormat="1" applyFont="1" applyBorder="1" applyAlignment="1">
      <alignment horizontal="center"/>
    </xf>
    <xf numFmtId="164" fontId="33" fillId="0" borderId="8" xfId="2" applyNumberFormat="1" applyFont="1" applyBorder="1" applyAlignment="1">
      <alignment horizontal="center"/>
    </xf>
    <xf numFmtId="2" fontId="33" fillId="0" borderId="21" xfId="2" applyNumberFormat="1" applyFont="1" applyFill="1" applyBorder="1" applyAlignment="1">
      <alignment horizontal="center"/>
    </xf>
    <xf numFmtId="164" fontId="33" fillId="0" borderId="79" xfId="2" applyNumberFormat="1" applyFont="1" applyFill="1" applyBorder="1" applyAlignment="1">
      <alignment horizontal="center"/>
    </xf>
    <xf numFmtId="0" fontId="33" fillId="0" borderId="194" xfId="2" applyFont="1" applyBorder="1" applyAlignment="1">
      <alignment horizontal="center"/>
    </xf>
    <xf numFmtId="14" fontId="33" fillId="0" borderId="195" xfId="2" applyNumberFormat="1" applyFont="1" applyBorder="1" applyAlignment="1">
      <alignment horizontal="center"/>
    </xf>
    <xf numFmtId="0" fontId="33" fillId="0" borderId="195" xfId="2" applyFont="1" applyBorder="1" applyAlignment="1">
      <alignment horizontal="center"/>
    </xf>
    <xf numFmtId="0" fontId="33" fillId="0" borderId="196" xfId="2" applyFont="1" applyBorder="1" applyAlignment="1">
      <alignment horizontal="center"/>
    </xf>
    <xf numFmtId="0" fontId="33" fillId="0" borderId="43" xfId="2" applyFont="1" applyBorder="1" applyAlignment="1">
      <alignment horizontal="center"/>
    </xf>
    <xf numFmtId="0" fontId="33" fillId="0" borderId="40" xfId="2" applyFont="1" applyBorder="1" applyAlignment="1">
      <alignment horizontal="center"/>
    </xf>
    <xf numFmtId="2" fontId="33" fillId="0" borderId="188" xfId="2" applyNumberFormat="1" applyFont="1" applyFill="1" applyBorder="1" applyAlignment="1">
      <alignment horizontal="center"/>
    </xf>
    <xf numFmtId="1" fontId="33" fillId="0" borderId="189" xfId="2" applyNumberFormat="1" applyFont="1" applyFill="1" applyBorder="1" applyAlignment="1">
      <alignment horizontal="center"/>
    </xf>
    <xf numFmtId="2" fontId="33" fillId="0" borderId="33" xfId="2" applyNumberFormat="1" applyFont="1" applyFill="1" applyBorder="1" applyAlignment="1">
      <alignment horizontal="center"/>
    </xf>
    <xf numFmtId="1" fontId="33" fillId="0" borderId="33" xfId="2" applyNumberFormat="1" applyFont="1" applyFill="1" applyBorder="1" applyAlignment="1">
      <alignment horizontal="center"/>
    </xf>
    <xf numFmtId="1" fontId="33" fillId="0" borderId="48" xfId="2" applyNumberFormat="1" applyFont="1" applyFill="1" applyBorder="1" applyAlignment="1">
      <alignment horizontal="center"/>
    </xf>
    <xf numFmtId="164" fontId="33" fillId="0" borderId="43" xfId="2" applyNumberFormat="1" applyFont="1" applyFill="1" applyBorder="1" applyAlignment="1">
      <alignment horizontal="center"/>
    </xf>
    <xf numFmtId="164" fontId="33" fillId="0" borderId="40" xfId="2" applyNumberFormat="1" applyFont="1" applyFill="1" applyBorder="1" applyAlignment="1">
      <alignment horizontal="center"/>
    </xf>
    <xf numFmtId="164" fontId="33" fillId="0" borderId="40" xfId="2" applyNumberFormat="1" applyFont="1" applyBorder="1" applyAlignment="1">
      <alignment horizontal="center"/>
    </xf>
    <xf numFmtId="164" fontId="33" fillId="0" borderId="42" xfId="2" applyNumberFormat="1" applyFont="1" applyBorder="1" applyAlignment="1">
      <alignment horizontal="center"/>
    </xf>
    <xf numFmtId="2" fontId="33" fillId="0" borderId="43" xfId="2" applyNumberFormat="1" applyFont="1" applyFill="1" applyBorder="1" applyAlignment="1">
      <alignment horizontal="center"/>
    </xf>
    <xf numFmtId="164" fontId="33" fillId="0" borderId="188" xfId="2" applyNumberFormat="1" applyFont="1" applyFill="1" applyBorder="1" applyAlignment="1">
      <alignment horizontal="center"/>
    </xf>
    <xf numFmtId="1" fontId="33" fillId="0" borderId="93" xfId="2" applyNumberFormat="1" applyFont="1" applyFill="1" applyBorder="1" applyAlignment="1">
      <alignment horizontal="center"/>
    </xf>
    <xf numFmtId="2" fontId="33" fillId="0" borderId="20" xfId="2" applyNumberFormat="1" applyFont="1" applyFill="1" applyBorder="1" applyAlignment="1">
      <alignment horizontal="center"/>
    </xf>
    <xf numFmtId="1" fontId="33" fillId="0" borderId="20" xfId="2" applyNumberFormat="1" applyFont="1" applyFill="1" applyBorder="1" applyAlignment="1">
      <alignment horizontal="center"/>
    </xf>
    <xf numFmtId="1" fontId="33" fillId="0" borderId="34" xfId="2" applyNumberFormat="1" applyFont="1" applyFill="1" applyBorder="1" applyAlignment="1">
      <alignment horizontal="center"/>
    </xf>
    <xf numFmtId="1" fontId="33" fillId="0" borderId="197" xfId="2" applyNumberFormat="1" applyFont="1" applyFill="1" applyBorder="1" applyAlignment="1">
      <alignment horizontal="center"/>
    </xf>
    <xf numFmtId="2" fontId="33" fillId="0" borderId="40" xfId="2" applyNumberFormat="1" applyFont="1" applyFill="1" applyBorder="1" applyAlignment="1">
      <alignment horizontal="center"/>
    </xf>
    <xf numFmtId="1" fontId="33" fillId="0" borderId="40" xfId="2" applyNumberFormat="1" applyFont="1" applyFill="1" applyBorder="1" applyAlignment="1">
      <alignment horizontal="center"/>
    </xf>
    <xf numFmtId="1" fontId="33" fillId="0" borderId="42" xfId="2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vertical="center"/>
    </xf>
    <xf numFmtId="0" fontId="0" fillId="0" borderId="0" xfId="0" applyBorder="1"/>
    <xf numFmtId="0" fontId="34" fillId="0" borderId="0" xfId="11" applyFont="1" applyFill="1" applyBorder="1" applyAlignment="1">
      <alignment vertical="center"/>
    </xf>
    <xf numFmtId="0" fontId="35" fillId="0" borderId="0" xfId="0" applyFont="1" applyFill="1" applyBorder="1" applyAlignment="1">
      <alignment vertical="center"/>
    </xf>
    <xf numFmtId="0" fontId="33" fillId="0" borderId="0" xfId="2" applyFont="1" applyBorder="1" applyAlignment="1">
      <alignment horizontal="center"/>
    </xf>
    <xf numFmtId="0" fontId="8" fillId="3" borderId="28" xfId="2" applyFont="1" applyFill="1" applyBorder="1" applyAlignment="1">
      <alignment horizontal="center"/>
    </xf>
    <xf numFmtId="0" fontId="0" fillId="0" borderId="0" xfId="0" applyNumberFormat="1"/>
    <xf numFmtId="14" fontId="0" fillId="0" borderId="7" xfId="2" applyNumberFormat="1" applyFont="1" applyBorder="1"/>
    <xf numFmtId="1" fontId="15" fillId="0" borderId="7" xfId="0" applyNumberFormat="1" applyFont="1" applyFill="1" applyBorder="1" applyAlignment="1">
      <alignment horizontal="right" wrapText="1"/>
    </xf>
    <xf numFmtId="168" fontId="15" fillId="0" borderId="8" xfId="0" applyNumberFormat="1" applyFont="1" applyFill="1" applyBorder="1" applyAlignment="1">
      <alignment horizontal="center" wrapText="1"/>
    </xf>
    <xf numFmtId="168" fontId="4" fillId="0" borderId="7" xfId="2" applyNumberFormat="1" applyBorder="1" applyAlignment="1">
      <alignment horizontal="center"/>
    </xf>
    <xf numFmtId="168" fontId="4" fillId="0" borderId="3" xfId="2" applyNumberFormat="1" applyBorder="1" applyAlignment="1">
      <alignment horizontal="center"/>
    </xf>
    <xf numFmtId="2" fontId="15" fillId="0" borderId="127" xfId="0" applyNumberFormat="1" applyFont="1" applyFill="1" applyBorder="1" applyAlignment="1">
      <alignment horizontal="center" wrapText="1"/>
    </xf>
    <xf numFmtId="168" fontId="15" fillId="0" borderId="33" xfId="0" applyNumberFormat="1" applyFont="1" applyFill="1" applyBorder="1" applyAlignment="1">
      <alignment horizontal="center" wrapText="1"/>
    </xf>
    <xf numFmtId="168" fontId="4" fillId="0" borderId="33" xfId="2" applyNumberFormat="1" applyBorder="1" applyAlignment="1">
      <alignment horizontal="center"/>
    </xf>
    <xf numFmtId="14" fontId="0" fillId="0" borderId="24" xfId="2" applyNumberFormat="1" applyFont="1" applyBorder="1"/>
    <xf numFmtId="1" fontId="15" fillId="0" borderId="24" xfId="0" applyNumberFormat="1" applyFont="1" applyFill="1" applyBorder="1" applyAlignment="1">
      <alignment horizontal="right" wrapText="1"/>
    </xf>
    <xf numFmtId="0" fontId="4" fillId="0" borderId="86" xfId="2" applyBorder="1" applyAlignment="1">
      <alignment horizontal="center"/>
    </xf>
    <xf numFmtId="168" fontId="15" fillId="0" borderId="52" xfId="0" applyNumberFormat="1" applyFont="1" applyFill="1" applyBorder="1" applyAlignment="1">
      <alignment horizontal="center" wrapText="1"/>
    </xf>
    <xf numFmtId="168" fontId="4" fillId="0" borderId="24" xfId="2" applyNumberFormat="1" applyBorder="1" applyAlignment="1">
      <alignment horizontal="center"/>
    </xf>
    <xf numFmtId="168" fontId="15" fillId="0" borderId="198" xfId="0" applyNumberFormat="1" applyFont="1" applyFill="1" applyBorder="1" applyAlignment="1">
      <alignment horizontal="center" wrapText="1"/>
    </xf>
    <xf numFmtId="168" fontId="15" fillId="0" borderId="31" xfId="0" applyNumberFormat="1" applyFont="1" applyFill="1" applyBorder="1" applyAlignment="1">
      <alignment horizontal="center" wrapText="1"/>
    </xf>
    <xf numFmtId="168" fontId="4" fillId="0" borderId="54" xfId="2" applyNumberFormat="1" applyBorder="1" applyAlignment="1">
      <alignment horizontal="center"/>
    </xf>
    <xf numFmtId="2" fontId="4" fillId="0" borderId="59" xfId="2" applyNumberFormat="1" applyBorder="1" applyAlignment="1">
      <alignment horizontal="center"/>
    </xf>
    <xf numFmtId="0" fontId="4" fillId="0" borderId="199" xfId="2" applyFont="1" applyBorder="1" applyAlignment="1">
      <alignment horizontal="center"/>
    </xf>
    <xf numFmtId="14" fontId="0" fillId="0" borderId="158" xfId="2" applyNumberFormat="1" applyFont="1" applyBorder="1"/>
    <xf numFmtId="0" fontId="4" fillId="0" borderId="199" xfId="2" applyNumberFormat="1" applyBorder="1" applyAlignment="1">
      <alignment horizontal="center"/>
    </xf>
    <xf numFmtId="0" fontId="0" fillId="0" borderId="158" xfId="2" applyFont="1" applyBorder="1"/>
    <xf numFmtId="0" fontId="4" fillId="0" borderId="199" xfId="2" applyBorder="1" applyAlignment="1">
      <alignment horizontal="center"/>
    </xf>
    <xf numFmtId="0" fontId="4" fillId="0" borderId="200" xfId="2" applyBorder="1" applyAlignment="1">
      <alignment horizontal="center"/>
    </xf>
    <xf numFmtId="0" fontId="4" fillId="0" borderId="201" xfId="2" applyBorder="1" applyAlignment="1">
      <alignment horizontal="center"/>
    </xf>
    <xf numFmtId="168" fontId="4" fillId="0" borderId="20" xfId="2" applyNumberFormat="1" applyBorder="1" applyAlignment="1">
      <alignment horizontal="center"/>
    </xf>
    <xf numFmtId="168" fontId="4" fillId="0" borderId="77" xfId="2" applyNumberFormat="1" applyBorder="1" applyAlignment="1">
      <alignment horizontal="center"/>
    </xf>
    <xf numFmtId="2" fontId="6" fillId="0" borderId="20" xfId="3" applyNumberFormat="1" applyBorder="1" applyAlignment="1">
      <alignment horizontal="center"/>
    </xf>
    <xf numFmtId="0" fontId="6" fillId="0" borderId="202" xfId="3" applyBorder="1"/>
    <xf numFmtId="0" fontId="0" fillId="0" borderId="7" xfId="2" applyFont="1" applyBorder="1"/>
    <xf numFmtId="168" fontId="4" fillId="0" borderId="10" xfId="2" applyNumberFormat="1" applyBorder="1" applyAlignment="1">
      <alignment horizontal="center"/>
    </xf>
    <xf numFmtId="168" fontId="4" fillId="0" borderId="58" xfId="2" applyNumberFormat="1" applyBorder="1" applyAlignment="1">
      <alignment horizontal="center"/>
    </xf>
    <xf numFmtId="0" fontId="4" fillId="0" borderId="31" xfId="2" applyBorder="1"/>
    <xf numFmtId="1" fontId="15" fillId="0" borderId="86" xfId="0" applyNumberFormat="1" applyFont="1" applyFill="1" applyBorder="1" applyAlignment="1">
      <alignment horizontal="right" wrapText="1"/>
    </xf>
    <xf numFmtId="0" fontId="0" fillId="0" borderId="24" xfId="2" applyFont="1" applyBorder="1"/>
    <xf numFmtId="0" fontId="4" fillId="0" borderId="64" xfId="2" applyBorder="1" applyAlignment="1">
      <alignment horizontal="center"/>
    </xf>
    <xf numFmtId="168" fontId="4" fillId="0" borderId="86" xfId="2" applyNumberFormat="1" applyBorder="1" applyAlignment="1">
      <alignment horizontal="center"/>
    </xf>
    <xf numFmtId="2" fontId="6" fillId="0" borderId="24" xfId="3" applyNumberFormat="1" applyBorder="1" applyAlignment="1">
      <alignment horizontal="center"/>
    </xf>
    <xf numFmtId="0" fontId="4" fillId="0" borderId="26" xfId="2" applyFont="1" applyFill="1" applyBorder="1" applyAlignment="1">
      <alignment horizontal="center"/>
    </xf>
    <xf numFmtId="1" fontId="15" fillId="0" borderId="7" xfId="0" quotePrefix="1" applyNumberFormat="1" applyFont="1" applyFill="1" applyBorder="1" applyAlignment="1">
      <alignment horizontal="center" wrapText="1"/>
    </xf>
    <xf numFmtId="2" fontId="4" fillId="0" borderId="203" xfId="2" applyNumberFormat="1" applyBorder="1" applyAlignment="1">
      <alignment horizontal="center"/>
    </xf>
    <xf numFmtId="2" fontId="4" fillId="0" borderId="204" xfId="2" applyNumberFormat="1" applyBorder="1" applyAlignment="1">
      <alignment horizontal="center"/>
    </xf>
    <xf numFmtId="165" fontId="6" fillId="0" borderId="87" xfId="3" applyNumberFormat="1" applyBorder="1" applyAlignment="1">
      <alignment horizontal="center"/>
    </xf>
    <xf numFmtId="0" fontId="4" fillId="0" borderId="9" xfId="2" applyFont="1" applyFill="1" applyBorder="1" applyAlignment="1">
      <alignment horizontal="center"/>
    </xf>
    <xf numFmtId="0" fontId="4" fillId="0" borderId="39" xfId="2" applyBorder="1" applyAlignment="1">
      <alignment horizontal="center"/>
    </xf>
    <xf numFmtId="2" fontId="4" fillId="0" borderId="11" xfId="2" applyNumberFormat="1" applyBorder="1" applyAlignment="1">
      <alignment horizontal="center"/>
    </xf>
    <xf numFmtId="2" fontId="4" fillId="0" borderId="205" xfId="2" applyNumberFormat="1" applyBorder="1" applyAlignment="1">
      <alignment horizontal="center"/>
    </xf>
    <xf numFmtId="165" fontId="6" fillId="0" borderId="7" xfId="3" applyNumberFormat="1" applyBorder="1" applyAlignment="1">
      <alignment horizontal="center"/>
    </xf>
    <xf numFmtId="1" fontId="15" fillId="0" borderId="39" xfId="0" applyNumberFormat="1" applyFont="1" applyFill="1" applyBorder="1" applyAlignment="1">
      <alignment horizontal="center" wrapText="1"/>
    </xf>
    <xf numFmtId="0" fontId="0" fillId="0" borderId="39" xfId="2" applyFont="1" applyBorder="1" applyAlignment="1">
      <alignment horizontal="center"/>
    </xf>
    <xf numFmtId="0" fontId="4" fillId="0" borderId="46" xfId="2" applyBorder="1" applyAlignment="1">
      <alignment horizontal="center"/>
    </xf>
    <xf numFmtId="0" fontId="0" fillId="0" borderId="20" xfId="2" applyFont="1" applyBorder="1"/>
    <xf numFmtId="0" fontId="4" fillId="0" borderId="29" xfId="2" applyFont="1" applyFill="1" applyBorder="1" applyAlignment="1">
      <alignment horizontal="center"/>
    </xf>
    <xf numFmtId="0" fontId="0" fillId="0" borderId="24" xfId="2" applyFont="1" applyBorder="1" applyAlignment="1">
      <alignment horizontal="center"/>
    </xf>
    <xf numFmtId="0" fontId="4" fillId="0" borderId="206" xfId="2" applyBorder="1" applyAlignment="1">
      <alignment horizontal="center"/>
    </xf>
    <xf numFmtId="0" fontId="4" fillId="0" borderId="96" xfId="2" applyBorder="1" applyAlignment="1">
      <alignment horizontal="center"/>
    </xf>
    <xf numFmtId="2" fontId="4" fillId="0" borderId="207" xfId="2" applyNumberFormat="1" applyBorder="1" applyAlignment="1">
      <alignment horizontal="center"/>
    </xf>
    <xf numFmtId="2" fontId="4" fillId="0" borderId="74" xfId="2" applyNumberFormat="1" applyBorder="1" applyAlignment="1">
      <alignment horizontal="center"/>
    </xf>
    <xf numFmtId="14" fontId="0" fillId="0" borderId="20" xfId="2" applyNumberFormat="1" applyFont="1" applyBorder="1"/>
    <xf numFmtId="0" fontId="4" fillId="0" borderId="202" xfId="2" applyBorder="1"/>
    <xf numFmtId="165" fontId="6" fillId="0" borderId="210" xfId="3" applyNumberFormat="1" applyBorder="1" applyAlignment="1">
      <alignment horizontal="center"/>
    </xf>
    <xf numFmtId="0" fontId="4" fillId="0" borderId="8" xfId="2" applyBorder="1" applyAlignment="1">
      <alignment horizontal="center"/>
    </xf>
    <xf numFmtId="0" fontId="4" fillId="0" borderId="57" xfId="2" applyBorder="1" applyAlignment="1">
      <alignment horizontal="center"/>
    </xf>
    <xf numFmtId="0" fontId="4" fillId="0" borderId="212" xfId="2" applyBorder="1" applyAlignment="1">
      <alignment horizontal="center"/>
    </xf>
    <xf numFmtId="0" fontId="4" fillId="0" borderId="213" xfId="2" applyBorder="1" applyAlignment="1">
      <alignment horizontal="center"/>
    </xf>
    <xf numFmtId="0" fontId="15" fillId="0" borderId="7" xfId="0" applyFont="1" applyFill="1" applyBorder="1" applyAlignment="1">
      <alignment horizontal="left" wrapText="1"/>
    </xf>
    <xf numFmtId="16" fontId="15" fillId="0" borderId="7" xfId="0" quotePrefix="1" applyNumberFormat="1" applyFont="1" applyFill="1" applyBorder="1" applyAlignment="1">
      <alignment horizontal="left" wrapText="1"/>
    </xf>
    <xf numFmtId="2" fontId="4" fillId="0" borderId="95" xfId="2" applyNumberFormat="1" applyBorder="1" applyAlignment="1">
      <alignment horizontal="center"/>
    </xf>
    <xf numFmtId="14" fontId="0" fillId="0" borderId="0" xfId="2" applyNumberFormat="1" applyFont="1" applyBorder="1"/>
    <xf numFmtId="0" fontId="0" fillId="0" borderId="0" xfId="2" applyFont="1" applyBorder="1"/>
    <xf numFmtId="2" fontId="4" fillId="0" borderId="0" xfId="2" applyNumberFormat="1" applyBorder="1" applyAlignment="1">
      <alignment horizontal="center"/>
    </xf>
    <xf numFmtId="2" fontId="6" fillId="0" borderId="0" xfId="3" applyNumberFormat="1" applyBorder="1" applyAlignment="1">
      <alignment horizontal="center"/>
    </xf>
    <xf numFmtId="165" fontId="6" fillId="0" borderId="0" xfId="3" applyNumberFormat="1" applyBorder="1" applyAlignment="1">
      <alignment horizontal="center"/>
    </xf>
    <xf numFmtId="2" fontId="4" fillId="0" borderId="0" xfId="2" applyNumberFormat="1"/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" fillId="0" borderId="0" xfId="5" applyFont="1" applyFill="1" applyBorder="1" applyAlignment="1">
      <alignment horizontal="center" vertical="center"/>
    </xf>
    <xf numFmtId="49" fontId="5" fillId="2" borderId="214" xfId="2" applyNumberFormat="1" applyFont="1" applyFill="1" applyBorder="1" applyAlignment="1"/>
    <xf numFmtId="49" fontId="5" fillId="2" borderId="215" xfId="2" applyNumberFormat="1" applyFont="1" applyFill="1" applyBorder="1" applyAlignment="1"/>
    <xf numFmtId="49" fontId="5" fillId="2" borderId="216" xfId="2" applyNumberFormat="1" applyFont="1" applyFill="1" applyBorder="1" applyAlignment="1"/>
    <xf numFmtId="0" fontId="7" fillId="2" borderId="104" xfId="3" applyFont="1" applyFill="1" applyBorder="1" applyAlignment="1"/>
    <xf numFmtId="0" fontId="7" fillId="2" borderId="105" xfId="3" applyFont="1" applyFill="1" applyBorder="1" applyAlignment="1"/>
    <xf numFmtId="0" fontId="3" fillId="2" borderId="148" xfId="3" applyFont="1" applyFill="1" applyBorder="1" applyAlignment="1"/>
    <xf numFmtId="0" fontId="3" fillId="2" borderId="139" xfId="3" applyFont="1" applyFill="1" applyBorder="1" applyAlignment="1"/>
    <xf numFmtId="0" fontId="3" fillId="2" borderId="141" xfId="3" applyFont="1" applyFill="1" applyBorder="1" applyAlignment="1"/>
    <xf numFmtId="0" fontId="0" fillId="0" borderId="0" xfId="0" applyAlignment="1">
      <alignment wrapText="1"/>
    </xf>
    <xf numFmtId="0" fontId="4" fillId="0" borderId="0" xfId="2" applyAlignment="1">
      <alignment wrapText="1"/>
    </xf>
    <xf numFmtId="0" fontId="6" fillId="0" borderId="0" xfId="3" applyAlignment="1">
      <alignment wrapText="1"/>
    </xf>
    <xf numFmtId="0" fontId="8" fillId="0" borderId="0" xfId="2" applyFont="1" applyAlignment="1"/>
    <xf numFmtId="0" fontId="4" fillId="0" borderId="0" xfId="2" applyAlignment="1"/>
    <xf numFmtId="0" fontId="6" fillId="0" borderId="0" xfId="3" applyAlignment="1"/>
    <xf numFmtId="0" fontId="0" fillId="0" borderId="0" xfId="0" applyAlignment="1"/>
    <xf numFmtId="0" fontId="4" fillId="0" borderId="0" xfId="2" applyFont="1" applyAlignment="1"/>
    <xf numFmtId="49" fontId="5" fillId="2" borderId="0" xfId="2" applyNumberFormat="1" applyFont="1" applyFill="1" applyBorder="1" applyAlignment="1">
      <alignment horizontal="center"/>
    </xf>
    <xf numFmtId="0" fontId="8" fillId="3" borderId="113" xfId="2" applyFont="1" applyFill="1" applyBorder="1" applyAlignment="1">
      <alignment horizontal="center"/>
    </xf>
    <xf numFmtId="0" fontId="8" fillId="3" borderId="217" xfId="2" applyFont="1" applyFill="1" applyBorder="1" applyAlignment="1">
      <alignment horizontal="center"/>
    </xf>
    <xf numFmtId="0" fontId="4" fillId="0" borderId="220" xfId="2" applyBorder="1" applyAlignment="1">
      <alignment horizontal="center"/>
    </xf>
    <xf numFmtId="49" fontId="37" fillId="2" borderId="110" xfId="0" applyNumberFormat="1" applyFont="1" applyFill="1" applyBorder="1" applyAlignment="1">
      <alignment vertical="center"/>
    </xf>
    <xf numFmtId="0" fontId="38" fillId="2" borderId="113" xfId="0" applyFont="1" applyFill="1" applyBorder="1" applyAlignment="1">
      <alignment vertical="center"/>
    </xf>
    <xf numFmtId="0" fontId="38" fillId="2" borderId="110" xfId="0" applyFont="1" applyFill="1" applyBorder="1" applyAlignment="1">
      <alignment horizontal="center" vertical="center"/>
    </xf>
    <xf numFmtId="2" fontId="38" fillId="2" borderId="110" xfId="0" applyNumberFormat="1" applyFont="1" applyFill="1" applyBorder="1" applyAlignment="1">
      <alignment horizontal="center" vertical="center"/>
    </xf>
    <xf numFmtId="0" fontId="8" fillId="3" borderId="221" xfId="2" applyFont="1" applyFill="1" applyBorder="1" applyAlignment="1">
      <alignment horizontal="center"/>
    </xf>
    <xf numFmtId="0" fontId="39" fillId="9" borderId="185" xfId="0" applyFont="1" applyFill="1" applyBorder="1" applyAlignment="1">
      <alignment horizontal="center" vertical="center"/>
    </xf>
    <xf numFmtId="0" fontId="39" fillId="9" borderId="222" xfId="0" applyFont="1" applyFill="1" applyBorder="1" applyAlignment="1">
      <alignment horizontal="center" vertical="center"/>
    </xf>
    <xf numFmtId="0" fontId="39" fillId="9" borderId="15" xfId="0" applyFont="1" applyFill="1" applyBorder="1" applyAlignment="1">
      <alignment horizontal="center" vertical="center"/>
    </xf>
    <xf numFmtId="0" fontId="39" fillId="9" borderId="223" xfId="0" applyFont="1" applyFill="1" applyBorder="1" applyAlignment="1">
      <alignment horizontal="center" vertical="center"/>
    </xf>
    <xf numFmtId="0" fontId="39" fillId="9" borderId="224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left"/>
    </xf>
    <xf numFmtId="0" fontId="27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20" fillId="0" borderId="0" xfId="12" applyFont="1" applyFill="1" applyBorder="1" applyAlignment="1" applyProtection="1">
      <alignment horizontal="center" vertical="center"/>
    </xf>
    <xf numFmtId="0" fontId="41" fillId="0" borderId="0" xfId="12" applyFont="1" applyFill="1" applyBorder="1" applyAlignment="1" applyProtection="1">
      <alignment horizontal="center" vertical="center"/>
    </xf>
    <xf numFmtId="0" fontId="27" fillId="0" borderId="0" xfId="0" applyFont="1" applyBorder="1" applyAlignment="1">
      <alignment vertical="center"/>
    </xf>
    <xf numFmtId="0" fontId="8" fillId="3" borderId="223" xfId="2" applyFont="1" applyFill="1" applyBorder="1" applyAlignment="1">
      <alignment horizontal="center"/>
    </xf>
    <xf numFmtId="0" fontId="8" fillId="9" borderId="143" xfId="0" applyFont="1" applyFill="1" applyBorder="1" applyAlignment="1">
      <alignment horizontal="center" vertical="center"/>
    </xf>
    <xf numFmtId="0" fontId="8" fillId="9" borderId="222" xfId="0" applyFont="1" applyFill="1" applyBorder="1" applyAlignment="1">
      <alignment horizontal="center" vertical="center"/>
    </xf>
    <xf numFmtId="0" fontId="8" fillId="9" borderId="227" xfId="0" applyFont="1" applyFill="1" applyBorder="1" applyAlignment="1">
      <alignment horizontal="center" vertical="center"/>
    </xf>
    <xf numFmtId="0" fontId="8" fillId="9" borderId="228" xfId="0" applyFont="1" applyFill="1" applyBorder="1" applyAlignment="1">
      <alignment horizontal="center" vertical="center"/>
    </xf>
    <xf numFmtId="0" fontId="8" fillId="3" borderId="143" xfId="2" applyFont="1" applyFill="1" applyBorder="1" applyAlignment="1">
      <alignment horizontal="center"/>
    </xf>
    <xf numFmtId="0" fontId="8" fillId="3" borderId="229" xfId="2" applyFont="1" applyFill="1" applyBorder="1" applyAlignment="1">
      <alignment horizontal="center"/>
    </xf>
    <xf numFmtId="0" fontId="8" fillId="3" borderId="230" xfId="2" applyFont="1" applyFill="1" applyBorder="1" applyAlignment="1">
      <alignment horizontal="center"/>
    </xf>
    <xf numFmtId="0" fontId="8" fillId="3" borderId="227" xfId="2" applyFont="1" applyFill="1" applyBorder="1" applyAlignment="1">
      <alignment horizontal="center"/>
    </xf>
    <xf numFmtId="0" fontId="8" fillId="3" borderId="224" xfId="2" applyFont="1" applyFill="1" applyBorder="1" applyAlignment="1">
      <alignment horizontal="center"/>
    </xf>
    <xf numFmtId="0" fontId="8" fillId="3" borderId="222" xfId="2" applyFont="1" applyFill="1" applyBorder="1" applyAlignment="1">
      <alignment horizontal="center"/>
    </xf>
    <xf numFmtId="0" fontId="8" fillId="4" borderId="143" xfId="2" applyFont="1" applyFill="1" applyBorder="1" applyAlignment="1">
      <alignment horizontal="center"/>
    </xf>
    <xf numFmtId="0" fontId="27" fillId="0" borderId="19" xfId="0" applyFont="1" applyBorder="1" applyAlignment="1">
      <alignment horizontal="center" vertical="center"/>
    </xf>
    <xf numFmtId="14" fontId="27" fillId="0" borderId="18" xfId="0" applyNumberFormat="1" applyFont="1" applyBorder="1" applyAlignment="1">
      <alignment horizontal="center" vertical="center"/>
    </xf>
    <xf numFmtId="49" fontId="27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32" xfId="0" applyFont="1" applyBorder="1" applyAlignment="1">
      <alignment horizontal="center" vertical="center"/>
    </xf>
    <xf numFmtId="0" fontId="27" fillId="0" borderId="233" xfId="0" applyFont="1" applyBorder="1" applyAlignment="1">
      <alignment horizontal="center" vertical="center"/>
    </xf>
    <xf numFmtId="10" fontId="4" fillId="0" borderId="231" xfId="2" applyNumberFormat="1" applyBorder="1" applyAlignment="1">
      <alignment horizontal="center"/>
    </xf>
    <xf numFmtId="0" fontId="4" fillId="0" borderId="232" xfId="2" applyBorder="1" applyAlignment="1">
      <alignment horizontal="center"/>
    </xf>
    <xf numFmtId="0" fontId="4" fillId="0" borderId="235" xfId="2" applyBorder="1" applyAlignment="1">
      <alignment horizontal="center"/>
    </xf>
    <xf numFmtId="2" fontId="4" fillId="0" borderId="236" xfId="2" applyNumberFormat="1" applyBorder="1" applyAlignment="1">
      <alignment horizontal="center"/>
    </xf>
    <xf numFmtId="165" fontId="6" fillId="0" borderId="232" xfId="3" applyNumberFormat="1" applyBorder="1" applyAlignment="1">
      <alignment horizontal="center"/>
    </xf>
    <xf numFmtId="165" fontId="6" fillId="0" borderId="237" xfId="3" applyNumberFormat="1" applyBorder="1" applyAlignment="1">
      <alignment horizontal="center"/>
    </xf>
    <xf numFmtId="0" fontId="27" fillId="0" borderId="238" xfId="0" applyFont="1" applyBorder="1" applyAlignment="1">
      <alignment horizontal="center" vertical="center"/>
    </xf>
    <xf numFmtId="10" fontId="4" fillId="0" borderId="126" xfId="2" applyNumberFormat="1" applyBorder="1" applyAlignment="1">
      <alignment horizontal="center"/>
    </xf>
    <xf numFmtId="0" fontId="27" fillId="0" borderId="239" xfId="0" applyFont="1" applyBorder="1" applyAlignment="1">
      <alignment horizontal="center" vertical="center"/>
    </xf>
    <xf numFmtId="14" fontId="27" fillId="0" borderId="41" xfId="0" applyNumberFormat="1" applyFont="1" applyBorder="1" applyAlignment="1">
      <alignment horizontal="center" vertical="center"/>
    </xf>
    <xf numFmtId="49" fontId="27" fillId="0" borderId="41" xfId="0" applyNumberFormat="1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241" xfId="0" applyFont="1" applyBorder="1" applyAlignment="1">
      <alignment horizontal="center" vertical="center"/>
    </xf>
    <xf numFmtId="0" fontId="27" fillId="0" borderId="242" xfId="0" applyFont="1" applyBorder="1" applyAlignment="1">
      <alignment horizontal="center" vertical="center"/>
    </xf>
    <xf numFmtId="10" fontId="4" fillId="0" borderId="241" xfId="2" applyNumberFormat="1" applyBorder="1" applyAlignment="1">
      <alignment horizontal="center"/>
    </xf>
    <xf numFmtId="0" fontId="4" fillId="0" borderId="241" xfId="2" applyBorder="1" applyAlignment="1">
      <alignment horizontal="center"/>
    </xf>
    <xf numFmtId="0" fontId="4" fillId="0" borderId="245" xfId="2" applyBorder="1" applyAlignment="1">
      <alignment horizontal="center"/>
    </xf>
    <xf numFmtId="2" fontId="4" fillId="0" borderId="246" xfId="2" applyNumberFormat="1" applyBorder="1" applyAlignment="1">
      <alignment horizontal="center"/>
    </xf>
    <xf numFmtId="165" fontId="6" fillId="0" borderId="241" xfId="3" applyNumberFormat="1" applyBorder="1" applyAlignment="1">
      <alignment horizontal="center"/>
    </xf>
    <xf numFmtId="0" fontId="4" fillId="8" borderId="0" xfId="2" applyFill="1"/>
    <xf numFmtId="0" fontId="4" fillId="12" borderId="7" xfId="2" applyFill="1" applyBorder="1"/>
    <xf numFmtId="1" fontId="4" fillId="0" borderId="7" xfId="2" applyNumberFormat="1" applyBorder="1"/>
    <xf numFmtId="1" fontId="4" fillId="10" borderId="7" xfId="2" applyNumberFormat="1" applyFill="1" applyBorder="1"/>
    <xf numFmtId="1" fontId="4" fillId="11" borderId="7" xfId="2" applyNumberFormat="1" applyFill="1" applyBorder="1"/>
    <xf numFmtId="0" fontId="9" fillId="11" borderId="8" xfId="0" applyNumberFormat="1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4" fillId="11" borderId="0" xfId="2" applyNumberFormat="1" applyFill="1" applyBorder="1" applyAlignment="1">
      <alignment horizontal="center"/>
    </xf>
    <xf numFmtId="0" fontId="10" fillId="11" borderId="21" xfId="0" applyNumberFormat="1" applyFont="1" applyFill="1" applyBorder="1" applyAlignment="1">
      <alignment horizontal="center" wrapText="1"/>
    </xf>
    <xf numFmtId="0" fontId="4" fillId="11" borderId="0" xfId="2" applyFill="1" applyBorder="1" applyAlignment="1">
      <alignment horizontal="center"/>
    </xf>
    <xf numFmtId="0" fontId="4" fillId="11" borderId="0" xfId="2" applyFill="1" applyBorder="1"/>
    <xf numFmtId="0" fontId="9" fillId="11" borderId="7" xfId="0" applyNumberFormat="1" applyFont="1" applyFill="1" applyBorder="1" applyAlignment="1">
      <alignment horizontal="center"/>
    </xf>
    <xf numFmtId="0" fontId="6" fillId="11" borderId="0" xfId="3" applyFill="1" applyBorder="1"/>
    <xf numFmtId="0" fontId="9" fillId="10" borderId="8" xfId="0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4" fillId="10" borderId="0" xfId="2" applyNumberFormat="1" applyFill="1" applyBorder="1" applyAlignment="1">
      <alignment horizontal="center"/>
    </xf>
    <xf numFmtId="0" fontId="10" fillId="10" borderId="21" xfId="0" applyNumberFormat="1" applyFont="1" applyFill="1" applyBorder="1" applyAlignment="1">
      <alignment horizontal="center" wrapText="1"/>
    </xf>
    <xf numFmtId="0" fontId="4" fillId="10" borderId="0" xfId="2" applyFill="1" applyBorder="1" applyAlignment="1">
      <alignment horizontal="center"/>
    </xf>
    <xf numFmtId="0" fontId="4" fillId="10" borderId="0" xfId="2" applyFill="1" applyBorder="1"/>
    <xf numFmtId="0" fontId="9" fillId="10" borderId="7" xfId="0" applyNumberFormat="1" applyFont="1" applyFill="1" applyBorder="1" applyAlignment="1">
      <alignment horizontal="center"/>
    </xf>
    <xf numFmtId="0" fontId="6" fillId="10" borderId="0" xfId="3" applyFill="1" applyBorder="1"/>
    <xf numFmtId="0" fontId="4" fillId="10" borderId="0" xfId="2" applyFill="1"/>
    <xf numFmtId="0" fontId="6" fillId="10" borderId="0" xfId="3" applyFill="1"/>
    <xf numFmtId="0" fontId="4" fillId="11" borderId="0" xfId="2" applyFill="1"/>
    <xf numFmtId="0" fontId="6" fillId="11" borderId="0" xfId="3" applyFill="1"/>
    <xf numFmtId="2" fontId="4" fillId="0" borderId="7" xfId="2" applyNumberFormat="1" applyBorder="1"/>
    <xf numFmtId="0" fontId="2" fillId="10" borderId="7" xfId="0" applyNumberFormat="1" applyFont="1" applyFill="1" applyBorder="1" applyAlignment="1">
      <alignment horizontal="center"/>
    </xf>
    <xf numFmtId="0" fontId="2" fillId="11" borderId="7" xfId="0" applyNumberFormat="1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2" fontId="14" fillId="11" borderId="7" xfId="5" applyNumberFormat="1" applyFont="1" applyFill="1" applyBorder="1" applyAlignment="1">
      <alignment horizontal="center" vertical="center" wrapText="1"/>
    </xf>
    <xf numFmtId="15" fontId="14" fillId="11" borderId="8" xfId="5" applyNumberFormat="1" applyFont="1" applyFill="1" applyBorder="1" applyAlignment="1">
      <alignment horizontal="center" vertical="center" wrapText="1"/>
    </xf>
    <xf numFmtId="0" fontId="4" fillId="11" borderId="7" xfId="2" applyFill="1" applyBorder="1" applyAlignment="1">
      <alignment horizontal="center" vertical="center"/>
    </xf>
    <xf numFmtId="164" fontId="14" fillId="11" borderId="21" xfId="5" applyNumberFormat="1" applyFont="1" applyFill="1" applyBorder="1" applyAlignment="1">
      <alignment horizontal="center" vertical="center" wrapText="1"/>
    </xf>
    <xf numFmtId="0" fontId="4" fillId="11" borderId="36" xfId="5" applyFont="1" applyFill="1" applyBorder="1" applyAlignment="1">
      <alignment horizontal="center" vertical="center" wrapText="1"/>
    </xf>
    <xf numFmtId="2" fontId="4" fillId="11" borderId="7" xfId="2" applyNumberFormat="1" applyFill="1" applyBorder="1" applyAlignment="1">
      <alignment horizontal="center" vertical="center"/>
    </xf>
    <xf numFmtId="165" fontId="6" fillId="11" borderId="7" xfId="3" applyNumberFormat="1" applyFill="1" applyBorder="1" applyAlignment="1">
      <alignment horizontal="center" vertical="center"/>
    </xf>
    <xf numFmtId="0" fontId="6" fillId="11" borderId="7" xfId="3" applyFill="1" applyBorder="1"/>
    <xf numFmtId="0" fontId="16" fillId="11" borderId="7" xfId="6" applyFont="1" applyFill="1" applyBorder="1" applyAlignment="1">
      <alignment horizontal="center" vertical="center"/>
    </xf>
    <xf numFmtId="164" fontId="16" fillId="11" borderId="21" xfId="6" applyNumberFormat="1" applyFont="1" applyFill="1" applyBorder="1" applyAlignment="1">
      <alignment horizontal="center" vertical="center"/>
    </xf>
    <xf numFmtId="0" fontId="15" fillId="11" borderId="36" xfId="6" applyFont="1" applyFill="1" applyBorder="1" applyAlignment="1">
      <alignment horizontal="center" vertical="center"/>
    </xf>
    <xf numFmtId="2" fontId="14" fillId="10" borderId="7" xfId="5" applyNumberFormat="1" applyFont="1" applyFill="1" applyBorder="1" applyAlignment="1">
      <alignment horizontal="center" vertical="center" wrapText="1"/>
    </xf>
    <xf numFmtId="15" fontId="14" fillId="10" borderId="8" xfId="5" applyNumberFormat="1" applyFont="1" applyFill="1" applyBorder="1" applyAlignment="1">
      <alignment horizontal="center" vertical="center" wrapText="1"/>
    </xf>
    <xf numFmtId="0" fontId="4" fillId="10" borderId="7" xfId="2" applyFill="1" applyBorder="1" applyAlignment="1">
      <alignment horizontal="center" vertical="center"/>
    </xf>
    <xf numFmtId="164" fontId="14" fillId="10" borderId="21" xfId="5" applyNumberFormat="1" applyFont="1" applyFill="1" applyBorder="1" applyAlignment="1">
      <alignment horizontal="center" vertical="center" wrapText="1"/>
    </xf>
    <xf numFmtId="0" fontId="4" fillId="10" borderId="36" xfId="5" applyFont="1" applyFill="1" applyBorder="1" applyAlignment="1">
      <alignment horizontal="center" vertical="center" wrapText="1"/>
    </xf>
    <xf numFmtId="2" fontId="4" fillId="10" borderId="7" xfId="2" applyNumberFormat="1" applyFill="1" applyBorder="1" applyAlignment="1">
      <alignment horizontal="center" vertical="center"/>
    </xf>
    <xf numFmtId="165" fontId="6" fillId="10" borderId="7" xfId="3" applyNumberFormat="1" applyFill="1" applyBorder="1" applyAlignment="1">
      <alignment horizontal="center" vertical="center"/>
    </xf>
    <xf numFmtId="0" fontId="6" fillId="10" borderId="7" xfId="3" applyFill="1" applyBorder="1"/>
    <xf numFmtId="2" fontId="4" fillId="10" borderId="36" xfId="5" applyNumberFormat="1" applyFont="1" applyFill="1" applyBorder="1" applyAlignment="1">
      <alignment horizontal="center" vertical="center" wrapText="1"/>
    </xf>
    <xf numFmtId="0" fontId="14" fillId="10" borderId="7" xfId="2" applyFont="1" applyFill="1" applyBorder="1" applyAlignment="1">
      <alignment horizontal="center" vertical="center"/>
    </xf>
    <xf numFmtId="164" fontId="14" fillId="10" borderId="21" xfId="2" applyNumberFormat="1" applyFont="1" applyFill="1" applyBorder="1" applyAlignment="1">
      <alignment horizontal="center" vertical="center"/>
    </xf>
    <xf numFmtId="0" fontId="4" fillId="10" borderId="36" xfId="2" applyFont="1" applyFill="1" applyBorder="1" applyAlignment="1">
      <alignment horizontal="center" vertical="center"/>
    </xf>
    <xf numFmtId="165" fontId="43" fillId="10" borderId="7" xfId="3" applyNumberFormat="1" applyFont="1" applyFill="1" applyBorder="1" applyAlignment="1">
      <alignment horizontal="center" vertical="center"/>
    </xf>
    <xf numFmtId="165" fontId="43" fillId="11" borderId="7" xfId="3" applyNumberFormat="1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14" fontId="14" fillId="10" borderId="7" xfId="0" applyNumberFormat="1" applyFont="1" applyFill="1" applyBorder="1" applyAlignment="1">
      <alignment horizontal="center" vertical="center"/>
    </xf>
    <xf numFmtId="0" fontId="14" fillId="10" borderId="7" xfId="5" applyFont="1" applyFill="1" applyBorder="1" applyAlignment="1">
      <alignment horizontal="center" vertical="center" wrapText="1"/>
    </xf>
    <xf numFmtId="0" fontId="4" fillId="10" borderId="8" xfId="2" applyFill="1" applyBorder="1" applyAlignment="1">
      <alignment horizontal="center" vertical="center"/>
    </xf>
    <xf numFmtId="0" fontId="4" fillId="10" borderId="37" xfId="2" applyFill="1" applyBorder="1" applyAlignment="1">
      <alignment horizontal="center" vertical="center"/>
    </xf>
    <xf numFmtId="164" fontId="14" fillId="10" borderId="7" xfId="0" applyNumberFormat="1" applyFont="1" applyFill="1" applyBorder="1" applyAlignment="1">
      <alignment horizontal="center" vertical="center"/>
    </xf>
    <xf numFmtId="0" fontId="4" fillId="10" borderId="38" xfId="2" applyFill="1" applyBorder="1" applyAlignment="1">
      <alignment horizontal="center" vertical="center"/>
    </xf>
    <xf numFmtId="1" fontId="14" fillId="10" borderId="39" xfId="0" applyNumberFormat="1" applyFont="1" applyFill="1" applyBorder="1" applyAlignment="1">
      <alignment horizontal="center" vertical="center"/>
    </xf>
    <xf numFmtId="164" fontId="4" fillId="10" borderId="7" xfId="2" applyNumberFormat="1" applyFill="1" applyBorder="1" applyAlignment="1">
      <alignment horizontal="center" vertical="center"/>
    </xf>
    <xf numFmtId="164" fontId="14" fillId="10" borderId="20" xfId="0" applyNumberFormat="1" applyFont="1" applyFill="1" applyBorder="1" applyAlignment="1">
      <alignment horizontal="center" vertical="center" wrapText="1"/>
    </xf>
    <xf numFmtId="2" fontId="14" fillId="10" borderId="7" xfId="0" applyNumberFormat="1" applyFont="1" applyFill="1" applyBorder="1" applyAlignment="1">
      <alignment horizontal="center" vertical="center" wrapText="1"/>
    </xf>
    <xf numFmtId="164" fontId="14" fillId="10" borderId="7" xfId="0" applyNumberFormat="1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6" fillId="10" borderId="7" xfId="6" applyFont="1" applyFill="1" applyBorder="1" applyAlignment="1">
      <alignment horizontal="center" vertical="center"/>
    </xf>
    <xf numFmtId="164" fontId="14" fillId="10" borderId="40" xfId="0" applyNumberFormat="1" applyFont="1" applyFill="1" applyBorder="1" applyAlignment="1">
      <alignment horizontal="center" vertical="center" wrapText="1"/>
    </xf>
    <xf numFmtId="164" fontId="14" fillId="10" borderId="40" xfId="0" applyNumberFormat="1" applyFont="1" applyFill="1" applyBorder="1" applyAlignment="1">
      <alignment horizontal="center" vertical="center"/>
    </xf>
    <xf numFmtId="164" fontId="14" fillId="10" borderId="41" xfId="0" applyNumberFormat="1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/>
    </xf>
    <xf numFmtId="14" fontId="14" fillId="11" borderId="7" xfId="0" applyNumberFormat="1" applyFont="1" applyFill="1" applyBorder="1" applyAlignment="1">
      <alignment horizontal="center" vertical="center"/>
    </xf>
    <xf numFmtId="0" fontId="14" fillId="11" borderId="7" xfId="5" applyFont="1" applyFill="1" applyBorder="1" applyAlignment="1">
      <alignment horizontal="center" vertical="center" wrapText="1"/>
    </xf>
    <xf numFmtId="2" fontId="14" fillId="11" borderId="7" xfId="0" applyNumberFormat="1" applyFont="1" applyFill="1" applyBorder="1" applyAlignment="1">
      <alignment horizontal="center" vertical="center" wrapText="1"/>
    </xf>
    <xf numFmtId="0" fontId="4" fillId="11" borderId="8" xfId="2" applyFill="1" applyBorder="1" applyAlignment="1">
      <alignment horizontal="center" vertical="center"/>
    </xf>
    <xf numFmtId="0" fontId="4" fillId="11" borderId="37" xfId="2" applyFill="1" applyBorder="1" applyAlignment="1">
      <alignment horizontal="center" vertical="center"/>
    </xf>
    <xf numFmtId="164" fontId="14" fillId="11" borderId="7" xfId="0" applyNumberFormat="1" applyFont="1" applyFill="1" applyBorder="1" applyAlignment="1">
      <alignment horizontal="center" vertical="center"/>
    </xf>
    <xf numFmtId="0" fontId="4" fillId="11" borderId="38" xfId="2" applyFill="1" applyBorder="1" applyAlignment="1">
      <alignment horizontal="center" vertical="center"/>
    </xf>
    <xf numFmtId="1" fontId="14" fillId="11" borderId="39" xfId="0" applyNumberFormat="1" applyFont="1" applyFill="1" applyBorder="1" applyAlignment="1">
      <alignment horizontal="center" vertical="center"/>
    </xf>
    <xf numFmtId="164" fontId="14" fillId="11" borderId="7" xfId="0" applyNumberFormat="1" applyFont="1" applyFill="1" applyBorder="1" applyAlignment="1">
      <alignment horizontal="center" vertical="center" wrapText="1"/>
    </xf>
    <xf numFmtId="164" fontId="4" fillId="11" borderId="7" xfId="2" applyNumberFormat="1" applyFill="1" applyBorder="1" applyAlignment="1">
      <alignment horizontal="center" vertical="center"/>
    </xf>
    <xf numFmtId="164" fontId="14" fillId="11" borderId="20" xfId="0" applyNumberFormat="1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/>
    </xf>
    <xf numFmtId="2" fontId="15" fillId="11" borderId="8" xfId="8" applyNumberFormat="1" applyFont="1" applyFill="1" applyBorder="1" applyAlignment="1">
      <alignment horizontal="center" wrapText="1"/>
    </xf>
    <xf numFmtId="0" fontId="0" fillId="11" borderId="20" xfId="0" applyFill="1" applyBorder="1" applyAlignment="1">
      <alignment horizontal="center"/>
    </xf>
    <xf numFmtId="0" fontId="4" fillId="11" borderId="7" xfId="9" applyFont="1" applyFill="1" applyBorder="1" applyAlignment="1">
      <alignment horizontal="center"/>
    </xf>
    <xf numFmtId="0" fontId="15" fillId="11" borderId="7" xfId="9" applyFont="1" applyFill="1" applyBorder="1" applyAlignment="1">
      <alignment horizontal="center"/>
    </xf>
    <xf numFmtId="2" fontId="15" fillId="11" borderId="21" xfId="8" applyNumberFormat="1" applyFont="1" applyFill="1" applyBorder="1" applyAlignment="1">
      <alignment horizontal="center" wrapText="1"/>
    </xf>
    <xf numFmtId="2" fontId="0" fillId="11" borderId="7" xfId="0" applyNumberFormat="1" applyFill="1" applyBorder="1" applyAlignment="1">
      <alignment horizontal="center"/>
    </xf>
    <xf numFmtId="1" fontId="15" fillId="11" borderId="21" xfId="7" applyNumberFormat="1" applyFont="1" applyFill="1" applyBorder="1" applyAlignment="1">
      <alignment horizontal="center" wrapText="1"/>
    </xf>
    <xf numFmtId="2" fontId="15" fillId="11" borderId="7" xfId="8" applyNumberFormat="1" applyFont="1" applyFill="1" applyBorder="1" applyAlignment="1">
      <alignment horizontal="center" wrapText="1"/>
    </xf>
    <xf numFmtId="0" fontId="0" fillId="11" borderId="8" xfId="0" applyFill="1" applyBorder="1" applyAlignment="1">
      <alignment horizontal="center" vertical="center"/>
    </xf>
    <xf numFmtId="0" fontId="0" fillId="11" borderId="0" xfId="0" applyFill="1"/>
    <xf numFmtId="15" fontId="15" fillId="11" borderId="8" xfId="8" applyNumberFormat="1" applyFont="1" applyFill="1" applyBorder="1" applyAlignment="1">
      <alignment horizontal="center" wrapText="1"/>
    </xf>
    <xf numFmtId="0" fontId="15" fillId="11" borderId="21" xfId="7" applyFont="1" applyFill="1" applyBorder="1" applyAlignment="1">
      <alignment horizontal="center" wrapText="1"/>
    </xf>
    <xf numFmtId="0" fontId="0" fillId="11" borderId="40" xfId="0" applyFill="1" applyBorder="1" applyAlignment="1">
      <alignment horizontal="center"/>
    </xf>
    <xf numFmtId="15" fontId="15" fillId="11" borderId="42" xfId="8" applyNumberFormat="1" applyFont="1" applyFill="1" applyBorder="1" applyAlignment="1">
      <alignment horizontal="center" wrapText="1"/>
    </xf>
    <xf numFmtId="0" fontId="4" fillId="11" borderId="40" xfId="9" applyFont="1" applyFill="1" applyBorder="1" applyAlignment="1">
      <alignment horizontal="center"/>
    </xf>
    <xf numFmtId="0" fontId="15" fillId="11" borderId="40" xfId="9" applyFont="1" applyFill="1" applyBorder="1" applyAlignment="1">
      <alignment horizontal="center"/>
    </xf>
    <xf numFmtId="2" fontId="15" fillId="11" borderId="43" xfId="8" applyNumberFormat="1" applyFont="1" applyFill="1" applyBorder="1" applyAlignment="1">
      <alignment horizontal="center" wrapText="1"/>
    </xf>
    <xf numFmtId="2" fontId="0" fillId="11" borderId="40" xfId="0" applyNumberFormat="1" applyFill="1" applyBorder="1" applyAlignment="1">
      <alignment horizontal="center"/>
    </xf>
    <xf numFmtId="0" fontId="15" fillId="11" borderId="43" xfId="7" applyFont="1" applyFill="1" applyBorder="1" applyAlignment="1">
      <alignment horizontal="center" wrapText="1"/>
    </xf>
    <xf numFmtId="0" fontId="15" fillId="11" borderId="40" xfId="8" applyFont="1" applyFill="1" applyBorder="1" applyAlignment="1">
      <alignment horizontal="center" wrapText="1"/>
    </xf>
    <xf numFmtId="0" fontId="0" fillId="11" borderId="42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/>
    </xf>
    <xf numFmtId="167" fontId="15" fillId="10" borderId="8" xfId="8" applyNumberFormat="1" applyFont="1" applyFill="1" applyBorder="1" applyAlignment="1">
      <alignment horizontal="center" wrapText="1"/>
    </xf>
    <xf numFmtId="0" fontId="0" fillId="10" borderId="20" xfId="0" applyFill="1" applyBorder="1" applyAlignment="1">
      <alignment horizontal="center"/>
    </xf>
    <xf numFmtId="0" fontId="4" fillId="10" borderId="7" xfId="9" applyFont="1" applyFill="1" applyBorder="1" applyAlignment="1">
      <alignment horizontal="center"/>
    </xf>
    <xf numFmtId="0" fontId="15" fillId="10" borderId="7" xfId="9" applyFont="1" applyFill="1" applyBorder="1" applyAlignment="1">
      <alignment horizontal="center"/>
    </xf>
    <xf numFmtId="2" fontId="15" fillId="10" borderId="21" xfId="8" applyNumberFormat="1" applyFont="1" applyFill="1" applyBorder="1" applyAlignment="1">
      <alignment horizontal="center" wrapText="1"/>
    </xf>
    <xf numFmtId="2" fontId="0" fillId="10" borderId="7" xfId="0" applyNumberFormat="1" applyFill="1" applyBorder="1" applyAlignment="1">
      <alignment horizontal="center"/>
    </xf>
    <xf numFmtId="1" fontId="15" fillId="10" borderId="21" xfId="7" applyNumberFormat="1" applyFont="1" applyFill="1" applyBorder="1" applyAlignment="1">
      <alignment horizontal="center" wrapText="1"/>
    </xf>
    <xf numFmtId="2" fontId="15" fillId="10" borderId="7" xfId="8" applyNumberFormat="1" applyFont="1" applyFill="1" applyBorder="1" applyAlignment="1">
      <alignment horizontal="center" wrapText="1"/>
    </xf>
    <xf numFmtId="0" fontId="0" fillId="10" borderId="8" xfId="0" applyFill="1" applyBorder="1" applyAlignment="1">
      <alignment horizontal="center" vertical="center"/>
    </xf>
    <xf numFmtId="0" fontId="0" fillId="10" borderId="0" xfId="0" applyFill="1"/>
    <xf numFmtId="0" fontId="4" fillId="10" borderId="9" xfId="2" applyFont="1" applyFill="1" applyBorder="1" applyAlignment="1">
      <alignment horizontal="center"/>
    </xf>
    <xf numFmtId="14" fontId="4" fillId="10" borderId="26" xfId="2" applyNumberFormat="1" applyFont="1" applyFill="1" applyBorder="1" applyAlignment="1">
      <alignment horizontal="center"/>
    </xf>
    <xf numFmtId="0" fontId="4" fillId="10" borderId="9" xfId="2" applyNumberFormat="1" applyFill="1" applyBorder="1" applyAlignment="1">
      <alignment horizontal="center"/>
    </xf>
    <xf numFmtId="0" fontId="4" fillId="10" borderId="9" xfId="2" applyFill="1" applyBorder="1" applyAlignment="1">
      <alignment horizontal="center"/>
    </xf>
    <xf numFmtId="0" fontId="4" fillId="10" borderId="27" xfId="2" applyFill="1" applyBorder="1" applyAlignment="1">
      <alignment horizontal="center"/>
    </xf>
    <xf numFmtId="0" fontId="4" fillId="10" borderId="7" xfId="2" applyFill="1" applyBorder="1"/>
    <xf numFmtId="0" fontId="4" fillId="10" borderId="3" xfId="2" applyFill="1" applyBorder="1" applyAlignment="1">
      <alignment horizontal="center"/>
    </xf>
    <xf numFmtId="0" fontId="4" fillId="10" borderId="11" xfId="2" applyFill="1" applyBorder="1" applyAlignment="1">
      <alignment horizontal="center"/>
    </xf>
    <xf numFmtId="0" fontId="4" fillId="10" borderId="1" xfId="2" applyFill="1" applyBorder="1" applyAlignment="1">
      <alignment horizontal="center"/>
    </xf>
    <xf numFmtId="0" fontId="4" fillId="10" borderId="7" xfId="2" applyFill="1" applyBorder="1" applyAlignment="1">
      <alignment horizontal="center"/>
    </xf>
    <xf numFmtId="2" fontId="4" fillId="10" borderId="7" xfId="2" applyNumberFormat="1" applyFill="1" applyBorder="1" applyAlignment="1">
      <alignment horizontal="center"/>
    </xf>
    <xf numFmtId="2" fontId="4" fillId="10" borderId="46" xfId="2" applyNumberFormat="1" applyFill="1" applyBorder="1" applyAlignment="1">
      <alignment horizontal="center"/>
    </xf>
    <xf numFmtId="165" fontId="6" fillId="10" borderId="7" xfId="3" applyNumberFormat="1" applyFill="1" applyBorder="1" applyAlignment="1">
      <alignment horizontal="center"/>
    </xf>
    <xf numFmtId="14" fontId="4" fillId="10" borderId="9" xfId="2" applyNumberFormat="1" applyFont="1" applyFill="1" applyBorder="1" applyAlignment="1">
      <alignment horizontal="center"/>
    </xf>
    <xf numFmtId="0" fontId="4" fillId="10" borderId="26" xfId="2" applyFont="1" applyFill="1" applyBorder="1" applyAlignment="1">
      <alignment horizontal="center"/>
    </xf>
    <xf numFmtId="0" fontId="4" fillId="10" borderId="26" xfId="2" applyNumberFormat="1" applyFill="1" applyBorder="1" applyAlignment="1">
      <alignment horizontal="center"/>
    </xf>
    <xf numFmtId="0" fontId="4" fillId="10" borderId="65" xfId="2" applyFill="1" applyBorder="1" applyAlignment="1">
      <alignment horizontal="center"/>
    </xf>
    <xf numFmtId="0" fontId="4" fillId="10" borderId="26" xfId="2" applyFill="1" applyBorder="1" applyAlignment="1">
      <alignment horizontal="center"/>
    </xf>
    <xf numFmtId="0" fontId="0" fillId="10" borderId="76" xfId="0" applyFill="1" applyBorder="1" applyAlignment="1">
      <alignment horizontal="center" vertical="center" wrapText="1"/>
    </xf>
    <xf numFmtId="0" fontId="4" fillId="10" borderId="77" xfId="2" applyFill="1" applyBorder="1" applyAlignment="1">
      <alignment horizontal="center"/>
    </xf>
    <xf numFmtId="0" fontId="0" fillId="10" borderId="70" xfId="0" applyFill="1" applyBorder="1" applyAlignment="1">
      <alignment horizontal="center" vertical="center" wrapText="1"/>
    </xf>
    <xf numFmtId="0" fontId="0" fillId="10" borderId="66" xfId="0" applyFill="1" applyBorder="1" applyAlignment="1">
      <alignment horizontal="center" vertical="center" wrapText="1"/>
    </xf>
    <xf numFmtId="0" fontId="4" fillId="10" borderId="20" xfId="2" applyFill="1" applyBorder="1" applyAlignment="1">
      <alignment horizontal="center"/>
    </xf>
    <xf numFmtId="2" fontId="4" fillId="10" borderId="57" xfId="2" applyNumberFormat="1" applyFill="1" applyBorder="1" applyAlignment="1">
      <alignment horizontal="center"/>
    </xf>
    <xf numFmtId="2" fontId="4" fillId="10" borderId="26" xfId="2" applyNumberFormat="1" applyFill="1" applyBorder="1" applyAlignment="1">
      <alignment horizontal="center"/>
    </xf>
    <xf numFmtId="0" fontId="0" fillId="10" borderId="39" xfId="0" applyNumberFormat="1" applyFill="1" applyBorder="1"/>
    <xf numFmtId="0" fontId="0" fillId="10" borderId="78" xfId="0" applyNumberFormat="1" applyFill="1" applyBorder="1"/>
    <xf numFmtId="165" fontId="6" fillId="10" borderId="20" xfId="3" applyNumberFormat="1" applyFill="1" applyBorder="1" applyAlignment="1">
      <alignment horizontal="center"/>
    </xf>
    <xf numFmtId="0" fontId="4" fillId="10" borderId="10" xfId="2" applyFill="1" applyBorder="1" applyAlignment="1">
      <alignment horizontal="center"/>
    </xf>
    <xf numFmtId="2" fontId="4" fillId="10" borderId="9" xfId="2" applyNumberFormat="1" applyFill="1" applyBorder="1" applyAlignment="1">
      <alignment horizontal="center"/>
    </xf>
    <xf numFmtId="0" fontId="0" fillId="10" borderId="7" xfId="0" applyNumberFormat="1" applyFill="1" applyBorder="1"/>
    <xf numFmtId="0" fontId="0" fillId="10" borderId="18" xfId="0" applyNumberFormat="1" applyFill="1" applyBorder="1"/>
    <xf numFmtId="0" fontId="4" fillId="10" borderId="29" xfId="2" applyFill="1" applyBorder="1" applyAlignment="1">
      <alignment horizontal="center"/>
    </xf>
    <xf numFmtId="14" fontId="25" fillId="10" borderId="20" xfId="2" applyNumberFormat="1" applyFont="1" applyFill="1" applyBorder="1"/>
    <xf numFmtId="1" fontId="15" fillId="10" borderId="20" xfId="0" applyNumberFormat="1" applyFont="1" applyFill="1" applyBorder="1" applyAlignment="1">
      <alignment horizontal="center" wrapText="1"/>
    </xf>
    <xf numFmtId="168" fontId="15" fillId="10" borderId="20" xfId="0" applyNumberFormat="1" applyFont="1" applyFill="1" applyBorder="1" applyAlignment="1">
      <alignment horizontal="center" wrapText="1"/>
    </xf>
    <xf numFmtId="2" fontId="15" fillId="10" borderId="20" xfId="0" applyNumberFormat="1" applyFont="1" applyFill="1" applyBorder="1" applyAlignment="1">
      <alignment horizontal="center" wrapText="1"/>
    </xf>
    <xf numFmtId="14" fontId="25" fillId="10" borderId="7" xfId="2" applyNumberFormat="1" applyFont="1" applyFill="1" applyBorder="1"/>
    <xf numFmtId="1" fontId="15" fillId="10" borderId="7" xfId="0" applyNumberFormat="1" applyFont="1" applyFill="1" applyBorder="1" applyAlignment="1">
      <alignment horizontal="center" wrapText="1"/>
    </xf>
    <xf numFmtId="168" fontId="15" fillId="10" borderId="7" xfId="0" applyNumberFormat="1" applyFont="1" applyFill="1" applyBorder="1" applyAlignment="1">
      <alignment horizontal="center" wrapText="1"/>
    </xf>
    <xf numFmtId="2" fontId="15" fillId="10" borderId="7" xfId="0" applyNumberFormat="1" applyFont="1" applyFill="1" applyBorder="1" applyAlignment="1">
      <alignment horizontal="center" wrapText="1"/>
    </xf>
    <xf numFmtId="0" fontId="4" fillId="10" borderId="1" xfId="2" applyFont="1" applyFill="1" applyBorder="1" applyAlignment="1">
      <alignment horizontal="center"/>
    </xf>
    <xf numFmtId="0" fontId="0" fillId="10" borderId="7" xfId="0" applyFill="1" applyBorder="1"/>
    <xf numFmtId="0" fontId="4" fillId="10" borderId="46" xfId="2" applyFill="1" applyBorder="1" applyAlignment="1">
      <alignment horizontal="center"/>
    </xf>
    <xf numFmtId="0" fontId="15" fillId="10" borderId="7" xfId="0" applyFont="1" applyFill="1" applyBorder="1" applyAlignment="1">
      <alignment horizontal="center" wrapText="1"/>
    </xf>
    <xf numFmtId="0" fontId="4" fillId="10" borderId="2" xfId="2" applyFill="1" applyBorder="1" applyAlignment="1">
      <alignment horizontal="center"/>
    </xf>
    <xf numFmtId="0" fontId="0" fillId="10" borderId="0" xfId="0" applyFill="1" applyBorder="1"/>
    <xf numFmtId="0" fontId="4" fillId="10" borderId="12" xfId="2" applyFont="1" applyFill="1" applyBorder="1" applyAlignment="1">
      <alignment horizontal="center"/>
    </xf>
    <xf numFmtId="14" fontId="25" fillId="10" borderId="33" xfId="2" applyNumberFormat="1" applyFont="1" applyFill="1" applyBorder="1"/>
    <xf numFmtId="0" fontId="4" fillId="10" borderId="12" xfId="2" applyNumberFormat="1" applyFill="1" applyBorder="1" applyAlignment="1">
      <alignment horizontal="center"/>
    </xf>
    <xf numFmtId="0" fontId="4" fillId="10" borderId="28" xfId="2" applyFont="1" applyFill="1" applyBorder="1" applyAlignment="1">
      <alignment horizontal="center"/>
    </xf>
    <xf numFmtId="0" fontId="0" fillId="10" borderId="33" xfId="0" applyFill="1" applyBorder="1"/>
    <xf numFmtId="0" fontId="4" fillId="10" borderId="14" xfId="2" applyFill="1" applyBorder="1" applyAlignment="1">
      <alignment horizontal="center"/>
    </xf>
    <xf numFmtId="0" fontId="4" fillId="10" borderId="12" xfId="2" applyFill="1" applyBorder="1" applyAlignment="1">
      <alignment horizontal="center"/>
    </xf>
    <xf numFmtId="0" fontId="4" fillId="10" borderId="13" xfId="2" applyFill="1" applyBorder="1" applyAlignment="1">
      <alignment horizontal="center"/>
    </xf>
    <xf numFmtId="0" fontId="15" fillId="10" borderId="33" xfId="0" applyFont="1" applyFill="1" applyBorder="1" applyAlignment="1">
      <alignment horizontal="center" wrapText="1"/>
    </xf>
    <xf numFmtId="0" fontId="4" fillId="10" borderId="88" xfId="2" applyFill="1" applyBorder="1" applyAlignment="1">
      <alignment horizontal="center"/>
    </xf>
    <xf numFmtId="168" fontId="15" fillId="10" borderId="33" xfId="0" applyNumberFormat="1" applyFont="1" applyFill="1" applyBorder="1" applyAlignment="1">
      <alignment horizontal="center" wrapText="1"/>
    </xf>
    <xf numFmtId="0" fontId="4" fillId="10" borderId="33" xfId="2" applyFill="1" applyBorder="1" applyAlignment="1">
      <alignment horizontal="center"/>
    </xf>
    <xf numFmtId="2" fontId="15" fillId="10" borderId="33" xfId="0" applyNumberFormat="1" applyFont="1" applyFill="1" applyBorder="1" applyAlignment="1">
      <alignment horizontal="center" wrapText="1"/>
    </xf>
    <xf numFmtId="0" fontId="4" fillId="10" borderId="58" xfId="2" applyFill="1" applyBorder="1" applyAlignment="1">
      <alignment horizontal="center"/>
    </xf>
    <xf numFmtId="2" fontId="4" fillId="10" borderId="14" xfId="2" applyNumberFormat="1" applyFill="1" applyBorder="1" applyAlignment="1">
      <alignment horizontal="center"/>
    </xf>
    <xf numFmtId="165" fontId="6" fillId="10" borderId="33" xfId="3" applyNumberFormat="1" applyFill="1" applyBorder="1" applyAlignment="1">
      <alignment horizontal="center"/>
    </xf>
    <xf numFmtId="0" fontId="4" fillId="10" borderId="24" xfId="2" applyFont="1" applyFill="1" applyBorder="1" applyAlignment="1">
      <alignment horizontal="center"/>
    </xf>
    <xf numFmtId="14" fontId="25" fillId="10" borderId="24" xfId="2" applyNumberFormat="1" applyFont="1" applyFill="1" applyBorder="1"/>
    <xf numFmtId="0" fontId="4" fillId="10" borderId="24" xfId="2" applyNumberFormat="1" applyFill="1" applyBorder="1" applyAlignment="1">
      <alignment horizontal="center"/>
    </xf>
    <xf numFmtId="0" fontId="0" fillId="10" borderId="24" xfId="0" applyFill="1" applyBorder="1"/>
    <xf numFmtId="0" fontId="4" fillId="10" borderId="24" xfId="2" applyFill="1" applyBorder="1" applyAlignment="1">
      <alignment horizontal="center"/>
    </xf>
    <xf numFmtId="0" fontId="4" fillId="10" borderId="54" xfId="2" applyFill="1" applyBorder="1" applyAlignment="1">
      <alignment horizontal="center"/>
    </xf>
    <xf numFmtId="0" fontId="15" fillId="10" borderId="24" xfId="0" applyFont="1" applyFill="1" applyBorder="1" applyAlignment="1">
      <alignment horizontal="center" wrapText="1"/>
    </xf>
    <xf numFmtId="168" fontId="15" fillId="10" borderId="24" xfId="0" applyNumberFormat="1" applyFont="1" applyFill="1" applyBorder="1" applyAlignment="1">
      <alignment horizontal="center" wrapText="1"/>
    </xf>
    <xf numFmtId="2" fontId="15" fillId="10" borderId="24" xfId="0" applyNumberFormat="1" applyFont="1" applyFill="1" applyBorder="1" applyAlignment="1">
      <alignment horizontal="center" wrapText="1"/>
    </xf>
    <xf numFmtId="0" fontId="4" fillId="10" borderId="89" xfId="2" applyFill="1" applyBorder="1" applyAlignment="1">
      <alignment horizontal="center"/>
    </xf>
    <xf numFmtId="2" fontId="4" fillId="10" borderId="24" xfId="2" applyNumberFormat="1" applyFill="1" applyBorder="1" applyAlignment="1">
      <alignment horizontal="center"/>
    </xf>
    <xf numFmtId="2" fontId="4" fillId="10" borderId="90" xfId="2" applyNumberFormat="1" applyFill="1" applyBorder="1" applyAlignment="1">
      <alignment horizontal="center"/>
    </xf>
    <xf numFmtId="165" fontId="6" fillId="10" borderId="24" xfId="3" applyNumberFormat="1" applyFill="1" applyBorder="1" applyAlignment="1">
      <alignment horizontal="center"/>
    </xf>
    <xf numFmtId="0" fontId="4" fillId="10" borderId="26" xfId="2" applyNumberFormat="1" applyFont="1" applyFill="1" applyBorder="1" applyAlignment="1">
      <alignment horizontal="center"/>
    </xf>
    <xf numFmtId="0" fontId="4" fillId="10" borderId="27" xfId="2" applyNumberFormat="1" applyFill="1" applyBorder="1" applyAlignment="1">
      <alignment horizontal="center"/>
    </xf>
    <xf numFmtId="0" fontId="0" fillId="10" borderId="20" xfId="0" applyFill="1" applyBorder="1"/>
    <xf numFmtId="0" fontId="4" fillId="10" borderId="57" xfId="2" applyNumberFormat="1" applyFill="1" applyBorder="1" applyAlignment="1">
      <alignment horizontal="center"/>
    </xf>
    <xf numFmtId="0" fontId="4" fillId="10" borderId="56" xfId="2" applyFill="1" applyBorder="1" applyAlignment="1">
      <alignment horizontal="center"/>
    </xf>
    <xf numFmtId="0" fontId="0" fillId="10" borderId="93" xfId="0" applyFill="1" applyBorder="1"/>
    <xf numFmtId="0" fontId="4" fillId="10" borderId="1" xfId="2" applyNumberFormat="1" applyFill="1" applyBorder="1" applyAlignment="1">
      <alignment horizontal="center"/>
    </xf>
    <xf numFmtId="0" fontId="4" fillId="10" borderId="46" xfId="2" applyNumberFormat="1" applyFill="1" applyBorder="1" applyAlignment="1">
      <alignment horizontal="center"/>
    </xf>
    <xf numFmtId="0" fontId="0" fillId="10" borderId="39" xfId="0" applyFill="1" applyBorder="1"/>
    <xf numFmtId="0" fontId="4" fillId="10" borderId="30" xfId="2" applyFont="1" applyFill="1" applyBorder="1" applyAlignment="1">
      <alignment horizontal="center"/>
    </xf>
    <xf numFmtId="0" fontId="4" fillId="10" borderId="74" xfId="2" applyNumberFormat="1" applyFont="1" applyFill="1" applyBorder="1" applyAlignment="1">
      <alignment horizontal="center"/>
    </xf>
    <xf numFmtId="0" fontId="4" fillId="10" borderId="60" xfId="2" applyNumberFormat="1" applyFill="1" applyBorder="1" applyAlignment="1">
      <alignment horizontal="center"/>
    </xf>
    <xf numFmtId="0" fontId="4" fillId="10" borderId="64" xfId="2" applyNumberFormat="1" applyFill="1" applyBorder="1" applyAlignment="1">
      <alignment horizontal="center"/>
    </xf>
    <xf numFmtId="0" fontId="0" fillId="10" borderId="99" xfId="0" applyFill="1" applyBorder="1"/>
    <xf numFmtId="0" fontId="4" fillId="10" borderId="63" xfId="2" applyFill="1" applyBorder="1" applyAlignment="1">
      <alignment horizontal="center"/>
    </xf>
    <xf numFmtId="0" fontId="0" fillId="10" borderId="31" xfId="0" applyFill="1" applyBorder="1"/>
    <xf numFmtId="0" fontId="0" fillId="10" borderId="51" xfId="0" applyFill="1" applyBorder="1"/>
    <xf numFmtId="49" fontId="27" fillId="10" borderId="7" xfId="0" applyNumberFormat="1" applyFont="1" applyFill="1" applyBorder="1" applyAlignment="1">
      <alignment horizontal="center" vertical="center"/>
    </xf>
    <xf numFmtId="14" fontId="27" fillId="10" borderId="7" xfId="0" applyNumberFormat="1" applyFont="1" applyFill="1" applyBorder="1" applyAlignment="1">
      <alignment horizontal="center" vertical="center"/>
    </xf>
    <xf numFmtId="0" fontId="27" fillId="10" borderId="7" xfId="0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0" fontId="27" fillId="10" borderId="126" xfId="0" applyFont="1" applyFill="1" applyBorder="1" applyAlignment="1">
      <alignment horizontal="center" vertical="center"/>
    </xf>
    <xf numFmtId="0" fontId="27" fillId="10" borderId="127" xfId="0" applyFont="1" applyFill="1" applyBorder="1" applyAlignment="1">
      <alignment horizontal="center" vertical="center"/>
    </xf>
    <xf numFmtId="0" fontId="27" fillId="10" borderId="136" xfId="0" applyFont="1" applyFill="1" applyBorder="1" applyAlignment="1">
      <alignment horizontal="center" vertical="center"/>
    </xf>
    <xf numFmtId="0" fontId="27" fillId="10" borderId="147" xfId="0" applyFont="1" applyFill="1" applyBorder="1" applyAlignment="1">
      <alignment horizontal="center" vertical="center"/>
    </xf>
    <xf numFmtId="0" fontId="4" fillId="10" borderId="126" xfId="2" applyFill="1" applyBorder="1" applyAlignment="1">
      <alignment horizontal="center"/>
    </xf>
    <xf numFmtId="0" fontId="27" fillId="10" borderId="39" xfId="0" applyFont="1" applyFill="1" applyBorder="1" applyAlignment="1">
      <alignment horizontal="center" vertical="center"/>
    </xf>
    <xf numFmtId="0" fontId="4" fillId="10" borderId="128" xfId="2" applyFill="1" applyBorder="1" applyAlignment="1">
      <alignment horizontal="center"/>
    </xf>
    <xf numFmtId="2" fontId="4" fillId="10" borderId="126" xfId="2" applyNumberFormat="1" applyFill="1" applyBorder="1" applyAlignment="1">
      <alignment horizontal="center"/>
    </xf>
    <xf numFmtId="165" fontId="6" fillId="10" borderId="126" xfId="3" applyNumberFormat="1" applyFill="1" applyBorder="1" applyAlignment="1">
      <alignment horizontal="center"/>
    </xf>
    <xf numFmtId="165" fontId="6" fillId="10" borderId="128" xfId="3" applyNumberFormat="1" applyFill="1" applyBorder="1" applyAlignment="1">
      <alignment horizontal="center"/>
    </xf>
    <xf numFmtId="1" fontId="27" fillId="10" borderId="136" xfId="0" applyNumberFormat="1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2" fontId="6" fillId="10" borderId="7" xfId="3" applyNumberFormat="1" applyFill="1" applyBorder="1" applyAlignment="1">
      <alignment horizontal="center"/>
    </xf>
    <xf numFmtId="14" fontId="25" fillId="10" borderId="20" xfId="2" applyNumberFormat="1" applyFont="1" applyFill="1" applyBorder="1" applyAlignment="1">
      <alignment horizontal="center"/>
    </xf>
    <xf numFmtId="1" fontId="4" fillId="10" borderId="20" xfId="2" applyNumberFormat="1" applyFill="1" applyBorder="1" applyAlignment="1">
      <alignment horizontal="center"/>
    </xf>
    <xf numFmtId="1" fontId="4" fillId="10" borderId="77" xfId="2" applyNumberFormat="1" applyFill="1" applyBorder="1" applyAlignment="1">
      <alignment horizontal="center"/>
    </xf>
    <xf numFmtId="0" fontId="6" fillId="10" borderId="0" xfId="3" applyFill="1" applyBorder="1" applyAlignment="1">
      <alignment horizontal="center"/>
    </xf>
    <xf numFmtId="1" fontId="4" fillId="10" borderId="10" xfId="2" applyNumberFormat="1" applyFill="1" applyBorder="1" applyAlignment="1">
      <alignment horizontal="center"/>
    </xf>
    <xf numFmtId="1" fontId="4" fillId="10" borderId="3" xfId="2" applyNumberForma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1" fontId="15" fillId="10" borderId="33" xfId="0" applyNumberFormat="1" applyFont="1" applyFill="1" applyBorder="1" applyAlignment="1">
      <alignment horizontal="center" wrapText="1"/>
    </xf>
    <xf numFmtId="1" fontId="4" fillId="10" borderId="58" xfId="2" applyNumberFormat="1" applyFill="1" applyBorder="1" applyAlignment="1">
      <alignment horizontal="center"/>
    </xf>
    <xf numFmtId="0" fontId="4" fillId="10" borderId="166" xfId="2" applyFont="1" applyFill="1" applyBorder="1" applyAlignment="1">
      <alignment horizontal="center"/>
    </xf>
    <xf numFmtId="14" fontId="25" fillId="10" borderId="170" xfId="2" applyNumberFormat="1" applyFont="1" applyFill="1" applyBorder="1" applyAlignment="1">
      <alignment horizontal="center"/>
    </xf>
    <xf numFmtId="0" fontId="4" fillId="10" borderId="90" xfId="2" applyFill="1" applyBorder="1" applyAlignment="1">
      <alignment horizontal="center"/>
    </xf>
    <xf numFmtId="1" fontId="15" fillId="10" borderId="24" xfId="0" applyNumberFormat="1" applyFont="1" applyFill="1" applyBorder="1" applyAlignment="1">
      <alignment horizontal="center" wrapText="1"/>
    </xf>
    <xf numFmtId="1" fontId="4" fillId="10" borderId="89" xfId="2" applyNumberFormat="1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33" fillId="10" borderId="190" xfId="2" applyFont="1" applyFill="1" applyBorder="1" applyAlignment="1">
      <alignment horizontal="center"/>
    </xf>
    <xf numFmtId="14" fontId="33" fillId="10" borderId="191" xfId="2" applyNumberFormat="1" applyFont="1" applyFill="1" applyBorder="1" applyAlignment="1">
      <alignment horizontal="center"/>
    </xf>
    <xf numFmtId="0" fontId="33" fillId="10" borderId="191" xfId="2" applyFont="1" applyFill="1" applyBorder="1" applyAlignment="1">
      <alignment horizontal="center"/>
    </xf>
    <xf numFmtId="0" fontId="33" fillId="10" borderId="192" xfId="2" applyFont="1" applyFill="1" applyBorder="1" applyAlignment="1">
      <alignment horizontal="center"/>
    </xf>
    <xf numFmtId="0" fontId="33" fillId="10" borderId="19" xfId="2" applyFont="1" applyFill="1" applyBorder="1" applyAlignment="1">
      <alignment horizontal="center"/>
    </xf>
    <xf numFmtId="0" fontId="33" fillId="10" borderId="18" xfId="2" applyFont="1" applyFill="1" applyBorder="1" applyAlignment="1">
      <alignment horizontal="center"/>
    </xf>
    <xf numFmtId="2" fontId="33" fillId="10" borderId="80" xfId="2" applyNumberFormat="1" applyFont="1" applyFill="1" applyBorder="1" applyAlignment="1">
      <alignment horizontal="center"/>
    </xf>
    <xf numFmtId="1" fontId="33" fillId="10" borderId="78" xfId="2" applyNumberFormat="1" applyFont="1" applyFill="1" applyBorder="1" applyAlignment="1">
      <alignment horizontal="center"/>
    </xf>
    <xf numFmtId="2" fontId="33" fillId="10" borderId="18" xfId="2" applyNumberFormat="1" applyFont="1" applyFill="1" applyBorder="1" applyAlignment="1">
      <alignment horizontal="center"/>
    </xf>
    <xf numFmtId="0" fontId="33" fillId="10" borderId="17" xfId="2" applyFont="1" applyFill="1" applyBorder="1" applyAlignment="1">
      <alignment horizontal="center"/>
    </xf>
    <xf numFmtId="164" fontId="33" fillId="10" borderId="19" xfId="2" applyNumberFormat="1" applyFont="1" applyFill="1" applyBorder="1" applyAlignment="1">
      <alignment horizontal="center"/>
    </xf>
    <xf numFmtId="164" fontId="33" fillId="10" borderId="18" xfId="2" applyNumberFormat="1" applyFont="1" applyFill="1" applyBorder="1" applyAlignment="1">
      <alignment horizontal="center"/>
    </xf>
    <xf numFmtId="164" fontId="33" fillId="10" borderId="57" xfId="2" applyNumberFormat="1" applyFont="1" applyFill="1" applyBorder="1" applyAlignment="1">
      <alignment horizontal="center"/>
    </xf>
    <xf numFmtId="164" fontId="33" fillId="10" borderId="26" xfId="2" applyNumberFormat="1" applyFont="1" applyFill="1" applyBorder="1" applyAlignment="1">
      <alignment horizontal="center"/>
    </xf>
    <xf numFmtId="164" fontId="33" fillId="10" borderId="27" xfId="2" applyNumberFormat="1" applyFont="1" applyFill="1" applyBorder="1" applyAlignment="1">
      <alignment horizontal="center"/>
    </xf>
    <xf numFmtId="2" fontId="33" fillId="10" borderId="19" xfId="2" applyNumberFormat="1" applyFont="1" applyFill="1" applyBorder="1" applyAlignment="1">
      <alignment horizontal="center"/>
    </xf>
    <xf numFmtId="164" fontId="33" fillId="10" borderId="80" xfId="2" applyNumberFormat="1" applyFont="1" applyFill="1" applyBorder="1" applyAlignment="1">
      <alignment horizontal="center"/>
    </xf>
    <xf numFmtId="0" fontId="33" fillId="10" borderId="193" xfId="2" applyFont="1" applyFill="1" applyBorder="1" applyAlignment="1">
      <alignment horizontal="center"/>
    </xf>
    <xf numFmtId="14" fontId="33" fillId="10" borderId="26" xfId="2" applyNumberFormat="1" applyFont="1" applyFill="1" applyBorder="1" applyAlignment="1">
      <alignment horizontal="center"/>
    </xf>
    <xf numFmtId="0" fontId="33" fillId="10" borderId="26" xfId="2" applyFont="1" applyFill="1" applyBorder="1" applyAlignment="1">
      <alignment horizontal="center"/>
    </xf>
    <xf numFmtId="0" fontId="33" fillId="10" borderId="27" xfId="2" applyFont="1" applyFill="1" applyBorder="1" applyAlignment="1">
      <alignment horizontal="center"/>
    </xf>
    <xf numFmtId="0" fontId="33" fillId="10" borderId="21" xfId="2" applyFont="1" applyFill="1" applyBorder="1" applyAlignment="1">
      <alignment horizontal="center"/>
    </xf>
    <xf numFmtId="0" fontId="33" fillId="10" borderId="7" xfId="2" applyFont="1" applyFill="1" applyBorder="1" applyAlignment="1">
      <alignment horizontal="center"/>
    </xf>
    <xf numFmtId="2" fontId="33" fillId="10" borderId="79" xfId="2" applyNumberFormat="1" applyFont="1" applyFill="1" applyBorder="1" applyAlignment="1">
      <alignment horizontal="center"/>
    </xf>
    <xf numFmtId="1" fontId="33" fillId="10" borderId="39" xfId="2" applyNumberFormat="1" applyFont="1" applyFill="1" applyBorder="1" applyAlignment="1">
      <alignment horizontal="center"/>
    </xf>
    <xf numFmtId="2" fontId="33" fillId="10" borderId="7" xfId="2" applyNumberFormat="1" applyFont="1" applyFill="1" applyBorder="1" applyAlignment="1">
      <alignment horizontal="center"/>
    </xf>
    <xf numFmtId="0" fontId="33" fillId="10" borderId="8" xfId="2" applyFont="1" applyFill="1" applyBorder="1" applyAlignment="1">
      <alignment horizontal="center"/>
    </xf>
    <xf numFmtId="164" fontId="33" fillId="10" borderId="21" xfId="2" applyNumberFormat="1" applyFont="1" applyFill="1" applyBorder="1" applyAlignment="1">
      <alignment horizontal="center"/>
    </xf>
    <xf numFmtId="164" fontId="33" fillId="10" borderId="7" xfId="2" applyNumberFormat="1" applyFont="1" applyFill="1" applyBorder="1" applyAlignment="1">
      <alignment horizontal="center"/>
    </xf>
    <xf numFmtId="2" fontId="33" fillId="10" borderId="21" xfId="2" applyNumberFormat="1" applyFont="1" applyFill="1" applyBorder="1" applyAlignment="1">
      <alignment horizontal="center"/>
    </xf>
    <xf numFmtId="164" fontId="33" fillId="10" borderId="79" xfId="2" applyNumberFormat="1" applyFont="1" applyFill="1" applyBorder="1" applyAlignment="1">
      <alignment horizontal="center"/>
    </xf>
    <xf numFmtId="0" fontId="33" fillId="10" borderId="194" xfId="2" applyFont="1" applyFill="1" applyBorder="1" applyAlignment="1">
      <alignment horizontal="center"/>
    </xf>
    <xf numFmtId="14" fontId="33" fillId="10" borderId="195" xfId="2" applyNumberFormat="1" applyFont="1" applyFill="1" applyBorder="1" applyAlignment="1">
      <alignment horizontal="center"/>
    </xf>
    <xf numFmtId="0" fontId="33" fillId="10" borderId="195" xfId="2" applyFont="1" applyFill="1" applyBorder="1" applyAlignment="1">
      <alignment horizontal="center"/>
    </xf>
    <xf numFmtId="0" fontId="33" fillId="10" borderId="196" xfId="2" applyFont="1" applyFill="1" applyBorder="1" applyAlignment="1">
      <alignment horizontal="center"/>
    </xf>
    <xf numFmtId="0" fontId="33" fillId="10" borderId="43" xfId="2" applyFont="1" applyFill="1" applyBorder="1" applyAlignment="1">
      <alignment horizontal="center"/>
    </xf>
    <xf numFmtId="0" fontId="33" fillId="10" borderId="40" xfId="2" applyFont="1" applyFill="1" applyBorder="1" applyAlignment="1">
      <alignment horizontal="center"/>
    </xf>
    <xf numFmtId="2" fontId="33" fillId="10" borderId="188" xfId="2" applyNumberFormat="1" applyFont="1" applyFill="1" applyBorder="1" applyAlignment="1">
      <alignment horizontal="center"/>
    </xf>
    <xf numFmtId="1" fontId="33" fillId="10" borderId="197" xfId="2" applyNumberFormat="1" applyFont="1" applyFill="1" applyBorder="1" applyAlignment="1">
      <alignment horizontal="center"/>
    </xf>
    <xf numFmtId="2" fontId="33" fillId="10" borderId="40" xfId="2" applyNumberFormat="1" applyFont="1" applyFill="1" applyBorder="1" applyAlignment="1">
      <alignment horizontal="center"/>
    </xf>
    <xf numFmtId="0" fontId="33" fillId="10" borderId="42" xfId="2" applyFont="1" applyFill="1" applyBorder="1" applyAlignment="1">
      <alignment horizontal="center"/>
    </xf>
    <xf numFmtId="164" fontId="33" fillId="10" borderId="43" xfId="2" applyNumberFormat="1" applyFont="1" applyFill="1" applyBorder="1" applyAlignment="1">
      <alignment horizontal="center"/>
    </xf>
    <xf numFmtId="164" fontId="33" fillId="10" borderId="40" xfId="2" applyNumberFormat="1" applyFont="1" applyFill="1" applyBorder="1" applyAlignment="1">
      <alignment horizontal="center"/>
    </xf>
    <xf numFmtId="164" fontId="33" fillId="10" borderId="185" xfId="2" applyNumberFormat="1" applyFont="1" applyFill="1" applyBorder="1" applyAlignment="1">
      <alignment horizontal="center"/>
    </xf>
    <xf numFmtId="164" fontId="33" fillId="10" borderId="15" xfId="2" applyNumberFormat="1" applyFont="1" applyFill="1" applyBorder="1" applyAlignment="1">
      <alignment horizontal="center"/>
    </xf>
    <xf numFmtId="164" fontId="33" fillId="10" borderId="16" xfId="2" applyNumberFormat="1" applyFont="1" applyFill="1" applyBorder="1" applyAlignment="1">
      <alignment horizontal="center"/>
    </xf>
    <xf numFmtId="2" fontId="33" fillId="10" borderId="43" xfId="2" applyNumberFormat="1" applyFont="1" applyFill="1" applyBorder="1" applyAlignment="1">
      <alignment horizontal="center"/>
    </xf>
    <xf numFmtId="164" fontId="33" fillId="10" borderId="188" xfId="2" applyNumberFormat="1" applyFont="1" applyFill="1" applyBorder="1" applyAlignment="1">
      <alignment horizontal="center"/>
    </xf>
    <xf numFmtId="0" fontId="4" fillId="10" borderId="20" xfId="2" applyFont="1" applyFill="1" applyBorder="1" applyAlignment="1">
      <alignment horizontal="center"/>
    </xf>
    <xf numFmtId="14" fontId="0" fillId="10" borderId="20" xfId="2" applyNumberFormat="1" applyFont="1" applyFill="1" applyBorder="1"/>
    <xf numFmtId="0" fontId="4" fillId="10" borderId="202" xfId="2" applyFill="1" applyBorder="1"/>
    <xf numFmtId="0" fontId="0" fillId="10" borderId="20" xfId="2" applyFont="1" applyFill="1" applyBorder="1"/>
    <xf numFmtId="0" fontId="4" fillId="10" borderId="208" xfId="2" applyFill="1" applyBorder="1" applyAlignment="1">
      <alignment horizontal="center"/>
    </xf>
    <xf numFmtId="0" fontId="0" fillId="10" borderId="209" xfId="2" applyFont="1" applyFill="1" applyBorder="1"/>
    <xf numFmtId="0" fontId="4" fillId="10" borderId="200" xfId="2" applyFill="1" applyBorder="1" applyAlignment="1">
      <alignment horizontal="center"/>
    </xf>
    <xf numFmtId="0" fontId="4" fillId="10" borderId="201" xfId="2" applyFill="1" applyBorder="1" applyAlignment="1">
      <alignment horizontal="center"/>
    </xf>
    <xf numFmtId="0" fontId="4" fillId="10" borderId="210" xfId="2" applyFill="1" applyBorder="1" applyAlignment="1">
      <alignment horizontal="center"/>
    </xf>
    <xf numFmtId="0" fontId="4" fillId="10" borderId="16" xfId="2" applyFill="1" applyBorder="1" applyAlignment="1">
      <alignment horizontal="center"/>
    </xf>
    <xf numFmtId="2" fontId="4" fillId="10" borderId="204" xfId="2" applyNumberFormat="1" applyFill="1" applyBorder="1" applyAlignment="1">
      <alignment horizontal="center"/>
    </xf>
    <xf numFmtId="2" fontId="6" fillId="10" borderId="20" xfId="3" applyNumberFormat="1" applyFill="1" applyBorder="1" applyAlignment="1">
      <alignment horizontal="center"/>
    </xf>
    <xf numFmtId="165" fontId="6" fillId="10" borderId="210" xfId="3" applyNumberFormat="1" applyFill="1" applyBorder="1" applyAlignment="1">
      <alignment horizontal="center"/>
    </xf>
    <xf numFmtId="0" fontId="6" fillId="10" borderId="202" xfId="3" applyFill="1" applyBorder="1"/>
    <xf numFmtId="0" fontId="4" fillId="10" borderId="7" xfId="2" applyFont="1" applyFill="1" applyBorder="1" applyAlignment="1">
      <alignment horizontal="center"/>
    </xf>
    <xf numFmtId="14" fontId="0" fillId="10" borderId="7" xfId="2" applyNumberFormat="1" applyFont="1" applyFill="1" applyBorder="1"/>
    <xf numFmtId="0" fontId="0" fillId="10" borderId="7" xfId="2" applyFont="1" applyFill="1" applyBorder="1"/>
    <xf numFmtId="0" fontId="0" fillId="10" borderId="8" xfId="2" applyFont="1" applyFill="1" applyBorder="1"/>
    <xf numFmtId="0" fontId="4" fillId="10" borderId="8" xfId="2" applyFill="1" applyBorder="1" applyAlignment="1">
      <alignment horizontal="center"/>
    </xf>
    <xf numFmtId="0" fontId="4" fillId="10" borderId="57" xfId="2" applyFill="1" applyBorder="1" applyAlignment="1">
      <alignment horizontal="center"/>
    </xf>
    <xf numFmtId="0" fontId="4" fillId="10" borderId="211" xfId="2" applyFill="1" applyBorder="1" applyAlignment="1">
      <alignment horizontal="center"/>
    </xf>
    <xf numFmtId="2" fontId="4" fillId="10" borderId="205" xfId="2" applyNumberFormat="1" applyFill="1" applyBorder="1" applyAlignment="1">
      <alignment horizontal="center"/>
    </xf>
    <xf numFmtId="0" fontId="4" fillId="10" borderId="48" xfId="2" applyFill="1" applyBorder="1" applyAlignment="1">
      <alignment horizontal="center"/>
    </xf>
    <xf numFmtId="14" fontId="4" fillId="10" borderId="7" xfId="2" applyNumberFormat="1" applyFill="1" applyBorder="1"/>
    <xf numFmtId="1" fontId="15" fillId="10" borderId="7" xfId="0" quotePrefix="1" applyNumberFormat="1" applyFont="1" applyFill="1" applyBorder="1" applyAlignment="1">
      <alignment horizontal="right" wrapText="1"/>
    </xf>
    <xf numFmtId="0" fontId="4" fillId="10" borderId="39" xfId="2" applyFill="1" applyBorder="1" applyAlignment="1">
      <alignment horizontal="center"/>
    </xf>
    <xf numFmtId="0" fontId="0" fillId="10" borderId="34" xfId="2" applyFont="1" applyFill="1" applyBorder="1"/>
    <xf numFmtId="0" fontId="4" fillId="10" borderId="34" xfId="2" applyFill="1" applyBorder="1" applyAlignment="1">
      <alignment horizontal="center"/>
    </xf>
    <xf numFmtId="14" fontId="27" fillId="10" borderId="20" xfId="0" applyNumberFormat="1" applyFont="1" applyFill="1" applyBorder="1" applyAlignment="1">
      <alignment horizontal="center" vertical="center"/>
    </xf>
    <xf numFmtId="49" fontId="27" fillId="10" borderId="20" xfId="0" applyNumberFormat="1" applyFont="1" applyFill="1" applyBorder="1" applyAlignment="1">
      <alignment horizontal="center" vertical="center"/>
    </xf>
    <xf numFmtId="0" fontId="1" fillId="10" borderId="7" xfId="5" applyFont="1" applyFill="1" applyBorder="1" applyAlignment="1">
      <alignment horizontal="center"/>
    </xf>
    <xf numFmtId="0" fontId="13" fillId="10" borderId="7" xfId="5" applyFill="1" applyBorder="1" applyAlignment="1">
      <alignment horizontal="center"/>
    </xf>
    <xf numFmtId="0" fontId="1" fillId="10" borderId="7" xfId="5" applyFont="1" applyFill="1" applyBorder="1" applyAlignment="1">
      <alignment horizontal="center" vertical="center"/>
    </xf>
    <xf numFmtId="1" fontId="1" fillId="10" borderId="7" xfId="5" applyNumberFormat="1" applyFont="1" applyFill="1" applyBorder="1" applyAlignment="1">
      <alignment horizontal="center" vertical="center"/>
    </xf>
    <xf numFmtId="0" fontId="27" fillId="10" borderId="123" xfId="0" applyFont="1" applyFill="1" applyBorder="1" applyAlignment="1">
      <alignment vertical="center"/>
    </xf>
    <xf numFmtId="0" fontId="4" fillId="10" borderId="121" xfId="2" applyFill="1" applyBorder="1" applyAlignment="1">
      <alignment horizontal="center"/>
    </xf>
    <xf numFmtId="0" fontId="27" fillId="10" borderId="146" xfId="0" applyFont="1" applyFill="1" applyBorder="1" applyAlignment="1">
      <alignment vertical="center"/>
    </xf>
    <xf numFmtId="2" fontId="4" fillId="10" borderId="121" xfId="2" applyNumberFormat="1" applyFill="1" applyBorder="1" applyAlignment="1">
      <alignment horizontal="center"/>
    </xf>
    <xf numFmtId="165" fontId="6" fillId="10" borderId="124" xfId="3" applyNumberFormat="1" applyFill="1" applyBorder="1" applyAlignment="1">
      <alignment horizontal="center"/>
    </xf>
    <xf numFmtId="0" fontId="27" fillId="10" borderId="128" xfId="0" applyFont="1" applyFill="1" applyBorder="1" applyAlignment="1">
      <alignment vertical="center"/>
    </xf>
    <xf numFmtId="0" fontId="4" fillId="10" borderId="129" xfId="2" applyFill="1" applyBorder="1" applyAlignment="1">
      <alignment horizontal="center"/>
    </xf>
    <xf numFmtId="0" fontId="27" fillId="10" borderId="147" xfId="0" applyFont="1" applyFill="1" applyBorder="1" applyAlignment="1">
      <alignment vertical="center"/>
    </xf>
    <xf numFmtId="2" fontId="4" fillId="10" borderId="129" xfId="2" applyNumberFormat="1" applyFill="1" applyBorder="1" applyAlignment="1">
      <alignment horizontal="center"/>
    </xf>
    <xf numFmtId="0" fontId="4" fillId="10" borderId="131" xfId="2" applyFill="1" applyBorder="1" applyAlignment="1">
      <alignment horizontal="center"/>
    </xf>
    <xf numFmtId="2" fontId="4" fillId="10" borderId="131" xfId="2" applyNumberFormat="1" applyFill="1" applyBorder="1" applyAlignment="1">
      <alignment horizontal="center"/>
    </xf>
    <xf numFmtId="165" fontId="6" fillId="10" borderId="134" xfId="3" applyNumberFormat="1" applyFill="1" applyBorder="1" applyAlignment="1">
      <alignment horizontal="center"/>
    </xf>
    <xf numFmtId="1" fontId="0" fillId="10" borderId="7" xfId="0" applyNumberFormat="1" applyFill="1" applyBorder="1" applyAlignment="1">
      <alignment horizontal="center"/>
    </xf>
    <xf numFmtId="14" fontId="27" fillId="10" borderId="106" xfId="0" applyNumberFormat="1" applyFont="1" applyFill="1" applyBorder="1" applyAlignment="1">
      <alignment horizontal="center" vertical="center"/>
    </xf>
    <xf numFmtId="49" fontId="27" fillId="10" borderId="106" xfId="0" applyNumberFormat="1" applyFont="1" applyFill="1" applyBorder="1" applyAlignment="1">
      <alignment horizontal="center" vertical="center"/>
    </xf>
    <xf numFmtId="0" fontId="27" fillId="10" borderId="140" xfId="0" applyFont="1" applyFill="1" applyBorder="1" applyAlignment="1">
      <alignment vertical="center"/>
    </xf>
    <xf numFmtId="0" fontId="4" fillId="10" borderId="138" xfId="2" applyFill="1" applyBorder="1" applyAlignment="1">
      <alignment horizontal="center"/>
    </xf>
    <xf numFmtId="0" fontId="27" fillId="10" borderId="149" xfId="0" applyFont="1" applyFill="1" applyBorder="1" applyAlignment="1">
      <alignment vertical="center"/>
    </xf>
    <xf numFmtId="2" fontId="4" fillId="10" borderId="138" xfId="2" applyNumberFormat="1" applyFill="1" applyBorder="1" applyAlignment="1">
      <alignment horizontal="center"/>
    </xf>
    <xf numFmtId="165" fontId="6" fillId="10" borderId="138" xfId="3" applyNumberFormat="1" applyFill="1" applyBorder="1" applyAlignment="1">
      <alignment horizontal="center"/>
    </xf>
    <xf numFmtId="0" fontId="4" fillId="10" borderId="118" xfId="2" applyFill="1" applyBorder="1" applyAlignment="1">
      <alignment horizontal="center"/>
    </xf>
    <xf numFmtId="2" fontId="4" fillId="10" borderId="118" xfId="2" applyNumberFormat="1" applyFill="1" applyBorder="1" applyAlignment="1">
      <alignment horizontal="center"/>
    </xf>
    <xf numFmtId="165" fontId="6" fillId="10" borderId="118" xfId="3" applyNumberFormat="1" applyFill="1" applyBorder="1" applyAlignment="1">
      <alignment horizontal="center"/>
    </xf>
    <xf numFmtId="2" fontId="4" fillId="10" borderId="134" xfId="2" applyNumberFormat="1" applyFill="1" applyBorder="1" applyAlignment="1">
      <alignment horizontal="center"/>
    </xf>
    <xf numFmtId="0" fontId="27" fillId="10" borderId="145" xfId="0" applyFont="1" applyFill="1" applyBorder="1" applyAlignment="1">
      <alignment horizontal="center" vertical="center"/>
    </xf>
    <xf numFmtId="0" fontId="27" fillId="10" borderId="93" xfId="0" applyFont="1" applyFill="1" applyBorder="1" applyAlignment="1">
      <alignment horizontal="center" vertical="center"/>
    </xf>
    <xf numFmtId="0" fontId="27" fillId="10" borderId="144" xfId="0" applyFont="1" applyFill="1" applyBorder="1" applyAlignment="1">
      <alignment horizontal="center" vertical="center"/>
    </xf>
    <xf numFmtId="14" fontId="0" fillId="10" borderId="7" xfId="0" applyNumberForma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14" fontId="10" fillId="10" borderId="7" xfId="0" applyNumberFormat="1" applyFont="1" applyFill="1" applyBorder="1" applyAlignment="1">
      <alignment horizontal="center"/>
    </xf>
    <xf numFmtId="0" fontId="0" fillId="10" borderId="7" xfId="0" applyFont="1" applyFill="1" applyBorder="1" applyAlignment="1">
      <alignment horizontal="center"/>
    </xf>
    <xf numFmtId="1" fontId="10" fillId="10" borderId="7" xfId="0" applyNumberFormat="1" applyFont="1" applyFill="1" applyBorder="1" applyAlignment="1">
      <alignment horizontal="center"/>
    </xf>
    <xf numFmtId="0" fontId="20" fillId="10" borderId="7" xfId="12" applyFont="1" applyFill="1" applyBorder="1" applyAlignment="1" applyProtection="1">
      <alignment horizontal="center" vertical="center"/>
    </xf>
    <xf numFmtId="1" fontId="15" fillId="10" borderId="7" xfId="0" applyNumberFormat="1" applyFont="1" applyFill="1" applyBorder="1" applyAlignment="1">
      <alignment horizontal="center" vertical="center" wrapText="1"/>
    </xf>
    <xf numFmtId="0" fontId="27" fillId="10" borderId="143" xfId="0" applyFont="1" applyFill="1" applyBorder="1" applyAlignment="1">
      <alignment vertical="center"/>
    </xf>
    <xf numFmtId="1" fontId="0" fillId="10" borderId="7" xfId="0" applyNumberFormat="1" applyFill="1" applyBorder="1" applyAlignment="1">
      <alignment horizontal="center" vertical="center"/>
    </xf>
    <xf numFmtId="0" fontId="27" fillId="10" borderId="117" xfId="0" applyFont="1" applyFill="1" applyBorder="1" applyAlignment="1">
      <alignment vertical="center"/>
    </xf>
    <xf numFmtId="0" fontId="27" fillId="10" borderId="137" xfId="0" applyFont="1" applyFill="1" applyBorder="1" applyAlignment="1">
      <alignment vertical="center"/>
    </xf>
    <xf numFmtId="49" fontId="27" fillId="10" borderId="20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27" fillId="10" borderId="123" xfId="0" applyFont="1" applyFill="1" applyBorder="1" applyAlignment="1">
      <alignment vertical="center" wrapText="1"/>
    </xf>
    <xf numFmtId="0" fontId="27" fillId="10" borderId="146" xfId="0" applyFont="1" applyFill="1" applyBorder="1" applyAlignment="1">
      <alignment vertical="center" wrapText="1"/>
    </xf>
    <xf numFmtId="0" fontId="0" fillId="10" borderId="0" xfId="0" applyFill="1" applyAlignment="1">
      <alignment wrapText="1"/>
    </xf>
    <xf numFmtId="49" fontId="27" fillId="10" borderId="7" xfId="0" applyNumberFormat="1" applyFont="1" applyFill="1" applyBorder="1" applyAlignment="1">
      <alignment horizontal="center" vertical="center" wrapText="1"/>
    </xf>
    <xf numFmtId="0" fontId="27" fillId="10" borderId="128" xfId="0" applyFont="1" applyFill="1" applyBorder="1" applyAlignment="1">
      <alignment vertical="center" wrapText="1"/>
    </xf>
    <xf numFmtId="0" fontId="27" fillId="10" borderId="147" xfId="0" applyFont="1" applyFill="1" applyBorder="1" applyAlignment="1">
      <alignment vertical="center" wrapText="1"/>
    </xf>
    <xf numFmtId="49" fontId="27" fillId="10" borderId="106" xfId="0" applyNumberFormat="1" applyFont="1" applyFill="1" applyBorder="1" applyAlignment="1">
      <alignment horizontal="center" vertical="center" wrapText="1"/>
    </xf>
    <xf numFmtId="0" fontId="27" fillId="10" borderId="140" xfId="0" applyFont="1" applyFill="1" applyBorder="1" applyAlignment="1">
      <alignment vertical="center" wrapText="1"/>
    </xf>
    <xf numFmtId="0" fontId="27" fillId="10" borderId="149" xfId="0" applyFont="1" applyFill="1" applyBorder="1" applyAlignment="1">
      <alignment vertical="center" wrapText="1"/>
    </xf>
    <xf numFmtId="0" fontId="27" fillId="10" borderId="145" xfId="0" applyFont="1" applyFill="1" applyBorder="1" applyAlignment="1">
      <alignment horizontal="center" vertical="center" wrapText="1"/>
    </xf>
    <xf numFmtId="0" fontId="27" fillId="10" borderId="93" xfId="0" applyFont="1" applyFill="1" applyBorder="1" applyAlignment="1">
      <alignment horizontal="center" vertical="center" wrapText="1"/>
    </xf>
    <xf numFmtId="0" fontId="27" fillId="10" borderId="144" xfId="0" applyFont="1" applyFill="1" applyBorder="1" applyAlignment="1">
      <alignment horizontal="center" vertical="center" wrapText="1"/>
    </xf>
    <xf numFmtId="0" fontId="27" fillId="10" borderId="136" xfId="0" applyFont="1" applyFill="1" applyBorder="1" applyAlignment="1">
      <alignment horizontal="center" vertical="center" wrapText="1"/>
    </xf>
    <xf numFmtId="0" fontId="27" fillId="10" borderId="39" xfId="0" applyFont="1" applyFill="1" applyBorder="1" applyAlignment="1">
      <alignment horizontal="center" vertical="center" wrapText="1"/>
    </xf>
    <xf numFmtId="1" fontId="27" fillId="10" borderId="136" xfId="0" applyNumberFormat="1" applyFont="1" applyFill="1" applyBorder="1" applyAlignment="1">
      <alignment horizontal="center" vertical="center" wrapText="1"/>
    </xf>
    <xf numFmtId="0" fontId="27" fillId="10" borderId="20" xfId="0" applyFont="1" applyFill="1" applyBorder="1" applyAlignment="1">
      <alignment horizontal="center" vertical="center"/>
    </xf>
    <xf numFmtId="0" fontId="4" fillId="10" borderId="134" xfId="2" applyFill="1" applyBorder="1" applyAlignment="1">
      <alignment horizontal="center"/>
    </xf>
    <xf numFmtId="0" fontId="4" fillId="10" borderId="135" xfId="2" applyFill="1" applyBorder="1" applyAlignment="1">
      <alignment horizontal="center"/>
    </xf>
    <xf numFmtId="168" fontId="6" fillId="10" borderId="134" xfId="3" applyNumberFormat="1" applyFill="1" applyBorder="1" applyAlignment="1">
      <alignment horizontal="center"/>
    </xf>
    <xf numFmtId="2" fontId="6" fillId="10" borderId="133" xfId="3" applyNumberFormat="1" applyFill="1" applyBorder="1" applyAlignment="1">
      <alignment horizontal="center"/>
    </xf>
    <xf numFmtId="168" fontId="6" fillId="10" borderId="126" xfId="3" applyNumberFormat="1" applyFill="1" applyBorder="1" applyAlignment="1">
      <alignment horizontal="center"/>
    </xf>
    <xf numFmtId="2" fontId="6" fillId="10" borderId="128" xfId="3" applyNumberFormat="1" applyFill="1" applyBorder="1" applyAlignment="1">
      <alignment horizontal="center"/>
    </xf>
    <xf numFmtId="0" fontId="27" fillId="10" borderId="119" xfId="0" applyFont="1" applyFill="1" applyBorder="1" applyAlignment="1">
      <alignment horizontal="center" vertical="center"/>
    </xf>
    <xf numFmtId="0" fontId="4" fillId="10" borderId="124" xfId="2" applyFill="1" applyBorder="1" applyAlignment="1">
      <alignment horizontal="center"/>
    </xf>
    <xf numFmtId="0" fontId="4" fillId="10" borderId="125" xfId="2" applyFill="1" applyBorder="1" applyAlignment="1">
      <alignment horizontal="center"/>
    </xf>
    <xf numFmtId="2" fontId="6" fillId="10" borderId="124" xfId="3" applyNumberFormat="1" applyFill="1" applyBorder="1" applyAlignment="1">
      <alignment horizontal="center"/>
    </xf>
    <xf numFmtId="0" fontId="4" fillId="10" borderId="130" xfId="2" applyFill="1" applyBorder="1" applyAlignment="1">
      <alignment horizontal="center"/>
    </xf>
    <xf numFmtId="2" fontId="6" fillId="10" borderId="126" xfId="3" applyNumberFormat="1" applyFill="1" applyBorder="1" applyAlignment="1">
      <alignment horizontal="center"/>
    </xf>
    <xf numFmtId="0" fontId="27" fillId="10" borderId="118" xfId="0" applyFont="1" applyFill="1" applyBorder="1" applyAlignment="1">
      <alignment horizontal="center" vertical="center"/>
    </xf>
    <xf numFmtId="0" fontId="4" fillId="10" borderId="120" xfId="2" applyFill="1" applyBorder="1" applyAlignment="1">
      <alignment horizontal="center"/>
    </xf>
    <xf numFmtId="0" fontId="4" fillId="10" borderId="218" xfId="2" applyFill="1" applyBorder="1" applyAlignment="1">
      <alignment horizontal="center"/>
    </xf>
    <xf numFmtId="2" fontId="4" fillId="10" borderId="219" xfId="2" applyNumberFormat="1" applyFill="1" applyBorder="1" applyAlignment="1">
      <alignment horizontal="center"/>
    </xf>
    <xf numFmtId="165" fontId="6" fillId="10" borderId="123" xfId="3" applyNumberFormat="1" applyFill="1" applyBorder="1" applyAlignment="1">
      <alignment horizontal="center"/>
    </xf>
    <xf numFmtId="0" fontId="4" fillId="10" borderId="220" xfId="2" applyFill="1" applyBorder="1" applyAlignment="1">
      <alignment horizontal="center"/>
    </xf>
    <xf numFmtId="165" fontId="6" fillId="10" borderId="133" xfId="3" applyNumberFormat="1" applyFill="1" applyBorder="1" applyAlignment="1">
      <alignment horizontal="center"/>
    </xf>
    <xf numFmtId="14" fontId="40" fillId="10" borderId="0" xfId="0" applyNumberFormat="1" applyFont="1" applyFill="1" applyAlignment="1">
      <alignment horizontal="left"/>
    </xf>
    <xf numFmtId="0" fontId="15" fillId="10" borderId="35" xfId="0" applyFont="1" applyFill="1" applyBorder="1" applyAlignment="1">
      <alignment horizontal="center" vertical="center" wrapText="1"/>
    </xf>
    <xf numFmtId="0" fontId="41" fillId="10" borderId="7" xfId="12" applyFont="1" applyFill="1" applyBorder="1" applyAlignment="1" applyProtection="1">
      <alignment horizontal="center" vertical="center"/>
    </xf>
    <xf numFmtId="0" fontId="15" fillId="10" borderId="7" xfId="0" applyFont="1" applyFill="1" applyBorder="1" applyAlignment="1">
      <alignment horizontal="center" vertical="center" wrapText="1"/>
    </xf>
    <xf numFmtId="168" fontId="15" fillId="10" borderId="7" xfId="0" applyNumberFormat="1" applyFont="1" applyFill="1" applyBorder="1" applyAlignment="1">
      <alignment horizontal="center" vertical="center" wrapText="1"/>
    </xf>
    <xf numFmtId="2" fontId="0" fillId="10" borderId="7" xfId="0" applyNumberFormat="1" applyFill="1" applyBorder="1" applyAlignment="1">
      <alignment horizontal="center" vertical="center"/>
    </xf>
    <xf numFmtId="168" fontId="0" fillId="10" borderId="7" xfId="0" applyNumberFormat="1" applyFill="1" applyBorder="1" applyAlignment="1">
      <alignment horizontal="center" vertical="center"/>
    </xf>
    <xf numFmtId="2" fontId="42" fillId="10" borderId="7" xfId="0" applyNumberFormat="1" applyFont="1" applyFill="1" applyBorder="1" applyAlignment="1">
      <alignment horizontal="center" vertical="center"/>
    </xf>
    <xf numFmtId="2" fontId="42" fillId="13" borderId="7" xfId="0" applyNumberFormat="1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 wrapText="1"/>
    </xf>
    <xf numFmtId="0" fontId="15" fillId="10" borderId="76" xfId="0" applyFont="1" applyFill="1" applyBorder="1" applyAlignment="1">
      <alignment horizontal="center" vertical="center" wrapText="1"/>
    </xf>
    <xf numFmtId="0" fontId="20" fillId="10" borderId="66" xfId="12" applyFont="1" applyFill="1" applyBorder="1" applyAlignment="1" applyProtection="1">
      <alignment horizontal="center" vertical="center"/>
    </xf>
    <xf numFmtId="1" fontId="15" fillId="10" borderId="93" xfId="0" applyNumberFormat="1" applyFont="1" applyFill="1" applyBorder="1" applyAlignment="1">
      <alignment horizontal="center" vertical="center" wrapText="1"/>
    </xf>
    <xf numFmtId="168" fontId="15" fillId="10" borderId="20" xfId="0" applyNumberFormat="1" applyFont="1" applyFill="1" applyBorder="1" applyAlignment="1">
      <alignment horizontal="center" vertical="center" wrapText="1"/>
    </xf>
    <xf numFmtId="168" fontId="15" fillId="10" borderId="34" xfId="0" applyNumberFormat="1" applyFont="1" applyFill="1" applyBorder="1" applyAlignment="1">
      <alignment horizontal="center" vertical="center" wrapText="1"/>
    </xf>
    <xf numFmtId="168" fontId="15" fillId="10" borderId="225" xfId="0" applyNumberFormat="1" applyFont="1" applyFill="1" applyBorder="1" applyAlignment="1">
      <alignment horizontal="center" vertical="center" wrapText="1"/>
    </xf>
    <xf numFmtId="0" fontId="0" fillId="10" borderId="79" xfId="0" applyFill="1" applyBorder="1"/>
    <xf numFmtId="0" fontId="15" fillId="10" borderId="226" xfId="0" applyFont="1" applyFill="1" applyBorder="1" applyAlignment="1">
      <alignment horizontal="center" vertical="center" wrapText="1"/>
    </xf>
    <xf numFmtId="0" fontId="20" fillId="10" borderId="226" xfId="12" applyFont="1" applyFill="1" applyBorder="1" applyAlignment="1" applyProtection="1">
      <alignment horizontal="center" vertical="center"/>
    </xf>
    <xf numFmtId="1" fontId="15" fillId="10" borderId="197" xfId="0" applyNumberFormat="1" applyFont="1" applyFill="1" applyBorder="1" applyAlignment="1">
      <alignment horizontal="center" vertical="center" wrapText="1"/>
    </xf>
    <xf numFmtId="168" fontId="15" fillId="10" borderId="40" xfId="0" applyNumberFormat="1" applyFont="1" applyFill="1" applyBorder="1" applyAlignment="1">
      <alignment horizontal="center" vertical="center" wrapText="1"/>
    </xf>
    <xf numFmtId="168" fontId="15" fillId="10" borderId="42" xfId="0" applyNumberFormat="1" applyFont="1" applyFill="1" applyBorder="1" applyAlignment="1">
      <alignment horizontal="center" vertical="center" wrapText="1"/>
    </xf>
    <xf numFmtId="1" fontId="15" fillId="10" borderId="43" xfId="0" applyNumberFormat="1" applyFont="1" applyFill="1" applyBorder="1" applyAlignment="1">
      <alignment horizontal="center" vertical="center" wrapText="1"/>
    </xf>
    <xf numFmtId="168" fontId="15" fillId="10" borderId="188" xfId="0" applyNumberFormat="1" applyFont="1" applyFill="1" applyBorder="1" applyAlignment="1">
      <alignment horizontal="center" vertical="center" wrapText="1"/>
    </xf>
    <xf numFmtId="0" fontId="0" fillId="10" borderId="188" xfId="0" applyFill="1" applyBorder="1"/>
    <xf numFmtId="0" fontId="27" fillId="10" borderId="238" xfId="0" applyFont="1" applyFill="1" applyBorder="1" applyAlignment="1">
      <alignment horizontal="center" vertical="center"/>
    </xf>
    <xf numFmtId="10" fontId="4" fillId="10" borderId="126" xfId="2" applyNumberFormat="1" applyFill="1" applyBorder="1" applyAlignment="1">
      <alignment horizontal="center"/>
    </xf>
    <xf numFmtId="2" fontId="4" fillId="10" borderId="236" xfId="2" applyNumberFormat="1" applyFill="1" applyBorder="1" applyAlignment="1">
      <alignment horizontal="center"/>
    </xf>
    <xf numFmtId="165" fontId="6" fillId="10" borderId="237" xfId="3" applyNumberFormat="1" applyFill="1" applyBorder="1" applyAlignment="1">
      <alignment horizontal="center"/>
    </xf>
    <xf numFmtId="0" fontId="27" fillId="10" borderId="19" xfId="0" applyFont="1" applyFill="1" applyBorder="1" applyAlignment="1">
      <alignment horizontal="center" vertical="center"/>
    </xf>
    <xf numFmtId="14" fontId="27" fillId="10" borderId="18" xfId="0" applyNumberFormat="1" applyFont="1" applyFill="1" applyBorder="1" applyAlignment="1">
      <alignment horizontal="center" vertical="center"/>
    </xf>
    <xf numFmtId="49" fontId="27" fillId="10" borderId="18" xfId="0" applyNumberFormat="1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/>
    </xf>
    <xf numFmtId="0" fontId="27" fillId="10" borderId="232" xfId="0" applyFont="1" applyFill="1" applyBorder="1" applyAlignment="1">
      <alignment horizontal="center" vertical="center"/>
    </xf>
    <xf numFmtId="0" fontId="27" fillId="10" borderId="233" xfId="0" applyFont="1" applyFill="1" applyBorder="1" applyAlignment="1">
      <alignment horizontal="center" vertical="center"/>
    </xf>
    <xf numFmtId="10" fontId="4" fillId="10" borderId="231" xfId="2" applyNumberFormat="1" applyFill="1" applyBorder="1" applyAlignment="1">
      <alignment horizontal="center"/>
    </xf>
    <xf numFmtId="0" fontId="4" fillId="10" borderId="232" xfId="2" applyFill="1" applyBorder="1" applyAlignment="1">
      <alignment horizontal="center"/>
    </xf>
    <xf numFmtId="0" fontId="4" fillId="10" borderId="235" xfId="2" applyFill="1" applyBorder="1" applyAlignment="1">
      <alignment horizontal="center"/>
    </xf>
    <xf numFmtId="165" fontId="6" fillId="10" borderId="232" xfId="3" applyNumberFormat="1" applyFill="1" applyBorder="1" applyAlignment="1">
      <alignment horizontal="center"/>
    </xf>
    <xf numFmtId="0" fontId="27" fillId="10" borderId="239" xfId="0" applyFont="1" applyFill="1" applyBorder="1" applyAlignment="1">
      <alignment horizontal="center" vertical="center"/>
    </xf>
    <xf numFmtId="14" fontId="27" fillId="10" borderId="41" xfId="0" applyNumberFormat="1" applyFont="1" applyFill="1" applyBorder="1" applyAlignment="1">
      <alignment horizontal="center" vertical="center"/>
    </xf>
    <xf numFmtId="49" fontId="27" fillId="10" borderId="41" xfId="0" applyNumberFormat="1" applyFont="1" applyFill="1" applyBorder="1" applyAlignment="1">
      <alignment horizontal="center" vertical="center"/>
    </xf>
    <xf numFmtId="0" fontId="27" fillId="10" borderId="41" xfId="0" applyFont="1" applyFill="1" applyBorder="1" applyAlignment="1">
      <alignment horizontal="center" vertical="center"/>
    </xf>
    <xf numFmtId="0" fontId="27" fillId="10" borderId="241" xfId="0" applyFont="1" applyFill="1" applyBorder="1" applyAlignment="1">
      <alignment horizontal="center" vertical="center"/>
    </xf>
    <xf numFmtId="0" fontId="27" fillId="10" borderId="242" xfId="0" applyFont="1" applyFill="1" applyBorder="1" applyAlignment="1">
      <alignment horizontal="center" vertical="center"/>
    </xf>
    <xf numFmtId="10" fontId="4" fillId="10" borderId="241" xfId="2" applyNumberFormat="1" applyFill="1" applyBorder="1" applyAlignment="1">
      <alignment horizontal="center"/>
    </xf>
    <xf numFmtId="0" fontId="4" fillId="10" borderId="241" xfId="2" applyFill="1" applyBorder="1" applyAlignment="1">
      <alignment horizontal="center"/>
    </xf>
    <xf numFmtId="0" fontId="4" fillId="10" borderId="245" xfId="2" applyFill="1" applyBorder="1" applyAlignment="1">
      <alignment horizontal="center"/>
    </xf>
    <xf numFmtId="2" fontId="4" fillId="10" borderId="246" xfId="2" applyNumberFormat="1" applyFill="1" applyBorder="1" applyAlignment="1">
      <alignment horizontal="center"/>
    </xf>
    <xf numFmtId="165" fontId="6" fillId="10" borderId="241" xfId="3" applyNumberFormat="1" applyFill="1" applyBorder="1" applyAlignment="1">
      <alignment horizontal="center"/>
    </xf>
    <xf numFmtId="0" fontId="2" fillId="11" borderId="40" xfId="0" applyFont="1" applyFill="1" applyBorder="1" applyAlignment="1">
      <alignment horizontal="center"/>
    </xf>
    <xf numFmtId="0" fontId="4" fillId="11" borderId="26" xfId="2" applyFont="1" applyFill="1" applyBorder="1" applyAlignment="1">
      <alignment horizontal="center"/>
    </xf>
    <xf numFmtId="14" fontId="4" fillId="11" borderId="26" xfId="2" applyNumberFormat="1" applyFont="1" applyFill="1" applyBorder="1" applyAlignment="1">
      <alignment horizontal="center"/>
    </xf>
    <xf numFmtId="0" fontId="4" fillId="11" borderId="26" xfId="2" applyNumberFormat="1" applyFill="1" applyBorder="1" applyAlignment="1">
      <alignment horizontal="center"/>
    </xf>
    <xf numFmtId="0" fontId="4" fillId="11" borderId="26" xfId="2" applyFill="1" applyBorder="1" applyAlignment="1">
      <alignment horizontal="center"/>
    </xf>
    <xf numFmtId="0" fontId="4" fillId="11" borderId="27" xfId="2" applyFill="1" applyBorder="1" applyAlignment="1">
      <alignment horizontal="center"/>
    </xf>
    <xf numFmtId="0" fontId="4" fillId="11" borderId="20" xfId="2" applyFill="1" applyBorder="1"/>
    <xf numFmtId="0" fontId="4" fillId="11" borderId="55" xfId="2" applyFill="1" applyBorder="1" applyAlignment="1">
      <alignment horizontal="center"/>
    </xf>
    <xf numFmtId="0" fontId="4" fillId="11" borderId="56" xfId="2" applyFill="1" applyBorder="1" applyAlignment="1">
      <alignment horizontal="center"/>
    </xf>
    <xf numFmtId="0" fontId="4" fillId="11" borderId="20" xfId="2" applyFill="1" applyBorder="1" applyAlignment="1">
      <alignment horizontal="center"/>
    </xf>
    <xf numFmtId="2" fontId="4" fillId="11" borderId="20" xfId="2" applyNumberFormat="1" applyFill="1" applyBorder="1" applyAlignment="1">
      <alignment horizontal="center"/>
    </xf>
    <xf numFmtId="2" fontId="4" fillId="11" borderId="57" xfId="2" applyNumberFormat="1" applyFill="1" applyBorder="1" applyAlignment="1">
      <alignment horizontal="center"/>
    </xf>
    <xf numFmtId="165" fontId="6" fillId="11" borderId="20" xfId="3" applyNumberFormat="1" applyFill="1" applyBorder="1" applyAlignment="1">
      <alignment horizontal="center"/>
    </xf>
    <xf numFmtId="0" fontId="4" fillId="11" borderId="9" xfId="2" applyFont="1" applyFill="1" applyBorder="1" applyAlignment="1">
      <alignment horizontal="center"/>
    </xf>
    <xf numFmtId="0" fontId="4" fillId="11" borderId="9" xfId="2" applyNumberFormat="1" applyFill="1" applyBorder="1" applyAlignment="1">
      <alignment horizontal="center"/>
    </xf>
    <xf numFmtId="0" fontId="4" fillId="11" borderId="9" xfId="2" applyFill="1" applyBorder="1" applyAlignment="1">
      <alignment horizontal="center"/>
    </xf>
    <xf numFmtId="0" fontId="4" fillId="11" borderId="7" xfId="2" applyFill="1" applyBorder="1"/>
    <xf numFmtId="0" fontId="4" fillId="11" borderId="3" xfId="2" applyFill="1" applyBorder="1" applyAlignment="1">
      <alignment horizontal="center"/>
    </xf>
    <xf numFmtId="0" fontId="4" fillId="11" borderId="11" xfId="2" applyFill="1" applyBorder="1" applyAlignment="1">
      <alignment horizontal="center"/>
    </xf>
    <xf numFmtId="0" fontId="4" fillId="11" borderId="1" xfId="2" applyFill="1" applyBorder="1" applyAlignment="1">
      <alignment horizontal="center"/>
    </xf>
    <xf numFmtId="0" fontId="4" fillId="11" borderId="7" xfId="2" applyFill="1" applyBorder="1" applyAlignment="1">
      <alignment horizontal="center"/>
    </xf>
    <xf numFmtId="2" fontId="4" fillId="11" borderId="7" xfId="2" applyNumberFormat="1" applyFill="1" applyBorder="1" applyAlignment="1">
      <alignment horizontal="center"/>
    </xf>
    <xf numFmtId="2" fontId="4" fillId="11" borderId="46" xfId="2" applyNumberFormat="1" applyFill="1" applyBorder="1" applyAlignment="1">
      <alignment horizontal="center"/>
    </xf>
    <xf numFmtId="165" fontId="6" fillId="11" borderId="7" xfId="3" applyNumberFormat="1" applyFill="1" applyBorder="1" applyAlignment="1">
      <alignment horizontal="center"/>
    </xf>
    <xf numFmtId="14" fontId="4" fillId="11" borderId="9" xfId="2" applyNumberFormat="1" applyFont="1" applyFill="1" applyBorder="1" applyAlignment="1">
      <alignment horizontal="center"/>
    </xf>
    <xf numFmtId="0" fontId="4" fillId="11" borderId="29" xfId="2" applyFont="1" applyFill="1" applyBorder="1" applyAlignment="1">
      <alignment horizontal="center"/>
    </xf>
    <xf numFmtId="14" fontId="4" fillId="11" borderId="29" xfId="2" applyNumberFormat="1" applyFont="1" applyFill="1" applyBorder="1" applyAlignment="1">
      <alignment horizontal="center"/>
    </xf>
    <xf numFmtId="0" fontId="4" fillId="11" borderId="29" xfId="2" applyNumberFormat="1" applyFill="1" applyBorder="1" applyAlignment="1">
      <alignment horizontal="center"/>
    </xf>
    <xf numFmtId="0" fontId="4" fillId="11" borderId="29" xfId="2" applyFill="1" applyBorder="1" applyAlignment="1">
      <alignment horizontal="center"/>
    </xf>
    <xf numFmtId="0" fontId="4" fillId="11" borderId="30" xfId="2" applyFill="1" applyBorder="1" applyAlignment="1">
      <alignment horizontal="center"/>
    </xf>
    <xf numFmtId="0" fontId="4" fillId="11" borderId="24" xfId="2" applyFill="1" applyBorder="1"/>
    <xf numFmtId="0" fontId="4" fillId="11" borderId="62" xfId="2" applyFill="1" applyBorder="1" applyAlignment="1">
      <alignment horizontal="center"/>
    </xf>
    <xf numFmtId="0" fontId="4" fillId="11" borderId="63" xfId="2" applyFill="1" applyBorder="1" applyAlignment="1">
      <alignment horizontal="center"/>
    </xf>
    <xf numFmtId="0" fontId="4" fillId="11" borderId="60" xfId="2" applyFill="1" applyBorder="1" applyAlignment="1">
      <alignment horizontal="center"/>
    </xf>
    <xf numFmtId="0" fontId="4" fillId="11" borderId="24" xfId="2" applyFill="1" applyBorder="1" applyAlignment="1">
      <alignment horizontal="center"/>
    </xf>
    <xf numFmtId="2" fontId="4" fillId="11" borderId="24" xfId="2" applyNumberFormat="1" applyFill="1" applyBorder="1" applyAlignment="1">
      <alignment horizontal="center"/>
    </xf>
    <xf numFmtId="2" fontId="4" fillId="11" borderId="64" xfId="2" applyNumberFormat="1" applyFill="1" applyBorder="1" applyAlignment="1">
      <alignment horizontal="center"/>
    </xf>
    <xf numFmtId="165" fontId="6" fillId="11" borderId="24" xfId="3" applyNumberFormat="1" applyFill="1" applyBorder="1" applyAlignment="1">
      <alignment horizontal="center"/>
    </xf>
    <xf numFmtId="0" fontId="6" fillId="11" borderId="31" xfId="3" applyFill="1" applyBorder="1"/>
    <xf numFmtId="2" fontId="6" fillId="0" borderId="0" xfId="3" applyNumberFormat="1"/>
    <xf numFmtId="2" fontId="21" fillId="10" borderId="20" xfId="7" applyNumberFormat="1" applyFont="1" applyFill="1" applyBorder="1" applyAlignment="1">
      <alignment horizontal="center" wrapText="1"/>
    </xf>
    <xf numFmtId="2" fontId="21" fillId="11" borderId="20" xfId="7" applyNumberFormat="1" applyFont="1" applyFill="1" applyBorder="1" applyAlignment="1">
      <alignment horizontal="center" wrapText="1"/>
    </xf>
    <xf numFmtId="2" fontId="21" fillId="11" borderId="41" xfId="7" applyNumberFormat="1" applyFont="1" applyFill="1" applyBorder="1" applyAlignment="1">
      <alignment horizontal="center" wrapText="1"/>
    </xf>
    <xf numFmtId="0" fontId="4" fillId="11" borderId="65" xfId="2" applyFill="1" applyBorder="1" applyAlignment="1">
      <alignment horizontal="center"/>
    </xf>
    <xf numFmtId="0" fontId="0" fillId="11" borderId="66" xfId="0" applyFill="1" applyBorder="1" applyAlignment="1">
      <alignment horizontal="center" vertical="center" wrapText="1"/>
    </xf>
    <xf numFmtId="0" fontId="0" fillId="11" borderId="76" xfId="0" applyFill="1" applyBorder="1" applyAlignment="1">
      <alignment horizontal="center" vertical="center" wrapText="1"/>
    </xf>
    <xf numFmtId="0" fontId="4" fillId="11" borderId="10" xfId="2" applyFill="1" applyBorder="1" applyAlignment="1">
      <alignment horizontal="center"/>
    </xf>
    <xf numFmtId="0" fontId="0" fillId="11" borderId="70" xfId="0" applyFill="1" applyBorder="1" applyAlignment="1">
      <alignment horizontal="center" vertical="center" wrapText="1"/>
    </xf>
    <xf numFmtId="2" fontId="4" fillId="11" borderId="9" xfId="2" applyNumberFormat="1" applyFill="1" applyBorder="1" applyAlignment="1">
      <alignment horizontal="center"/>
    </xf>
    <xf numFmtId="0" fontId="0" fillId="11" borderId="7" xfId="0" applyNumberFormat="1" applyFill="1" applyBorder="1"/>
    <xf numFmtId="0" fontId="0" fillId="11" borderId="18" xfId="0" applyNumberFormat="1" applyFill="1" applyBorder="1"/>
    <xf numFmtId="0" fontId="0" fillId="11" borderId="79" xfId="0" applyNumberFormat="1" applyFill="1" applyBorder="1"/>
    <xf numFmtId="0" fontId="0" fillId="11" borderId="80" xfId="0" applyNumberFormat="1" applyFill="1" applyBorder="1"/>
    <xf numFmtId="165" fontId="20" fillId="10" borderId="20" xfId="3" applyNumberFormat="1" applyFont="1" applyFill="1" applyBorder="1" applyAlignment="1">
      <alignment horizontal="center"/>
    </xf>
    <xf numFmtId="165" fontId="20" fillId="10" borderId="7" xfId="3" applyNumberFormat="1" applyFont="1" applyFill="1" applyBorder="1" applyAlignment="1">
      <alignment horizontal="center"/>
    </xf>
    <xf numFmtId="165" fontId="20" fillId="11" borderId="7" xfId="3" applyNumberFormat="1" applyFont="1" applyFill="1" applyBorder="1" applyAlignment="1">
      <alignment horizontal="center"/>
    </xf>
    <xf numFmtId="14" fontId="25" fillId="11" borderId="7" xfId="2" applyNumberFormat="1" applyFont="1" applyFill="1" applyBorder="1"/>
    <xf numFmtId="1" fontId="15" fillId="11" borderId="7" xfId="0" applyNumberFormat="1" applyFont="1" applyFill="1" applyBorder="1" applyAlignment="1">
      <alignment horizontal="center" wrapText="1"/>
    </xf>
    <xf numFmtId="168" fontId="15" fillId="11" borderId="7" xfId="0" applyNumberFormat="1" applyFont="1" applyFill="1" applyBorder="1" applyAlignment="1">
      <alignment horizontal="center" wrapText="1"/>
    </xf>
    <xf numFmtId="2" fontId="15" fillId="11" borderId="7" xfId="0" applyNumberFormat="1" applyFont="1" applyFill="1" applyBorder="1" applyAlignment="1">
      <alignment horizontal="center" wrapText="1"/>
    </xf>
    <xf numFmtId="0" fontId="4" fillId="11" borderId="12" xfId="2" applyFill="1" applyBorder="1" applyAlignment="1">
      <alignment horizontal="center"/>
    </xf>
    <xf numFmtId="0" fontId="4" fillId="11" borderId="1" xfId="2" applyFont="1" applyFill="1" applyBorder="1" applyAlignment="1">
      <alignment horizontal="center"/>
    </xf>
    <xf numFmtId="0" fontId="0" fillId="11" borderId="7" xfId="0" applyFill="1" applyBorder="1"/>
    <xf numFmtId="0" fontId="4" fillId="11" borderId="46" xfId="2" applyFill="1" applyBorder="1" applyAlignment="1">
      <alignment horizontal="center"/>
    </xf>
    <xf numFmtId="0" fontId="4" fillId="11" borderId="2" xfId="2" applyFill="1" applyBorder="1" applyAlignment="1">
      <alignment horizontal="center"/>
    </xf>
    <xf numFmtId="0" fontId="0" fillId="11" borderId="0" xfId="0" applyFill="1" applyBorder="1"/>
    <xf numFmtId="0" fontId="15" fillId="11" borderId="7" xfId="0" applyFont="1" applyFill="1" applyBorder="1" applyAlignment="1">
      <alignment horizontal="center" wrapText="1"/>
    </xf>
    <xf numFmtId="0" fontId="4" fillId="11" borderId="26" xfId="2" applyNumberFormat="1" applyFont="1" applyFill="1" applyBorder="1" applyAlignment="1">
      <alignment horizontal="center"/>
    </xf>
    <xf numFmtId="0" fontId="4" fillId="11" borderId="1" xfId="2" applyNumberFormat="1" applyFill="1" applyBorder="1" applyAlignment="1">
      <alignment horizontal="center"/>
    </xf>
    <xf numFmtId="0" fontId="4" fillId="11" borderId="46" xfId="2" applyNumberFormat="1" applyFill="1" applyBorder="1" applyAlignment="1">
      <alignment horizontal="center"/>
    </xf>
    <xf numFmtId="0" fontId="0" fillId="11" borderId="20" xfId="0" applyFill="1" applyBorder="1"/>
    <xf numFmtId="0" fontId="0" fillId="11" borderId="39" xfId="0" applyFill="1" applyBorder="1"/>
    <xf numFmtId="49" fontId="27" fillId="11" borderId="20" xfId="0" applyNumberFormat="1" applyFont="1" applyFill="1" applyBorder="1" applyAlignment="1">
      <alignment horizontal="center" vertical="center"/>
    </xf>
    <xf numFmtId="14" fontId="27" fillId="11" borderId="20" xfId="0" applyNumberFormat="1" applyFont="1" applyFill="1" applyBorder="1" applyAlignment="1">
      <alignment horizontal="center" vertical="center"/>
    </xf>
    <xf numFmtId="49" fontId="27" fillId="11" borderId="7" xfId="0" applyNumberFormat="1" applyFont="1" applyFill="1" applyBorder="1" applyAlignment="1">
      <alignment horizontal="center" vertical="center"/>
    </xf>
    <xf numFmtId="0" fontId="27" fillId="11" borderId="20" xfId="0" applyFont="1" applyFill="1" applyBorder="1" applyAlignment="1">
      <alignment horizontal="center" vertical="center"/>
    </xf>
    <xf numFmtId="0" fontId="27" fillId="11" borderId="34" xfId="0" applyFont="1" applyFill="1" applyBorder="1" applyAlignment="1">
      <alignment horizontal="center" vertical="center"/>
    </xf>
    <xf numFmtId="0" fontId="27" fillId="11" borderId="124" xfId="0" applyFont="1" applyFill="1" applyBorder="1" applyAlignment="1">
      <alignment horizontal="center" vertical="center"/>
    </xf>
    <xf numFmtId="0" fontId="27" fillId="11" borderId="122" xfId="0" applyFont="1" applyFill="1" applyBorder="1" applyAlignment="1">
      <alignment horizontal="center" vertical="center"/>
    </xf>
    <xf numFmtId="0" fontId="27" fillId="11" borderId="145" xfId="0" applyFont="1" applyFill="1" applyBorder="1" applyAlignment="1">
      <alignment horizontal="center" vertical="center"/>
    </xf>
    <xf numFmtId="0" fontId="27" fillId="11" borderId="146" xfId="0" applyFont="1" applyFill="1" applyBorder="1" applyAlignment="1">
      <alignment horizontal="center" vertical="center"/>
    </xf>
    <xf numFmtId="0" fontId="27" fillId="11" borderId="93" xfId="0" applyFont="1" applyFill="1" applyBorder="1" applyAlignment="1">
      <alignment horizontal="center" vertical="center"/>
    </xf>
    <xf numFmtId="0" fontId="27" fillId="11" borderId="144" xfId="0" applyFont="1" applyFill="1" applyBorder="1" applyAlignment="1">
      <alignment horizontal="center" vertical="center"/>
    </xf>
    <xf numFmtId="14" fontId="27" fillId="11" borderId="7" xfId="0" applyNumberFormat="1" applyFont="1" applyFill="1" applyBorder="1" applyAlignment="1">
      <alignment horizontal="center" vertical="center"/>
    </xf>
    <xf numFmtId="0" fontId="27" fillId="11" borderId="7" xfId="0" applyFont="1" applyFill="1" applyBorder="1" applyAlignment="1">
      <alignment horizontal="center" vertical="center"/>
    </xf>
    <xf numFmtId="0" fontId="27" fillId="11" borderId="8" xfId="0" applyFont="1" applyFill="1" applyBorder="1" applyAlignment="1">
      <alignment horizontal="center" vertical="center"/>
    </xf>
    <xf numFmtId="0" fontId="27" fillId="11" borderId="126" xfId="0" applyFont="1" applyFill="1" applyBorder="1" applyAlignment="1">
      <alignment horizontal="center" vertical="center"/>
    </xf>
    <xf numFmtId="0" fontId="27" fillId="11" borderId="127" xfId="0" applyFont="1" applyFill="1" applyBorder="1" applyAlignment="1">
      <alignment horizontal="center" vertical="center"/>
    </xf>
    <xf numFmtId="0" fontId="27" fillId="11" borderId="136" xfId="0" applyFont="1" applyFill="1" applyBorder="1" applyAlignment="1">
      <alignment horizontal="center" vertical="center"/>
    </xf>
    <xf numFmtId="0" fontId="27" fillId="11" borderId="147" xfId="0" applyFont="1" applyFill="1" applyBorder="1" applyAlignment="1">
      <alignment horizontal="center" vertical="center"/>
    </xf>
    <xf numFmtId="0" fontId="4" fillId="11" borderId="126" xfId="2" applyFill="1" applyBorder="1" applyAlignment="1">
      <alignment horizontal="center"/>
    </xf>
    <xf numFmtId="0" fontId="27" fillId="11" borderId="39" xfId="0" applyFont="1" applyFill="1" applyBorder="1" applyAlignment="1">
      <alignment horizontal="center" vertical="center"/>
    </xf>
    <xf numFmtId="165" fontId="6" fillId="11" borderId="126" xfId="3" applyNumberFormat="1" applyFill="1" applyBorder="1" applyAlignment="1">
      <alignment horizontal="center"/>
    </xf>
    <xf numFmtId="49" fontId="27" fillId="11" borderId="106" xfId="0" applyNumberFormat="1" applyFont="1" applyFill="1" applyBorder="1" applyAlignment="1">
      <alignment horizontal="center" vertical="center"/>
    </xf>
    <xf numFmtId="14" fontId="27" fillId="11" borderId="106" xfId="0" applyNumberFormat="1" applyFont="1" applyFill="1" applyBorder="1" applyAlignment="1">
      <alignment horizontal="center" vertical="center"/>
    </xf>
    <xf numFmtId="0" fontId="27" fillId="11" borderId="106" xfId="0" applyFont="1" applyFill="1" applyBorder="1" applyAlignment="1">
      <alignment horizontal="center" vertical="center"/>
    </xf>
    <xf numFmtId="0" fontId="27" fillId="11" borderId="148" xfId="0" applyFont="1" applyFill="1" applyBorder="1" applyAlignment="1">
      <alignment horizontal="center" vertical="center"/>
    </xf>
    <xf numFmtId="0" fontId="27" fillId="11" borderId="138" xfId="0" applyFont="1" applyFill="1" applyBorder="1" applyAlignment="1">
      <alignment horizontal="center" vertical="center"/>
    </xf>
    <xf numFmtId="0" fontId="27" fillId="11" borderId="139" xfId="0" applyFont="1" applyFill="1" applyBorder="1" applyAlignment="1">
      <alignment horizontal="center" vertical="center"/>
    </xf>
    <xf numFmtId="0" fontId="27" fillId="11" borderId="142" xfId="0" applyFont="1" applyFill="1" applyBorder="1" applyAlignment="1">
      <alignment horizontal="center" vertical="center"/>
    </xf>
    <xf numFmtId="0" fontId="27" fillId="11" borderId="149" xfId="0" applyFont="1" applyFill="1" applyBorder="1" applyAlignment="1">
      <alignment horizontal="center" vertical="center"/>
    </xf>
    <xf numFmtId="0" fontId="4" fillId="11" borderId="138" xfId="2" applyFill="1" applyBorder="1" applyAlignment="1">
      <alignment horizontal="center"/>
    </xf>
    <xf numFmtId="0" fontId="27" fillId="11" borderId="141" xfId="0" applyFont="1" applyFill="1" applyBorder="1" applyAlignment="1">
      <alignment horizontal="center" vertical="center"/>
    </xf>
    <xf numFmtId="165" fontId="6" fillId="11" borderId="138" xfId="3" applyNumberFormat="1" applyFill="1" applyBorder="1" applyAlignment="1">
      <alignment horizontal="center"/>
    </xf>
    <xf numFmtId="0" fontId="21" fillId="11" borderId="118" xfId="2" applyFont="1" applyFill="1" applyBorder="1" applyAlignment="1">
      <alignment horizontal="center"/>
    </xf>
    <xf numFmtId="0" fontId="21" fillId="11" borderId="126" xfId="2" applyFont="1" applyFill="1" applyBorder="1" applyAlignment="1">
      <alignment horizontal="center"/>
    </xf>
    <xf numFmtId="0" fontId="21" fillId="10" borderId="126" xfId="2" applyFont="1" applyFill="1" applyBorder="1" applyAlignment="1">
      <alignment horizontal="center"/>
    </xf>
    <xf numFmtId="0" fontId="21" fillId="11" borderId="138" xfId="2" applyFont="1" applyFill="1" applyBorder="1" applyAlignment="1">
      <alignment horizontal="center"/>
    </xf>
    <xf numFmtId="0" fontId="21" fillId="11" borderId="120" xfId="2" applyFont="1" applyFill="1" applyBorder="1" applyAlignment="1">
      <alignment horizontal="center"/>
    </xf>
    <xf numFmtId="0" fontId="21" fillId="11" borderId="128" xfId="2" applyFont="1" applyFill="1" applyBorder="1" applyAlignment="1">
      <alignment horizontal="center"/>
    </xf>
    <xf numFmtId="0" fontId="21" fillId="10" borderId="128" xfId="2" applyFont="1" applyFill="1" applyBorder="1" applyAlignment="1">
      <alignment horizontal="center"/>
    </xf>
    <xf numFmtId="0" fontId="21" fillId="11" borderId="140" xfId="2" applyFont="1" applyFill="1" applyBorder="1" applyAlignment="1">
      <alignment horizontal="center"/>
    </xf>
    <xf numFmtId="2" fontId="21" fillId="11" borderId="118" xfId="2" applyNumberFormat="1" applyFont="1" applyFill="1" applyBorder="1" applyAlignment="1">
      <alignment horizontal="center"/>
    </xf>
    <xf numFmtId="2" fontId="21" fillId="11" borderId="126" xfId="2" applyNumberFormat="1" applyFont="1" applyFill="1" applyBorder="1" applyAlignment="1">
      <alignment horizontal="center"/>
    </xf>
    <xf numFmtId="2" fontId="21" fillId="10" borderId="126" xfId="2" applyNumberFormat="1" applyFont="1" applyFill="1" applyBorder="1" applyAlignment="1">
      <alignment horizontal="center"/>
    </xf>
    <xf numFmtId="2" fontId="21" fillId="11" borderId="138" xfId="2" applyNumberFormat="1" applyFont="1" applyFill="1" applyBorder="1" applyAlignment="1">
      <alignment horizontal="center"/>
    </xf>
    <xf numFmtId="165" fontId="43" fillId="11" borderId="118" xfId="3" applyNumberFormat="1" applyFont="1" applyFill="1" applyBorder="1" applyAlignment="1">
      <alignment horizontal="center"/>
    </xf>
    <xf numFmtId="165" fontId="43" fillId="11" borderId="126" xfId="3" applyNumberFormat="1" applyFont="1" applyFill="1" applyBorder="1" applyAlignment="1">
      <alignment horizontal="center"/>
    </xf>
    <xf numFmtId="165" fontId="43" fillId="10" borderId="126" xfId="3" applyNumberFormat="1" applyFont="1" applyFill="1" applyBorder="1" applyAlignment="1">
      <alignment horizontal="center"/>
    </xf>
    <xf numFmtId="165" fontId="43" fillId="11" borderId="138" xfId="3" applyNumberFormat="1" applyFont="1" applyFill="1" applyBorder="1" applyAlignment="1">
      <alignment horizontal="center"/>
    </xf>
    <xf numFmtId="165" fontId="43" fillId="11" borderId="120" xfId="3" applyNumberFormat="1" applyFont="1" applyFill="1" applyBorder="1" applyAlignment="1">
      <alignment horizontal="center"/>
    </xf>
    <xf numFmtId="165" fontId="43" fillId="11" borderId="128" xfId="3" applyNumberFormat="1" applyFont="1" applyFill="1" applyBorder="1" applyAlignment="1">
      <alignment horizontal="center"/>
    </xf>
    <xf numFmtId="165" fontId="43" fillId="10" borderId="128" xfId="3" applyNumberFormat="1" applyFont="1" applyFill="1" applyBorder="1" applyAlignment="1">
      <alignment horizontal="center"/>
    </xf>
    <xf numFmtId="165" fontId="43" fillId="11" borderId="140" xfId="3" applyNumberFormat="1" applyFont="1" applyFill="1" applyBorder="1" applyAlignment="1">
      <alignment horizontal="center"/>
    </xf>
    <xf numFmtId="0" fontId="0" fillId="11" borderId="7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2" fontId="6" fillId="11" borderId="7" xfId="3" applyNumberFormat="1" applyFill="1" applyBorder="1" applyAlignment="1">
      <alignment horizontal="center"/>
    </xf>
    <xf numFmtId="0" fontId="21" fillId="10" borderId="10" xfId="2" applyFont="1" applyFill="1" applyBorder="1" applyAlignment="1">
      <alignment horizontal="center"/>
    </xf>
    <xf numFmtId="0" fontId="21" fillId="11" borderId="10" xfId="2" applyFont="1" applyFill="1" applyBorder="1" applyAlignment="1">
      <alignment horizontal="center"/>
    </xf>
    <xf numFmtId="0" fontId="21" fillId="10" borderId="1" xfId="2" applyFont="1" applyFill="1" applyBorder="1" applyAlignment="1">
      <alignment horizontal="center"/>
    </xf>
    <xf numFmtId="0" fontId="21" fillId="11" borderId="1" xfId="2" applyFont="1" applyFill="1" applyBorder="1" applyAlignment="1">
      <alignment horizontal="center"/>
    </xf>
    <xf numFmtId="0" fontId="21" fillId="10" borderId="7" xfId="2" applyFont="1" applyFill="1" applyBorder="1" applyAlignment="1">
      <alignment horizontal="center"/>
    </xf>
    <xf numFmtId="0" fontId="21" fillId="11" borderId="7" xfId="2" applyFont="1" applyFill="1" applyBorder="1" applyAlignment="1">
      <alignment horizontal="center"/>
    </xf>
    <xf numFmtId="2" fontId="21" fillId="10" borderId="46" xfId="2" applyNumberFormat="1" applyFont="1" applyFill="1" applyBorder="1" applyAlignment="1">
      <alignment horizontal="center"/>
    </xf>
    <xf numFmtId="2" fontId="21" fillId="10" borderId="9" xfId="2" applyNumberFormat="1" applyFont="1" applyFill="1" applyBorder="1" applyAlignment="1">
      <alignment horizontal="center"/>
    </xf>
    <xf numFmtId="2" fontId="21" fillId="11" borderId="46" xfId="2" applyNumberFormat="1" applyFont="1" applyFill="1" applyBorder="1" applyAlignment="1">
      <alignment horizontal="center"/>
    </xf>
    <xf numFmtId="2" fontId="21" fillId="11" borderId="9" xfId="2" applyNumberFormat="1" applyFont="1" applyFill="1" applyBorder="1" applyAlignment="1">
      <alignment horizontal="center"/>
    </xf>
    <xf numFmtId="165" fontId="43" fillId="10" borderId="7" xfId="3" applyNumberFormat="1" applyFont="1" applyFill="1" applyBorder="1" applyAlignment="1">
      <alignment horizontal="center"/>
    </xf>
    <xf numFmtId="165" fontId="43" fillId="11" borderId="7" xfId="3" applyNumberFormat="1" applyFont="1" applyFill="1" applyBorder="1" applyAlignment="1">
      <alignment horizontal="center"/>
    </xf>
    <xf numFmtId="14" fontId="25" fillId="11" borderId="20" xfId="2" applyNumberFormat="1" applyFont="1" applyFill="1" applyBorder="1" applyAlignment="1">
      <alignment horizontal="center"/>
    </xf>
    <xf numFmtId="1" fontId="4" fillId="11" borderId="20" xfId="2" applyNumberFormat="1" applyFill="1" applyBorder="1" applyAlignment="1">
      <alignment horizontal="center"/>
    </xf>
    <xf numFmtId="1" fontId="4" fillId="11" borderId="10" xfId="2" applyNumberFormat="1" applyFill="1" applyBorder="1" applyAlignment="1">
      <alignment horizontal="center"/>
    </xf>
    <xf numFmtId="0" fontId="6" fillId="11" borderId="0" xfId="3" applyFill="1" applyBorder="1" applyAlignment="1">
      <alignment horizontal="center"/>
    </xf>
    <xf numFmtId="1" fontId="4" fillId="11" borderId="3" xfId="2" applyNumberForma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21" fillId="10" borderId="77" xfId="2" applyFont="1" applyFill="1" applyBorder="1" applyAlignment="1">
      <alignment horizontal="center"/>
    </xf>
    <xf numFmtId="0" fontId="21" fillId="10" borderId="13" xfId="2" applyFont="1" applyFill="1" applyBorder="1" applyAlignment="1">
      <alignment horizontal="center"/>
    </xf>
    <xf numFmtId="0" fontId="21" fillId="10" borderId="54" xfId="2" applyFont="1" applyFill="1" applyBorder="1" applyAlignment="1">
      <alignment horizontal="center"/>
    </xf>
    <xf numFmtId="0" fontId="21" fillId="10" borderId="27" xfId="2" applyFont="1" applyFill="1" applyBorder="1" applyAlignment="1">
      <alignment horizontal="center"/>
    </xf>
    <xf numFmtId="0" fontId="21" fillId="11" borderId="2" xfId="2" applyFont="1" applyFill="1" applyBorder="1" applyAlignment="1">
      <alignment horizontal="center"/>
    </xf>
    <xf numFmtId="0" fontId="21" fillId="10" borderId="2" xfId="2" applyFont="1" applyFill="1" applyBorder="1" applyAlignment="1">
      <alignment horizontal="center"/>
    </xf>
    <xf numFmtId="0" fontId="21" fillId="10" borderId="88" xfId="2" applyFont="1" applyFill="1" applyBorder="1" applyAlignment="1">
      <alignment horizontal="center"/>
    </xf>
    <xf numFmtId="0" fontId="21" fillId="10" borderId="24" xfId="2" applyFont="1" applyFill="1" applyBorder="1" applyAlignment="1">
      <alignment horizontal="center"/>
    </xf>
    <xf numFmtId="2" fontId="21" fillId="10" borderId="57" xfId="2" applyNumberFormat="1" applyFont="1" applyFill="1" applyBorder="1" applyAlignment="1">
      <alignment horizontal="center"/>
    </xf>
    <xf numFmtId="2" fontId="21" fillId="10" borderId="26" xfId="2" applyNumberFormat="1" applyFont="1" applyFill="1" applyBorder="1" applyAlignment="1">
      <alignment horizontal="center"/>
    </xf>
    <xf numFmtId="165" fontId="43" fillId="10" borderId="20" xfId="3" applyNumberFormat="1" applyFont="1" applyFill="1" applyBorder="1" applyAlignment="1">
      <alignment horizontal="center"/>
    </xf>
    <xf numFmtId="165" fontId="43" fillId="11" borderId="20" xfId="3" applyNumberFormat="1" applyFont="1" applyFill="1" applyBorder="1" applyAlignment="1">
      <alignment horizontal="center"/>
    </xf>
    <xf numFmtId="2" fontId="21" fillId="10" borderId="14" xfId="2" applyNumberFormat="1" applyFont="1" applyFill="1" applyBorder="1" applyAlignment="1">
      <alignment horizontal="center"/>
    </xf>
    <xf numFmtId="165" fontId="43" fillId="10" borderId="33" xfId="3" applyNumberFormat="1" applyFont="1" applyFill="1" applyBorder="1" applyAlignment="1">
      <alignment horizontal="center"/>
    </xf>
    <xf numFmtId="2" fontId="21" fillId="10" borderId="24" xfId="2" applyNumberFormat="1" applyFont="1" applyFill="1" applyBorder="1" applyAlignment="1">
      <alignment horizontal="center"/>
    </xf>
    <xf numFmtId="2" fontId="21" fillId="10" borderId="90" xfId="2" applyNumberFormat="1" applyFont="1" applyFill="1" applyBorder="1" applyAlignment="1">
      <alignment horizontal="center"/>
    </xf>
    <xf numFmtId="165" fontId="43" fillId="10" borderId="24" xfId="3" applyNumberFormat="1" applyFont="1" applyFill="1" applyBorder="1" applyAlignment="1">
      <alignment horizontal="center"/>
    </xf>
    <xf numFmtId="0" fontId="33" fillId="11" borderId="193" xfId="2" applyFont="1" applyFill="1" applyBorder="1" applyAlignment="1">
      <alignment horizontal="center"/>
    </xf>
    <xf numFmtId="14" fontId="33" fillId="11" borderId="26" xfId="2" applyNumberFormat="1" applyFont="1" applyFill="1" applyBorder="1" applyAlignment="1">
      <alignment horizontal="center"/>
    </xf>
    <xf numFmtId="0" fontId="33" fillId="11" borderId="26" xfId="2" applyFont="1" applyFill="1" applyBorder="1" applyAlignment="1">
      <alignment horizontal="center"/>
    </xf>
    <xf numFmtId="0" fontId="33" fillId="11" borderId="27" xfId="2" applyFont="1" applyFill="1" applyBorder="1" applyAlignment="1">
      <alignment horizontal="center"/>
    </xf>
    <xf numFmtId="0" fontId="33" fillId="11" borderId="21" xfId="2" applyFont="1" applyFill="1" applyBorder="1" applyAlignment="1">
      <alignment horizontal="center"/>
    </xf>
    <xf numFmtId="0" fontId="33" fillId="11" borderId="7" xfId="2" applyFont="1" applyFill="1" applyBorder="1" applyAlignment="1">
      <alignment horizontal="center"/>
    </xf>
    <xf numFmtId="2" fontId="33" fillId="11" borderId="79" xfId="2" applyNumberFormat="1" applyFont="1" applyFill="1" applyBorder="1" applyAlignment="1">
      <alignment horizontal="center"/>
    </xf>
    <xf numFmtId="1" fontId="33" fillId="11" borderId="39" xfId="2" applyNumberFormat="1" applyFont="1" applyFill="1" applyBorder="1" applyAlignment="1">
      <alignment horizontal="center"/>
    </xf>
    <xf numFmtId="2" fontId="33" fillId="11" borderId="7" xfId="2" applyNumberFormat="1" applyFont="1" applyFill="1" applyBorder="1" applyAlignment="1">
      <alignment horizontal="center"/>
    </xf>
    <xf numFmtId="0" fontId="33" fillId="11" borderId="8" xfId="2" applyFont="1" applyFill="1" applyBorder="1" applyAlignment="1">
      <alignment horizontal="center"/>
    </xf>
    <xf numFmtId="164" fontId="33" fillId="11" borderId="21" xfId="2" applyNumberFormat="1" applyFont="1" applyFill="1" applyBorder="1" applyAlignment="1">
      <alignment horizontal="center"/>
    </xf>
    <xf numFmtId="164" fontId="33" fillId="11" borderId="7" xfId="2" applyNumberFormat="1" applyFont="1" applyFill="1" applyBorder="1" applyAlignment="1">
      <alignment horizontal="center"/>
    </xf>
    <xf numFmtId="164" fontId="33" fillId="11" borderId="57" xfId="2" applyNumberFormat="1" applyFont="1" applyFill="1" applyBorder="1" applyAlignment="1">
      <alignment horizontal="center"/>
    </xf>
    <xf numFmtId="164" fontId="33" fillId="11" borderId="26" xfId="2" applyNumberFormat="1" applyFont="1" applyFill="1" applyBorder="1" applyAlignment="1">
      <alignment horizontal="center"/>
    </xf>
    <xf numFmtId="164" fontId="33" fillId="11" borderId="27" xfId="2" applyNumberFormat="1" applyFont="1" applyFill="1" applyBorder="1" applyAlignment="1">
      <alignment horizontal="center"/>
    </xf>
    <xf numFmtId="2" fontId="33" fillId="11" borderId="21" xfId="2" applyNumberFormat="1" applyFont="1" applyFill="1" applyBorder="1" applyAlignment="1">
      <alignment horizontal="center"/>
    </xf>
    <xf numFmtId="164" fontId="33" fillId="11" borderId="79" xfId="2" applyNumberFormat="1" applyFont="1" applyFill="1" applyBorder="1" applyAlignment="1">
      <alignment horizontal="center"/>
    </xf>
    <xf numFmtId="2" fontId="33" fillId="5" borderId="0" xfId="2" applyNumberFormat="1" applyFont="1" applyFill="1" applyBorder="1" applyAlignment="1">
      <alignment horizontal="center"/>
    </xf>
    <xf numFmtId="2" fontId="33" fillId="0" borderId="233" xfId="2" applyNumberFormat="1" applyFont="1" applyFill="1" applyBorder="1" applyAlignment="1">
      <alignment horizontal="center"/>
    </xf>
    <xf numFmtId="2" fontId="33" fillId="0" borderId="127" xfId="2" applyNumberFormat="1" applyFont="1" applyFill="1" applyBorder="1" applyAlignment="1">
      <alignment horizontal="center"/>
    </xf>
    <xf numFmtId="2" fontId="33" fillId="0" borderId="242" xfId="2" applyNumberFormat="1" applyFont="1" applyFill="1" applyBorder="1" applyAlignment="1">
      <alignment horizontal="center"/>
    </xf>
    <xf numFmtId="0" fontId="8" fillId="3" borderId="174" xfId="2" applyFont="1" applyFill="1" applyBorder="1" applyAlignment="1">
      <alignment horizontal="center"/>
    </xf>
    <xf numFmtId="2" fontId="33" fillId="5" borderId="233" xfId="2" applyNumberFormat="1" applyFont="1" applyFill="1" applyBorder="1" applyAlignment="1">
      <alignment horizontal="center"/>
    </xf>
    <xf numFmtId="2" fontId="33" fillId="5" borderId="127" xfId="2" applyNumberFormat="1" applyFont="1" applyFill="1" applyBorder="1" applyAlignment="1">
      <alignment horizontal="center"/>
    </xf>
    <xf numFmtId="2" fontId="33" fillId="5" borderId="242" xfId="2" applyNumberFormat="1" applyFont="1" applyFill="1" applyBorder="1" applyAlignment="1">
      <alignment horizontal="center"/>
    </xf>
    <xf numFmtId="2" fontId="33" fillId="10" borderId="233" xfId="2" applyNumberFormat="1" applyFont="1" applyFill="1" applyBorder="1" applyAlignment="1">
      <alignment horizontal="center"/>
    </xf>
    <xf numFmtId="2" fontId="33" fillId="10" borderId="127" xfId="2" applyNumberFormat="1" applyFont="1" applyFill="1" applyBorder="1" applyAlignment="1">
      <alignment horizontal="center"/>
    </xf>
    <xf numFmtId="2" fontId="33" fillId="11" borderId="127" xfId="2" applyNumberFormat="1" applyFont="1" applyFill="1" applyBorder="1" applyAlignment="1">
      <alignment horizontal="center"/>
    </xf>
    <xf numFmtId="2" fontId="33" fillId="10" borderId="242" xfId="2" applyNumberFormat="1" applyFont="1" applyFill="1" applyBorder="1" applyAlignment="1">
      <alignment horizontal="center"/>
    </xf>
    <xf numFmtId="0" fontId="8" fillId="4" borderId="0" xfId="2" applyFont="1" applyFill="1" applyBorder="1" applyAlignment="1">
      <alignment horizontal="center"/>
    </xf>
    <xf numFmtId="164" fontId="33" fillId="5" borderId="0" xfId="2" applyNumberFormat="1" applyFont="1" applyFill="1" applyBorder="1" applyAlignment="1">
      <alignment horizontal="center"/>
    </xf>
    <xf numFmtId="164" fontId="33" fillId="0" borderId="0" xfId="2" applyNumberFormat="1" applyFont="1" applyFill="1" applyBorder="1" applyAlignment="1">
      <alignment horizontal="center"/>
    </xf>
    <xf numFmtId="164" fontId="33" fillId="10" borderId="0" xfId="2" applyNumberFormat="1" applyFont="1" applyFill="1" applyBorder="1" applyAlignment="1">
      <alignment horizontal="center"/>
    </xf>
    <xf numFmtId="164" fontId="33" fillId="11" borderId="0" xfId="2" applyNumberFormat="1" applyFont="1" applyFill="1" applyBorder="1" applyAlignment="1">
      <alignment horizontal="center"/>
    </xf>
    <xf numFmtId="0" fontId="4" fillId="11" borderId="7" xfId="2" applyFont="1" applyFill="1" applyBorder="1" applyAlignment="1">
      <alignment horizontal="center"/>
    </xf>
    <xf numFmtId="14" fontId="4" fillId="11" borderId="7" xfId="2" applyNumberFormat="1" applyFill="1" applyBorder="1"/>
    <xf numFmtId="0" fontId="0" fillId="11" borderId="8" xfId="2" applyFont="1" applyFill="1" applyBorder="1"/>
    <xf numFmtId="0" fontId="4" fillId="11" borderId="211" xfId="2" applyFill="1" applyBorder="1" applyAlignment="1">
      <alignment horizontal="center"/>
    </xf>
    <xf numFmtId="2" fontId="4" fillId="11" borderId="205" xfId="2" applyNumberFormat="1" applyFill="1" applyBorder="1" applyAlignment="1">
      <alignment horizontal="center"/>
    </xf>
    <xf numFmtId="2" fontId="6" fillId="11" borderId="20" xfId="3" applyNumberFormat="1" applyFill="1" applyBorder="1" applyAlignment="1">
      <alignment horizontal="center"/>
    </xf>
    <xf numFmtId="0" fontId="15" fillId="11" borderId="7" xfId="0" applyFont="1" applyFill="1" applyBorder="1" applyAlignment="1">
      <alignment horizontal="right" wrapText="1"/>
    </xf>
    <xf numFmtId="0" fontId="4" fillId="11" borderId="14" xfId="2" applyFill="1" applyBorder="1" applyAlignment="1">
      <alignment horizontal="center"/>
    </xf>
    <xf numFmtId="0" fontId="0" fillId="11" borderId="48" xfId="2" applyFont="1" applyFill="1" applyBorder="1"/>
    <xf numFmtId="0" fontId="4" fillId="11" borderId="28" xfId="2" applyFill="1" applyBorder="1" applyAlignment="1">
      <alignment horizontal="center"/>
    </xf>
    <xf numFmtId="0" fontId="4" fillId="11" borderId="32" xfId="2" applyFill="1" applyBorder="1" applyAlignment="1">
      <alignment horizontal="center"/>
    </xf>
    <xf numFmtId="14" fontId="0" fillId="11" borderId="7" xfId="2" applyNumberFormat="1" applyFont="1" applyFill="1" applyBorder="1"/>
    <xf numFmtId="0" fontId="0" fillId="11" borderId="7" xfId="2" applyFont="1" applyFill="1" applyBorder="1"/>
    <xf numFmtId="0" fontId="4" fillId="11" borderId="8" xfId="2" applyFill="1" applyBorder="1" applyAlignment="1">
      <alignment horizontal="center"/>
    </xf>
    <xf numFmtId="0" fontId="4" fillId="11" borderId="57" xfId="2" applyFill="1" applyBorder="1" applyAlignment="1">
      <alignment horizontal="center"/>
    </xf>
    <xf numFmtId="0" fontId="4" fillId="11" borderId="24" xfId="2" applyFont="1" applyFill="1" applyBorder="1" applyAlignment="1">
      <alignment horizontal="center"/>
    </xf>
    <xf numFmtId="0" fontId="4" fillId="11" borderId="31" xfId="2" applyFill="1" applyBorder="1"/>
    <xf numFmtId="0" fontId="4" fillId="11" borderId="64" xfId="2" applyFill="1" applyBorder="1" applyAlignment="1">
      <alignment horizontal="center"/>
    </xf>
    <xf numFmtId="0" fontId="0" fillId="11" borderId="52" xfId="2" applyFont="1" applyFill="1" applyBorder="1"/>
    <xf numFmtId="0" fontId="4" fillId="11" borderId="31" xfId="2" applyFill="1" applyBorder="1" applyAlignment="1">
      <alignment horizontal="center"/>
    </xf>
    <xf numFmtId="0" fontId="4" fillId="11" borderId="99" xfId="2" applyFill="1" applyBorder="1" applyAlignment="1">
      <alignment horizontal="center"/>
    </xf>
    <xf numFmtId="0" fontId="4" fillId="11" borderId="95" xfId="2" applyFill="1" applyBorder="1" applyAlignment="1">
      <alignment horizontal="center"/>
    </xf>
    <xf numFmtId="0" fontId="4" fillId="11" borderId="97" xfId="2" applyFill="1" applyBorder="1" applyAlignment="1">
      <alignment horizontal="center"/>
    </xf>
    <xf numFmtId="2" fontId="4" fillId="11" borderId="74" xfId="2" applyNumberFormat="1" applyFill="1" applyBorder="1" applyAlignment="1">
      <alignment horizontal="center"/>
    </xf>
    <xf numFmtId="2" fontId="6" fillId="11" borderId="86" xfId="3" applyNumberFormat="1" applyFill="1" applyBorder="1" applyAlignment="1">
      <alignment horizontal="center"/>
    </xf>
    <xf numFmtId="2" fontId="6" fillId="11" borderId="24" xfId="3" applyNumberFormat="1" applyFill="1" applyBorder="1" applyAlignment="1">
      <alignment horizontal="center"/>
    </xf>
    <xf numFmtId="165" fontId="6" fillId="11" borderId="99" xfId="3" applyNumberFormat="1" applyFill="1" applyBorder="1" applyAlignment="1">
      <alignment horizontal="center"/>
    </xf>
    <xf numFmtId="0" fontId="44" fillId="10" borderId="191" xfId="2" applyFont="1" applyFill="1" applyBorder="1" applyAlignment="1">
      <alignment horizontal="center"/>
    </xf>
    <xf numFmtId="0" fontId="44" fillId="10" borderId="26" xfId="2" applyFont="1" applyFill="1" applyBorder="1" applyAlignment="1">
      <alignment horizontal="center"/>
    </xf>
    <xf numFmtId="0" fontId="44" fillId="11" borderId="26" xfId="2" applyFont="1" applyFill="1" applyBorder="1" applyAlignment="1">
      <alignment horizontal="center"/>
    </xf>
    <xf numFmtId="0" fontId="44" fillId="10" borderId="195" xfId="2" applyFont="1" applyFill="1" applyBorder="1" applyAlignment="1">
      <alignment horizontal="center"/>
    </xf>
    <xf numFmtId="1" fontId="21" fillId="10" borderId="7" xfId="2" applyNumberFormat="1" applyFont="1" applyFill="1" applyBorder="1"/>
    <xf numFmtId="1" fontId="21" fillId="11" borderId="7" xfId="2" applyNumberFormat="1" applyFont="1" applyFill="1" applyBorder="1"/>
    <xf numFmtId="0" fontId="13" fillId="11" borderId="7" xfId="5" applyFill="1" applyBorder="1" applyAlignment="1">
      <alignment horizontal="center"/>
    </xf>
    <xf numFmtId="0" fontId="1" fillId="11" borderId="7" xfId="5" applyFont="1" applyFill="1" applyBorder="1" applyAlignment="1">
      <alignment horizontal="center" vertical="center"/>
    </xf>
    <xf numFmtId="1" fontId="1" fillId="11" borderId="7" xfId="5" applyNumberFormat="1" applyFont="1" applyFill="1" applyBorder="1" applyAlignment="1">
      <alignment horizontal="center" vertical="center"/>
    </xf>
    <xf numFmtId="0" fontId="27" fillId="11" borderId="140" xfId="0" applyFont="1" applyFill="1" applyBorder="1" applyAlignment="1">
      <alignment vertical="center"/>
    </xf>
    <xf numFmtId="0" fontId="27" fillId="11" borderId="149" xfId="0" applyFont="1" applyFill="1" applyBorder="1" applyAlignment="1">
      <alignment vertical="center"/>
    </xf>
    <xf numFmtId="0" fontId="27" fillId="11" borderId="123" xfId="0" applyFont="1" applyFill="1" applyBorder="1" applyAlignment="1">
      <alignment vertical="center"/>
    </xf>
    <xf numFmtId="0" fontId="27" fillId="11" borderId="146" xfId="0" applyFont="1" applyFill="1" applyBorder="1" applyAlignment="1">
      <alignment vertical="center"/>
    </xf>
    <xf numFmtId="0" fontId="27" fillId="11" borderId="128" xfId="0" applyFont="1" applyFill="1" applyBorder="1" applyAlignment="1">
      <alignment vertical="center"/>
    </xf>
    <xf numFmtId="0" fontId="27" fillId="11" borderId="147" xfId="0" applyFont="1" applyFill="1" applyBorder="1" applyAlignment="1">
      <alignment vertical="center"/>
    </xf>
    <xf numFmtId="1" fontId="0" fillId="11" borderId="7" xfId="0" applyNumberFormat="1" applyFill="1" applyBorder="1" applyAlignment="1">
      <alignment horizontal="center"/>
    </xf>
    <xf numFmtId="0" fontId="36" fillId="11" borderId="7" xfId="5" applyFont="1" applyFill="1" applyBorder="1" applyAlignment="1">
      <alignment horizontal="center"/>
    </xf>
    <xf numFmtId="0" fontId="0" fillId="11" borderId="118" xfId="0" applyFill="1" applyBorder="1"/>
    <xf numFmtId="0" fontId="0" fillId="11" borderId="126" xfId="0" applyFill="1" applyBorder="1"/>
    <xf numFmtId="1" fontId="27" fillId="11" borderId="136" xfId="0" applyNumberFormat="1" applyFont="1" applyFill="1" applyBorder="1" applyAlignment="1">
      <alignment horizontal="center" vertical="center"/>
    </xf>
    <xf numFmtId="0" fontId="6" fillId="11" borderId="126" xfId="3" applyFill="1" applyBorder="1"/>
    <xf numFmtId="0" fontId="0" fillId="11" borderId="150" xfId="0" applyFill="1" applyBorder="1"/>
    <xf numFmtId="0" fontId="6" fillId="11" borderId="138" xfId="3" applyFill="1" applyBorder="1"/>
    <xf numFmtId="14" fontId="0" fillId="11" borderId="7" xfId="0" applyNumberFormat="1" applyFill="1" applyBorder="1" applyAlignment="1">
      <alignment horizontal="center"/>
    </xf>
    <xf numFmtId="0" fontId="10" fillId="11" borderId="7" xfId="0" applyFont="1" applyFill="1" applyBorder="1" applyAlignment="1">
      <alignment horizontal="center"/>
    </xf>
    <xf numFmtId="14" fontId="10" fillId="11" borderId="7" xfId="0" applyNumberFormat="1" applyFont="1" applyFill="1" applyBorder="1" applyAlignment="1">
      <alignment horizontal="center"/>
    </xf>
    <xf numFmtId="1" fontId="10" fillId="11" borderId="7" xfId="0" applyNumberFormat="1" applyFont="1" applyFill="1" applyBorder="1" applyAlignment="1">
      <alignment horizontal="center"/>
    </xf>
    <xf numFmtId="0" fontId="29" fillId="11" borderId="7" xfId="0" applyFont="1" applyFill="1" applyBorder="1" applyAlignment="1">
      <alignment horizontal="center"/>
    </xf>
    <xf numFmtId="0" fontId="4" fillId="11" borderId="128" xfId="2" applyFill="1" applyBorder="1"/>
    <xf numFmtId="0" fontId="6" fillId="11" borderId="128" xfId="3" applyFill="1" applyBorder="1"/>
    <xf numFmtId="0" fontId="0" fillId="11" borderId="138" xfId="0" applyFill="1" applyBorder="1"/>
    <xf numFmtId="0" fontId="4" fillId="11" borderId="140" xfId="2" applyFill="1" applyBorder="1"/>
    <xf numFmtId="0" fontId="6" fillId="11" borderId="140" xfId="3" applyFill="1" applyBorder="1"/>
    <xf numFmtId="0" fontId="27" fillId="11" borderId="117" xfId="0" applyFont="1" applyFill="1" applyBorder="1" applyAlignment="1">
      <alignment vertical="center"/>
    </xf>
    <xf numFmtId="1" fontId="0" fillId="11" borderId="7" xfId="0" applyNumberFormat="1" applyFill="1" applyBorder="1" applyAlignment="1">
      <alignment horizontal="center" vertical="center"/>
    </xf>
    <xf numFmtId="0" fontId="27" fillId="11" borderId="137" xfId="0" applyFont="1" applyFill="1" applyBorder="1" applyAlignment="1">
      <alignment vertical="center"/>
    </xf>
    <xf numFmtId="0" fontId="27" fillId="11" borderId="143" xfId="0" applyFont="1" applyFill="1" applyBorder="1" applyAlignment="1">
      <alignment vertical="center"/>
    </xf>
    <xf numFmtId="49" fontId="27" fillId="11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27" fillId="11" borderId="136" xfId="0" applyFont="1" applyFill="1" applyBorder="1" applyAlignment="1">
      <alignment horizontal="center" vertical="center" wrapText="1"/>
    </xf>
    <xf numFmtId="0" fontId="27" fillId="11" borderId="39" xfId="0" applyFont="1" applyFill="1" applyBorder="1" applyAlignment="1">
      <alignment horizontal="center" vertical="center" wrapText="1"/>
    </xf>
    <xf numFmtId="0" fontId="0" fillId="11" borderId="0" xfId="0" applyFill="1" applyAlignment="1">
      <alignment wrapText="1"/>
    </xf>
    <xf numFmtId="49" fontId="27" fillId="11" borderId="106" xfId="0" applyNumberFormat="1" applyFont="1" applyFill="1" applyBorder="1" applyAlignment="1">
      <alignment horizontal="center" vertical="center" wrapText="1"/>
    </xf>
    <xf numFmtId="0" fontId="27" fillId="11" borderId="142" xfId="0" applyFont="1" applyFill="1" applyBorder="1" applyAlignment="1">
      <alignment horizontal="center" vertical="center" wrapText="1"/>
    </xf>
    <xf numFmtId="0" fontId="27" fillId="11" borderId="141" xfId="0" applyFont="1" applyFill="1" applyBorder="1" applyAlignment="1">
      <alignment horizontal="center" vertical="center" wrapText="1"/>
    </xf>
    <xf numFmtId="49" fontId="27" fillId="11" borderId="20" xfId="0" applyNumberFormat="1" applyFont="1" applyFill="1" applyBorder="1" applyAlignment="1">
      <alignment horizontal="center" vertical="center" wrapText="1"/>
    </xf>
    <xf numFmtId="0" fontId="27" fillId="11" borderId="145" xfId="0" applyFont="1" applyFill="1" applyBorder="1" applyAlignment="1">
      <alignment horizontal="center" vertical="center" wrapText="1"/>
    </xf>
    <xf numFmtId="0" fontId="27" fillId="11" borderId="93" xfId="0" applyFont="1" applyFill="1" applyBorder="1" applyAlignment="1">
      <alignment horizontal="center" vertical="center" wrapText="1"/>
    </xf>
    <xf numFmtId="0" fontId="27" fillId="11" borderId="144" xfId="0" applyFont="1" applyFill="1" applyBorder="1" applyAlignment="1">
      <alignment horizontal="center" vertical="center" wrapText="1"/>
    </xf>
    <xf numFmtId="0" fontId="27" fillId="11" borderId="118" xfId="0" applyFont="1" applyFill="1" applyBorder="1" applyAlignment="1">
      <alignment horizontal="center" vertical="center"/>
    </xf>
    <xf numFmtId="0" fontId="27" fillId="11" borderId="119" xfId="0" applyFont="1" applyFill="1" applyBorder="1" applyAlignment="1">
      <alignment horizontal="center" vertical="center"/>
    </xf>
    <xf numFmtId="0" fontId="4" fillId="11" borderId="124" xfId="2" applyFill="1" applyBorder="1" applyAlignment="1">
      <alignment horizontal="center"/>
    </xf>
    <xf numFmtId="0" fontId="4" fillId="11" borderId="125" xfId="2" applyFill="1" applyBorder="1" applyAlignment="1">
      <alignment horizontal="center"/>
    </xf>
    <xf numFmtId="2" fontId="4" fillId="11" borderId="121" xfId="2" applyNumberFormat="1" applyFill="1" applyBorder="1" applyAlignment="1">
      <alignment horizontal="center"/>
    </xf>
    <xf numFmtId="168" fontId="6" fillId="11" borderId="124" xfId="3" applyNumberFormat="1" applyFill="1" applyBorder="1" applyAlignment="1">
      <alignment horizontal="center"/>
    </xf>
    <xf numFmtId="165" fontId="6" fillId="11" borderId="124" xfId="3" applyNumberFormat="1" applyFill="1" applyBorder="1" applyAlignment="1">
      <alignment horizontal="center"/>
    </xf>
    <xf numFmtId="2" fontId="6" fillId="11" borderId="123" xfId="3" applyNumberFormat="1" applyFill="1" applyBorder="1" applyAlignment="1">
      <alignment horizontal="center"/>
    </xf>
    <xf numFmtId="0" fontId="4" fillId="11" borderId="130" xfId="2" applyFill="1" applyBorder="1" applyAlignment="1">
      <alignment horizontal="center"/>
    </xf>
    <xf numFmtId="2" fontId="4" fillId="11" borderId="129" xfId="2" applyNumberFormat="1" applyFill="1" applyBorder="1" applyAlignment="1">
      <alignment horizontal="center"/>
    </xf>
    <xf numFmtId="168" fontId="6" fillId="11" borderId="126" xfId="3" applyNumberFormat="1" applyFill="1" applyBorder="1" applyAlignment="1">
      <alignment horizontal="center"/>
    </xf>
    <xf numFmtId="2" fontId="6" fillId="11" borderId="128" xfId="3" applyNumberFormat="1" applyFill="1" applyBorder="1" applyAlignment="1">
      <alignment horizontal="center"/>
    </xf>
    <xf numFmtId="0" fontId="4" fillId="11" borderId="121" xfId="2" applyFill="1" applyBorder="1" applyAlignment="1">
      <alignment horizontal="center"/>
    </xf>
    <xf numFmtId="0" fontId="4" fillId="11" borderId="218" xfId="2" applyFill="1" applyBorder="1" applyAlignment="1">
      <alignment horizontal="center"/>
    </xf>
    <xf numFmtId="2" fontId="4" fillId="11" borderId="219" xfId="2" applyNumberFormat="1" applyFill="1" applyBorder="1" applyAlignment="1">
      <alignment horizontal="center"/>
    </xf>
    <xf numFmtId="165" fontId="6" fillId="11" borderId="123" xfId="3" applyNumberFormat="1" applyFill="1" applyBorder="1" applyAlignment="1">
      <alignment horizontal="center"/>
    </xf>
    <xf numFmtId="0" fontId="4" fillId="11" borderId="131" xfId="2" applyFill="1" applyBorder="1" applyAlignment="1">
      <alignment horizontal="center"/>
    </xf>
    <xf numFmtId="0" fontId="4" fillId="11" borderId="220" xfId="2" applyFill="1" applyBorder="1" applyAlignment="1">
      <alignment horizontal="center"/>
    </xf>
    <xf numFmtId="2" fontId="4" fillId="11" borderId="131" xfId="2" applyNumberFormat="1" applyFill="1" applyBorder="1" applyAlignment="1">
      <alignment horizontal="center"/>
    </xf>
    <xf numFmtId="165" fontId="6" fillId="11" borderId="133" xfId="3" applyNumberFormat="1" applyFill="1" applyBorder="1" applyAlignment="1">
      <alignment horizontal="center"/>
    </xf>
    <xf numFmtId="165" fontId="6" fillId="0" borderId="7" xfId="3" applyNumberFormat="1" applyBorder="1" applyAlignment="1">
      <alignment horizontal="center"/>
    </xf>
    <xf numFmtId="2" fontId="21" fillId="10" borderId="203" xfId="2" applyNumberFormat="1" applyFont="1" applyFill="1" applyBorder="1" applyAlignment="1">
      <alignment horizontal="center"/>
    </xf>
    <xf numFmtId="2" fontId="21" fillId="10" borderId="11" xfId="2" applyNumberFormat="1" applyFont="1" applyFill="1" applyBorder="1" applyAlignment="1">
      <alignment horizontal="center"/>
    </xf>
    <xf numFmtId="2" fontId="21" fillId="11" borderId="11" xfId="2" applyNumberFormat="1" applyFont="1" applyFill="1" applyBorder="1" applyAlignment="1">
      <alignment horizontal="center"/>
    </xf>
    <xf numFmtId="2" fontId="21" fillId="11" borderId="207" xfId="2" applyNumberFormat="1" applyFont="1" applyFill="1" applyBorder="1" applyAlignment="1">
      <alignment horizontal="center"/>
    </xf>
    <xf numFmtId="0" fontId="4" fillId="2" borderId="7" xfId="2" applyFill="1" applyBorder="1"/>
    <xf numFmtId="165" fontId="4" fillId="0" borderId="7" xfId="2" applyNumberFormat="1" applyBorder="1"/>
    <xf numFmtId="0" fontId="21" fillId="10" borderId="121" xfId="2" applyFont="1" applyFill="1" applyBorder="1" applyAlignment="1">
      <alignment horizontal="center"/>
    </xf>
    <xf numFmtId="0" fontId="21" fillId="10" borderId="129" xfId="2" applyFont="1" applyFill="1" applyBorder="1" applyAlignment="1">
      <alignment horizontal="center"/>
    </xf>
    <xf numFmtId="0" fontId="21" fillId="10" borderId="131" xfId="2" applyFont="1" applyFill="1" applyBorder="1" applyAlignment="1">
      <alignment horizontal="center"/>
    </xf>
    <xf numFmtId="2" fontId="21" fillId="10" borderId="121" xfId="2" applyNumberFormat="1" applyFont="1" applyFill="1" applyBorder="1" applyAlignment="1">
      <alignment horizontal="center"/>
    </xf>
    <xf numFmtId="2" fontId="21" fillId="10" borderId="129" xfId="2" applyNumberFormat="1" applyFont="1" applyFill="1" applyBorder="1" applyAlignment="1">
      <alignment horizontal="center"/>
    </xf>
    <xf numFmtId="2" fontId="21" fillId="10" borderId="131" xfId="2" applyNumberFormat="1" applyFont="1" applyFill="1" applyBorder="1" applyAlignment="1">
      <alignment horizontal="center"/>
    </xf>
    <xf numFmtId="2" fontId="21" fillId="11" borderId="134" xfId="2" applyNumberFormat="1" applyFont="1" applyFill="1" applyBorder="1" applyAlignment="1">
      <alignment horizontal="center"/>
    </xf>
    <xf numFmtId="165" fontId="43" fillId="10" borderId="124" xfId="3" applyNumberFormat="1" applyFont="1" applyFill="1" applyBorder="1" applyAlignment="1">
      <alignment horizontal="center"/>
    </xf>
    <xf numFmtId="165" fontId="43" fillId="10" borderId="134" xfId="3" applyNumberFormat="1" applyFont="1" applyFill="1" applyBorder="1" applyAlignment="1">
      <alignment horizontal="center"/>
    </xf>
    <xf numFmtId="0" fontId="21" fillId="10" borderId="138" xfId="2" applyFont="1" applyFill="1" applyBorder="1" applyAlignment="1">
      <alignment horizontal="center"/>
    </xf>
    <xf numFmtId="0" fontId="21" fillId="10" borderId="118" xfId="2" applyFont="1" applyFill="1" applyBorder="1" applyAlignment="1">
      <alignment horizontal="center"/>
    </xf>
    <xf numFmtId="0" fontId="2" fillId="11" borderId="118" xfId="0" applyFont="1" applyFill="1" applyBorder="1"/>
    <xf numFmtId="0" fontId="2" fillId="11" borderId="126" xfId="0" applyFont="1" applyFill="1" applyBorder="1"/>
    <xf numFmtId="0" fontId="2" fillId="11" borderId="150" xfId="0" applyFont="1" applyFill="1" applyBorder="1"/>
    <xf numFmtId="0" fontId="21" fillId="11" borderId="0" xfId="2" applyFont="1" applyFill="1"/>
    <xf numFmtId="0" fontId="2" fillId="11" borderId="0" xfId="0" applyFont="1" applyFill="1"/>
    <xf numFmtId="2" fontId="21" fillId="10" borderId="138" xfId="2" applyNumberFormat="1" applyFont="1" applyFill="1" applyBorder="1" applyAlignment="1">
      <alignment horizontal="center"/>
    </xf>
    <xf numFmtId="2" fontId="21" fillId="10" borderId="118" xfId="2" applyNumberFormat="1" applyFont="1" applyFill="1" applyBorder="1" applyAlignment="1">
      <alignment horizontal="center"/>
    </xf>
    <xf numFmtId="0" fontId="43" fillId="11" borderId="126" xfId="3" applyFont="1" applyFill="1" applyBorder="1"/>
    <xf numFmtId="0" fontId="43" fillId="11" borderId="138" xfId="3" applyFont="1" applyFill="1" applyBorder="1"/>
    <xf numFmtId="2" fontId="2" fillId="11" borderId="118" xfId="0" applyNumberFormat="1" applyFont="1" applyFill="1" applyBorder="1"/>
    <xf numFmtId="2" fontId="2" fillId="11" borderId="126" xfId="0" applyNumberFormat="1" applyFont="1" applyFill="1" applyBorder="1"/>
    <xf numFmtId="2" fontId="43" fillId="11" borderId="126" xfId="3" applyNumberFormat="1" applyFont="1" applyFill="1" applyBorder="1"/>
    <xf numFmtId="2" fontId="43" fillId="11" borderId="138" xfId="3" applyNumberFormat="1" applyFont="1" applyFill="1" applyBorder="1"/>
    <xf numFmtId="2" fontId="43" fillId="11" borderId="0" xfId="3" applyNumberFormat="1" applyFont="1" applyFill="1"/>
    <xf numFmtId="2" fontId="21" fillId="10" borderId="134" xfId="2" applyNumberFormat="1" applyFont="1" applyFill="1" applyBorder="1" applyAlignment="1">
      <alignment horizontal="center"/>
    </xf>
    <xf numFmtId="165" fontId="43" fillId="10" borderId="138" xfId="3" applyNumberFormat="1" applyFont="1" applyFill="1" applyBorder="1" applyAlignment="1">
      <alignment horizontal="center"/>
    </xf>
    <xf numFmtId="165" fontId="43" fillId="10" borderId="118" xfId="3" applyNumberFormat="1" applyFont="1" applyFill="1" applyBorder="1" applyAlignment="1">
      <alignment horizontal="center"/>
    </xf>
    <xf numFmtId="2" fontId="43" fillId="10" borderId="124" xfId="3" applyNumberFormat="1" applyFont="1" applyFill="1" applyBorder="1" applyAlignment="1">
      <alignment horizontal="center"/>
    </xf>
    <xf numFmtId="2" fontId="43" fillId="10" borderId="126" xfId="3" applyNumberFormat="1" applyFont="1" applyFill="1" applyBorder="1" applyAlignment="1">
      <alignment horizontal="center"/>
    </xf>
    <xf numFmtId="2" fontId="43" fillId="10" borderId="134" xfId="3" applyNumberFormat="1" applyFont="1" applyFill="1" applyBorder="1" applyAlignment="1">
      <alignment horizontal="center"/>
    </xf>
    <xf numFmtId="2" fontId="43" fillId="10" borderId="138" xfId="3" applyNumberFormat="1" applyFont="1" applyFill="1" applyBorder="1" applyAlignment="1">
      <alignment horizontal="center"/>
    </xf>
    <xf numFmtId="2" fontId="43" fillId="10" borderId="118" xfId="3" applyNumberFormat="1" applyFont="1" applyFill="1" applyBorder="1" applyAlignment="1">
      <alignment horizontal="center"/>
    </xf>
    <xf numFmtId="2" fontId="43" fillId="11" borderId="126" xfId="3" applyNumberFormat="1" applyFont="1" applyFill="1" applyBorder="1" applyAlignment="1">
      <alignment horizontal="center"/>
    </xf>
    <xf numFmtId="2" fontId="43" fillId="11" borderId="138" xfId="3" applyNumberFormat="1" applyFont="1" applyFill="1" applyBorder="1" applyAlignment="1">
      <alignment horizontal="center"/>
    </xf>
    <xf numFmtId="2" fontId="2" fillId="11" borderId="118" xfId="0" applyNumberFormat="1" applyFont="1" applyFill="1" applyBorder="1" applyAlignment="1">
      <alignment horizontal="center"/>
    </xf>
    <xf numFmtId="2" fontId="2" fillId="11" borderId="126" xfId="0" applyNumberFormat="1" applyFont="1" applyFill="1" applyBorder="1" applyAlignment="1">
      <alignment horizontal="center"/>
    </xf>
    <xf numFmtId="2" fontId="43" fillId="11" borderId="0" xfId="3" applyNumberFormat="1" applyFont="1" applyFill="1" applyAlignment="1">
      <alignment horizontal="center"/>
    </xf>
    <xf numFmtId="2" fontId="2" fillId="10" borderId="0" xfId="0" applyNumberFormat="1" applyFont="1" applyFill="1" applyAlignment="1">
      <alignment horizontal="center"/>
    </xf>
    <xf numFmtId="2" fontId="2" fillId="11" borderId="0" xfId="0" applyNumberFormat="1" applyFont="1" applyFill="1" applyAlignment="1">
      <alignment horizontal="center"/>
    </xf>
    <xf numFmtId="0" fontId="6" fillId="0" borderId="0" xfId="3" applyAlignment="1">
      <alignment horizontal="center"/>
    </xf>
    <xf numFmtId="0" fontId="2" fillId="11" borderId="118" xfId="0" applyFont="1" applyFill="1" applyBorder="1" applyAlignment="1">
      <alignment horizontal="center"/>
    </xf>
    <xf numFmtId="0" fontId="2" fillId="11" borderId="126" xfId="0" applyFont="1" applyFill="1" applyBorder="1" applyAlignment="1">
      <alignment horizontal="center"/>
    </xf>
    <xf numFmtId="0" fontId="21" fillId="0" borderId="0" xfId="2" applyFont="1"/>
    <xf numFmtId="2" fontId="43" fillId="0" borderId="0" xfId="3" applyNumberFormat="1" applyFont="1" applyAlignment="1">
      <alignment horizontal="center"/>
    </xf>
    <xf numFmtId="0" fontId="2" fillId="11" borderId="150" xfId="0" applyFont="1" applyFill="1" applyBorder="1" applyAlignment="1">
      <alignment horizontal="center"/>
    </xf>
    <xf numFmtId="0" fontId="21" fillId="11" borderId="0" xfId="2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2" fontId="6" fillId="10" borderId="134" xfId="3" applyNumberFormat="1" applyFill="1" applyBorder="1" applyAlignment="1">
      <alignment horizontal="center"/>
    </xf>
    <xf numFmtId="2" fontId="6" fillId="10" borderId="138" xfId="3" applyNumberFormat="1" applyFill="1" applyBorder="1" applyAlignment="1">
      <alignment horizontal="center"/>
    </xf>
    <xf numFmtId="2" fontId="6" fillId="10" borderId="118" xfId="3" applyNumberForma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14" fontId="0" fillId="14" borderId="7" xfId="0" applyNumberFormat="1" applyFill="1" applyBorder="1" applyAlignment="1">
      <alignment horizontal="center"/>
    </xf>
    <xf numFmtId="49" fontId="27" fillId="14" borderId="106" xfId="0" applyNumberFormat="1" applyFont="1" applyFill="1" applyBorder="1" applyAlignment="1">
      <alignment horizontal="center" vertical="center"/>
    </xf>
    <xf numFmtId="1" fontId="0" fillId="14" borderId="7" xfId="0" applyNumberFormat="1" applyFill="1" applyBorder="1" applyAlignment="1">
      <alignment horizontal="center"/>
    </xf>
    <xf numFmtId="0" fontId="27" fillId="14" borderId="140" xfId="0" applyFont="1" applyFill="1" applyBorder="1" applyAlignment="1">
      <alignment vertical="center"/>
    </xf>
    <xf numFmtId="0" fontId="21" fillId="14" borderId="138" xfId="2" applyFont="1" applyFill="1" applyBorder="1" applyAlignment="1">
      <alignment horizontal="center"/>
    </xf>
    <xf numFmtId="0" fontId="27" fillId="14" borderId="149" xfId="0" applyFont="1" applyFill="1" applyBorder="1" applyAlignment="1">
      <alignment vertical="center"/>
    </xf>
    <xf numFmtId="2" fontId="21" fillId="14" borderId="138" xfId="2" applyNumberFormat="1" applyFont="1" applyFill="1" applyBorder="1" applyAlignment="1">
      <alignment horizontal="center"/>
    </xf>
    <xf numFmtId="165" fontId="6" fillId="14" borderId="138" xfId="3" applyNumberFormat="1" applyFill="1" applyBorder="1" applyAlignment="1">
      <alignment horizontal="center"/>
    </xf>
    <xf numFmtId="2" fontId="0" fillId="14" borderId="7" xfId="0" applyNumberFormat="1" applyFill="1" applyBorder="1" applyAlignment="1">
      <alignment horizontal="center"/>
    </xf>
    <xf numFmtId="0" fontId="0" fillId="14" borderId="0" xfId="0" applyFill="1"/>
    <xf numFmtId="2" fontId="2" fillId="10" borderId="0" xfId="0" applyNumberFormat="1" applyFont="1" applyFill="1"/>
    <xf numFmtId="2" fontId="2" fillId="11" borderId="0" xfId="0" applyNumberFormat="1" applyFont="1" applyFill="1"/>
    <xf numFmtId="2" fontId="43" fillId="10" borderId="124" xfId="3" applyNumberFormat="1" applyFont="1" applyFill="1" applyBorder="1" applyAlignment="1">
      <alignment horizontal="left" indent="2"/>
    </xf>
    <xf numFmtId="2" fontId="43" fillId="10" borderId="126" xfId="3" applyNumberFormat="1" applyFont="1" applyFill="1" applyBorder="1" applyAlignment="1">
      <alignment horizontal="left" indent="2"/>
    </xf>
    <xf numFmtId="2" fontId="43" fillId="10" borderId="134" xfId="3" applyNumberFormat="1" applyFont="1" applyFill="1" applyBorder="1" applyAlignment="1">
      <alignment horizontal="left" indent="2"/>
    </xf>
    <xf numFmtId="2" fontId="43" fillId="10" borderId="138" xfId="3" applyNumberFormat="1" applyFont="1" applyFill="1" applyBorder="1" applyAlignment="1">
      <alignment horizontal="left" indent="2"/>
    </xf>
    <xf numFmtId="2" fontId="43" fillId="10" borderId="118" xfId="3" applyNumberFormat="1" applyFont="1" applyFill="1" applyBorder="1" applyAlignment="1">
      <alignment horizontal="left" indent="2"/>
    </xf>
    <xf numFmtId="2" fontId="43" fillId="11" borderId="126" xfId="3" applyNumberFormat="1" applyFont="1" applyFill="1" applyBorder="1" applyAlignment="1">
      <alignment horizontal="left" indent="2"/>
    </xf>
    <xf numFmtId="2" fontId="43" fillId="11" borderId="138" xfId="3" applyNumberFormat="1" applyFont="1" applyFill="1" applyBorder="1" applyAlignment="1">
      <alignment horizontal="left" indent="2"/>
    </xf>
    <xf numFmtId="0" fontId="21" fillId="10" borderId="121" xfId="2" applyFont="1" applyFill="1" applyBorder="1" applyAlignment="1">
      <alignment horizontal="center" wrapText="1"/>
    </xf>
    <xf numFmtId="0" fontId="21" fillId="10" borderId="129" xfId="2" applyFont="1" applyFill="1" applyBorder="1" applyAlignment="1">
      <alignment horizontal="center" wrapText="1"/>
    </xf>
    <xf numFmtId="0" fontId="21" fillId="10" borderId="131" xfId="2" applyFont="1" applyFill="1" applyBorder="1" applyAlignment="1">
      <alignment horizontal="center" wrapText="1"/>
    </xf>
    <xf numFmtId="0" fontId="21" fillId="10" borderId="126" xfId="2" applyFont="1" applyFill="1" applyBorder="1" applyAlignment="1">
      <alignment horizontal="center" wrapText="1"/>
    </xf>
    <xf numFmtId="0" fontId="21" fillId="10" borderId="138" xfId="2" applyFont="1" applyFill="1" applyBorder="1" applyAlignment="1">
      <alignment horizontal="center" wrapText="1"/>
    </xf>
    <xf numFmtId="0" fontId="21" fillId="10" borderId="118" xfId="2" applyFont="1" applyFill="1" applyBorder="1" applyAlignment="1">
      <alignment horizontal="center" wrapText="1"/>
    </xf>
    <xf numFmtId="0" fontId="21" fillId="11" borderId="126" xfId="2" applyFont="1" applyFill="1" applyBorder="1" applyAlignment="1">
      <alignment horizontal="center" wrapText="1"/>
    </xf>
    <xf numFmtId="0" fontId="21" fillId="11" borderId="138" xfId="2" applyFont="1" applyFill="1" applyBorder="1" applyAlignment="1">
      <alignment horizontal="center" wrapText="1"/>
    </xf>
    <xf numFmtId="0" fontId="2" fillId="11" borderId="118" xfId="0" applyFont="1" applyFill="1" applyBorder="1" applyAlignment="1">
      <alignment wrapText="1"/>
    </xf>
    <xf numFmtId="2" fontId="21" fillId="10" borderId="121" xfId="2" applyNumberFormat="1" applyFont="1" applyFill="1" applyBorder="1" applyAlignment="1">
      <alignment horizontal="center" wrapText="1"/>
    </xf>
    <xf numFmtId="2" fontId="21" fillId="10" borderId="129" xfId="2" applyNumberFormat="1" applyFont="1" applyFill="1" applyBorder="1" applyAlignment="1">
      <alignment horizontal="center" wrapText="1"/>
    </xf>
    <xf numFmtId="2" fontId="21" fillId="10" borderId="131" xfId="2" applyNumberFormat="1" applyFont="1" applyFill="1" applyBorder="1" applyAlignment="1">
      <alignment horizontal="center" wrapText="1"/>
    </xf>
    <xf numFmtId="2" fontId="21" fillId="10" borderId="126" xfId="2" applyNumberFormat="1" applyFont="1" applyFill="1" applyBorder="1" applyAlignment="1">
      <alignment horizontal="center" wrapText="1"/>
    </xf>
    <xf numFmtId="2" fontId="21" fillId="10" borderId="138" xfId="2" applyNumberFormat="1" applyFont="1" applyFill="1" applyBorder="1" applyAlignment="1">
      <alignment horizontal="center" wrapText="1"/>
    </xf>
    <xf numFmtId="2" fontId="21" fillId="10" borderId="118" xfId="2" applyNumberFormat="1" applyFont="1" applyFill="1" applyBorder="1" applyAlignment="1">
      <alignment horizontal="center" wrapText="1"/>
    </xf>
    <xf numFmtId="2" fontId="21" fillId="11" borderId="126" xfId="2" applyNumberFormat="1" applyFont="1" applyFill="1" applyBorder="1" applyAlignment="1">
      <alignment horizontal="center" wrapText="1"/>
    </xf>
    <xf numFmtId="2" fontId="21" fillId="11" borderId="138" xfId="2" applyNumberFormat="1" applyFont="1" applyFill="1" applyBorder="1" applyAlignment="1">
      <alignment horizontal="center" wrapText="1"/>
    </xf>
    <xf numFmtId="2" fontId="21" fillId="10" borderId="134" xfId="2" applyNumberFormat="1" applyFont="1" applyFill="1" applyBorder="1" applyAlignment="1">
      <alignment horizontal="center" wrapText="1"/>
    </xf>
    <xf numFmtId="165" fontId="43" fillId="10" borderId="124" xfId="3" applyNumberFormat="1" applyFont="1" applyFill="1" applyBorder="1" applyAlignment="1">
      <alignment horizontal="center" wrapText="1"/>
    </xf>
    <xf numFmtId="165" fontId="43" fillId="10" borderId="126" xfId="3" applyNumberFormat="1" applyFont="1" applyFill="1" applyBorder="1" applyAlignment="1">
      <alignment horizontal="center" wrapText="1"/>
    </xf>
    <xf numFmtId="165" fontId="43" fillId="10" borderId="134" xfId="3" applyNumberFormat="1" applyFont="1" applyFill="1" applyBorder="1" applyAlignment="1">
      <alignment horizontal="center" wrapText="1"/>
    </xf>
    <xf numFmtId="165" fontId="43" fillId="10" borderId="138" xfId="3" applyNumberFormat="1" applyFont="1" applyFill="1" applyBorder="1" applyAlignment="1">
      <alignment horizontal="center" wrapText="1"/>
    </xf>
    <xf numFmtId="165" fontId="43" fillId="10" borderId="118" xfId="3" applyNumberFormat="1" applyFont="1" applyFill="1" applyBorder="1" applyAlignment="1">
      <alignment horizontal="center" wrapText="1"/>
    </xf>
    <xf numFmtId="165" fontId="43" fillId="11" borderId="126" xfId="3" applyNumberFormat="1" applyFont="1" applyFill="1" applyBorder="1" applyAlignment="1">
      <alignment horizontal="center" wrapText="1"/>
    </xf>
    <xf numFmtId="165" fontId="43" fillId="11" borderId="138" xfId="3" applyNumberFormat="1" applyFont="1" applyFill="1" applyBorder="1" applyAlignment="1">
      <alignment horizontal="center" wrapText="1"/>
    </xf>
    <xf numFmtId="0" fontId="21" fillId="11" borderId="121" xfId="1" applyNumberFormat="1" applyFont="1" applyFill="1" applyBorder="1" applyAlignment="1">
      <alignment horizontal="center"/>
    </xf>
    <xf numFmtId="0" fontId="21" fillId="11" borderId="129" xfId="1" applyNumberFormat="1" applyFont="1" applyFill="1" applyBorder="1" applyAlignment="1">
      <alignment horizontal="center"/>
    </xf>
    <xf numFmtId="0" fontId="21" fillId="10" borderId="131" xfId="1" applyNumberFormat="1" applyFont="1" applyFill="1" applyBorder="1" applyAlignment="1">
      <alignment horizontal="center"/>
    </xf>
    <xf numFmtId="0" fontId="21" fillId="10" borderId="126" xfId="1" applyNumberFormat="1" applyFont="1" applyFill="1" applyBorder="1" applyAlignment="1">
      <alignment horizontal="center"/>
    </xf>
    <xf numFmtId="165" fontId="43" fillId="11" borderId="124" xfId="3" applyNumberFormat="1" applyFont="1" applyFill="1" applyBorder="1" applyAlignment="1">
      <alignment horizontal="center"/>
    </xf>
    <xf numFmtId="2" fontId="4" fillId="10" borderId="121" xfId="1" applyNumberFormat="1" applyFont="1" applyFill="1" applyBorder="1" applyAlignment="1">
      <alignment horizontal="center"/>
    </xf>
    <xf numFmtId="2" fontId="4" fillId="10" borderId="131" xfId="1" applyNumberFormat="1" applyFont="1" applyFill="1" applyBorder="1" applyAlignment="1">
      <alignment horizontal="center"/>
    </xf>
    <xf numFmtId="0" fontId="8" fillId="3" borderId="0" xfId="2" applyFont="1" applyFill="1" applyBorder="1" applyAlignment="1">
      <alignment horizontal="center"/>
    </xf>
    <xf numFmtId="2" fontId="0" fillId="0" borderId="0" xfId="0" applyNumberFormat="1"/>
    <xf numFmtId="0" fontId="4" fillId="0" borderId="1" xfId="2" applyBorder="1" applyAlignment="1">
      <alignment horizontal="center"/>
    </xf>
    <xf numFmtId="165" fontId="6" fillId="0" borderId="7" xfId="3" applyNumberFormat="1" applyBorder="1" applyAlignment="1">
      <alignment horizontal="center"/>
    </xf>
    <xf numFmtId="0" fontId="4" fillId="11" borderId="8" xfId="2" applyFill="1" applyBorder="1" applyAlignment="1"/>
    <xf numFmtId="0" fontId="4" fillId="11" borderId="127" xfId="2" applyFill="1" applyBorder="1" applyAlignment="1"/>
    <xf numFmtId="0" fontId="6" fillId="11" borderId="7" xfId="3" applyFill="1" applyBorder="1" applyAlignment="1"/>
    <xf numFmtId="0" fontId="6" fillId="11" borderId="7" xfId="3" applyFill="1" applyBorder="1" applyAlignment="1">
      <alignment horizontal="center"/>
    </xf>
    <xf numFmtId="0" fontId="4" fillId="10" borderId="8" xfId="2" applyFill="1" applyBorder="1" applyAlignment="1"/>
    <xf numFmtId="0" fontId="4" fillId="10" borderId="127" xfId="2" applyFill="1" applyBorder="1" applyAlignment="1"/>
    <xf numFmtId="0" fontId="6" fillId="10" borderId="7" xfId="3" applyFill="1" applyBorder="1" applyAlignment="1"/>
    <xf numFmtId="0" fontId="6" fillId="10" borderId="7" xfId="3" applyFill="1" applyBorder="1" applyAlignment="1">
      <alignment horizontal="center"/>
    </xf>
    <xf numFmtId="168" fontId="0" fillId="0" borderId="0" xfId="0" applyNumberFormat="1"/>
    <xf numFmtId="14" fontId="0" fillId="0" borderId="0" xfId="0" applyNumberFormat="1"/>
    <xf numFmtId="0" fontId="3" fillId="0" borderId="0" xfId="0" applyFont="1"/>
    <xf numFmtId="49" fontId="5" fillId="2" borderId="1" xfId="2" applyNumberFormat="1" applyFont="1" applyFill="1" applyBorder="1" applyAlignment="1">
      <alignment horizontal="center"/>
    </xf>
    <xf numFmtId="49" fontId="5" fillId="2" borderId="2" xfId="2" applyNumberFormat="1" applyFont="1" applyFill="1" applyBorder="1" applyAlignment="1">
      <alignment horizontal="center"/>
    </xf>
    <xf numFmtId="49" fontId="5" fillId="2" borderId="3" xfId="2" applyNumberFormat="1" applyFont="1" applyFill="1" applyBorder="1" applyAlignment="1">
      <alignment horizontal="center"/>
    </xf>
    <xf numFmtId="49" fontId="5" fillId="2" borderId="4" xfId="2" applyNumberFormat="1" applyFont="1" applyFill="1" applyBorder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7" fillId="2" borderId="6" xfId="3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0" fontId="3" fillId="2" borderId="8" xfId="3" applyFont="1" applyFill="1" applyBorder="1" applyAlignment="1">
      <alignment horizontal="center"/>
    </xf>
    <xf numFmtId="0" fontId="6" fillId="7" borderId="7" xfId="3" applyFill="1" applyBorder="1" applyAlignment="1">
      <alignment horizontal="center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2" xfId="2" applyNumberFormat="1" applyFont="1" applyFill="1" applyBorder="1" applyAlignment="1">
      <alignment horizontal="center" vertical="center"/>
    </xf>
    <xf numFmtId="49" fontId="5" fillId="2" borderId="3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0" fontId="7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center" vertical="center"/>
    </xf>
    <xf numFmtId="0" fontId="3" fillId="2" borderId="8" xfId="3" applyFont="1" applyFill="1" applyBorder="1" applyAlignment="1">
      <alignment horizontal="center" vertical="center"/>
    </xf>
    <xf numFmtId="0" fontId="4" fillId="0" borderId="1" xfId="2" applyBorder="1" applyAlignment="1">
      <alignment horizontal="center"/>
    </xf>
    <xf numFmtId="0" fontId="4" fillId="0" borderId="44" xfId="2" applyBorder="1" applyAlignment="1">
      <alignment horizontal="center"/>
    </xf>
    <xf numFmtId="0" fontId="4" fillId="0" borderId="8" xfId="2" applyBorder="1" applyAlignment="1">
      <alignment horizontal="center"/>
    </xf>
    <xf numFmtId="0" fontId="4" fillId="0" borderId="45" xfId="2" applyBorder="1" applyAlignment="1">
      <alignment horizontal="center"/>
    </xf>
    <xf numFmtId="0" fontId="6" fillId="0" borderId="7" xfId="3" applyBorder="1" applyAlignment="1">
      <alignment horizontal="center"/>
    </xf>
    <xf numFmtId="0" fontId="4" fillId="0" borderId="28" xfId="2" applyBorder="1" applyAlignment="1">
      <alignment horizontal="center"/>
    </xf>
    <xf numFmtId="0" fontId="4" fillId="0" borderId="47" xfId="2" applyBorder="1" applyAlignment="1">
      <alignment horizontal="center"/>
    </xf>
    <xf numFmtId="0" fontId="4" fillId="0" borderId="48" xfId="2" applyBorder="1" applyAlignment="1">
      <alignment horizontal="center"/>
    </xf>
    <xf numFmtId="0" fontId="4" fillId="0" borderId="49" xfId="2" applyBorder="1" applyAlignment="1">
      <alignment horizontal="center"/>
    </xf>
    <xf numFmtId="0" fontId="6" fillId="0" borderId="33" xfId="3" applyBorder="1" applyAlignment="1">
      <alignment horizontal="center"/>
    </xf>
    <xf numFmtId="0" fontId="4" fillId="0" borderId="23" xfId="2" applyBorder="1" applyAlignment="1">
      <alignment horizontal="center"/>
    </xf>
    <xf numFmtId="0" fontId="4" fillId="0" borderId="51" xfId="2" applyBorder="1" applyAlignment="1">
      <alignment horizontal="center"/>
    </xf>
    <xf numFmtId="0" fontId="4" fillId="0" borderId="52" xfId="2" applyBorder="1" applyAlignment="1">
      <alignment horizontal="center"/>
    </xf>
    <xf numFmtId="0" fontId="4" fillId="0" borderId="53" xfId="2" applyBorder="1" applyAlignment="1">
      <alignment horizontal="center"/>
    </xf>
    <xf numFmtId="0" fontId="6" fillId="0" borderId="24" xfId="3" applyBorder="1" applyAlignment="1">
      <alignment horizontal="center"/>
    </xf>
    <xf numFmtId="0" fontId="4" fillId="0" borderId="27" xfId="2" applyBorder="1" applyAlignment="1">
      <alignment horizontal="center"/>
    </xf>
    <xf numFmtId="0" fontId="4" fillId="0" borderId="6" xfId="2" applyBorder="1" applyAlignment="1">
      <alignment horizontal="center"/>
    </xf>
    <xf numFmtId="0" fontId="6" fillId="0" borderId="20" xfId="3" applyBorder="1" applyAlignment="1">
      <alignment horizontal="center"/>
    </xf>
    <xf numFmtId="0" fontId="4" fillId="0" borderId="60" xfId="2" applyBorder="1" applyAlignment="1">
      <alignment horizontal="center"/>
    </xf>
    <xf numFmtId="0" fontId="4" fillId="0" borderId="61" xfId="2" applyBorder="1" applyAlignment="1">
      <alignment horizontal="center"/>
    </xf>
    <xf numFmtId="0" fontId="4" fillId="0" borderId="39" xfId="2" applyBorder="1" applyAlignment="1">
      <alignment horizontal="center"/>
    </xf>
    <xf numFmtId="0" fontId="4" fillId="0" borderId="68" xfId="2" applyBorder="1" applyAlignment="1">
      <alignment horizontal="center"/>
    </xf>
    <xf numFmtId="0" fontId="4" fillId="0" borderId="81" xfId="2" applyBorder="1" applyAlignment="1">
      <alignment horizontal="center"/>
    </xf>
    <xf numFmtId="0" fontId="24" fillId="8" borderId="0" xfId="2" applyFont="1" applyFill="1" applyBorder="1" applyAlignment="1">
      <alignment horizontal="center" vertical="center"/>
    </xf>
    <xf numFmtId="1" fontId="15" fillId="5" borderId="8" xfId="0" applyNumberFormat="1" applyFont="1" applyFill="1" applyBorder="1" applyAlignment="1">
      <alignment horizontal="center" wrapText="1"/>
    </xf>
    <xf numFmtId="1" fontId="15" fillId="5" borderId="39" xfId="0" applyNumberFormat="1" applyFont="1" applyFill="1" applyBorder="1" applyAlignment="1">
      <alignment horizontal="center" wrapText="1"/>
    </xf>
    <xf numFmtId="0" fontId="4" fillId="5" borderId="34" xfId="2" applyFill="1" applyBorder="1" applyAlignment="1">
      <alignment horizontal="center"/>
    </xf>
    <xf numFmtId="0" fontId="4" fillId="5" borderId="82" xfId="2" applyFill="1" applyBorder="1" applyAlignment="1">
      <alignment horizontal="center"/>
    </xf>
    <xf numFmtId="0" fontId="6" fillId="5" borderId="7" xfId="3" applyFill="1" applyBorder="1" applyAlignment="1">
      <alignment horizontal="center"/>
    </xf>
    <xf numFmtId="1" fontId="15" fillId="5" borderId="24" xfId="0" applyNumberFormat="1" applyFont="1" applyFill="1" applyBorder="1" applyAlignment="1">
      <alignment horizontal="center" wrapText="1"/>
    </xf>
    <xf numFmtId="0" fontId="4" fillId="5" borderId="52" xfId="2" applyFill="1" applyBorder="1" applyAlignment="1">
      <alignment horizontal="center"/>
    </xf>
    <xf numFmtId="0" fontId="4" fillId="5" borderId="53" xfId="2" applyFill="1" applyBorder="1" applyAlignment="1">
      <alignment horizontal="center"/>
    </xf>
    <xf numFmtId="0" fontId="6" fillId="5" borderId="24" xfId="3" applyFill="1" applyBorder="1" applyAlignment="1">
      <alignment horizontal="center"/>
    </xf>
    <xf numFmtId="168" fontId="15" fillId="0" borderId="20" xfId="0" applyNumberFormat="1" applyFont="1" applyFill="1" applyBorder="1" applyAlignment="1">
      <alignment horizontal="center" wrapText="1"/>
    </xf>
    <xf numFmtId="2" fontId="15" fillId="0" borderId="83" xfId="0" applyNumberFormat="1" applyFont="1" applyFill="1" applyBorder="1" applyAlignment="1">
      <alignment horizontal="center" wrapText="1"/>
    </xf>
    <xf numFmtId="2" fontId="15" fillId="0" borderId="84" xfId="0" applyNumberFormat="1" applyFont="1" applyFill="1" applyBorder="1" applyAlignment="1">
      <alignment horizontal="center" wrapText="1"/>
    </xf>
    <xf numFmtId="0" fontId="15" fillId="0" borderId="85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168" fontId="15" fillId="0" borderId="7" xfId="0" applyNumberFormat="1" applyFont="1" applyFill="1" applyBorder="1" applyAlignment="1">
      <alignment horizontal="center" wrapText="1"/>
    </xf>
    <xf numFmtId="2" fontId="15" fillId="0" borderId="7" xfId="0" applyNumberFormat="1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0" fontId="15" fillId="10" borderId="7" xfId="0" applyFont="1" applyFill="1" applyBorder="1" applyAlignment="1">
      <alignment horizontal="center" wrapText="1"/>
    </xf>
    <xf numFmtId="168" fontId="15" fillId="0" borderId="24" xfId="0" applyNumberFormat="1" applyFont="1" applyFill="1" applyBorder="1" applyAlignment="1">
      <alignment horizontal="center" wrapText="1"/>
    </xf>
    <xf numFmtId="2" fontId="15" fillId="0" borderId="24" xfId="0" applyNumberFormat="1" applyFont="1" applyFill="1" applyBorder="1" applyAlignment="1">
      <alignment horizontal="center" wrapText="1"/>
    </xf>
    <xf numFmtId="0" fontId="15" fillId="0" borderId="24" xfId="0" applyFont="1" applyFill="1" applyBorder="1" applyAlignment="1">
      <alignment horizontal="center" wrapText="1"/>
    </xf>
    <xf numFmtId="0" fontId="15" fillId="10" borderId="16" xfId="0" applyFont="1" applyFill="1" applyBorder="1" applyAlignment="1">
      <alignment horizontal="center" wrapText="1"/>
    </xf>
    <xf numFmtId="0" fontId="15" fillId="10" borderId="87" xfId="0" applyFont="1" applyFill="1" applyBorder="1" applyAlignment="1">
      <alignment horizontal="center" wrapText="1"/>
    </xf>
    <xf numFmtId="0" fontId="15" fillId="11" borderId="7" xfId="0" applyFont="1" applyFill="1" applyBorder="1" applyAlignment="1">
      <alignment horizontal="center" wrapText="1"/>
    </xf>
    <xf numFmtId="0" fontId="15" fillId="10" borderId="33" xfId="0" applyFont="1" applyFill="1" applyBorder="1" applyAlignment="1">
      <alignment horizontal="center" wrapText="1"/>
    </xf>
    <xf numFmtId="0" fontId="15" fillId="10" borderId="24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4" fillId="5" borderId="8" xfId="2" applyFill="1" applyBorder="1" applyAlignment="1">
      <alignment horizontal="center"/>
    </xf>
    <xf numFmtId="0" fontId="4" fillId="5" borderId="39" xfId="2" applyFill="1" applyBorder="1" applyAlignment="1">
      <alignment horizontal="center"/>
    </xf>
    <xf numFmtId="0" fontId="4" fillId="5" borderId="91" xfId="2" applyFill="1" applyBorder="1" applyAlignment="1">
      <alignment horizontal="center"/>
    </xf>
    <xf numFmtId="0" fontId="4" fillId="5" borderId="44" xfId="2" applyFill="1" applyBorder="1" applyAlignment="1">
      <alignment horizontal="center"/>
    </xf>
    <xf numFmtId="165" fontId="6" fillId="5" borderId="92" xfId="3" applyNumberFormat="1" applyFill="1" applyBorder="1" applyAlignment="1">
      <alignment horizontal="center"/>
    </xf>
    <xf numFmtId="165" fontId="6" fillId="5" borderId="93" xfId="3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5" borderId="51" xfId="2" applyFill="1" applyBorder="1" applyAlignment="1">
      <alignment horizontal="center"/>
    </xf>
    <xf numFmtId="0" fontId="4" fillId="5" borderId="94" xfId="2" applyFill="1" applyBorder="1" applyAlignment="1">
      <alignment horizontal="center"/>
    </xf>
    <xf numFmtId="0" fontId="4" fillId="5" borderId="61" xfId="2" applyFill="1" applyBorder="1" applyAlignment="1">
      <alignment horizontal="center"/>
    </xf>
    <xf numFmtId="165" fontId="6" fillId="5" borderId="95" xfId="3" applyNumberFormat="1" applyFill="1" applyBorder="1" applyAlignment="1">
      <alignment horizontal="center"/>
    </xf>
    <xf numFmtId="165" fontId="6" fillId="5" borderId="96" xfId="3" applyNumberForma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49" fontId="5" fillId="2" borderId="88" xfId="2" applyNumberFormat="1" applyFont="1" applyFill="1" applyBorder="1" applyAlignment="1">
      <alignment horizontal="center"/>
    </xf>
    <xf numFmtId="49" fontId="5" fillId="2" borderId="103" xfId="2" applyNumberFormat="1" applyFont="1" applyFill="1" applyBorder="1" applyAlignment="1">
      <alignment horizontal="center"/>
    </xf>
    <xf numFmtId="0" fontId="7" fillId="2" borderId="104" xfId="3" applyFont="1" applyFill="1" applyBorder="1" applyAlignment="1">
      <alignment horizontal="center"/>
    </xf>
    <xf numFmtId="0" fontId="7" fillId="2" borderId="105" xfId="3" applyFont="1" applyFill="1" applyBorder="1" applyAlignment="1">
      <alignment horizontal="center"/>
    </xf>
    <xf numFmtId="0" fontId="3" fillId="2" borderId="33" xfId="3" applyFont="1" applyFill="1" applyBorder="1" applyAlignment="1">
      <alignment horizontal="center"/>
    </xf>
    <xf numFmtId="0" fontId="3" fillId="2" borderId="48" xfId="3" applyFont="1" applyFill="1" applyBorder="1" applyAlignment="1">
      <alignment horizontal="center"/>
    </xf>
    <xf numFmtId="0" fontId="27" fillId="0" borderId="117" xfId="0" applyFont="1" applyBorder="1" applyAlignment="1">
      <alignment horizontal="center" vertical="center"/>
    </xf>
    <xf numFmtId="0" fontId="27" fillId="0" borderId="137" xfId="0" applyFont="1" applyBorder="1" applyAlignment="1">
      <alignment horizontal="center" vertical="center"/>
    </xf>
    <xf numFmtId="0" fontId="27" fillId="0" borderId="119" xfId="0" applyFont="1" applyBorder="1" applyAlignment="1">
      <alignment horizontal="center" vertical="center"/>
    </xf>
    <xf numFmtId="0" fontId="27" fillId="0" borderId="120" xfId="0" applyFont="1" applyBorder="1" applyAlignment="1">
      <alignment horizontal="center" vertical="center"/>
    </xf>
    <xf numFmtId="0" fontId="27" fillId="0" borderId="122" xfId="0" applyFont="1" applyBorder="1" applyAlignment="1">
      <alignment horizontal="center" vertical="center"/>
    </xf>
    <xf numFmtId="0" fontId="27" fillId="0" borderId="123" xfId="0" applyFont="1" applyBorder="1" applyAlignment="1">
      <alignment horizontal="center" vertical="center"/>
    </xf>
    <xf numFmtId="0" fontId="27" fillId="0" borderId="127" xfId="0" applyFont="1" applyBorder="1" applyAlignment="1">
      <alignment horizontal="center" vertical="center"/>
    </xf>
    <xf numFmtId="0" fontId="27" fillId="0" borderId="128" xfId="0" applyFont="1" applyBorder="1" applyAlignment="1">
      <alignment horizontal="center" vertical="center"/>
    </xf>
    <xf numFmtId="0" fontId="27" fillId="0" borderId="132" xfId="0" applyFont="1" applyBorder="1" applyAlignment="1">
      <alignment horizontal="center" vertical="center"/>
    </xf>
    <xf numFmtId="0" fontId="27" fillId="0" borderId="1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136" xfId="0" applyFont="1" applyBorder="1" applyAlignment="1">
      <alignment horizontal="center" vertical="center"/>
    </xf>
    <xf numFmtId="0" fontId="27" fillId="0" borderId="139" xfId="0" applyFont="1" applyBorder="1" applyAlignment="1">
      <alignment horizontal="center" vertical="center"/>
    </xf>
    <xf numFmtId="0" fontId="27" fillId="0" borderId="140" xfId="0" applyFont="1" applyBorder="1" applyAlignment="1">
      <alignment horizontal="center" vertical="center"/>
    </xf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144" xfId="0" applyFont="1" applyBorder="1" applyAlignment="1">
      <alignment horizontal="center" vertical="center"/>
    </xf>
    <xf numFmtId="0" fontId="30" fillId="0" borderId="143" xfId="0" applyFont="1" applyBorder="1" applyAlignment="1">
      <alignment horizontal="center" vertical="center"/>
    </xf>
    <xf numFmtId="0" fontId="30" fillId="0" borderId="117" xfId="0" applyFont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/>
    </xf>
    <xf numFmtId="0" fontId="27" fillId="0" borderId="143" xfId="0" applyFont="1" applyBorder="1" applyAlignment="1">
      <alignment horizontal="center" vertical="center"/>
    </xf>
    <xf numFmtId="0" fontId="31" fillId="8" borderId="0" xfId="2" applyFont="1" applyFill="1" applyAlignment="1">
      <alignment horizontal="center" vertical="center"/>
    </xf>
    <xf numFmtId="0" fontId="6" fillId="0" borderId="151" xfId="3" applyBorder="1" applyAlignment="1">
      <alignment horizontal="center"/>
    </xf>
    <xf numFmtId="0" fontId="6" fillId="0" borderId="39" xfId="3" applyBorder="1" applyAlignment="1">
      <alignment horizontal="center"/>
    </xf>
    <xf numFmtId="0" fontId="15" fillId="0" borderId="161" xfId="0" applyFont="1" applyFill="1" applyBorder="1" applyAlignment="1">
      <alignment horizontal="center" wrapText="1"/>
    </xf>
    <xf numFmtId="0" fontId="15" fillId="0" borderId="28" xfId="0" applyFont="1" applyFill="1" applyBorder="1" applyAlignment="1">
      <alignment horizontal="center" wrapText="1"/>
    </xf>
    <xf numFmtId="0" fontId="15" fillId="0" borderId="47" xfId="0" applyFont="1" applyFill="1" applyBorder="1" applyAlignment="1">
      <alignment horizontal="center" wrapText="1"/>
    </xf>
    <xf numFmtId="0" fontId="21" fillId="11" borderId="7" xfId="0" applyFont="1" applyFill="1" applyBorder="1" applyAlignment="1">
      <alignment horizontal="center" wrapText="1"/>
    </xf>
    <xf numFmtId="0" fontId="15" fillId="0" borderId="153" xfId="0" applyFont="1" applyFill="1" applyBorder="1" applyAlignment="1">
      <alignment horizontal="center" wrapText="1"/>
    </xf>
    <xf numFmtId="0" fontId="21" fillId="10" borderId="16" xfId="0" applyFont="1" applyFill="1" applyBorder="1" applyAlignment="1">
      <alignment horizontal="center" wrapText="1"/>
    </xf>
    <xf numFmtId="0" fontId="21" fillId="10" borderId="87" xfId="0" applyFont="1" applyFill="1" applyBorder="1" applyAlignment="1">
      <alignment horizontal="center" wrapText="1"/>
    </xf>
    <xf numFmtId="0" fontId="21" fillId="10" borderId="7" xfId="0" applyFont="1" applyFill="1" applyBorder="1" applyAlignment="1">
      <alignment horizontal="center" wrapText="1"/>
    </xf>
    <xf numFmtId="0" fontId="21" fillId="10" borderId="33" xfId="0" applyFont="1" applyFill="1" applyBorder="1" applyAlignment="1">
      <alignment horizontal="center" wrapText="1"/>
    </xf>
    <xf numFmtId="0" fontId="21" fillId="10" borderId="24" xfId="0" applyFont="1" applyFill="1" applyBorder="1" applyAlignment="1">
      <alignment horizontal="center" wrapText="1"/>
    </xf>
    <xf numFmtId="49" fontId="8" fillId="2" borderId="171" xfId="2" applyNumberFormat="1" applyFont="1" applyFill="1" applyBorder="1" applyAlignment="1">
      <alignment horizontal="center" vertical="center" wrapText="1"/>
    </xf>
    <xf numFmtId="49" fontId="8" fillId="2" borderId="172" xfId="2" applyNumberFormat="1" applyFont="1" applyFill="1" applyBorder="1" applyAlignment="1">
      <alignment horizontal="center" vertical="center" wrapText="1"/>
    </xf>
    <xf numFmtId="49" fontId="8" fillId="2" borderId="173" xfId="2" applyNumberFormat="1" applyFont="1" applyFill="1" applyBorder="1" applyAlignment="1">
      <alignment horizontal="center" vertical="center" wrapText="1"/>
    </xf>
    <xf numFmtId="49" fontId="8" fillId="2" borderId="174" xfId="2" applyNumberFormat="1" applyFont="1" applyFill="1" applyBorder="1" applyAlignment="1">
      <alignment horizontal="center" vertical="center" wrapText="1"/>
    </xf>
    <xf numFmtId="49" fontId="8" fillId="2" borderId="175" xfId="2" applyNumberFormat="1" applyFont="1" applyFill="1" applyBorder="1" applyAlignment="1">
      <alignment horizontal="center" vertical="center" wrapText="1"/>
    </xf>
    <xf numFmtId="0" fontId="32" fillId="2" borderId="174" xfId="3" applyFont="1" applyFill="1" applyBorder="1" applyAlignment="1">
      <alignment horizontal="center" vertical="center"/>
    </xf>
    <xf numFmtId="0" fontId="3" fillId="2" borderId="176" xfId="3" applyFont="1" applyFill="1" applyBorder="1" applyAlignment="1">
      <alignment horizontal="center" vertical="center"/>
    </xf>
    <xf numFmtId="0" fontId="3" fillId="2" borderId="177" xfId="3" applyFont="1" applyFill="1" applyBorder="1" applyAlignment="1">
      <alignment horizontal="center" vertical="center"/>
    </xf>
    <xf numFmtId="0" fontId="3" fillId="2" borderId="178" xfId="3" applyFont="1" applyFill="1" applyBorder="1" applyAlignment="1">
      <alignment horizontal="center" vertical="center"/>
    </xf>
    <xf numFmtId="0" fontId="3" fillId="2" borderId="179" xfId="3" applyFont="1" applyFill="1" applyBorder="1" applyAlignment="1">
      <alignment horizontal="center" vertical="center"/>
    </xf>
    <xf numFmtId="0" fontId="33" fillId="5" borderId="20" xfId="2" applyFont="1" applyFill="1" applyBorder="1" applyAlignment="1">
      <alignment horizontal="center"/>
    </xf>
    <xf numFmtId="164" fontId="33" fillId="5" borderId="2" xfId="2" applyNumberFormat="1" applyFont="1" applyFill="1" applyBorder="1" applyAlignment="1">
      <alignment horizontal="center"/>
    </xf>
    <xf numFmtId="164" fontId="33" fillId="5" borderId="46" xfId="2" applyNumberFormat="1" applyFont="1" applyFill="1" applyBorder="1" applyAlignment="1">
      <alignment horizontal="center"/>
    </xf>
    <xf numFmtId="0" fontId="33" fillId="5" borderId="7" xfId="2" applyFont="1" applyFill="1" applyBorder="1" applyAlignment="1">
      <alignment horizontal="center"/>
    </xf>
    <xf numFmtId="0" fontId="33" fillId="5" borderId="33" xfId="2" applyFont="1" applyFill="1" applyBorder="1" applyAlignment="1">
      <alignment horizontal="center"/>
    </xf>
    <xf numFmtId="164" fontId="33" fillId="5" borderId="88" xfId="2" applyNumberFormat="1" applyFont="1" applyFill="1" applyBorder="1" applyAlignment="1">
      <alignment horizontal="center"/>
    </xf>
    <xf numFmtId="164" fontId="33" fillId="5" borderId="14" xfId="2" applyNumberFormat="1" applyFont="1" applyFill="1" applyBorder="1" applyAlignment="1">
      <alignment horizontal="center"/>
    </xf>
    <xf numFmtId="1" fontId="33" fillId="0" borderId="18" xfId="2" applyNumberFormat="1" applyFont="1" applyFill="1" applyBorder="1" applyAlignment="1">
      <alignment horizontal="center"/>
    </xf>
    <xf numFmtId="164" fontId="33" fillId="0" borderId="78" xfId="2" applyNumberFormat="1" applyFont="1" applyBorder="1" applyAlignment="1">
      <alignment horizontal="center"/>
    </xf>
    <xf numFmtId="164" fontId="33" fillId="0" borderId="18" xfId="2" applyNumberFormat="1" applyFont="1" applyBorder="1" applyAlignment="1">
      <alignment horizontal="center"/>
    </xf>
    <xf numFmtId="1" fontId="33" fillId="0" borderId="7" xfId="2" applyNumberFormat="1" applyFont="1" applyFill="1" applyBorder="1" applyAlignment="1">
      <alignment horizontal="center"/>
    </xf>
    <xf numFmtId="164" fontId="33" fillId="0" borderId="39" xfId="2" applyNumberFormat="1" applyFont="1" applyBorder="1" applyAlignment="1">
      <alignment horizontal="center"/>
    </xf>
    <xf numFmtId="164" fontId="33" fillId="0" borderId="7" xfId="2" applyNumberFormat="1" applyFont="1" applyBorder="1" applyAlignment="1">
      <alignment horizontal="center"/>
    </xf>
    <xf numFmtId="1" fontId="33" fillId="0" borderId="33" xfId="2" applyNumberFormat="1" applyFont="1" applyFill="1" applyBorder="1" applyAlignment="1">
      <alignment horizontal="center"/>
    </xf>
    <xf numFmtId="164" fontId="33" fillId="0" borderId="197" xfId="2" applyNumberFormat="1" applyFont="1" applyBorder="1" applyAlignment="1">
      <alignment horizontal="center"/>
    </xf>
    <xf numFmtId="164" fontId="33" fillId="0" borderId="40" xfId="2" applyNumberFormat="1" applyFont="1" applyBorder="1" applyAlignment="1">
      <alignment horizontal="center"/>
    </xf>
    <xf numFmtId="1" fontId="33" fillId="0" borderId="20" xfId="2" applyNumberFormat="1" applyFont="1" applyFill="1" applyBorder="1" applyAlignment="1">
      <alignment horizontal="center"/>
    </xf>
    <xf numFmtId="1" fontId="33" fillId="0" borderId="40" xfId="2" applyNumberFormat="1" applyFont="1" applyFill="1" applyBorder="1" applyAlignment="1">
      <alignment horizontal="center"/>
    </xf>
    <xf numFmtId="2" fontId="6" fillId="0" borderId="7" xfId="3" applyNumberFormat="1" applyBorder="1" applyAlignment="1">
      <alignment horizontal="center"/>
    </xf>
    <xf numFmtId="2" fontId="15" fillId="0" borderId="8" xfId="0" applyNumberFormat="1" applyFont="1" applyFill="1" applyBorder="1" applyAlignment="1">
      <alignment horizontal="center" wrapText="1"/>
    </xf>
    <xf numFmtId="2" fontId="15" fillId="0" borderId="45" xfId="0" applyNumberFormat="1" applyFont="1" applyFill="1" applyBorder="1" applyAlignment="1">
      <alignment horizontal="center" wrapText="1"/>
    </xf>
    <xf numFmtId="2" fontId="15" fillId="0" borderId="23" xfId="0" applyNumberFormat="1" applyFont="1" applyFill="1" applyBorder="1" applyAlignment="1">
      <alignment horizontal="center" wrapText="1"/>
    </xf>
    <xf numFmtId="2" fontId="15" fillId="0" borderId="51" xfId="0" applyNumberFormat="1" applyFont="1" applyFill="1" applyBorder="1" applyAlignment="1">
      <alignment horizontal="center" wrapText="1"/>
    </xf>
    <xf numFmtId="2" fontId="6" fillId="0" borderId="20" xfId="3" applyNumberFormat="1" applyBorder="1" applyAlignment="1">
      <alignment horizontal="center"/>
    </xf>
    <xf numFmtId="165" fontId="6" fillId="0" borderId="7" xfId="3" applyNumberFormat="1" applyBorder="1" applyAlignment="1">
      <alignment horizontal="center"/>
    </xf>
    <xf numFmtId="2" fontId="6" fillId="0" borderId="24" xfId="3" applyNumberFormat="1" applyBorder="1" applyAlignment="1">
      <alignment horizontal="center"/>
    </xf>
    <xf numFmtId="165" fontId="6" fillId="0" borderId="85" xfId="3" applyNumberFormat="1" applyBorder="1" applyAlignment="1">
      <alignment horizontal="center"/>
    </xf>
    <xf numFmtId="165" fontId="6" fillId="0" borderId="84" xfId="3" applyNumberFormat="1" applyBorder="1" applyAlignment="1">
      <alignment horizontal="center"/>
    </xf>
    <xf numFmtId="165" fontId="6" fillId="0" borderId="24" xfId="3" applyNumberFormat="1" applyBorder="1" applyAlignment="1">
      <alignment horizontal="center"/>
    </xf>
    <xf numFmtId="0" fontId="6" fillId="10" borderId="7" xfId="3" applyFill="1" applyBorder="1" applyAlignment="1">
      <alignment horizontal="center"/>
    </xf>
    <xf numFmtId="0" fontId="6" fillId="11" borderId="7" xfId="3" applyFill="1" applyBorder="1" applyAlignment="1">
      <alignment horizontal="center"/>
    </xf>
    <xf numFmtId="0" fontId="27" fillId="10" borderId="141" xfId="0" applyFont="1" applyFill="1" applyBorder="1" applyAlignment="1">
      <alignment horizontal="center" vertical="center"/>
    </xf>
    <xf numFmtId="0" fontId="27" fillId="10" borderId="142" xfId="0" applyFont="1" applyFill="1" applyBorder="1" applyAlignment="1">
      <alignment horizontal="center" vertical="center"/>
    </xf>
    <xf numFmtId="0" fontId="27" fillId="10" borderId="39" xfId="0" applyFont="1" applyFill="1" applyBorder="1" applyAlignment="1">
      <alignment horizontal="center" vertical="center"/>
    </xf>
    <xf numFmtId="0" fontId="27" fillId="10" borderId="136" xfId="0" applyFont="1" applyFill="1" applyBorder="1" applyAlignment="1">
      <alignment horizontal="center" vertical="center"/>
    </xf>
    <xf numFmtId="0" fontId="27" fillId="10" borderId="122" xfId="0" applyFont="1" applyFill="1" applyBorder="1" applyAlignment="1">
      <alignment horizontal="center" vertical="center"/>
    </xf>
    <xf numFmtId="0" fontId="27" fillId="10" borderId="123" xfId="0" applyFont="1" applyFill="1" applyBorder="1" applyAlignment="1">
      <alignment horizontal="center" vertical="center"/>
    </xf>
    <xf numFmtId="0" fontId="27" fillId="10" borderId="127" xfId="0" applyFont="1" applyFill="1" applyBorder="1" applyAlignment="1">
      <alignment horizontal="center" vertical="center"/>
    </xf>
    <xf numFmtId="0" fontId="27" fillId="10" borderId="128" xfId="0" applyFont="1" applyFill="1" applyBorder="1" applyAlignment="1">
      <alignment horizontal="center" vertical="center"/>
    </xf>
    <xf numFmtId="0" fontId="27" fillId="10" borderId="132" xfId="0" applyFont="1" applyFill="1" applyBorder="1" applyAlignment="1">
      <alignment horizontal="center" vertical="center"/>
    </xf>
    <xf numFmtId="0" fontId="27" fillId="10" borderId="133" xfId="0" applyFont="1" applyFill="1" applyBorder="1" applyAlignment="1">
      <alignment horizontal="center" vertical="center"/>
    </xf>
    <xf numFmtId="0" fontId="27" fillId="10" borderId="93" xfId="0" applyFont="1" applyFill="1" applyBorder="1" applyAlignment="1">
      <alignment horizontal="center" vertical="center"/>
    </xf>
    <xf numFmtId="0" fontId="27" fillId="10" borderId="144" xfId="0" applyFont="1" applyFill="1" applyBorder="1" applyAlignment="1">
      <alignment horizontal="center" vertical="center"/>
    </xf>
    <xf numFmtId="0" fontId="27" fillId="11" borderId="119" xfId="0" applyFont="1" applyFill="1" applyBorder="1" applyAlignment="1">
      <alignment horizontal="center" vertical="center"/>
    </xf>
    <xf numFmtId="0" fontId="27" fillId="11" borderId="120" xfId="0" applyFont="1" applyFill="1" applyBorder="1" applyAlignment="1">
      <alignment horizontal="center" vertical="center"/>
    </xf>
    <xf numFmtId="0" fontId="27" fillId="11" borderId="122" xfId="0" applyFont="1" applyFill="1" applyBorder="1" applyAlignment="1">
      <alignment horizontal="center" vertical="center"/>
    </xf>
    <xf numFmtId="0" fontId="27" fillId="11" borderId="123" xfId="0" applyFont="1" applyFill="1" applyBorder="1" applyAlignment="1">
      <alignment horizontal="center" vertical="center"/>
    </xf>
    <xf numFmtId="0" fontId="27" fillId="11" borderId="127" xfId="0" applyFont="1" applyFill="1" applyBorder="1" applyAlignment="1">
      <alignment horizontal="center" vertical="center"/>
    </xf>
    <xf numFmtId="0" fontId="27" fillId="11" borderId="128" xfId="0" applyFont="1" applyFill="1" applyBorder="1" applyAlignment="1">
      <alignment horizontal="center" vertical="center"/>
    </xf>
    <xf numFmtId="0" fontId="27" fillId="10" borderId="119" xfId="0" applyFont="1" applyFill="1" applyBorder="1" applyAlignment="1">
      <alignment horizontal="center" vertical="center"/>
    </xf>
    <xf numFmtId="0" fontId="27" fillId="10" borderId="120" xfId="0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/>
    </xf>
    <xf numFmtId="0" fontId="7" fillId="2" borderId="107" xfId="3" applyFont="1" applyFill="1" applyBorder="1" applyAlignment="1">
      <alignment horizontal="center"/>
    </xf>
    <xf numFmtId="49" fontId="37" fillId="2" borderId="113" xfId="0" applyNumberFormat="1" applyFont="1" applyFill="1" applyBorder="1" applyAlignment="1">
      <alignment horizontal="center" vertical="center"/>
    </xf>
    <xf numFmtId="49" fontId="37" fillId="2" borderId="111" xfId="0" applyNumberFormat="1" applyFont="1" applyFill="1" applyBorder="1" applyAlignment="1">
      <alignment horizontal="center" vertical="center"/>
    </xf>
    <xf numFmtId="49" fontId="37" fillId="2" borderId="116" xfId="0" applyNumberFormat="1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horizontal="center" vertical="center"/>
    </xf>
    <xf numFmtId="0" fontId="27" fillId="0" borderId="231" xfId="0" applyFont="1" applyBorder="1" applyAlignment="1">
      <alignment horizontal="center" vertical="center"/>
    </xf>
    <xf numFmtId="0" fontId="27" fillId="0" borderId="240" xfId="0" applyFont="1" applyBorder="1" applyAlignment="1">
      <alignment horizontal="center" vertical="center"/>
    </xf>
    <xf numFmtId="0" fontId="27" fillId="0" borderId="233" xfId="0" applyFont="1" applyBorder="1" applyAlignment="1">
      <alignment horizontal="center" vertical="center"/>
    </xf>
    <xf numFmtId="0" fontId="27" fillId="0" borderId="234" xfId="0" applyFont="1" applyBorder="1" applyAlignment="1">
      <alignment horizontal="center" vertical="center"/>
    </xf>
    <xf numFmtId="0" fontId="27" fillId="0" borderId="197" xfId="0" applyFont="1" applyBorder="1" applyAlignment="1">
      <alignment horizontal="center" vertical="center"/>
    </xf>
    <xf numFmtId="0" fontId="27" fillId="0" borderId="244" xfId="0" applyFont="1" applyBorder="1" applyAlignment="1">
      <alignment horizontal="center" vertical="center"/>
    </xf>
    <xf numFmtId="0" fontId="27" fillId="10" borderId="233" xfId="0" applyFont="1" applyFill="1" applyBorder="1" applyAlignment="1">
      <alignment horizontal="center" vertical="center"/>
    </xf>
    <xf numFmtId="0" fontId="27" fillId="10" borderId="234" xfId="0" applyFont="1" applyFill="1" applyBorder="1" applyAlignment="1">
      <alignment horizontal="center" vertical="center"/>
    </xf>
    <xf numFmtId="0" fontId="27" fillId="0" borderId="242" xfId="0" applyFont="1" applyBorder="1" applyAlignment="1">
      <alignment horizontal="center" vertical="center"/>
    </xf>
    <xf numFmtId="0" fontId="27" fillId="0" borderId="243" xfId="0" applyFont="1" applyBorder="1" applyAlignment="1">
      <alignment horizontal="center" vertical="center"/>
    </xf>
    <xf numFmtId="0" fontId="27" fillId="10" borderId="242" xfId="0" applyFont="1" applyFill="1" applyBorder="1" applyAlignment="1">
      <alignment horizontal="center" vertical="center"/>
    </xf>
    <xf numFmtId="0" fontId="27" fillId="10" borderId="243" xfId="0" applyFont="1" applyFill="1" applyBorder="1" applyAlignment="1">
      <alignment horizontal="center" vertical="center"/>
    </xf>
    <xf numFmtId="0" fontId="27" fillId="10" borderId="197" xfId="0" applyFont="1" applyFill="1" applyBorder="1" applyAlignment="1">
      <alignment horizontal="center" vertical="center"/>
    </xf>
    <xf numFmtId="0" fontId="27" fillId="10" borderId="244" xfId="0" applyFont="1" applyFill="1" applyBorder="1" applyAlignment="1">
      <alignment horizontal="center" vertical="center"/>
    </xf>
  </cellXfs>
  <cellStyles count="13">
    <cellStyle name="Normal" xfId="0" builtinId="0"/>
    <cellStyle name="Normal 10" xfId="10"/>
    <cellStyle name="Normal 2" xfId="12"/>
    <cellStyle name="Normal 2 2" xfId="2"/>
    <cellStyle name="Normal 2 2 2" xfId="9"/>
    <cellStyle name="Normal 2 3" xfId="7"/>
    <cellStyle name="Normal 3" xfId="5"/>
    <cellStyle name="Normal 3 2" xfId="8"/>
    <cellStyle name="Normal 6" xfId="3"/>
    <cellStyle name="Normal_C2_CN data_SAS" xfId="4"/>
    <cellStyle name="Normal_Feuil1" xfId="6"/>
    <cellStyle name="Normal_Metapop_list_final" xfId="11"/>
    <cellStyle name="Pourcentage" xfId="1" builtinId="5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tabSelected="1" workbookViewId="0">
      <selection activeCell="B22" sqref="B22"/>
    </sheetView>
  </sheetViews>
  <sheetFormatPr baseColWidth="10" defaultRowHeight="15"/>
  <cols>
    <col min="1" max="1" width="15.85546875" customWidth="1"/>
    <col min="2" max="2" width="18.42578125" customWidth="1"/>
    <col min="3" max="3" width="21.85546875" customWidth="1"/>
  </cols>
  <sheetData>
    <row r="2" spans="1:3">
      <c r="A2" s="1616" t="s">
        <v>421</v>
      </c>
      <c r="B2" t="s">
        <v>422</v>
      </c>
    </row>
    <row r="3" spans="1:3">
      <c r="A3" s="1616" t="s">
        <v>423</v>
      </c>
      <c r="B3" s="1614">
        <v>1</v>
      </c>
    </row>
    <row r="4" spans="1:3">
      <c r="A4" s="1616" t="s">
        <v>5</v>
      </c>
      <c r="B4" s="1615">
        <v>43789</v>
      </c>
    </row>
    <row r="5" spans="1:3">
      <c r="A5" s="1616" t="s">
        <v>424</v>
      </c>
      <c r="B5" t="s">
        <v>425</v>
      </c>
    </row>
    <row r="7" spans="1:3">
      <c r="A7" s="1616" t="s">
        <v>426</v>
      </c>
    </row>
    <row r="9" spans="1:3">
      <c r="A9" s="1616" t="s">
        <v>427</v>
      </c>
      <c r="B9" s="1616" t="s">
        <v>428</v>
      </c>
      <c r="C9" s="1616" t="s">
        <v>429</v>
      </c>
    </row>
    <row r="10" spans="1:3">
      <c r="A10" t="s">
        <v>430</v>
      </c>
      <c r="B10" s="1615">
        <v>43794</v>
      </c>
      <c r="C10" t="s">
        <v>431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Y74"/>
  <sheetViews>
    <sheetView topLeftCell="A37" workbookViewId="0">
      <selection activeCell="M30" sqref="M30"/>
    </sheetView>
  </sheetViews>
  <sheetFormatPr baseColWidth="10" defaultRowHeight="12.75"/>
  <cols>
    <col min="1" max="1" width="11.7109375" style="1" customWidth="1"/>
    <col min="2" max="2" width="10.140625" style="1" bestFit="1" customWidth="1"/>
    <col min="3" max="4" width="3" style="1" bestFit="1" customWidth="1"/>
    <col min="5" max="5" width="8.85546875" style="1" bestFit="1" customWidth="1"/>
    <col min="6" max="6" width="11.140625" style="1" bestFit="1" customWidth="1"/>
    <col min="7" max="7" width="6.28515625" style="1" bestFit="1" customWidth="1"/>
    <col min="8" max="8" width="4.140625" style="1" bestFit="1" customWidth="1"/>
    <col min="9" max="9" width="8.28515625" style="1" bestFit="1" customWidth="1"/>
    <col min="10" max="10" width="12" style="1" bestFit="1" customWidth="1"/>
    <col min="11" max="11" width="4.140625" style="1" bestFit="1" customWidth="1"/>
    <col min="12" max="12" width="12" style="1" bestFit="1" customWidth="1"/>
    <col min="13" max="13" width="14.28515625" style="1" bestFit="1" customWidth="1"/>
    <col min="14" max="14" width="11.140625" style="1" bestFit="1" customWidth="1"/>
    <col min="15" max="15" width="9.5703125" style="1" bestFit="1" customWidth="1"/>
    <col min="16" max="16" width="14.42578125" style="1" bestFit="1" customWidth="1"/>
    <col min="17" max="17" width="11.28515625" style="1" bestFit="1" customWidth="1"/>
    <col min="18" max="18" width="10.42578125" style="1" bestFit="1" customWidth="1"/>
    <col min="19" max="19" width="13" style="4" bestFit="1" customWidth="1"/>
    <col min="20" max="20" width="11.42578125" style="4"/>
    <col min="21" max="21" width="12.42578125" style="1" customWidth="1"/>
    <col min="22" max="22" width="11.85546875" style="1" customWidth="1"/>
    <col min="23" max="23" width="11.42578125" style="4"/>
    <col min="24" max="24" width="15.85546875" style="4" bestFit="1" customWidth="1"/>
    <col min="25" max="16384" width="11.42578125" style="4"/>
  </cols>
  <sheetData>
    <row r="1" spans="1:25" ht="15.75"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</row>
    <row r="2" spans="1:25" ht="13.5" thickBot="1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7" t="s">
        <v>11</v>
      </c>
      <c r="L2" s="5" t="s">
        <v>14</v>
      </c>
      <c r="M2" s="8" t="s">
        <v>15</v>
      </c>
      <c r="N2" s="8" t="s">
        <v>16</v>
      </c>
      <c r="O2" s="5" t="s">
        <v>17</v>
      </c>
      <c r="P2" s="8" t="s">
        <v>18</v>
      </c>
      <c r="Q2" s="8" t="s">
        <v>19</v>
      </c>
      <c r="R2" s="9" t="s">
        <v>20</v>
      </c>
      <c r="S2" s="10" t="s">
        <v>21</v>
      </c>
      <c r="T2" s="8" t="s">
        <v>22</v>
      </c>
      <c r="U2" s="11" t="s">
        <v>23</v>
      </c>
      <c r="V2" s="11" t="s">
        <v>24</v>
      </c>
      <c r="W2" s="12" t="s">
        <v>25</v>
      </c>
      <c r="X2" s="13" t="s">
        <v>26</v>
      </c>
      <c r="Y2" s="14" t="s">
        <v>27</v>
      </c>
    </row>
    <row r="3" spans="1:25" ht="15">
      <c r="A3" s="15" t="s">
        <v>28</v>
      </c>
      <c r="B3" s="16"/>
      <c r="C3" s="16"/>
      <c r="D3" s="17"/>
      <c r="E3" s="18" t="s">
        <v>29</v>
      </c>
      <c r="F3" s="18" t="s">
        <v>30</v>
      </c>
      <c r="G3" s="19"/>
      <c r="I3" s="16">
        <v>555.44134078212289</v>
      </c>
      <c r="J3" s="16">
        <f>I3*L3</f>
        <v>141.72698125654497</v>
      </c>
      <c r="K3" s="16">
        <v>7</v>
      </c>
      <c r="L3" s="16">
        <f>R3/O3</f>
        <v>0.25516102394715112</v>
      </c>
      <c r="M3" s="16">
        <v>115.8</v>
      </c>
      <c r="N3" s="16">
        <v>5.3</v>
      </c>
      <c r="O3" s="16">
        <f>M3+N3</f>
        <v>121.1</v>
      </c>
      <c r="P3" s="16">
        <v>29.4</v>
      </c>
      <c r="Q3" s="16">
        <v>1.5</v>
      </c>
      <c r="R3" s="16">
        <f t="shared" ref="R3:R10" si="0">P3+Q3</f>
        <v>30.9</v>
      </c>
      <c r="S3" s="16">
        <f>(R3+J3)/100</f>
        <v>1.7262698125654499</v>
      </c>
      <c r="T3" s="16">
        <f>MIN(4.63,4.48*S3^(-0.25))</f>
        <v>3.9084165623212654</v>
      </c>
      <c r="U3" s="16"/>
      <c r="V3" s="16"/>
      <c r="W3" s="16"/>
      <c r="X3" s="20">
        <v>2.2985127330731401</v>
      </c>
      <c r="Y3" s="16">
        <f>X3/T3</f>
        <v>0.58809307974788128</v>
      </c>
    </row>
    <row r="4" spans="1:25" ht="15">
      <c r="A4" s="21" t="s">
        <v>28</v>
      </c>
      <c r="B4" s="22"/>
      <c r="C4" s="22"/>
      <c r="D4" s="17"/>
      <c r="E4" s="23" t="s">
        <v>31</v>
      </c>
      <c r="F4" s="23" t="s">
        <v>30</v>
      </c>
      <c r="G4" s="19"/>
      <c r="I4" s="24">
        <v>1616.0124707716288</v>
      </c>
      <c r="J4" s="24">
        <f t="shared" ref="J4:J50" si="1">I4*L4</f>
        <v>226.77292573407178</v>
      </c>
      <c r="K4" s="24">
        <v>6</v>
      </c>
      <c r="L4" s="24">
        <f t="shared" ref="L4:L50" si="2">R4/O4</f>
        <v>0.14032869785082172</v>
      </c>
      <c r="M4" s="24">
        <v>224.4</v>
      </c>
      <c r="N4" s="24">
        <v>12.9</v>
      </c>
      <c r="O4" s="24">
        <f t="shared" ref="O4:O50" si="3">M4+N4</f>
        <v>237.3</v>
      </c>
      <c r="P4" s="24">
        <v>30.4</v>
      </c>
      <c r="Q4" s="24">
        <v>2.9</v>
      </c>
      <c r="R4" s="24">
        <f t="shared" si="0"/>
        <v>33.299999999999997</v>
      </c>
      <c r="S4" s="24">
        <f t="shared" ref="S4:S50" si="4">(R4+J4)/100</f>
        <v>2.6007292573407175</v>
      </c>
      <c r="T4" s="24">
        <f t="shared" ref="T4:T50" si="5">MIN(4.63,4.48*S4^(-0.25))</f>
        <v>3.527802211609175</v>
      </c>
      <c r="U4" s="24"/>
      <c r="V4" s="24"/>
      <c r="W4" s="24">
        <f t="shared" ref="W4:W10" si="6">(U3*P4)</f>
        <v>0</v>
      </c>
      <c r="X4" s="22">
        <v>2.6821398692151064</v>
      </c>
      <c r="Y4" s="24">
        <f t="shared" ref="Y4:Y50" si="7">X4/T4</f>
        <v>0.76028635063179251</v>
      </c>
    </row>
    <row r="5" spans="1:25" ht="15">
      <c r="A5" s="21" t="s">
        <v>28</v>
      </c>
      <c r="B5" s="22"/>
      <c r="C5" s="22"/>
      <c r="D5" s="17"/>
      <c r="E5" s="23" t="s">
        <v>29</v>
      </c>
      <c r="F5" s="23" t="s">
        <v>30</v>
      </c>
      <c r="G5" s="19"/>
      <c r="I5" s="24">
        <v>1203.3703993735317</v>
      </c>
      <c r="J5" s="24">
        <f t="shared" si="1"/>
        <v>172.75459335984655</v>
      </c>
      <c r="K5" s="24">
        <v>7</v>
      </c>
      <c r="L5" s="24">
        <f t="shared" si="2"/>
        <v>0.14355895196506552</v>
      </c>
      <c r="M5" s="24">
        <v>348.4</v>
      </c>
      <c r="N5" s="24">
        <v>18</v>
      </c>
      <c r="O5" s="24">
        <f t="shared" si="3"/>
        <v>366.4</v>
      </c>
      <c r="P5" s="24">
        <v>48.5</v>
      </c>
      <c r="Q5" s="24">
        <v>4.0999999999999996</v>
      </c>
      <c r="R5" s="24">
        <f t="shared" si="0"/>
        <v>52.6</v>
      </c>
      <c r="S5" s="24">
        <f t="shared" si="4"/>
        <v>2.2535459335984656</v>
      </c>
      <c r="T5" s="24">
        <f t="shared" si="5"/>
        <v>3.6564649129664573</v>
      </c>
      <c r="U5" s="24"/>
      <c r="V5" s="24"/>
      <c r="W5" s="24">
        <f t="shared" si="6"/>
        <v>0</v>
      </c>
      <c r="X5" s="22">
        <v>3.7114721890947897</v>
      </c>
      <c r="Y5" s="24">
        <f t="shared" si="7"/>
        <v>1.0150438408237605</v>
      </c>
    </row>
    <row r="6" spans="1:25" ht="15">
      <c r="A6" s="21" t="s">
        <v>28</v>
      </c>
      <c r="B6" s="22"/>
      <c r="C6" s="22"/>
      <c r="D6" s="17"/>
      <c r="E6" s="23" t="s">
        <v>31</v>
      </c>
      <c r="F6" s="23" t="s">
        <v>30</v>
      </c>
      <c r="G6" s="19"/>
      <c r="I6" s="24">
        <v>1517.7647058823527</v>
      </c>
      <c r="J6" s="24">
        <f t="shared" si="1"/>
        <v>217.33566057069413</v>
      </c>
      <c r="K6" s="24">
        <v>8</v>
      </c>
      <c r="L6" s="24">
        <f t="shared" si="2"/>
        <v>0.1431945674638323</v>
      </c>
      <c r="M6" s="24">
        <v>320.8</v>
      </c>
      <c r="N6" s="24">
        <v>17.899999999999999</v>
      </c>
      <c r="O6" s="24">
        <f t="shared" si="3"/>
        <v>338.7</v>
      </c>
      <c r="P6" s="24">
        <v>44.5</v>
      </c>
      <c r="Q6" s="24">
        <v>4</v>
      </c>
      <c r="R6" s="24">
        <f t="shared" si="0"/>
        <v>48.5</v>
      </c>
      <c r="S6" s="24">
        <f t="shared" si="4"/>
        <v>2.6583566057069414</v>
      </c>
      <c r="T6" s="24">
        <f t="shared" si="5"/>
        <v>3.5085260405383147</v>
      </c>
      <c r="U6" s="24"/>
      <c r="V6" s="24"/>
      <c r="W6" s="24">
        <f t="shared" si="6"/>
        <v>0</v>
      </c>
      <c r="X6" s="22">
        <v>3.0955698998697736</v>
      </c>
      <c r="Y6" s="24">
        <f t="shared" si="7"/>
        <v>0.88229925162385825</v>
      </c>
    </row>
    <row r="7" spans="1:25" ht="15">
      <c r="A7" s="21" t="s">
        <v>28</v>
      </c>
      <c r="B7" s="22"/>
      <c r="C7" s="22"/>
      <c r="D7" s="25"/>
      <c r="E7" s="23" t="s">
        <v>29</v>
      </c>
      <c r="F7" s="23" t="s">
        <v>30</v>
      </c>
      <c r="G7" s="26"/>
      <c r="I7" s="24">
        <v>1451.8823311748381</v>
      </c>
      <c r="J7" s="24">
        <f t="shared" si="1"/>
        <v>248.06029778866579</v>
      </c>
      <c r="K7" s="24">
        <v>7</v>
      </c>
      <c r="L7" s="24">
        <f t="shared" si="2"/>
        <v>0.17085427135678391</v>
      </c>
      <c r="M7" s="24">
        <v>242.6</v>
      </c>
      <c r="N7" s="24">
        <v>16.100000000000001</v>
      </c>
      <c r="O7" s="24">
        <f t="shared" si="3"/>
        <v>258.7</v>
      </c>
      <c r="P7" s="24">
        <v>41.4</v>
      </c>
      <c r="Q7" s="24">
        <v>2.8</v>
      </c>
      <c r="R7" s="24">
        <f t="shared" si="0"/>
        <v>44.199999999999996</v>
      </c>
      <c r="S7" s="24">
        <f t="shared" si="4"/>
        <v>2.9226029778866582</v>
      </c>
      <c r="T7" s="24">
        <f t="shared" si="5"/>
        <v>3.4263802523916644</v>
      </c>
      <c r="U7" s="24"/>
      <c r="V7" s="24"/>
      <c r="W7" s="24">
        <f t="shared" si="6"/>
        <v>0</v>
      </c>
      <c r="X7" s="22" t="s">
        <v>32</v>
      </c>
      <c r="Y7" s="22" t="s">
        <v>32</v>
      </c>
    </row>
    <row r="8" spans="1:25" s="30" customFormat="1" ht="15.75" thickBot="1">
      <c r="A8" s="21" t="s">
        <v>28</v>
      </c>
      <c r="B8" s="22"/>
      <c r="C8" s="22"/>
      <c r="D8" s="27"/>
      <c r="E8" s="23" t="s">
        <v>31</v>
      </c>
      <c r="F8" s="23" t="s">
        <v>30</v>
      </c>
      <c r="G8" s="28"/>
      <c r="H8" s="29"/>
      <c r="I8" s="24">
        <v>1200.5992031872509</v>
      </c>
      <c r="J8" s="24">
        <f t="shared" si="1"/>
        <v>165.48437677859985</v>
      </c>
      <c r="K8" s="24">
        <v>7</v>
      </c>
      <c r="L8" s="24">
        <f t="shared" si="2"/>
        <v>0.13783482142857142</v>
      </c>
      <c r="M8" s="24">
        <v>346.2</v>
      </c>
      <c r="N8" s="24">
        <v>12.2</v>
      </c>
      <c r="O8" s="24">
        <f t="shared" si="3"/>
        <v>358.4</v>
      </c>
      <c r="P8" s="24">
        <v>46.3</v>
      </c>
      <c r="Q8" s="24">
        <v>3.1</v>
      </c>
      <c r="R8" s="24">
        <f t="shared" si="0"/>
        <v>49.4</v>
      </c>
      <c r="S8" s="24">
        <f t="shared" si="4"/>
        <v>2.1488437677859986</v>
      </c>
      <c r="T8" s="24">
        <f t="shared" si="5"/>
        <v>3.7002136738151057</v>
      </c>
      <c r="U8" s="24"/>
      <c r="V8" s="24"/>
      <c r="W8" s="24">
        <f t="shared" si="6"/>
        <v>0</v>
      </c>
      <c r="X8" s="22">
        <v>3.3619816952092179</v>
      </c>
      <c r="Y8" s="24">
        <f t="shared" si="7"/>
        <v>0.908591230555301</v>
      </c>
    </row>
    <row r="9" spans="1:25" ht="15.75" thickTop="1">
      <c r="A9" s="21" t="s">
        <v>28</v>
      </c>
      <c r="B9" s="22"/>
      <c r="C9" s="22"/>
      <c r="D9" s="31"/>
      <c r="E9" s="23" t="s">
        <v>29</v>
      </c>
      <c r="F9" s="23" t="s">
        <v>33</v>
      </c>
      <c r="G9" s="32"/>
      <c r="H9" s="33"/>
      <c r="I9" s="24">
        <v>803.67135455218363</v>
      </c>
      <c r="J9" s="24">
        <f t="shared" si="1"/>
        <v>129.91200976913271</v>
      </c>
      <c r="K9" s="24">
        <v>6</v>
      </c>
      <c r="L9" s="24">
        <f t="shared" si="2"/>
        <v>0.16164817749603805</v>
      </c>
      <c r="M9" s="24">
        <v>119.1</v>
      </c>
      <c r="N9" s="24">
        <v>7.1</v>
      </c>
      <c r="O9" s="24">
        <f t="shared" si="3"/>
        <v>126.19999999999999</v>
      </c>
      <c r="P9" s="24">
        <v>18.5</v>
      </c>
      <c r="Q9" s="24">
        <v>1.9</v>
      </c>
      <c r="R9" s="24">
        <f t="shared" si="0"/>
        <v>20.399999999999999</v>
      </c>
      <c r="S9" s="24">
        <f t="shared" si="4"/>
        <v>1.503120097691327</v>
      </c>
      <c r="T9" s="24">
        <f t="shared" si="5"/>
        <v>4.0460346114829502</v>
      </c>
      <c r="U9" s="24"/>
      <c r="V9" s="24"/>
      <c r="W9" s="24">
        <f t="shared" si="6"/>
        <v>0</v>
      </c>
      <c r="X9" s="22">
        <v>2.3232449626787601</v>
      </c>
      <c r="Y9" s="24">
        <f t="shared" si="7"/>
        <v>0.57420293837457947</v>
      </c>
    </row>
    <row r="10" spans="1:25" ht="15">
      <c r="A10" s="21" t="s">
        <v>28</v>
      </c>
      <c r="B10" s="22"/>
      <c r="C10" s="22"/>
      <c r="D10" s="34"/>
      <c r="E10" s="23" t="s">
        <v>31</v>
      </c>
      <c r="F10" s="23" t="s">
        <v>33</v>
      </c>
      <c r="G10" s="35"/>
      <c r="H10" s="36"/>
      <c r="I10" s="24">
        <v>1550.0072995694075</v>
      </c>
      <c r="J10" s="24">
        <f t="shared" si="1"/>
        <v>201.02927830721802</v>
      </c>
      <c r="K10" s="24">
        <v>6</v>
      </c>
      <c r="L10" s="24">
        <f t="shared" si="2"/>
        <v>0.12969569779643234</v>
      </c>
      <c r="M10" s="24">
        <v>451.8</v>
      </c>
      <c r="N10" s="24">
        <v>24.7</v>
      </c>
      <c r="O10" s="24">
        <f t="shared" si="3"/>
        <v>476.5</v>
      </c>
      <c r="P10" s="24">
        <v>56.1</v>
      </c>
      <c r="Q10" s="24">
        <v>5.7</v>
      </c>
      <c r="R10" s="24">
        <f t="shared" si="0"/>
        <v>61.800000000000004</v>
      </c>
      <c r="S10" s="24">
        <f t="shared" si="4"/>
        <v>2.6282927830721805</v>
      </c>
      <c r="T10" s="24">
        <f t="shared" si="5"/>
        <v>3.5185163896589842</v>
      </c>
      <c r="U10" s="24"/>
      <c r="V10" s="24"/>
      <c r="W10" s="24">
        <f t="shared" si="6"/>
        <v>0</v>
      </c>
      <c r="X10" s="22">
        <v>4.8400918019388648</v>
      </c>
      <c r="Y10" s="24">
        <f t="shared" si="7"/>
        <v>1.3756058707482581</v>
      </c>
    </row>
    <row r="11" spans="1:25" ht="15">
      <c r="A11" s="21" t="s">
        <v>28</v>
      </c>
      <c r="B11" s="22"/>
      <c r="C11" s="22"/>
      <c r="D11" s="34"/>
      <c r="E11" s="23" t="s">
        <v>29</v>
      </c>
      <c r="F11" s="23" t="s">
        <v>33</v>
      </c>
      <c r="G11" s="35"/>
      <c r="H11" s="36"/>
      <c r="I11" s="24">
        <v>1457.9432311811961</v>
      </c>
      <c r="J11" s="24">
        <f t="shared" si="1"/>
        <v>199.46094512478942</v>
      </c>
      <c r="K11" s="24">
        <v>6</v>
      </c>
      <c r="L11" s="24">
        <f t="shared" si="2"/>
        <v>0.13680981595092026</v>
      </c>
      <c r="M11" s="24">
        <v>307.7</v>
      </c>
      <c r="N11" s="24">
        <v>18.3</v>
      </c>
      <c r="O11" s="24">
        <f t="shared" si="3"/>
        <v>326</v>
      </c>
      <c r="P11" s="24">
        <v>40.9</v>
      </c>
      <c r="Q11" s="24">
        <v>3.7</v>
      </c>
      <c r="R11" s="24">
        <f>P11+Q11</f>
        <v>44.6</v>
      </c>
      <c r="S11" s="24">
        <f t="shared" si="4"/>
        <v>2.440609451247894</v>
      </c>
      <c r="T11" s="24">
        <f t="shared" si="5"/>
        <v>3.5842924860807872</v>
      </c>
      <c r="U11" s="24"/>
      <c r="V11" s="24"/>
      <c r="W11" s="24">
        <f t="shared" ref="W11:W26" si="8">(U10*P11)+(V11*Q11)</f>
        <v>0</v>
      </c>
      <c r="X11" s="22">
        <v>3.3738962501469509</v>
      </c>
      <c r="Y11" s="24">
        <f t="shared" si="7"/>
        <v>0.94130048349823925</v>
      </c>
    </row>
    <row r="12" spans="1:25" ht="15">
      <c r="A12" s="21" t="s">
        <v>28</v>
      </c>
      <c r="B12" s="22"/>
      <c r="C12" s="22"/>
      <c r="D12" s="34"/>
      <c r="E12" s="23" t="s">
        <v>31</v>
      </c>
      <c r="F12" s="23" t="s">
        <v>33</v>
      </c>
      <c r="G12" s="35"/>
      <c r="H12" s="36"/>
      <c r="I12" s="24">
        <v>2049.4432989690722</v>
      </c>
      <c r="J12" s="24">
        <f t="shared" si="1"/>
        <v>267.55417275124773</v>
      </c>
      <c r="K12" s="24">
        <v>7</v>
      </c>
      <c r="L12" s="24">
        <f t="shared" si="2"/>
        <v>0.13054968287526425</v>
      </c>
      <c r="M12" s="24">
        <v>357.6</v>
      </c>
      <c r="N12" s="24">
        <v>20.8</v>
      </c>
      <c r="O12" s="24">
        <f t="shared" si="3"/>
        <v>378.40000000000003</v>
      </c>
      <c r="P12" s="24">
        <v>45.1</v>
      </c>
      <c r="Q12" s="24">
        <v>4.3</v>
      </c>
      <c r="R12" s="24">
        <f t="shared" ref="R12:R50" si="9">P12+Q12</f>
        <v>49.4</v>
      </c>
      <c r="S12" s="24">
        <f t="shared" si="4"/>
        <v>3.1695417275124771</v>
      </c>
      <c r="T12" s="24">
        <f t="shared" si="5"/>
        <v>3.3575995312568114</v>
      </c>
      <c r="U12" s="24"/>
      <c r="V12" s="24"/>
      <c r="W12" s="24">
        <f t="shared" si="8"/>
        <v>0</v>
      </c>
      <c r="X12" s="22">
        <v>3.3449878625943992</v>
      </c>
      <c r="Y12" s="24">
        <f t="shared" si="7"/>
        <v>0.99624384369100405</v>
      </c>
    </row>
    <row r="13" spans="1:25" ht="15">
      <c r="A13" s="21" t="s">
        <v>28</v>
      </c>
      <c r="B13" s="22"/>
      <c r="C13" s="22"/>
      <c r="D13" s="37"/>
      <c r="E13" s="23" t="s">
        <v>29</v>
      </c>
      <c r="F13" s="23" t="s">
        <v>33</v>
      </c>
      <c r="G13" s="38"/>
      <c r="H13" s="36"/>
      <c r="I13" s="24">
        <v>1215.6948228882834</v>
      </c>
      <c r="J13" s="24">
        <f t="shared" si="1"/>
        <v>175.88776160936865</v>
      </c>
      <c r="K13" s="24">
        <v>7</v>
      </c>
      <c r="L13" s="24">
        <f t="shared" si="2"/>
        <v>0.14468085106382977</v>
      </c>
      <c r="M13" s="24">
        <v>266.8</v>
      </c>
      <c r="N13" s="24">
        <v>15.2</v>
      </c>
      <c r="O13" s="24">
        <f t="shared" si="3"/>
        <v>282</v>
      </c>
      <c r="P13" s="24">
        <v>37.5</v>
      </c>
      <c r="Q13" s="24">
        <v>3.3</v>
      </c>
      <c r="R13" s="24">
        <f t="shared" si="9"/>
        <v>40.799999999999997</v>
      </c>
      <c r="S13" s="24">
        <f t="shared" si="4"/>
        <v>2.1668776160936862</v>
      </c>
      <c r="T13" s="24">
        <f t="shared" si="5"/>
        <v>3.6924907680653147</v>
      </c>
      <c r="U13" s="24"/>
      <c r="V13" s="24"/>
      <c r="W13" s="24">
        <f t="shared" si="8"/>
        <v>0</v>
      </c>
      <c r="X13" s="22">
        <v>2.9993780804105539</v>
      </c>
      <c r="Y13" s="24">
        <f t="shared" si="7"/>
        <v>0.81229128759124347</v>
      </c>
    </row>
    <row r="14" spans="1:25" s="30" customFormat="1" ht="15.75" thickBot="1">
      <c r="A14" s="21" t="s">
        <v>28</v>
      </c>
      <c r="B14" s="22"/>
      <c r="C14" s="22"/>
      <c r="D14" s="39"/>
      <c r="E14" s="23" t="s">
        <v>31</v>
      </c>
      <c r="F14" s="23" t="s">
        <v>33</v>
      </c>
      <c r="G14" s="28"/>
      <c r="H14" s="29"/>
      <c r="I14" s="24">
        <v>1055.9038776624798</v>
      </c>
      <c r="J14" s="24">
        <f t="shared" si="1"/>
        <v>156.23219118156524</v>
      </c>
      <c r="K14" s="24">
        <v>7</v>
      </c>
      <c r="L14" s="24">
        <f>R14/O14</f>
        <v>0.14796061884669481</v>
      </c>
      <c r="M14" s="24">
        <v>337.6</v>
      </c>
      <c r="N14" s="24">
        <v>17.899999999999999</v>
      </c>
      <c r="O14" s="24">
        <f t="shared" si="3"/>
        <v>355.5</v>
      </c>
      <c r="P14" s="24">
        <v>48.2</v>
      </c>
      <c r="Q14" s="24">
        <v>4.4000000000000004</v>
      </c>
      <c r="R14" s="24">
        <f t="shared" si="9"/>
        <v>52.6</v>
      </c>
      <c r="S14" s="24">
        <f t="shared" si="4"/>
        <v>2.0883219118156524</v>
      </c>
      <c r="T14" s="24">
        <f t="shared" si="5"/>
        <v>3.7267362059927702</v>
      </c>
      <c r="U14" s="24"/>
      <c r="V14" s="24"/>
      <c r="W14" s="24">
        <f t="shared" si="8"/>
        <v>0</v>
      </c>
      <c r="X14" s="22">
        <v>4.0561301926588484</v>
      </c>
      <c r="Y14" s="24">
        <f t="shared" si="7"/>
        <v>1.0883867192253631</v>
      </c>
    </row>
    <row r="15" spans="1:25" ht="15.75" thickTop="1">
      <c r="A15" s="40" t="s">
        <v>34</v>
      </c>
      <c r="B15" s="41"/>
      <c r="C15" s="41"/>
      <c r="D15" s="31"/>
      <c r="E15" s="42" t="s">
        <v>29</v>
      </c>
      <c r="F15" s="42" t="s">
        <v>30</v>
      </c>
      <c r="G15" s="32"/>
      <c r="H15" s="33"/>
      <c r="I15" s="43">
        <v>512.33333333333337</v>
      </c>
      <c r="J15" s="43">
        <f t="shared" si="1"/>
        <v>88.230449251247919</v>
      </c>
      <c r="K15" s="43">
        <v>6</v>
      </c>
      <c r="L15" s="43">
        <f t="shared" si="2"/>
        <v>0.17221297836938435</v>
      </c>
      <c r="M15" s="43">
        <v>106.4</v>
      </c>
      <c r="N15" s="43">
        <v>13.8</v>
      </c>
      <c r="O15" s="43">
        <f t="shared" si="3"/>
        <v>120.2</v>
      </c>
      <c r="P15" s="43">
        <v>17.7</v>
      </c>
      <c r="Q15" s="43">
        <v>3</v>
      </c>
      <c r="R15" s="43">
        <f t="shared" si="9"/>
        <v>20.7</v>
      </c>
      <c r="S15" s="43">
        <f t="shared" si="4"/>
        <v>1.0893044925124793</v>
      </c>
      <c r="T15" s="43">
        <f t="shared" si="5"/>
        <v>4.3852129737618366</v>
      </c>
      <c r="U15" s="43"/>
      <c r="V15" s="43"/>
      <c r="W15" s="43">
        <f t="shared" si="8"/>
        <v>0</v>
      </c>
      <c r="X15" s="41">
        <v>2.884595559622976</v>
      </c>
      <c r="Y15" s="43">
        <f t="shared" si="7"/>
        <v>0.6578005622263855</v>
      </c>
    </row>
    <row r="16" spans="1:25" ht="15">
      <c r="A16" s="40" t="s">
        <v>34</v>
      </c>
      <c r="B16" s="41"/>
      <c r="C16" s="41"/>
      <c r="D16" s="34"/>
      <c r="E16" s="42" t="s">
        <v>31</v>
      </c>
      <c r="F16" s="42" t="s">
        <v>30</v>
      </c>
      <c r="G16" s="32"/>
      <c r="H16" s="36"/>
      <c r="I16" s="44">
        <v>1164.6131147540984</v>
      </c>
      <c r="J16" s="44">
        <f t="shared" si="1"/>
        <v>202.26459898799104</v>
      </c>
      <c r="K16" s="44">
        <v>5</v>
      </c>
      <c r="L16" s="44">
        <f t="shared" si="2"/>
        <v>0.17367535744322962</v>
      </c>
      <c r="M16" s="44">
        <v>217.8</v>
      </c>
      <c r="N16" s="44">
        <v>20</v>
      </c>
      <c r="O16" s="44">
        <f t="shared" si="3"/>
        <v>237.8</v>
      </c>
      <c r="P16" s="44">
        <v>37.1</v>
      </c>
      <c r="Q16" s="44">
        <v>4.2</v>
      </c>
      <c r="R16" s="44">
        <f t="shared" si="9"/>
        <v>41.300000000000004</v>
      </c>
      <c r="S16" s="44">
        <f t="shared" si="4"/>
        <v>2.4356459898799105</v>
      </c>
      <c r="T16" s="44">
        <f t="shared" si="5"/>
        <v>3.5861171476044884</v>
      </c>
      <c r="U16" s="44"/>
      <c r="V16" s="44"/>
      <c r="W16" s="44">
        <f t="shared" si="8"/>
        <v>0</v>
      </c>
      <c r="X16" s="41">
        <v>2.2394604139827958</v>
      </c>
      <c r="Y16" s="44">
        <f t="shared" si="7"/>
        <v>0.62448055147298975</v>
      </c>
    </row>
    <row r="17" spans="1:25" ht="15">
      <c r="A17" s="40" t="s">
        <v>34</v>
      </c>
      <c r="B17" s="41"/>
      <c r="C17" s="41"/>
      <c r="D17" s="34"/>
      <c r="E17" s="42" t="s">
        <v>29</v>
      </c>
      <c r="F17" s="42" t="s">
        <v>30</v>
      </c>
      <c r="G17" s="32"/>
      <c r="H17" s="36"/>
      <c r="I17" s="44">
        <v>1018.1375939849625</v>
      </c>
      <c r="J17" s="44">
        <f>I17*L17</f>
        <v>183.69310959437431</v>
      </c>
      <c r="K17" s="44">
        <v>7</v>
      </c>
      <c r="L17" s="44">
        <f t="shared" si="2"/>
        <v>0.18042071197411005</v>
      </c>
      <c r="M17" s="44">
        <v>223.6</v>
      </c>
      <c r="N17" s="44">
        <v>23.6</v>
      </c>
      <c r="O17" s="44">
        <f t="shared" si="3"/>
        <v>247.2</v>
      </c>
      <c r="P17" s="44">
        <v>39.6</v>
      </c>
      <c r="Q17" s="44">
        <v>5</v>
      </c>
      <c r="R17" s="44">
        <f t="shared" si="9"/>
        <v>44.6</v>
      </c>
      <c r="S17" s="44">
        <f t="shared" si="4"/>
        <v>2.2829310959437432</v>
      </c>
      <c r="T17" s="44">
        <f t="shared" si="5"/>
        <v>3.6446414755116474</v>
      </c>
      <c r="U17" s="44"/>
      <c r="V17" s="44"/>
      <c r="W17" s="44">
        <f t="shared" si="8"/>
        <v>0</v>
      </c>
      <c r="X17" s="41">
        <v>2.7861207147988623</v>
      </c>
      <c r="Y17" s="44">
        <f t="shared" si="7"/>
        <v>0.76444301408487292</v>
      </c>
    </row>
    <row r="18" spans="1:25" ht="15">
      <c r="A18" s="40" t="s">
        <v>34</v>
      </c>
      <c r="B18" s="41"/>
      <c r="C18" s="41"/>
      <c r="D18" s="34"/>
      <c r="E18" s="42" t="s">
        <v>31</v>
      </c>
      <c r="F18" s="42" t="s">
        <v>30</v>
      </c>
      <c r="G18" s="32"/>
      <c r="H18" s="36"/>
      <c r="I18" s="44">
        <v>941.09433962264154</v>
      </c>
      <c r="J18" s="44">
        <f t="shared" si="1"/>
        <v>170.15528184464398</v>
      </c>
      <c r="K18" s="44">
        <v>8</v>
      </c>
      <c r="L18" s="44">
        <f t="shared" si="2"/>
        <v>0.18080576482148705</v>
      </c>
      <c r="M18" s="44">
        <v>278</v>
      </c>
      <c r="N18" s="44">
        <v>27.3</v>
      </c>
      <c r="O18" s="44">
        <f t="shared" si="3"/>
        <v>305.3</v>
      </c>
      <c r="P18" s="44">
        <v>49.5</v>
      </c>
      <c r="Q18" s="44">
        <v>5.7</v>
      </c>
      <c r="R18" s="44">
        <f t="shared" si="9"/>
        <v>55.2</v>
      </c>
      <c r="S18" s="44">
        <f t="shared" si="4"/>
        <v>2.2535528184464395</v>
      </c>
      <c r="T18" s="44">
        <f t="shared" si="5"/>
        <v>3.6564621202391594</v>
      </c>
      <c r="U18" s="44"/>
      <c r="V18" s="44"/>
      <c r="W18" s="44">
        <f t="shared" si="8"/>
        <v>0</v>
      </c>
      <c r="X18" s="41">
        <v>3.2456369857499388</v>
      </c>
      <c r="Y18" s="44">
        <f t="shared" si="7"/>
        <v>0.88764408847141296</v>
      </c>
    </row>
    <row r="19" spans="1:25" ht="15">
      <c r="A19" s="40" t="s">
        <v>34</v>
      </c>
      <c r="B19" s="41"/>
      <c r="C19" s="41"/>
      <c r="D19" s="34"/>
      <c r="E19" s="42" t="s">
        <v>29</v>
      </c>
      <c r="F19" s="42" t="s">
        <v>30</v>
      </c>
      <c r="G19" s="32"/>
      <c r="H19" s="36"/>
      <c r="I19" s="44">
        <v>1099.886524822695</v>
      </c>
      <c r="J19" s="44">
        <f t="shared" si="1"/>
        <v>195.47268762880438</v>
      </c>
      <c r="K19" s="44">
        <v>7</v>
      </c>
      <c r="L19" s="44">
        <f t="shared" si="2"/>
        <v>0.17772077684133383</v>
      </c>
      <c r="M19" s="44">
        <v>246.5</v>
      </c>
      <c r="N19" s="44">
        <v>26.4</v>
      </c>
      <c r="O19" s="44">
        <f t="shared" si="3"/>
        <v>272.89999999999998</v>
      </c>
      <c r="P19" s="44">
        <v>42.6</v>
      </c>
      <c r="Q19" s="44">
        <v>5.9</v>
      </c>
      <c r="R19" s="44">
        <f t="shared" si="9"/>
        <v>48.5</v>
      </c>
      <c r="S19" s="44">
        <f t="shared" si="4"/>
        <v>2.4397268762880437</v>
      </c>
      <c r="T19" s="44">
        <f t="shared" si="5"/>
        <v>3.5846165979496747</v>
      </c>
      <c r="U19" s="44"/>
      <c r="V19" s="44"/>
      <c r="W19" s="44">
        <f t="shared" si="8"/>
        <v>0</v>
      </c>
      <c r="X19" s="41">
        <v>2.5504834157158447</v>
      </c>
      <c r="Y19" s="44">
        <f>X19/T19</f>
        <v>0.71150800818549675</v>
      </c>
    </row>
    <row r="20" spans="1:25" ht="15">
      <c r="A20" s="40" t="s">
        <v>34</v>
      </c>
      <c r="B20" s="41"/>
      <c r="C20" s="41"/>
      <c r="D20" s="34"/>
      <c r="E20" s="42" t="s">
        <v>31</v>
      </c>
      <c r="F20" s="42" t="s">
        <v>30</v>
      </c>
      <c r="G20" s="32"/>
      <c r="H20" s="36"/>
      <c r="I20" s="44">
        <v>1103.8271186440679</v>
      </c>
      <c r="J20" s="44">
        <f t="shared" si="1"/>
        <v>167.12523011202117</v>
      </c>
      <c r="K20" s="44">
        <v>6</v>
      </c>
      <c r="L20" s="44">
        <f t="shared" si="2"/>
        <v>0.1514052583862194</v>
      </c>
      <c r="M20" s="44">
        <v>205</v>
      </c>
      <c r="N20" s="44">
        <v>15.6</v>
      </c>
      <c r="O20" s="44">
        <f t="shared" si="3"/>
        <v>220.6</v>
      </c>
      <c r="P20" s="44">
        <v>30.2</v>
      </c>
      <c r="Q20" s="44">
        <v>3.2</v>
      </c>
      <c r="R20" s="44">
        <f t="shared" si="9"/>
        <v>33.4</v>
      </c>
      <c r="S20" s="44">
        <f t="shared" si="4"/>
        <v>2.0052523011202119</v>
      </c>
      <c r="T20" s="44">
        <f t="shared" si="5"/>
        <v>3.7647466728626</v>
      </c>
      <c r="U20" s="44"/>
      <c r="V20" s="44"/>
      <c r="W20" s="44">
        <f t="shared" si="8"/>
        <v>0</v>
      </c>
      <c r="X20" s="41">
        <v>2.5800672301297496</v>
      </c>
      <c r="Y20" s="44">
        <f t="shared" si="7"/>
        <v>0.68532293254354459</v>
      </c>
    </row>
    <row r="21" spans="1:25" ht="15">
      <c r="A21" s="40" t="s">
        <v>34</v>
      </c>
      <c r="B21" s="41"/>
      <c r="C21" s="41"/>
      <c r="D21" s="34"/>
      <c r="E21" s="42" t="s">
        <v>29</v>
      </c>
      <c r="F21" s="42" t="s">
        <v>33</v>
      </c>
      <c r="G21" s="32"/>
      <c r="H21" s="36"/>
      <c r="I21" s="44">
        <v>863.16083916083915</v>
      </c>
      <c r="J21" s="44">
        <f t="shared" si="1"/>
        <v>158.45616864886938</v>
      </c>
      <c r="K21" s="44">
        <v>7</v>
      </c>
      <c r="L21" s="44">
        <f t="shared" si="2"/>
        <v>0.18357664233576643</v>
      </c>
      <c r="M21" s="44">
        <v>238</v>
      </c>
      <c r="N21" s="44">
        <v>36</v>
      </c>
      <c r="O21" s="44">
        <f t="shared" si="3"/>
        <v>274</v>
      </c>
      <c r="P21" s="44">
        <v>42.4</v>
      </c>
      <c r="Q21" s="44">
        <v>7.9</v>
      </c>
      <c r="R21" s="44">
        <f t="shared" si="9"/>
        <v>50.3</v>
      </c>
      <c r="S21" s="44">
        <f t="shared" si="4"/>
        <v>2.0875616864886939</v>
      </c>
      <c r="T21" s="44">
        <f t="shared" si="5"/>
        <v>3.7270754501508421</v>
      </c>
      <c r="U21" s="44"/>
      <c r="V21" s="44"/>
      <c r="W21" s="44">
        <f t="shared" si="8"/>
        <v>0</v>
      </c>
      <c r="X21" s="41">
        <v>2.7383164986071149</v>
      </c>
      <c r="Y21" s="44">
        <f t="shared" si="7"/>
        <v>0.73470916680699072</v>
      </c>
    </row>
    <row r="22" spans="1:25" s="47" customFormat="1" ht="15.75" thickBot="1">
      <c r="A22" s="40" t="s">
        <v>34</v>
      </c>
      <c r="B22" s="41"/>
      <c r="C22" s="41"/>
      <c r="D22" s="45"/>
      <c r="E22" s="42" t="s">
        <v>31</v>
      </c>
      <c r="F22" s="42" t="s">
        <v>33</v>
      </c>
      <c r="G22" s="46"/>
      <c r="H22" s="29"/>
      <c r="I22" s="44">
        <v>1438.5614973262032</v>
      </c>
      <c r="J22" s="44">
        <f t="shared" si="1"/>
        <v>237.20751962463189</v>
      </c>
      <c r="K22" s="44">
        <v>7</v>
      </c>
      <c r="L22" s="44">
        <f t="shared" si="2"/>
        <v>0.16489216489216488</v>
      </c>
      <c r="M22" s="44">
        <v>327.7</v>
      </c>
      <c r="N22" s="44">
        <v>38.6</v>
      </c>
      <c r="O22" s="44">
        <f t="shared" si="3"/>
        <v>366.3</v>
      </c>
      <c r="P22" s="44">
        <v>52.5</v>
      </c>
      <c r="Q22" s="44">
        <v>7.9</v>
      </c>
      <c r="R22" s="44">
        <f t="shared" si="9"/>
        <v>60.4</v>
      </c>
      <c r="S22" s="44">
        <f t="shared" si="4"/>
        <v>2.976075196246319</v>
      </c>
      <c r="T22" s="44">
        <f t="shared" si="5"/>
        <v>3.4108846997060098</v>
      </c>
      <c r="U22" s="44"/>
      <c r="V22" s="44"/>
      <c r="W22" s="44">
        <f t="shared" si="8"/>
        <v>0</v>
      </c>
      <c r="X22" s="41">
        <v>2.7926450053420608</v>
      </c>
      <c r="Y22" s="44">
        <f t="shared" si="7"/>
        <v>0.81874506211915166</v>
      </c>
    </row>
    <row r="23" spans="1:25" s="51" customFormat="1" ht="15.75" thickTop="1">
      <c r="A23" s="40" t="s">
        <v>34</v>
      </c>
      <c r="B23" s="41"/>
      <c r="C23" s="41"/>
      <c r="D23" s="48"/>
      <c r="E23" s="42" t="s">
        <v>29</v>
      </c>
      <c r="F23" s="42" t="s">
        <v>33</v>
      </c>
      <c r="G23" s="49"/>
      <c r="H23" s="50"/>
      <c r="I23" s="44">
        <v>1163.6842105263158</v>
      </c>
      <c r="J23" s="44">
        <f t="shared" si="1"/>
        <v>199.86004098686197</v>
      </c>
      <c r="K23" s="44">
        <v>7</v>
      </c>
      <c r="L23" s="44">
        <f t="shared" si="2"/>
        <v>0.17174766073045578</v>
      </c>
      <c r="M23" s="44">
        <v>293.7</v>
      </c>
      <c r="N23" s="44">
        <v>37.6</v>
      </c>
      <c r="O23" s="44">
        <f t="shared" si="3"/>
        <v>331.3</v>
      </c>
      <c r="P23" s="44">
        <v>49</v>
      </c>
      <c r="Q23" s="44">
        <v>7.9</v>
      </c>
      <c r="R23" s="44">
        <f t="shared" si="9"/>
        <v>56.9</v>
      </c>
      <c r="S23" s="44">
        <f t="shared" si="4"/>
        <v>2.5676004098686196</v>
      </c>
      <c r="T23" s="44">
        <f t="shared" si="5"/>
        <v>3.5391270613768362</v>
      </c>
      <c r="U23" s="44"/>
      <c r="V23" s="44"/>
      <c r="W23" s="44">
        <f t="shared" si="8"/>
        <v>0</v>
      </c>
      <c r="X23" s="41">
        <v>2.9318198634482746</v>
      </c>
      <c r="Y23" s="44">
        <f t="shared" si="7"/>
        <v>0.82840197952873185</v>
      </c>
    </row>
    <row r="24" spans="1:25" s="51" customFormat="1" ht="15">
      <c r="A24" s="40" t="s">
        <v>34</v>
      </c>
      <c r="B24" s="41"/>
      <c r="C24" s="41"/>
      <c r="D24" s="48"/>
      <c r="E24" s="42" t="s">
        <v>31</v>
      </c>
      <c r="F24" s="42" t="s">
        <v>33</v>
      </c>
      <c r="G24" s="49"/>
      <c r="H24" s="50"/>
      <c r="I24" s="44">
        <v>1219.3999999999999</v>
      </c>
      <c r="J24" s="44">
        <f t="shared" si="1"/>
        <v>211.04999999999993</v>
      </c>
      <c r="K24" s="44">
        <v>9</v>
      </c>
      <c r="L24" s="44">
        <f t="shared" si="2"/>
        <v>0.17307692307692304</v>
      </c>
      <c r="M24" s="44">
        <v>329.8</v>
      </c>
      <c r="N24" s="44">
        <v>44.6</v>
      </c>
      <c r="O24" s="44">
        <f t="shared" si="3"/>
        <v>374.40000000000003</v>
      </c>
      <c r="P24" s="44">
        <v>55.5</v>
      </c>
      <c r="Q24" s="44">
        <v>9.3000000000000007</v>
      </c>
      <c r="R24" s="44">
        <f t="shared" si="9"/>
        <v>64.8</v>
      </c>
      <c r="S24" s="44">
        <f t="shared" si="4"/>
        <v>2.7584999999999993</v>
      </c>
      <c r="T24" s="44">
        <f t="shared" si="5"/>
        <v>3.4762401150478257</v>
      </c>
      <c r="U24" s="44"/>
      <c r="V24" s="44"/>
      <c r="W24" s="44">
        <f t="shared" si="8"/>
        <v>0</v>
      </c>
      <c r="X24" s="41">
        <v>2.9059708022578459</v>
      </c>
      <c r="Y24" s="44">
        <f>X24/T24</f>
        <v>0.83595226626566499</v>
      </c>
    </row>
    <row r="25" spans="1:25" s="51" customFormat="1" ht="15">
      <c r="A25" s="40" t="s">
        <v>34</v>
      </c>
      <c r="B25" s="41"/>
      <c r="C25" s="41"/>
      <c r="D25" s="48"/>
      <c r="E25" s="42" t="s">
        <v>29</v>
      </c>
      <c r="F25" s="42" t="s">
        <v>33</v>
      </c>
      <c r="G25" s="49"/>
      <c r="H25" s="50"/>
      <c r="I25" s="44">
        <v>1034.3666666666668</v>
      </c>
      <c r="J25" s="44">
        <f t="shared" si="1"/>
        <v>187.51676413255365</v>
      </c>
      <c r="K25" s="44">
        <v>6</v>
      </c>
      <c r="L25" s="44">
        <f t="shared" si="2"/>
        <v>0.18128654970760236</v>
      </c>
      <c r="M25" s="44">
        <v>211.5</v>
      </c>
      <c r="N25" s="44">
        <v>27.9</v>
      </c>
      <c r="O25" s="44">
        <f t="shared" si="3"/>
        <v>239.4</v>
      </c>
      <c r="P25" s="44">
        <v>37.200000000000003</v>
      </c>
      <c r="Q25" s="44">
        <v>6.2</v>
      </c>
      <c r="R25" s="44">
        <f t="shared" si="9"/>
        <v>43.400000000000006</v>
      </c>
      <c r="S25" s="44">
        <f t="shared" si="4"/>
        <v>2.3091676413255366</v>
      </c>
      <c r="T25" s="44">
        <f t="shared" si="5"/>
        <v>3.6342445533909262</v>
      </c>
      <c r="U25" s="44"/>
      <c r="V25" s="44"/>
      <c r="W25" s="44">
        <f t="shared" si="8"/>
        <v>0</v>
      </c>
      <c r="X25" s="41">
        <v>2.5642127211000898</v>
      </c>
      <c r="Y25" s="44">
        <f t="shared" si="7"/>
        <v>0.7055696674863432</v>
      </c>
    </row>
    <row r="26" spans="1:25" s="51" customFormat="1" ht="15">
      <c r="A26" s="40" t="s">
        <v>34</v>
      </c>
      <c r="B26" s="41"/>
      <c r="C26" s="41"/>
      <c r="D26" s="48"/>
      <c r="E26" s="42" t="s">
        <v>31</v>
      </c>
      <c r="F26" s="42" t="s">
        <v>33</v>
      </c>
      <c r="G26" s="49"/>
      <c r="H26" s="50"/>
      <c r="I26" s="44">
        <v>1023.75</v>
      </c>
      <c r="J26" s="44">
        <f t="shared" si="1"/>
        <v>188.30634715025906</v>
      </c>
      <c r="K26" s="44">
        <v>7</v>
      </c>
      <c r="L26" s="44">
        <f t="shared" si="2"/>
        <v>0.18393782383419688</v>
      </c>
      <c r="M26" s="44">
        <v>168.8</v>
      </c>
      <c r="N26" s="44">
        <v>24.2</v>
      </c>
      <c r="O26" s="44">
        <f t="shared" si="3"/>
        <v>193</v>
      </c>
      <c r="P26" s="44">
        <v>30.2</v>
      </c>
      <c r="Q26" s="44">
        <v>5.3</v>
      </c>
      <c r="R26" s="44">
        <f t="shared" si="9"/>
        <v>35.5</v>
      </c>
      <c r="S26" s="44">
        <f t="shared" si="4"/>
        <v>2.2380634715025907</v>
      </c>
      <c r="T26" s="44">
        <f t="shared" si="5"/>
        <v>3.6627722419415316</v>
      </c>
      <c r="U26" s="44"/>
      <c r="V26" s="44"/>
      <c r="W26" s="44">
        <f t="shared" si="8"/>
        <v>0</v>
      </c>
      <c r="X26" s="41">
        <v>2.0269408739616113</v>
      </c>
      <c r="Y26" s="44">
        <f t="shared" si="7"/>
        <v>0.5533898206259168</v>
      </c>
    </row>
    <row r="27" spans="1:25" s="769" customFormat="1" ht="15">
      <c r="A27" s="762" t="s">
        <v>35</v>
      </c>
      <c r="B27" s="763"/>
      <c r="C27" s="763"/>
      <c r="D27" s="764"/>
      <c r="E27" s="765" t="s">
        <v>29</v>
      </c>
      <c r="F27" s="765" t="s">
        <v>30</v>
      </c>
      <c r="G27" s="766"/>
      <c r="H27" s="767"/>
      <c r="I27" s="768">
        <v>4598</v>
      </c>
      <c r="J27" s="768">
        <f t="shared" si="1"/>
        <v>604.04743160795113</v>
      </c>
      <c r="K27" s="768">
        <v>6</v>
      </c>
      <c r="L27" s="768">
        <f t="shared" si="2"/>
        <v>0.13137177720921078</v>
      </c>
      <c r="M27" s="768">
        <v>370.2</v>
      </c>
      <c r="N27" s="768">
        <v>646</v>
      </c>
      <c r="O27" s="768">
        <f t="shared" si="3"/>
        <v>1016.2</v>
      </c>
      <c r="P27" s="768">
        <v>49.3</v>
      </c>
      <c r="Q27" s="768">
        <v>84.2</v>
      </c>
      <c r="R27" s="768">
        <f t="shared" si="9"/>
        <v>133.5</v>
      </c>
      <c r="S27" s="768">
        <f t="shared" si="4"/>
        <v>7.3754743160795115</v>
      </c>
      <c r="T27" s="768">
        <f t="shared" si="5"/>
        <v>2.7185074358482701</v>
      </c>
      <c r="U27" s="768"/>
      <c r="V27" s="768"/>
      <c r="W27" s="775">
        <f>X27*R27</f>
        <v>279.57174281138981</v>
      </c>
      <c r="X27" s="763">
        <v>2.0941703581377515</v>
      </c>
      <c r="Y27" s="768">
        <f t="shared" si="7"/>
        <v>0.77033828582642683</v>
      </c>
    </row>
    <row r="28" spans="1:25" s="761" customFormat="1" ht="15">
      <c r="A28" s="754" t="s">
        <v>35</v>
      </c>
      <c r="B28" s="755"/>
      <c r="C28" s="755"/>
      <c r="D28" s="756"/>
      <c r="E28" s="757" t="s">
        <v>36</v>
      </c>
      <c r="F28" s="757" t="s">
        <v>30</v>
      </c>
      <c r="G28" s="758"/>
      <c r="H28" s="759"/>
      <c r="I28" s="760">
        <v>5684</v>
      </c>
      <c r="J28" s="760">
        <f t="shared" si="1"/>
        <v>650.90035587188618</v>
      </c>
      <c r="K28" s="760">
        <v>7</v>
      </c>
      <c r="L28" s="760">
        <f t="shared" si="2"/>
        <v>0.11451448906964921</v>
      </c>
      <c r="M28" s="760">
        <v>608.9</v>
      </c>
      <c r="N28" s="760">
        <v>964.7</v>
      </c>
      <c r="O28" s="760">
        <f t="shared" si="3"/>
        <v>1573.6</v>
      </c>
      <c r="P28" s="760">
        <v>67.5</v>
      </c>
      <c r="Q28" s="760">
        <v>112.7</v>
      </c>
      <c r="R28" s="760">
        <f t="shared" si="9"/>
        <v>180.2</v>
      </c>
      <c r="S28" s="760">
        <f t="shared" si="4"/>
        <v>8.3110035587188626</v>
      </c>
      <c r="T28" s="760">
        <f t="shared" si="5"/>
        <v>2.6385458598297173</v>
      </c>
      <c r="U28" s="760"/>
      <c r="V28" s="760"/>
      <c r="W28" s="776">
        <f t="shared" ref="W28:W50" si="10">X28*R28</f>
        <v>535.68917003622641</v>
      </c>
      <c r="X28" s="755">
        <v>2.972747891432999</v>
      </c>
      <c r="Y28" s="760">
        <f t="shared" si="7"/>
        <v>1.1266614451131238</v>
      </c>
    </row>
    <row r="29" spans="1:25" s="769" customFormat="1" ht="15">
      <c r="A29" s="762" t="s">
        <v>35</v>
      </c>
      <c r="B29" s="763"/>
      <c r="C29" s="763"/>
      <c r="D29" s="764"/>
      <c r="E29" s="765" t="s">
        <v>31</v>
      </c>
      <c r="F29" s="765" t="s">
        <v>30</v>
      </c>
      <c r="G29" s="766"/>
      <c r="H29" s="767"/>
      <c r="I29" s="768">
        <v>4030</v>
      </c>
      <c r="J29" s="768">
        <f t="shared" si="1"/>
        <v>529.93390085127692</v>
      </c>
      <c r="K29" s="768">
        <v>8</v>
      </c>
      <c r="L29" s="768">
        <f t="shared" si="2"/>
        <v>0.13149724586880321</v>
      </c>
      <c r="M29" s="768">
        <v>380.8</v>
      </c>
      <c r="N29" s="768">
        <v>617.70000000000005</v>
      </c>
      <c r="O29" s="768">
        <f t="shared" si="3"/>
        <v>998.5</v>
      </c>
      <c r="P29" s="768">
        <v>48.5</v>
      </c>
      <c r="Q29" s="768">
        <v>82.8</v>
      </c>
      <c r="R29" s="768">
        <f t="shared" si="9"/>
        <v>131.30000000000001</v>
      </c>
      <c r="S29" s="768">
        <f t="shared" si="4"/>
        <v>6.6123390085127696</v>
      </c>
      <c r="T29" s="768">
        <f t="shared" si="5"/>
        <v>2.7937609081059196</v>
      </c>
      <c r="U29" s="768"/>
      <c r="V29" s="768"/>
      <c r="W29" s="775">
        <f t="shared" si="10"/>
        <v>325.49917004739581</v>
      </c>
      <c r="X29" s="763">
        <v>2.4790492768270815</v>
      </c>
      <c r="Y29" s="768">
        <f t="shared" si="7"/>
        <v>0.88735198120722414</v>
      </c>
    </row>
    <row r="30" spans="1:25" s="761" customFormat="1" ht="15">
      <c r="A30" s="754" t="s">
        <v>35</v>
      </c>
      <c r="B30" s="755"/>
      <c r="C30" s="755"/>
      <c r="D30" s="756"/>
      <c r="E30" s="757" t="s">
        <v>37</v>
      </c>
      <c r="F30" s="757" t="s">
        <v>30</v>
      </c>
      <c r="G30" s="758"/>
      <c r="H30" s="759"/>
      <c r="I30" s="760">
        <v>5156</v>
      </c>
      <c r="J30" s="760">
        <f t="shared" si="1"/>
        <v>624.82944344703765</v>
      </c>
      <c r="K30" s="760">
        <v>7</v>
      </c>
      <c r="L30" s="760">
        <f t="shared" si="2"/>
        <v>0.12118491921005385</v>
      </c>
      <c r="M30" s="760">
        <v>471.1</v>
      </c>
      <c r="N30" s="760">
        <v>754.3</v>
      </c>
      <c r="O30" s="760">
        <f t="shared" si="3"/>
        <v>1225.4000000000001</v>
      </c>
      <c r="P30" s="760">
        <v>50.7</v>
      </c>
      <c r="Q30" s="760">
        <v>97.8</v>
      </c>
      <c r="R30" s="760">
        <f t="shared" si="9"/>
        <v>148.5</v>
      </c>
      <c r="S30" s="760">
        <f t="shared" si="4"/>
        <v>7.7332944344703769</v>
      </c>
      <c r="T30" s="760">
        <f t="shared" si="5"/>
        <v>2.6865002021554369</v>
      </c>
      <c r="U30" s="760"/>
      <c r="V30" s="760"/>
      <c r="W30" s="776">
        <f t="shared" si="10"/>
        <v>382.61330296884836</v>
      </c>
      <c r="X30" s="755">
        <v>2.5765205587127835</v>
      </c>
      <c r="Y30" s="760">
        <f t="shared" si="7"/>
        <v>0.95906211235181948</v>
      </c>
    </row>
    <row r="31" spans="1:25" s="769" customFormat="1" ht="15">
      <c r="A31" s="762" t="s">
        <v>35</v>
      </c>
      <c r="B31" s="763"/>
      <c r="C31" s="763"/>
      <c r="D31" s="764"/>
      <c r="E31" s="765" t="s">
        <v>29</v>
      </c>
      <c r="F31" s="765" t="s">
        <v>30</v>
      </c>
      <c r="G31" s="766"/>
      <c r="H31" s="767"/>
      <c r="I31" s="768">
        <v>5732</v>
      </c>
      <c r="J31" s="768">
        <f t="shared" si="1"/>
        <v>733.25370226032726</v>
      </c>
      <c r="K31" s="768">
        <v>8</v>
      </c>
      <c r="L31" s="768">
        <f t="shared" si="2"/>
        <v>0.12792283710054558</v>
      </c>
      <c r="M31" s="768">
        <v>367.9</v>
      </c>
      <c r="N31" s="768">
        <v>658.5</v>
      </c>
      <c r="O31" s="768">
        <f t="shared" si="3"/>
        <v>1026.4000000000001</v>
      </c>
      <c r="P31" s="768">
        <v>46</v>
      </c>
      <c r="Q31" s="768">
        <v>85.3</v>
      </c>
      <c r="R31" s="768">
        <f t="shared" si="9"/>
        <v>131.30000000000001</v>
      </c>
      <c r="S31" s="768">
        <f t="shared" si="4"/>
        <v>8.6455370226032731</v>
      </c>
      <c r="T31" s="768">
        <f t="shared" si="5"/>
        <v>2.6126426985770408</v>
      </c>
      <c r="U31" s="768"/>
      <c r="V31" s="768"/>
      <c r="W31" s="775">
        <f t="shared" si="10"/>
        <v>225.46646183959857</v>
      </c>
      <c r="X31" s="763">
        <v>1.7171855433328145</v>
      </c>
      <c r="Y31" s="768">
        <f t="shared" si="7"/>
        <v>0.65726000125010153</v>
      </c>
    </row>
    <row r="32" spans="1:25" s="761" customFormat="1" ht="15">
      <c r="A32" s="754" t="s">
        <v>35</v>
      </c>
      <c r="B32" s="755"/>
      <c r="C32" s="755"/>
      <c r="D32" s="756"/>
      <c r="E32" s="757" t="s">
        <v>36</v>
      </c>
      <c r="F32" s="757" t="s">
        <v>30</v>
      </c>
      <c r="G32" s="758"/>
      <c r="H32" s="759"/>
      <c r="I32" s="760">
        <v>7108</v>
      </c>
      <c r="J32" s="760">
        <f t="shared" si="1"/>
        <v>816.25527015057571</v>
      </c>
      <c r="K32" s="760">
        <v>7</v>
      </c>
      <c r="L32" s="760">
        <f t="shared" si="2"/>
        <v>0.11483613817537644</v>
      </c>
      <c r="M32" s="755">
        <v>981</v>
      </c>
      <c r="N32" s="755">
        <v>1277</v>
      </c>
      <c r="O32" s="755">
        <f t="shared" si="3"/>
        <v>2258</v>
      </c>
      <c r="P32" s="755">
        <v>101.2</v>
      </c>
      <c r="Q32" s="755">
        <v>158.1</v>
      </c>
      <c r="R32" s="755">
        <f t="shared" si="9"/>
        <v>259.3</v>
      </c>
      <c r="S32" s="755">
        <f t="shared" si="4"/>
        <v>10.755552701505758</v>
      </c>
      <c r="T32" s="755">
        <f t="shared" si="5"/>
        <v>2.4738298801482066</v>
      </c>
      <c r="U32" s="755"/>
      <c r="V32" s="755"/>
      <c r="W32" s="777">
        <f t="shared" si="10"/>
        <v>926.49678839778244</v>
      </c>
      <c r="X32" s="755">
        <v>3.5730689872648762</v>
      </c>
      <c r="Y32" s="755">
        <f t="shared" si="7"/>
        <v>1.4443470894816803</v>
      </c>
    </row>
    <row r="33" spans="1:25" s="769" customFormat="1" ht="15">
      <c r="A33" s="762" t="s">
        <v>35</v>
      </c>
      <c r="B33" s="763"/>
      <c r="C33" s="763"/>
      <c r="D33" s="764"/>
      <c r="E33" s="765" t="s">
        <v>31</v>
      </c>
      <c r="F33" s="765" t="s">
        <v>30</v>
      </c>
      <c r="G33" s="766"/>
      <c r="H33" s="767"/>
      <c r="I33" s="768">
        <v>3772</v>
      </c>
      <c r="J33" s="768">
        <f t="shared" si="1"/>
        <v>524.21148741904653</v>
      </c>
      <c r="K33" s="768">
        <v>8</v>
      </c>
      <c r="L33" s="768">
        <f t="shared" si="2"/>
        <v>0.13897441341968361</v>
      </c>
      <c r="M33" s="768">
        <v>345.7</v>
      </c>
      <c r="N33" s="768">
        <v>596.20000000000005</v>
      </c>
      <c r="O33" s="768">
        <f t="shared" si="3"/>
        <v>941.90000000000009</v>
      </c>
      <c r="P33" s="768">
        <v>49</v>
      </c>
      <c r="Q33" s="768">
        <v>81.900000000000006</v>
      </c>
      <c r="R33" s="768">
        <f t="shared" si="9"/>
        <v>130.9</v>
      </c>
      <c r="S33" s="768">
        <f t="shared" si="4"/>
        <v>6.551114874190465</v>
      </c>
      <c r="T33" s="768">
        <f t="shared" si="5"/>
        <v>2.8002655030008623</v>
      </c>
      <c r="U33" s="768"/>
      <c r="V33" s="768"/>
      <c r="W33" s="775">
        <f t="shared" si="10"/>
        <v>275.73693790761979</v>
      </c>
      <c r="X33" s="763">
        <v>2.1064701138855599</v>
      </c>
      <c r="Y33" s="768">
        <f t="shared" si="7"/>
        <v>0.75223942573595004</v>
      </c>
    </row>
    <row r="34" spans="1:25" s="761" customFormat="1" ht="15">
      <c r="A34" s="754" t="s">
        <v>35</v>
      </c>
      <c r="B34" s="755"/>
      <c r="C34" s="755"/>
      <c r="D34" s="756"/>
      <c r="E34" s="757" t="s">
        <v>37</v>
      </c>
      <c r="F34" s="757" t="s">
        <v>30</v>
      </c>
      <c r="G34" s="758"/>
      <c r="H34" s="759"/>
      <c r="I34" s="760">
        <v>6218</v>
      </c>
      <c r="J34" s="760">
        <f t="shared" si="1"/>
        <v>683.0334886610749</v>
      </c>
      <c r="K34" s="760">
        <v>8</v>
      </c>
      <c r="L34" s="760">
        <f t="shared" si="2"/>
        <v>0.10984777881329606</v>
      </c>
      <c r="M34" s="760">
        <v>678.1</v>
      </c>
      <c r="N34" s="760">
        <v>931.4</v>
      </c>
      <c r="O34" s="760">
        <f t="shared" si="3"/>
        <v>1609.5</v>
      </c>
      <c r="P34" s="760">
        <v>74.5</v>
      </c>
      <c r="Q34" s="760">
        <v>102.3</v>
      </c>
      <c r="R34" s="760">
        <f t="shared" si="9"/>
        <v>176.8</v>
      </c>
      <c r="S34" s="760">
        <f t="shared" si="4"/>
        <v>8.5983348866107487</v>
      </c>
      <c r="T34" s="760">
        <f t="shared" si="5"/>
        <v>2.6162209858948398</v>
      </c>
      <c r="U34" s="760"/>
      <c r="V34" s="760"/>
      <c r="W34" s="776">
        <f t="shared" si="10"/>
        <v>574.67081188098439</v>
      </c>
      <c r="X34" s="755">
        <v>3.2504005196888253</v>
      </c>
      <c r="Y34" s="760">
        <f t="shared" si="7"/>
        <v>1.2424028922683203</v>
      </c>
    </row>
    <row r="35" spans="1:25" s="769" customFormat="1" ht="15">
      <c r="A35" s="762" t="s">
        <v>35</v>
      </c>
      <c r="B35" s="763"/>
      <c r="C35" s="763"/>
      <c r="D35" s="764"/>
      <c r="E35" s="765" t="s">
        <v>29</v>
      </c>
      <c r="F35" s="765" t="s">
        <v>30</v>
      </c>
      <c r="G35" s="766"/>
      <c r="H35" s="767"/>
      <c r="I35" s="768">
        <v>5854</v>
      </c>
      <c r="J35" s="768">
        <f t="shared" si="1"/>
        <v>729.30046141319087</v>
      </c>
      <c r="K35" s="768">
        <v>8</v>
      </c>
      <c r="L35" s="768">
        <f t="shared" si="2"/>
        <v>0.12458156156699537</v>
      </c>
      <c r="M35" s="763">
        <v>386</v>
      </c>
      <c r="N35" s="763">
        <v>719.3</v>
      </c>
      <c r="O35" s="763">
        <f t="shared" si="3"/>
        <v>1105.3</v>
      </c>
      <c r="P35" s="763">
        <v>49.3</v>
      </c>
      <c r="Q35" s="763">
        <v>88.4</v>
      </c>
      <c r="R35" s="763">
        <f t="shared" si="9"/>
        <v>137.69999999999999</v>
      </c>
      <c r="S35" s="763">
        <f t="shared" si="4"/>
        <v>8.6700046141319085</v>
      </c>
      <c r="T35" s="763">
        <f t="shared" si="5"/>
        <v>2.6107974620454382</v>
      </c>
      <c r="U35" s="763"/>
      <c r="V35" s="763"/>
      <c r="W35" s="778">
        <f t="shared" si="10"/>
        <v>279.62002679730352</v>
      </c>
      <c r="X35" s="763">
        <v>2.0306465272135332</v>
      </c>
      <c r="Y35" s="763">
        <f t="shared" si="7"/>
        <v>0.77778784326786354</v>
      </c>
    </row>
    <row r="36" spans="1:25" s="761" customFormat="1" ht="15">
      <c r="A36" s="754" t="s">
        <v>35</v>
      </c>
      <c r="B36" s="755"/>
      <c r="C36" s="755"/>
      <c r="D36" s="756"/>
      <c r="E36" s="757" t="s">
        <v>36</v>
      </c>
      <c r="F36" s="757" t="s">
        <v>30</v>
      </c>
      <c r="G36" s="758"/>
      <c r="H36" s="759"/>
      <c r="I36" s="760">
        <v>5778</v>
      </c>
      <c r="J36" s="760">
        <f t="shared" si="1"/>
        <v>818.55809651925335</v>
      </c>
      <c r="K36" s="760">
        <v>8</v>
      </c>
      <c r="L36" s="760">
        <f t="shared" si="2"/>
        <v>0.1416680679334118</v>
      </c>
      <c r="M36" s="755">
        <v>447</v>
      </c>
      <c r="N36" s="755">
        <v>742.4</v>
      </c>
      <c r="O36" s="755">
        <f t="shared" si="3"/>
        <v>1189.4000000000001</v>
      </c>
      <c r="P36" s="755">
        <v>52.6</v>
      </c>
      <c r="Q36" s="755">
        <v>115.9</v>
      </c>
      <c r="R36" s="755">
        <f t="shared" si="9"/>
        <v>168.5</v>
      </c>
      <c r="S36" s="755">
        <f t="shared" si="4"/>
        <v>9.8705809651925343</v>
      </c>
      <c r="T36" s="755">
        <f t="shared" si="5"/>
        <v>2.5275068145427659</v>
      </c>
      <c r="U36" s="755"/>
      <c r="V36" s="755"/>
      <c r="W36" s="777">
        <f t="shared" si="10"/>
        <v>388.40266914472824</v>
      </c>
      <c r="X36" s="755">
        <v>2.3050603510072891</v>
      </c>
      <c r="Y36" s="755">
        <f t="shared" si="7"/>
        <v>0.91198976704807888</v>
      </c>
    </row>
    <row r="37" spans="1:25" s="769" customFormat="1" ht="15">
      <c r="A37" s="762" t="s">
        <v>35</v>
      </c>
      <c r="B37" s="763"/>
      <c r="C37" s="763"/>
      <c r="D37" s="764"/>
      <c r="E37" s="765" t="s">
        <v>31</v>
      </c>
      <c r="F37" s="765" t="s">
        <v>30</v>
      </c>
      <c r="G37" s="766"/>
      <c r="H37" s="767"/>
      <c r="I37" s="768">
        <v>4334</v>
      </c>
      <c r="J37" s="768">
        <f t="shared" si="1"/>
        <v>586.67663624004661</v>
      </c>
      <c r="K37" s="768">
        <v>8</v>
      </c>
      <c r="L37" s="768">
        <f t="shared" si="2"/>
        <v>0.13536609050301029</v>
      </c>
      <c r="M37" s="768">
        <v>369.9</v>
      </c>
      <c r="N37" s="768">
        <v>659.9</v>
      </c>
      <c r="O37" s="768">
        <f t="shared" si="3"/>
        <v>1029.8</v>
      </c>
      <c r="P37" s="768">
        <v>50.9</v>
      </c>
      <c r="Q37" s="768">
        <v>88.5</v>
      </c>
      <c r="R37" s="768">
        <f t="shared" si="9"/>
        <v>139.4</v>
      </c>
      <c r="S37" s="768">
        <f>(R37+J37)/100</f>
        <v>7.2607663624004655</v>
      </c>
      <c r="T37" s="768">
        <f t="shared" si="5"/>
        <v>2.7291813726227017</v>
      </c>
      <c r="U37" s="768"/>
      <c r="V37" s="768"/>
      <c r="W37" s="775">
        <f t="shared" si="10"/>
        <v>320.88297917324701</v>
      </c>
      <c r="X37" s="763">
        <v>2.301886507699046</v>
      </c>
      <c r="Y37" s="768">
        <f t="shared" si="7"/>
        <v>0.84343478626595203</v>
      </c>
    </row>
    <row r="38" spans="1:25" s="761" customFormat="1" ht="15">
      <c r="A38" s="754" t="s">
        <v>35</v>
      </c>
      <c r="B38" s="755"/>
      <c r="C38" s="755"/>
      <c r="D38" s="756"/>
      <c r="E38" s="757" t="s">
        <v>37</v>
      </c>
      <c r="F38" s="757" t="s">
        <v>30</v>
      </c>
      <c r="G38" s="758"/>
      <c r="H38" s="759"/>
      <c r="I38" s="760">
        <v>6862</v>
      </c>
      <c r="J38" s="760">
        <f t="shared" si="1"/>
        <v>802.69104161768166</v>
      </c>
      <c r="K38" s="760">
        <v>7</v>
      </c>
      <c r="L38" s="760">
        <f t="shared" si="2"/>
        <v>0.11697625205737126</v>
      </c>
      <c r="M38" s="760">
        <v>686.1</v>
      </c>
      <c r="N38" s="760">
        <v>1015.1</v>
      </c>
      <c r="O38" s="760">
        <f t="shared" si="3"/>
        <v>1701.2</v>
      </c>
      <c r="P38" s="760">
        <v>78.8</v>
      </c>
      <c r="Q38" s="760">
        <v>120.2</v>
      </c>
      <c r="R38" s="760">
        <f t="shared" si="9"/>
        <v>199</v>
      </c>
      <c r="S38" s="760">
        <f t="shared" si="4"/>
        <v>10.016910416176817</v>
      </c>
      <c r="T38" s="760">
        <f t="shared" si="5"/>
        <v>2.5182252053911633</v>
      </c>
      <c r="U38" s="760"/>
      <c r="V38" s="760"/>
      <c r="W38" s="776">
        <f t="shared" si="10"/>
        <v>537.43011753028111</v>
      </c>
      <c r="X38" s="755">
        <v>2.7006538569360861</v>
      </c>
      <c r="Y38" s="760">
        <f t="shared" si="7"/>
        <v>1.0724433426980116</v>
      </c>
    </row>
    <row r="39" spans="1:25" s="769" customFormat="1" ht="15">
      <c r="A39" s="762" t="s">
        <v>35</v>
      </c>
      <c r="B39" s="763"/>
      <c r="C39" s="763"/>
      <c r="D39" s="764"/>
      <c r="E39" s="765" t="s">
        <v>29</v>
      </c>
      <c r="F39" s="765" t="s">
        <v>33</v>
      </c>
      <c r="G39" s="766"/>
      <c r="H39" s="767"/>
      <c r="I39" s="768">
        <v>3170</v>
      </c>
      <c r="J39" s="768">
        <f t="shared" si="1"/>
        <v>501.59253578732108</v>
      </c>
      <c r="K39" s="768">
        <v>8</v>
      </c>
      <c r="L39" s="768">
        <f t="shared" si="2"/>
        <v>0.15823108384458079</v>
      </c>
      <c r="M39" s="768">
        <v>310.89999999999998</v>
      </c>
      <c r="N39" s="768">
        <v>471.5</v>
      </c>
      <c r="O39" s="768">
        <f t="shared" si="3"/>
        <v>782.4</v>
      </c>
      <c r="P39" s="768">
        <v>45.6</v>
      </c>
      <c r="Q39" s="768">
        <v>78.2</v>
      </c>
      <c r="R39" s="768">
        <f t="shared" si="9"/>
        <v>123.80000000000001</v>
      </c>
      <c r="S39" s="768">
        <f t="shared" si="4"/>
        <v>6.2539253578732108</v>
      </c>
      <c r="T39" s="768">
        <f t="shared" si="5"/>
        <v>2.8329560735787904</v>
      </c>
      <c r="U39" s="768"/>
      <c r="V39" s="768"/>
      <c r="W39" s="775">
        <f t="shared" si="10"/>
        <v>252.11431212381919</v>
      </c>
      <c r="X39" s="763">
        <v>2.0364645567352113</v>
      </c>
      <c r="Y39" s="768">
        <f t="shared" si="7"/>
        <v>0.71884791145476723</v>
      </c>
    </row>
    <row r="40" spans="1:25" s="773" customFormat="1" ht="15">
      <c r="A40" s="754" t="s">
        <v>35</v>
      </c>
      <c r="B40" s="755"/>
      <c r="C40" s="755"/>
      <c r="D40" s="772"/>
      <c r="E40" s="757" t="s">
        <v>36</v>
      </c>
      <c r="F40" s="757" t="s">
        <v>33</v>
      </c>
      <c r="G40" s="772"/>
      <c r="H40" s="772"/>
      <c r="I40" s="760">
        <v>5890</v>
      </c>
      <c r="J40" s="760">
        <f t="shared" si="1"/>
        <v>726.33756097560979</v>
      </c>
      <c r="K40" s="760">
        <v>6</v>
      </c>
      <c r="L40" s="760">
        <f t="shared" si="2"/>
        <v>0.12331707317073172</v>
      </c>
      <c r="M40" s="760">
        <v>443.7</v>
      </c>
      <c r="N40" s="760">
        <v>581.29999999999995</v>
      </c>
      <c r="O40" s="760">
        <f t="shared" si="3"/>
        <v>1025</v>
      </c>
      <c r="P40" s="760">
        <v>55.5</v>
      </c>
      <c r="Q40" s="760">
        <v>70.900000000000006</v>
      </c>
      <c r="R40" s="760">
        <f t="shared" si="9"/>
        <v>126.4</v>
      </c>
      <c r="S40" s="760">
        <f t="shared" si="4"/>
        <v>8.5273756097560973</v>
      </c>
      <c r="T40" s="760">
        <f t="shared" si="5"/>
        <v>2.6216467067411817</v>
      </c>
      <c r="U40" s="760"/>
      <c r="V40" s="760"/>
      <c r="W40" s="776">
        <f t="shared" si="10"/>
        <v>307.9125633950411</v>
      </c>
      <c r="X40" s="755">
        <v>2.4360171154670973</v>
      </c>
      <c r="Y40" s="760">
        <f t="shared" si="7"/>
        <v>0.92919351383358972</v>
      </c>
    </row>
    <row r="41" spans="1:25" s="771" customFormat="1" ht="15">
      <c r="A41" s="762" t="s">
        <v>35</v>
      </c>
      <c r="B41" s="763"/>
      <c r="C41" s="763"/>
      <c r="D41" s="770"/>
      <c r="E41" s="765" t="s">
        <v>31</v>
      </c>
      <c r="F41" s="765" t="s">
        <v>33</v>
      </c>
      <c r="G41" s="770"/>
      <c r="H41" s="770"/>
      <c r="I41" s="768">
        <v>3300</v>
      </c>
      <c r="J41" s="768">
        <f t="shared" si="1"/>
        <v>524.0173097728092</v>
      </c>
      <c r="K41" s="768">
        <v>8</v>
      </c>
      <c r="L41" s="768">
        <f t="shared" si="2"/>
        <v>0.15879312417357855</v>
      </c>
      <c r="M41" s="768">
        <v>342.2</v>
      </c>
      <c r="N41" s="768">
        <v>489.7</v>
      </c>
      <c r="O41" s="768">
        <f t="shared" si="3"/>
        <v>831.9</v>
      </c>
      <c r="P41" s="768">
        <v>50.6</v>
      </c>
      <c r="Q41" s="768">
        <v>81.5</v>
      </c>
      <c r="R41" s="768">
        <f t="shared" si="9"/>
        <v>132.1</v>
      </c>
      <c r="S41" s="768">
        <f t="shared" si="4"/>
        <v>6.5611730977280924</v>
      </c>
      <c r="T41" s="768">
        <f t="shared" si="5"/>
        <v>2.7991916895937483</v>
      </c>
      <c r="U41" s="768"/>
      <c r="V41" s="768"/>
      <c r="W41" s="775">
        <f t="shared" si="10"/>
        <v>273.78312571397021</v>
      </c>
      <c r="X41" s="763">
        <v>2.0725444792881924</v>
      </c>
      <c r="Y41" s="768">
        <f t="shared" si="7"/>
        <v>0.74040819962172166</v>
      </c>
    </row>
    <row r="42" spans="1:25" s="773" customFormat="1" ht="15">
      <c r="A42" s="754" t="s">
        <v>35</v>
      </c>
      <c r="B42" s="755"/>
      <c r="C42" s="755"/>
      <c r="D42" s="772"/>
      <c r="E42" s="757" t="s">
        <v>37</v>
      </c>
      <c r="F42" s="757" t="s">
        <v>33</v>
      </c>
      <c r="G42" s="772"/>
      <c r="H42" s="772"/>
      <c r="I42" s="760">
        <v>4586</v>
      </c>
      <c r="J42" s="760">
        <f t="shared" si="1"/>
        <v>612.04040181035441</v>
      </c>
      <c r="K42" s="760">
        <v>8</v>
      </c>
      <c r="L42" s="760">
        <f t="shared" si="2"/>
        <v>0.13345843912131583</v>
      </c>
      <c r="M42" s="760">
        <v>409.5</v>
      </c>
      <c r="N42" s="760">
        <v>496.4</v>
      </c>
      <c r="O42" s="760">
        <f t="shared" si="3"/>
        <v>905.9</v>
      </c>
      <c r="P42" s="760">
        <v>52.9</v>
      </c>
      <c r="Q42" s="760">
        <v>68</v>
      </c>
      <c r="R42" s="760">
        <f t="shared" si="9"/>
        <v>120.9</v>
      </c>
      <c r="S42" s="760">
        <f t="shared" si="4"/>
        <v>7.3294040181035438</v>
      </c>
      <c r="T42" s="760">
        <f t="shared" si="5"/>
        <v>2.7227693209996207</v>
      </c>
      <c r="U42" s="760"/>
      <c r="V42" s="760"/>
      <c r="W42" s="776">
        <f t="shared" si="10"/>
        <v>253.70257299993565</v>
      </c>
      <c r="X42" s="755">
        <v>2.0984497353179128</v>
      </c>
      <c r="Y42" s="760">
        <f t="shared" si="7"/>
        <v>0.77070419412082292</v>
      </c>
    </row>
    <row r="43" spans="1:25" s="771" customFormat="1" ht="15">
      <c r="A43" s="762" t="s">
        <v>35</v>
      </c>
      <c r="B43" s="763"/>
      <c r="C43" s="763"/>
      <c r="D43" s="770"/>
      <c r="E43" s="765" t="s">
        <v>29</v>
      </c>
      <c r="F43" s="765" t="s">
        <v>33</v>
      </c>
      <c r="G43" s="770"/>
      <c r="H43" s="770"/>
      <c r="I43" s="768">
        <v>3310</v>
      </c>
      <c r="J43" s="768">
        <f t="shared" si="1"/>
        <v>520.4378465804067</v>
      </c>
      <c r="K43" s="768">
        <v>9</v>
      </c>
      <c r="L43" s="768">
        <f t="shared" si="2"/>
        <v>0.15723197781885398</v>
      </c>
      <c r="M43" s="768">
        <v>359.9</v>
      </c>
      <c r="N43" s="768">
        <v>505.7</v>
      </c>
      <c r="O43" s="768">
        <f t="shared" si="3"/>
        <v>865.59999999999991</v>
      </c>
      <c r="P43" s="768">
        <v>52.8</v>
      </c>
      <c r="Q43" s="768">
        <v>83.3</v>
      </c>
      <c r="R43" s="768">
        <f t="shared" si="9"/>
        <v>136.1</v>
      </c>
      <c r="S43" s="768">
        <f t="shared" si="4"/>
        <v>6.5653784658040673</v>
      </c>
      <c r="T43" s="768">
        <f t="shared" si="5"/>
        <v>2.7987433353956446</v>
      </c>
      <c r="U43" s="768"/>
      <c r="V43" s="768"/>
      <c r="W43" s="775">
        <f t="shared" si="10"/>
        <v>275.5025510455946</v>
      </c>
      <c r="X43" s="763">
        <v>2.0242656212020176</v>
      </c>
      <c r="Y43" s="768">
        <f t="shared" si="7"/>
        <v>0.72327662047504515</v>
      </c>
    </row>
    <row r="44" spans="1:25" s="773" customFormat="1" ht="15">
      <c r="A44" s="754" t="s">
        <v>35</v>
      </c>
      <c r="B44" s="755"/>
      <c r="C44" s="755"/>
      <c r="D44" s="772"/>
      <c r="E44" s="757" t="s">
        <v>36</v>
      </c>
      <c r="F44" s="757" t="s">
        <v>33</v>
      </c>
      <c r="G44" s="772"/>
      <c r="H44" s="772"/>
      <c r="I44" s="755">
        <v>5250</v>
      </c>
      <c r="J44" s="755">
        <f t="shared" si="1"/>
        <v>638.57743517869653</v>
      </c>
      <c r="K44" s="755">
        <v>5</v>
      </c>
      <c r="L44" s="755">
        <f t="shared" si="2"/>
        <v>0.12163379717689458</v>
      </c>
      <c r="M44" s="760">
        <v>438.9</v>
      </c>
      <c r="N44" s="760">
        <v>560</v>
      </c>
      <c r="O44" s="760">
        <f t="shared" si="3"/>
        <v>998.9</v>
      </c>
      <c r="P44" s="760">
        <v>54.1</v>
      </c>
      <c r="Q44" s="760">
        <v>67.400000000000006</v>
      </c>
      <c r="R44" s="760">
        <f t="shared" si="9"/>
        <v>121.5</v>
      </c>
      <c r="S44" s="760">
        <f t="shared" si="4"/>
        <v>7.6007743517869653</v>
      </c>
      <c r="T44" s="760">
        <f t="shared" si="5"/>
        <v>2.6981342450751273</v>
      </c>
      <c r="U44" s="760"/>
      <c r="V44" s="760"/>
      <c r="W44" s="776">
        <f t="shared" si="10"/>
        <v>330.00470255775355</v>
      </c>
      <c r="X44" s="755">
        <v>2.7160880868950907</v>
      </c>
      <c r="Y44" s="760">
        <f t="shared" si="7"/>
        <v>1.0066541692107183</v>
      </c>
    </row>
    <row r="45" spans="1:25" s="771" customFormat="1" ht="15">
      <c r="A45" s="762" t="s">
        <v>35</v>
      </c>
      <c r="B45" s="763"/>
      <c r="C45" s="763"/>
      <c r="D45" s="770"/>
      <c r="E45" s="765" t="s">
        <v>31</v>
      </c>
      <c r="F45" s="765" t="s">
        <v>33</v>
      </c>
      <c r="G45" s="770"/>
      <c r="H45" s="770"/>
      <c r="I45" s="768">
        <v>3480</v>
      </c>
      <c r="J45" s="768">
        <f t="shared" si="1"/>
        <v>572.24728487886375</v>
      </c>
      <c r="K45" s="768">
        <v>8</v>
      </c>
      <c r="L45" s="768">
        <f t="shared" si="2"/>
        <v>0.16443887496519075</v>
      </c>
      <c r="M45" s="763">
        <v>289</v>
      </c>
      <c r="N45" s="763">
        <v>429.2</v>
      </c>
      <c r="O45" s="763">
        <f t="shared" si="3"/>
        <v>718.2</v>
      </c>
      <c r="P45" s="763">
        <v>43.9</v>
      </c>
      <c r="Q45" s="763">
        <v>74.2</v>
      </c>
      <c r="R45" s="763">
        <f t="shared" si="9"/>
        <v>118.1</v>
      </c>
      <c r="S45" s="763">
        <f t="shared" si="4"/>
        <v>6.9034728487886374</v>
      </c>
      <c r="T45" s="763">
        <f t="shared" si="5"/>
        <v>2.7638286136005372</v>
      </c>
      <c r="U45" s="763"/>
      <c r="V45" s="763"/>
      <c r="W45" s="778">
        <f t="shared" si="10"/>
        <v>200.59862401674499</v>
      </c>
      <c r="X45" s="763">
        <v>1.6985488909123201</v>
      </c>
      <c r="Y45" s="763">
        <f t="shared" si="7"/>
        <v>0.61456375498608085</v>
      </c>
    </row>
    <row r="46" spans="1:25" s="773" customFormat="1" ht="15">
      <c r="A46" s="754" t="s">
        <v>35</v>
      </c>
      <c r="B46" s="755"/>
      <c r="C46" s="755"/>
      <c r="D46" s="772"/>
      <c r="E46" s="757" t="s">
        <v>37</v>
      </c>
      <c r="F46" s="757" t="s">
        <v>33</v>
      </c>
      <c r="G46" s="772"/>
      <c r="H46" s="772"/>
      <c r="I46" s="760">
        <v>4700</v>
      </c>
      <c r="J46" s="760">
        <f t="shared" si="1"/>
        <v>613.88089632923538</v>
      </c>
      <c r="K46" s="760">
        <v>8</v>
      </c>
      <c r="L46" s="760">
        <f t="shared" si="2"/>
        <v>0.13061295666579475</v>
      </c>
      <c r="M46" s="760">
        <v>520.4</v>
      </c>
      <c r="N46" s="760">
        <v>626.5</v>
      </c>
      <c r="O46" s="760">
        <f t="shared" si="3"/>
        <v>1146.9000000000001</v>
      </c>
      <c r="P46" s="760">
        <v>65.2</v>
      </c>
      <c r="Q46" s="760">
        <v>84.6</v>
      </c>
      <c r="R46" s="760">
        <f t="shared" si="9"/>
        <v>149.80000000000001</v>
      </c>
      <c r="S46" s="760">
        <f t="shared" si="4"/>
        <v>7.6368089632923537</v>
      </c>
      <c r="T46" s="760">
        <f t="shared" si="5"/>
        <v>2.6949457820620895</v>
      </c>
      <c r="U46" s="760"/>
      <c r="V46" s="760"/>
      <c r="W46" s="776">
        <f t="shared" si="10"/>
        <v>384.80360178141109</v>
      </c>
      <c r="X46" s="755">
        <v>2.5687823883939322</v>
      </c>
      <c r="Y46" s="760">
        <f t="shared" si="7"/>
        <v>0.95318518297922084</v>
      </c>
    </row>
    <row r="47" spans="1:25" s="771" customFormat="1" ht="15">
      <c r="A47" s="762" t="s">
        <v>35</v>
      </c>
      <c r="B47" s="763"/>
      <c r="C47" s="763"/>
      <c r="D47" s="770"/>
      <c r="E47" s="765" t="s">
        <v>29</v>
      </c>
      <c r="F47" s="765" t="s">
        <v>33</v>
      </c>
      <c r="G47" s="770"/>
      <c r="H47" s="770"/>
      <c r="I47" s="768">
        <v>2654</v>
      </c>
      <c r="J47" s="768">
        <f t="shared" si="1"/>
        <v>423.93793717410654</v>
      </c>
      <c r="K47" s="768">
        <v>9</v>
      </c>
      <c r="L47" s="768">
        <f t="shared" si="2"/>
        <v>0.15973546992242146</v>
      </c>
      <c r="M47" s="768">
        <v>328.2</v>
      </c>
      <c r="N47" s="768">
        <v>458.1</v>
      </c>
      <c r="O47" s="768">
        <f t="shared" si="3"/>
        <v>786.3</v>
      </c>
      <c r="P47" s="768">
        <v>48</v>
      </c>
      <c r="Q47" s="768">
        <v>77.599999999999994</v>
      </c>
      <c r="R47" s="768">
        <f t="shared" si="9"/>
        <v>125.6</v>
      </c>
      <c r="S47" s="768">
        <f t="shared" si="4"/>
        <v>5.4953793717410653</v>
      </c>
      <c r="T47" s="768">
        <f t="shared" si="5"/>
        <v>2.9260287849592235</v>
      </c>
      <c r="U47" s="768"/>
      <c r="V47" s="768"/>
      <c r="W47" s="775">
        <f t="shared" si="10"/>
        <v>283.19917124782546</v>
      </c>
      <c r="X47" s="763">
        <v>2.2547704717183557</v>
      </c>
      <c r="Y47" s="768">
        <f t="shared" si="7"/>
        <v>0.77059066654047892</v>
      </c>
    </row>
    <row r="48" spans="1:25" s="773" customFormat="1" ht="15">
      <c r="A48" s="754" t="s">
        <v>35</v>
      </c>
      <c r="B48" s="755"/>
      <c r="C48" s="755"/>
      <c r="D48" s="772"/>
      <c r="E48" s="757" t="s">
        <v>36</v>
      </c>
      <c r="F48" s="757" t="s">
        <v>33</v>
      </c>
      <c r="G48" s="772"/>
      <c r="H48" s="772"/>
      <c r="I48" s="760">
        <v>4570</v>
      </c>
      <c r="J48" s="760">
        <f t="shared" si="1"/>
        <v>600.9553424246966</v>
      </c>
      <c r="K48" s="760">
        <v>8</v>
      </c>
      <c r="L48" s="760">
        <f t="shared" si="2"/>
        <v>0.13150007492881763</v>
      </c>
      <c r="M48" s="755">
        <v>600</v>
      </c>
      <c r="N48" s="755">
        <v>734.6</v>
      </c>
      <c r="O48" s="755">
        <f t="shared" si="3"/>
        <v>1334.6</v>
      </c>
      <c r="P48" s="755">
        <v>75.2</v>
      </c>
      <c r="Q48" s="755">
        <v>100.3</v>
      </c>
      <c r="R48" s="755">
        <f t="shared" si="9"/>
        <v>175.5</v>
      </c>
      <c r="S48" s="755">
        <f t="shared" si="4"/>
        <v>7.7645534242469658</v>
      </c>
      <c r="T48" s="755">
        <f t="shared" si="5"/>
        <v>2.6837922434181691</v>
      </c>
      <c r="U48" s="755"/>
      <c r="V48" s="755"/>
      <c r="W48" s="777">
        <f t="shared" si="10"/>
        <v>570.81094124598008</v>
      </c>
      <c r="X48" s="755">
        <v>3.25248399570359</v>
      </c>
      <c r="Y48" s="755">
        <f t="shared" si="7"/>
        <v>1.2118985751151572</v>
      </c>
    </row>
    <row r="49" spans="1:25" s="771" customFormat="1" ht="15">
      <c r="A49" s="762" t="s">
        <v>35</v>
      </c>
      <c r="B49" s="763"/>
      <c r="C49" s="763"/>
      <c r="D49" s="770"/>
      <c r="E49" s="765" t="s">
        <v>31</v>
      </c>
      <c r="F49" s="765" t="s">
        <v>33</v>
      </c>
      <c r="G49" s="770"/>
      <c r="H49" s="770"/>
      <c r="I49" s="768">
        <v>4544</v>
      </c>
      <c r="J49" s="768">
        <f t="shared" si="1"/>
        <v>657.51289398280812</v>
      </c>
      <c r="K49" s="768">
        <v>9</v>
      </c>
      <c r="L49" s="768">
        <f t="shared" si="2"/>
        <v>0.14469914040114615</v>
      </c>
      <c r="M49" s="768">
        <v>549.4</v>
      </c>
      <c r="N49" s="768">
        <v>776.8</v>
      </c>
      <c r="O49" s="768">
        <f t="shared" si="3"/>
        <v>1326.1999999999998</v>
      </c>
      <c r="P49" s="768">
        <v>74</v>
      </c>
      <c r="Q49" s="768">
        <v>117.9</v>
      </c>
      <c r="R49" s="768">
        <f t="shared" si="9"/>
        <v>191.9</v>
      </c>
      <c r="S49" s="768">
        <f t="shared" si="4"/>
        <v>8.4941289398280801</v>
      </c>
      <c r="T49" s="768">
        <f t="shared" si="5"/>
        <v>2.624208281376101</v>
      </c>
      <c r="U49" s="768"/>
      <c r="V49" s="768"/>
      <c r="W49" s="775">
        <f t="shared" si="10"/>
        <v>427.5840458644343</v>
      </c>
      <c r="X49" s="763">
        <v>2.2281607392622944</v>
      </c>
      <c r="Y49" s="768">
        <f t="shared" si="7"/>
        <v>0.84907922708554051</v>
      </c>
    </row>
    <row r="50" spans="1:25" s="773" customFormat="1" ht="15">
      <c r="A50" s="754" t="s">
        <v>35</v>
      </c>
      <c r="B50" s="755"/>
      <c r="C50" s="755"/>
      <c r="D50" s="772"/>
      <c r="E50" s="757" t="s">
        <v>37</v>
      </c>
      <c r="F50" s="757" t="s">
        <v>33</v>
      </c>
      <c r="G50" s="772"/>
      <c r="H50" s="772"/>
      <c r="I50" s="760">
        <v>4310</v>
      </c>
      <c r="J50" s="760">
        <f t="shared" si="1"/>
        <v>573.52563176895319</v>
      </c>
      <c r="K50" s="760">
        <v>7</v>
      </c>
      <c r="L50" s="760">
        <f t="shared" si="2"/>
        <v>0.13306859205776175</v>
      </c>
      <c r="M50" s="760">
        <v>627.70000000000005</v>
      </c>
      <c r="N50" s="760">
        <v>757.3</v>
      </c>
      <c r="O50" s="760">
        <f t="shared" si="3"/>
        <v>1385</v>
      </c>
      <c r="P50" s="760">
        <v>79</v>
      </c>
      <c r="Q50" s="760">
        <v>105.3</v>
      </c>
      <c r="R50" s="760">
        <f t="shared" si="9"/>
        <v>184.3</v>
      </c>
      <c r="S50" s="760">
        <f t="shared" si="4"/>
        <v>7.5782563176895312</v>
      </c>
      <c r="T50" s="760">
        <f t="shared" si="5"/>
        <v>2.7001363249017198</v>
      </c>
      <c r="U50" s="760"/>
      <c r="V50" s="760"/>
      <c r="W50" s="776">
        <f t="shared" si="10"/>
        <v>596.29038140635475</v>
      </c>
      <c r="X50" s="755">
        <v>3.2354334313963902</v>
      </c>
      <c r="Y50" s="760">
        <f t="shared" si="7"/>
        <v>1.1982481779004821</v>
      </c>
    </row>
    <row r="51" spans="1:25" ht="15">
      <c r="A51" s="40" t="s">
        <v>38</v>
      </c>
      <c r="B51" s="41"/>
      <c r="C51" s="41"/>
      <c r="E51" s="42" t="s">
        <v>29</v>
      </c>
      <c r="F51" s="42" t="s">
        <v>30</v>
      </c>
      <c r="I51" s="52">
        <v>3412</v>
      </c>
      <c r="J51" s="52" t="s">
        <v>32</v>
      </c>
      <c r="K51" s="52">
        <v>6</v>
      </c>
      <c r="L51" s="52" t="s">
        <v>32</v>
      </c>
      <c r="M51" s="41" t="s">
        <v>32</v>
      </c>
      <c r="N51" s="41">
        <v>748.1</v>
      </c>
      <c r="O51" s="41" t="s">
        <v>32</v>
      </c>
      <c r="P51" s="41" t="s">
        <v>32</v>
      </c>
      <c r="Q51" s="41">
        <v>263.3</v>
      </c>
      <c r="R51" s="41" t="s">
        <v>32</v>
      </c>
      <c r="S51" s="41" t="s">
        <v>32</v>
      </c>
      <c r="T51" s="41" t="s">
        <v>32</v>
      </c>
      <c r="U51" s="41"/>
      <c r="V51" s="41"/>
      <c r="W51" s="41" t="s">
        <v>32</v>
      </c>
      <c r="X51" s="53" t="s">
        <v>32</v>
      </c>
      <c r="Y51" s="41" t="s">
        <v>32</v>
      </c>
    </row>
    <row r="52" spans="1:25" ht="15">
      <c r="A52" s="40" t="s">
        <v>38</v>
      </c>
      <c r="B52" s="41"/>
      <c r="C52" s="41"/>
      <c r="E52" s="42" t="s">
        <v>36</v>
      </c>
      <c r="F52" s="42" t="s">
        <v>30</v>
      </c>
      <c r="I52" s="52">
        <v>3195</v>
      </c>
      <c r="J52" s="52" t="s">
        <v>32</v>
      </c>
      <c r="K52" s="52">
        <v>6</v>
      </c>
      <c r="L52" s="52" t="s">
        <v>32</v>
      </c>
      <c r="M52" s="41" t="s">
        <v>32</v>
      </c>
      <c r="N52" s="41">
        <v>715.4</v>
      </c>
      <c r="O52" s="41" t="s">
        <v>32</v>
      </c>
      <c r="P52" s="41" t="s">
        <v>32</v>
      </c>
      <c r="Q52" s="41">
        <v>211.9</v>
      </c>
      <c r="R52" s="41" t="s">
        <v>32</v>
      </c>
      <c r="S52" s="41" t="s">
        <v>32</v>
      </c>
      <c r="T52" s="41" t="s">
        <v>32</v>
      </c>
      <c r="U52" s="41"/>
      <c r="V52" s="41"/>
      <c r="W52" s="41" t="s">
        <v>32</v>
      </c>
      <c r="X52" s="53" t="s">
        <v>32</v>
      </c>
      <c r="Y52" s="41" t="s">
        <v>32</v>
      </c>
    </row>
    <row r="53" spans="1:25" ht="15">
      <c r="A53" s="40" t="s">
        <v>38</v>
      </c>
      <c r="B53" s="41"/>
      <c r="C53" s="41"/>
      <c r="E53" s="42" t="s">
        <v>31</v>
      </c>
      <c r="F53" s="42" t="s">
        <v>30</v>
      </c>
      <c r="I53" s="52">
        <v>2390</v>
      </c>
      <c r="J53" s="52" t="s">
        <v>32</v>
      </c>
      <c r="K53" s="52">
        <v>7</v>
      </c>
      <c r="L53" s="52" t="s">
        <v>32</v>
      </c>
      <c r="M53" s="41" t="s">
        <v>32</v>
      </c>
      <c r="N53" s="41">
        <v>682.8</v>
      </c>
      <c r="O53" s="41" t="s">
        <v>32</v>
      </c>
      <c r="P53" s="41" t="s">
        <v>32</v>
      </c>
      <c r="Q53" s="41">
        <v>237.5</v>
      </c>
      <c r="R53" s="41" t="s">
        <v>32</v>
      </c>
      <c r="S53" s="41" t="s">
        <v>32</v>
      </c>
      <c r="T53" s="41" t="s">
        <v>32</v>
      </c>
      <c r="U53" s="41"/>
      <c r="V53" s="41"/>
      <c r="W53" s="41" t="s">
        <v>32</v>
      </c>
      <c r="X53" s="53" t="s">
        <v>32</v>
      </c>
      <c r="Y53" s="41" t="s">
        <v>32</v>
      </c>
    </row>
    <row r="54" spans="1:25" ht="15">
      <c r="A54" s="40" t="s">
        <v>38</v>
      </c>
      <c r="B54" s="41"/>
      <c r="C54" s="41"/>
      <c r="E54" s="42" t="s">
        <v>37</v>
      </c>
      <c r="F54" s="42" t="s">
        <v>30</v>
      </c>
      <c r="I54" s="52">
        <v>2530</v>
      </c>
      <c r="J54" s="52" t="s">
        <v>32</v>
      </c>
      <c r="K54" s="52">
        <v>9</v>
      </c>
      <c r="L54" s="52" t="s">
        <v>32</v>
      </c>
      <c r="M54" s="41" t="s">
        <v>32</v>
      </c>
      <c r="N54" s="41">
        <v>547.29999999999995</v>
      </c>
      <c r="O54" s="41" t="s">
        <v>32</v>
      </c>
      <c r="P54" s="41" t="s">
        <v>32</v>
      </c>
      <c r="Q54" s="41">
        <v>197.9</v>
      </c>
      <c r="R54" s="41" t="s">
        <v>32</v>
      </c>
      <c r="S54" s="41" t="s">
        <v>32</v>
      </c>
      <c r="T54" s="41" t="s">
        <v>32</v>
      </c>
      <c r="U54" s="41"/>
      <c r="V54" s="41"/>
      <c r="W54" s="41" t="s">
        <v>32</v>
      </c>
      <c r="X54" s="53" t="s">
        <v>32</v>
      </c>
      <c r="Y54" s="41" t="s">
        <v>32</v>
      </c>
    </row>
    <row r="55" spans="1:25" ht="15">
      <c r="A55" s="40" t="s">
        <v>38</v>
      </c>
      <c r="B55" s="41"/>
      <c r="C55" s="41"/>
      <c r="E55" s="42" t="s">
        <v>29</v>
      </c>
      <c r="F55" s="42" t="s">
        <v>33</v>
      </c>
      <c r="I55" s="41">
        <v>2190</v>
      </c>
      <c r="J55" s="41" t="s">
        <v>32</v>
      </c>
      <c r="K55" s="41">
        <v>7</v>
      </c>
      <c r="L55" s="41" t="s">
        <v>32</v>
      </c>
      <c r="M55" s="41" t="s">
        <v>32</v>
      </c>
      <c r="N55" s="41">
        <v>498.4</v>
      </c>
      <c r="O55" s="41" t="s">
        <v>32</v>
      </c>
      <c r="P55" s="41" t="s">
        <v>32</v>
      </c>
      <c r="Q55" s="41">
        <v>186.4</v>
      </c>
      <c r="R55" s="41" t="s">
        <v>32</v>
      </c>
      <c r="S55" s="41" t="s">
        <v>32</v>
      </c>
      <c r="T55" s="41" t="s">
        <v>32</v>
      </c>
      <c r="U55" s="41"/>
      <c r="V55" s="41"/>
      <c r="W55" s="41" t="s">
        <v>32</v>
      </c>
      <c r="X55" s="53" t="s">
        <v>32</v>
      </c>
      <c r="Y55" s="41" t="s">
        <v>32</v>
      </c>
    </row>
    <row r="56" spans="1:25" ht="15">
      <c r="A56" s="40" t="s">
        <v>38</v>
      </c>
      <c r="B56" s="41"/>
      <c r="C56" s="41"/>
      <c r="E56" s="42" t="s">
        <v>36</v>
      </c>
      <c r="F56" s="42" t="s">
        <v>33</v>
      </c>
      <c r="I56" s="41">
        <v>2675</v>
      </c>
      <c r="J56" s="41" t="s">
        <v>32</v>
      </c>
      <c r="K56" s="41">
        <v>7</v>
      </c>
      <c r="L56" s="41" t="s">
        <v>32</v>
      </c>
      <c r="M56" s="41" t="s">
        <v>32</v>
      </c>
      <c r="N56" s="41">
        <v>744.2</v>
      </c>
      <c r="O56" s="41" t="s">
        <v>32</v>
      </c>
      <c r="P56" s="41" t="s">
        <v>32</v>
      </c>
      <c r="Q56" s="41">
        <v>237.3</v>
      </c>
      <c r="R56" s="41" t="s">
        <v>32</v>
      </c>
      <c r="S56" s="41" t="s">
        <v>32</v>
      </c>
      <c r="T56" s="41" t="s">
        <v>32</v>
      </c>
      <c r="U56" s="41"/>
      <c r="V56" s="41"/>
      <c r="W56" s="41" t="s">
        <v>32</v>
      </c>
      <c r="X56" s="53" t="s">
        <v>32</v>
      </c>
      <c r="Y56" s="41" t="s">
        <v>32</v>
      </c>
    </row>
    <row r="57" spans="1:25" ht="15">
      <c r="A57" s="40" t="s">
        <v>38</v>
      </c>
      <c r="B57" s="41"/>
      <c r="C57" s="41"/>
      <c r="E57" s="42" t="s">
        <v>31</v>
      </c>
      <c r="F57" s="42" t="s">
        <v>33</v>
      </c>
      <c r="I57" s="41">
        <v>2150</v>
      </c>
      <c r="J57" s="41" t="s">
        <v>32</v>
      </c>
      <c r="K57" s="41">
        <v>9</v>
      </c>
      <c r="L57" s="41" t="s">
        <v>32</v>
      </c>
      <c r="M57" s="41" t="s">
        <v>32</v>
      </c>
      <c r="N57" s="41">
        <v>547.29999999999995</v>
      </c>
      <c r="O57" s="41" t="s">
        <v>32</v>
      </c>
      <c r="P57" s="41" t="s">
        <v>32</v>
      </c>
      <c r="Q57" s="41">
        <v>202.3</v>
      </c>
      <c r="R57" s="41" t="s">
        <v>32</v>
      </c>
      <c r="S57" s="41" t="s">
        <v>32</v>
      </c>
      <c r="T57" s="41" t="s">
        <v>32</v>
      </c>
      <c r="U57" s="41"/>
      <c r="V57" s="41"/>
      <c r="W57" s="41" t="s">
        <v>32</v>
      </c>
      <c r="X57" s="53" t="s">
        <v>32</v>
      </c>
      <c r="Y57" s="41" t="s">
        <v>32</v>
      </c>
    </row>
    <row r="58" spans="1:25" ht="15">
      <c r="A58" s="40" t="s">
        <v>38</v>
      </c>
      <c r="B58" s="41"/>
      <c r="C58" s="41"/>
      <c r="E58" s="42" t="s">
        <v>37</v>
      </c>
      <c r="F58" s="42" t="s">
        <v>33</v>
      </c>
      <c r="I58" s="41">
        <v>2440</v>
      </c>
      <c r="J58" s="41" t="s">
        <v>32</v>
      </c>
      <c r="K58" s="41">
        <v>10</v>
      </c>
      <c r="L58" s="41" t="s">
        <v>32</v>
      </c>
      <c r="M58" s="41" t="s">
        <v>32</v>
      </c>
      <c r="N58" s="41">
        <v>770.8</v>
      </c>
      <c r="O58" s="41" t="s">
        <v>32</v>
      </c>
      <c r="P58" s="41" t="s">
        <v>32</v>
      </c>
      <c r="Q58" s="41">
        <v>276.2</v>
      </c>
      <c r="R58" s="41" t="s">
        <v>32</v>
      </c>
      <c r="S58" s="41" t="s">
        <v>32</v>
      </c>
      <c r="T58" s="41" t="s">
        <v>32</v>
      </c>
      <c r="U58" s="41"/>
      <c r="V58" s="41"/>
      <c r="W58" s="41" t="s">
        <v>32</v>
      </c>
      <c r="X58" s="53" t="s">
        <v>32</v>
      </c>
      <c r="Y58" s="41" t="s">
        <v>32</v>
      </c>
    </row>
    <row r="59" spans="1:25">
      <c r="P59" s="54"/>
      <c r="Q59" s="54"/>
    </row>
    <row r="60" spans="1:25">
      <c r="O60" s="750" t="s">
        <v>390</v>
      </c>
      <c r="P60" s="751"/>
      <c r="Q60" s="751"/>
    </row>
    <row r="61" spans="1:25">
      <c r="O61" s="36"/>
      <c r="P61" s="752" t="s">
        <v>63</v>
      </c>
      <c r="Q61" s="753" t="s">
        <v>64</v>
      </c>
    </row>
    <row r="62" spans="1:25">
      <c r="A62" s="55" t="s">
        <v>39</v>
      </c>
      <c r="O62" s="36" t="s">
        <v>391</v>
      </c>
      <c r="P62" s="774">
        <f>AVERAGE(Y27,Y29,Y31,Y33,Y35,Y37,Y39,Y41,Y43,Y45,Y47,Y49)</f>
        <v>0.75876489197642938</v>
      </c>
      <c r="Q62" s="774">
        <f>AVERAGE(Y28,Y30,Y32,Y34,Y36,Y38,Y40,Y42,Y44,Y46,Y48,Y50)</f>
        <v>1.0688992051767521</v>
      </c>
    </row>
    <row r="63" spans="1:25">
      <c r="A63" s="56" t="s">
        <v>40</v>
      </c>
      <c r="O63" s="36" t="s">
        <v>25</v>
      </c>
      <c r="P63" s="774">
        <f>AVERAGE(W27,W29,W31,W33,W35,W37,W39,W41,W43,W45,W47,W49)</f>
        <v>284.96326238241198</v>
      </c>
      <c r="Q63" s="774">
        <f>AVERAGE(W28,W30,W32,W34,W36,W38,W40,W42,W44,W46,W48,W50)</f>
        <v>482.40230194544392</v>
      </c>
    </row>
    <row r="64" spans="1:25">
      <c r="A64" s="56" t="s">
        <v>41</v>
      </c>
      <c r="O64" s="36" t="s">
        <v>392</v>
      </c>
      <c r="P64" s="774">
        <f>AVERAGE(X27,X29,X31,X33,X35,X37,X39,X41,X43,X45,X47,X49)</f>
        <v>2.0870135905178482</v>
      </c>
      <c r="Q64" s="774">
        <f>AVERAGE(X28,X30,X32,X34,X36,X38,X40,X42,X44,X46,X48,X50)</f>
        <v>2.8071422431847393</v>
      </c>
    </row>
    <row r="65" spans="1:17">
      <c r="A65" s="56" t="s">
        <v>42</v>
      </c>
      <c r="O65" s="36" t="s">
        <v>393</v>
      </c>
      <c r="P65" s="774">
        <f>AVERAGE(S27,S29,S31,S33,S35,S37,S39,S41,S43,S45,S47,S49)</f>
        <v>7.1157245233067954</v>
      </c>
      <c r="Q65" s="774">
        <f>AVERAGE(S28,S30,S32,S34,S36,S38,S40,S42,S44,S46,S48,S50)</f>
        <v>8.4769041372958807</v>
      </c>
    </row>
    <row r="66" spans="1:17">
      <c r="A66" s="55" t="s">
        <v>43</v>
      </c>
      <c r="P66" s="54"/>
      <c r="Q66" s="54"/>
    </row>
    <row r="67" spans="1:17">
      <c r="A67" s="55" t="s">
        <v>44</v>
      </c>
      <c r="P67" s="54"/>
      <c r="Q67" s="54"/>
    </row>
    <row r="68" spans="1:17">
      <c r="A68" s="55" t="s">
        <v>45</v>
      </c>
    </row>
    <row r="69" spans="1:17">
      <c r="A69" s="56" t="s">
        <v>46</v>
      </c>
    </row>
    <row r="70" spans="1:17">
      <c r="A70" s="56" t="s">
        <v>47</v>
      </c>
    </row>
    <row r="71" spans="1:17">
      <c r="A71" s="56" t="s">
        <v>48</v>
      </c>
    </row>
    <row r="72" spans="1:17">
      <c r="A72" s="56" t="s">
        <v>49</v>
      </c>
    </row>
    <row r="74" spans="1:17">
      <c r="A74" s="1" t="s">
        <v>50</v>
      </c>
    </row>
  </sheetData>
  <mergeCells count="4">
    <mergeCell ref="H1:J1"/>
    <mergeCell ref="K1:R1"/>
    <mergeCell ref="S1:T1"/>
    <mergeCell ref="U1:W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CC"/>
  </sheetPr>
  <dimension ref="A1:Y52"/>
  <sheetViews>
    <sheetView topLeftCell="A7" workbookViewId="0">
      <selection activeCell="L14" sqref="L14"/>
    </sheetView>
  </sheetViews>
  <sheetFormatPr baseColWidth="10" defaultRowHeight="12.75"/>
  <cols>
    <col min="1" max="1" width="11.7109375" style="1" customWidth="1"/>
    <col min="2" max="2" width="10.140625" style="1" bestFit="1" customWidth="1"/>
    <col min="3" max="4" width="3" style="1" bestFit="1" customWidth="1"/>
    <col min="5" max="5" width="8.85546875" style="1" bestFit="1" customWidth="1"/>
    <col min="6" max="6" width="11.140625" style="1" bestFit="1" customWidth="1"/>
    <col min="7" max="7" width="6.28515625" style="1" bestFit="1" customWidth="1"/>
    <col min="8" max="8" width="4.140625" style="1" bestFit="1" customWidth="1"/>
    <col min="9" max="9" width="8.42578125" style="1" bestFit="1" customWidth="1"/>
    <col min="10" max="10" width="12" style="1" bestFit="1" customWidth="1"/>
    <col min="11" max="11" width="4.140625" style="1" bestFit="1" customWidth="1"/>
    <col min="12" max="12" width="12" style="1" bestFit="1" customWidth="1"/>
    <col min="13" max="13" width="14.28515625" style="1" bestFit="1" customWidth="1"/>
    <col min="14" max="14" width="11.140625" style="1" bestFit="1" customWidth="1"/>
    <col min="15" max="15" width="9.85546875" style="1" bestFit="1" customWidth="1"/>
    <col min="16" max="16" width="14.42578125" style="1" bestFit="1" customWidth="1"/>
    <col min="17" max="17" width="11.28515625" style="1" bestFit="1" customWidth="1"/>
    <col min="18" max="18" width="10.42578125" style="1" bestFit="1" customWidth="1"/>
    <col min="19" max="19" width="13" style="4" bestFit="1" customWidth="1"/>
    <col min="20" max="20" width="11.42578125" style="4"/>
    <col min="21" max="21" width="12.42578125" style="1" customWidth="1"/>
    <col min="22" max="22" width="11.85546875" style="1" customWidth="1"/>
    <col min="23" max="23" width="11.42578125" style="4"/>
    <col min="24" max="24" width="15.85546875" style="4" bestFit="1" customWidth="1"/>
    <col min="25" max="16384" width="11.42578125" style="4"/>
  </cols>
  <sheetData>
    <row r="1" spans="1:25" ht="15.75">
      <c r="A1" s="57"/>
      <c r="B1" s="57"/>
      <c r="C1" s="57"/>
      <c r="D1" s="57"/>
      <c r="E1" s="57"/>
      <c r="F1" s="57"/>
      <c r="G1" s="57"/>
      <c r="H1" s="1626" t="s">
        <v>0</v>
      </c>
      <c r="I1" s="1627"/>
      <c r="J1" s="1628"/>
      <c r="K1" s="1629" t="s">
        <v>1</v>
      </c>
      <c r="L1" s="1627"/>
      <c r="M1" s="1627"/>
      <c r="N1" s="1627"/>
      <c r="O1" s="1627"/>
      <c r="P1" s="1627"/>
      <c r="Q1" s="1627"/>
      <c r="R1" s="1628"/>
      <c r="S1" s="1630" t="s">
        <v>2</v>
      </c>
      <c r="T1" s="1631"/>
      <c r="U1" s="1632" t="s">
        <v>3</v>
      </c>
      <c r="V1" s="1632"/>
      <c r="W1" s="1633"/>
      <c r="X1" s="58"/>
      <c r="Y1" s="59"/>
    </row>
    <row r="2" spans="1:25" ht="13.5" thickBot="1">
      <c r="A2" s="60" t="s">
        <v>4</v>
      </c>
      <c r="B2" s="60" t="s">
        <v>5</v>
      </c>
      <c r="C2" s="60" t="s">
        <v>6</v>
      </c>
      <c r="D2" s="60" t="s">
        <v>7</v>
      </c>
      <c r="E2" s="60" t="s">
        <v>8</v>
      </c>
      <c r="F2" s="60" t="s">
        <v>9</v>
      </c>
      <c r="G2" s="60" t="s">
        <v>10</v>
      </c>
      <c r="H2" s="60" t="s">
        <v>11</v>
      </c>
      <c r="I2" s="60" t="s">
        <v>12</v>
      </c>
      <c r="J2" s="61" t="s">
        <v>13</v>
      </c>
      <c r="K2" s="62" t="s">
        <v>11</v>
      </c>
      <c r="L2" s="60" t="s">
        <v>14</v>
      </c>
      <c r="M2" s="60" t="s">
        <v>15</v>
      </c>
      <c r="N2" s="60" t="s">
        <v>16</v>
      </c>
      <c r="O2" s="60" t="s">
        <v>17</v>
      </c>
      <c r="P2" s="60" t="s">
        <v>18</v>
      </c>
      <c r="Q2" s="60" t="s">
        <v>19</v>
      </c>
      <c r="R2" s="61" t="s">
        <v>20</v>
      </c>
      <c r="S2" s="63" t="s">
        <v>21</v>
      </c>
      <c r="T2" s="60" t="s">
        <v>22</v>
      </c>
      <c r="U2" s="64" t="s">
        <v>23</v>
      </c>
      <c r="V2" s="64" t="s">
        <v>24</v>
      </c>
      <c r="W2" s="65" t="s">
        <v>25</v>
      </c>
      <c r="X2" s="66" t="s">
        <v>26</v>
      </c>
      <c r="Y2" s="67" t="s">
        <v>27</v>
      </c>
    </row>
    <row r="3" spans="1:25" s="77" customFormat="1">
      <c r="A3" s="68" t="s">
        <v>28</v>
      </c>
      <c r="B3" s="69">
        <v>40518</v>
      </c>
      <c r="C3" s="70"/>
      <c r="D3" s="71"/>
      <c r="E3" s="72" t="s">
        <v>51</v>
      </c>
      <c r="F3" s="70" t="s">
        <v>52</v>
      </c>
      <c r="G3" s="72"/>
      <c r="H3" s="72"/>
      <c r="I3" s="73">
        <v>503.5</v>
      </c>
      <c r="J3" s="72">
        <f>I3*L3</f>
        <v>58.330310457516333</v>
      </c>
      <c r="K3" s="74">
        <v>6</v>
      </c>
      <c r="L3" s="72">
        <f>R3/O3</f>
        <v>0.11584967320261437</v>
      </c>
      <c r="M3" s="72">
        <v>108.08</v>
      </c>
      <c r="N3" s="72">
        <v>2.75</v>
      </c>
      <c r="O3" s="72">
        <v>122.4</v>
      </c>
      <c r="P3" s="72">
        <v>13.82</v>
      </c>
      <c r="Q3" s="72">
        <v>0.36</v>
      </c>
      <c r="R3" s="72">
        <v>14.18</v>
      </c>
      <c r="S3" s="75">
        <f>(R3+J3)/100</f>
        <v>0.72510310457516336</v>
      </c>
      <c r="T3" s="75">
        <f>MIN(4.63,4.48*S3^(-0.25))</f>
        <v>4.63</v>
      </c>
      <c r="U3" s="1625"/>
      <c r="V3" s="1625"/>
      <c r="W3" s="76">
        <f>(U3*P3)</f>
        <v>0</v>
      </c>
      <c r="X3" s="76">
        <v>3.7182181600725754</v>
      </c>
      <c r="Y3" s="76">
        <f>X3/T3</f>
        <v>0.80307087690552392</v>
      </c>
    </row>
    <row r="4" spans="1:25" s="77" customFormat="1">
      <c r="A4" s="70" t="s">
        <v>28</v>
      </c>
      <c r="B4" s="78">
        <v>40518</v>
      </c>
      <c r="C4" s="70"/>
      <c r="D4" s="71"/>
      <c r="E4" s="72" t="s">
        <v>29</v>
      </c>
      <c r="F4" s="70" t="s">
        <v>52</v>
      </c>
      <c r="G4" s="72"/>
      <c r="H4" s="72"/>
      <c r="I4" s="79">
        <v>961.9</v>
      </c>
      <c r="J4" s="72">
        <f t="shared" ref="J4:J32" si="0">I4*L4</f>
        <v>107.75715189873418</v>
      </c>
      <c r="K4" s="80">
        <v>8</v>
      </c>
      <c r="L4" s="72">
        <f t="shared" ref="L4:L32" si="1">R4/O4</f>
        <v>0.1120253164556962</v>
      </c>
      <c r="M4" s="72">
        <v>227.52</v>
      </c>
      <c r="N4" s="72">
        <v>7.75</v>
      </c>
      <c r="O4" s="72">
        <v>252.8</v>
      </c>
      <c r="P4" s="72">
        <v>27.39</v>
      </c>
      <c r="Q4" s="72">
        <v>0.93</v>
      </c>
      <c r="R4" s="72">
        <v>28.32</v>
      </c>
      <c r="S4" s="75">
        <f t="shared" ref="S4:S32" si="2">(R4+J4)/100</f>
        <v>1.3607715189873417</v>
      </c>
      <c r="T4" s="75">
        <f t="shared" ref="T4:T32" si="3">MIN(4.63,4.48*S4^(-0.25))</f>
        <v>4.1479327946147313</v>
      </c>
      <c r="U4" s="1625"/>
      <c r="V4" s="1625"/>
      <c r="W4" s="76">
        <f t="shared" ref="W4:W10" si="4">(U4*P4)</f>
        <v>0</v>
      </c>
      <c r="X4" s="76">
        <v>3.9131523424773063</v>
      </c>
      <c r="Y4" s="76">
        <f t="shared" ref="Y4:Y32" si="5">X4/T4</f>
        <v>0.94339820248721462</v>
      </c>
    </row>
    <row r="5" spans="1:25" s="77" customFormat="1">
      <c r="A5" s="70" t="s">
        <v>28</v>
      </c>
      <c r="B5" s="78">
        <v>40518</v>
      </c>
      <c r="C5" s="70"/>
      <c r="D5" s="71"/>
      <c r="E5" s="72" t="s">
        <v>31</v>
      </c>
      <c r="F5" s="70" t="s">
        <v>52</v>
      </c>
      <c r="G5" s="72"/>
      <c r="H5" s="72"/>
      <c r="I5" s="79">
        <v>989.2</v>
      </c>
      <c r="J5" s="72">
        <f t="shared" si="0"/>
        <v>106.93112676056337</v>
      </c>
      <c r="K5" s="80">
        <v>8</v>
      </c>
      <c r="L5" s="72">
        <f t="shared" si="1"/>
        <v>0.10809859154929577</v>
      </c>
      <c r="M5" s="72">
        <v>252.39</v>
      </c>
      <c r="N5" s="72">
        <v>8.31</v>
      </c>
      <c r="O5" s="72">
        <v>284</v>
      </c>
      <c r="P5" s="72">
        <v>29.49</v>
      </c>
      <c r="Q5" s="72">
        <v>1.21</v>
      </c>
      <c r="R5" s="72">
        <v>30.7</v>
      </c>
      <c r="S5" s="75">
        <f t="shared" si="2"/>
        <v>1.3763112676056337</v>
      </c>
      <c r="T5" s="75">
        <f t="shared" si="3"/>
        <v>4.1361744508852825</v>
      </c>
      <c r="U5" s="1625"/>
      <c r="V5" s="1625"/>
      <c r="W5" s="76">
        <f t="shared" si="4"/>
        <v>0</v>
      </c>
      <c r="X5" s="76">
        <v>3.9397210048626947</v>
      </c>
      <c r="Y5" s="76">
        <f t="shared" si="5"/>
        <v>0.95250358795177514</v>
      </c>
    </row>
    <row r="6" spans="1:25" s="77" customFormat="1">
      <c r="A6" s="70" t="s">
        <v>28</v>
      </c>
      <c r="B6" s="78">
        <v>40518</v>
      </c>
      <c r="C6" s="70"/>
      <c r="D6" s="71"/>
      <c r="E6" s="72" t="s">
        <v>53</v>
      </c>
      <c r="F6" s="70" t="s">
        <v>52</v>
      </c>
      <c r="G6" s="72"/>
      <c r="H6" s="72"/>
      <c r="I6" s="79">
        <v>939.7</v>
      </c>
      <c r="J6" s="72">
        <f t="shared" si="0"/>
        <v>108.90392815306519</v>
      </c>
      <c r="K6" s="80">
        <v>9</v>
      </c>
      <c r="L6" s="72">
        <f t="shared" si="1"/>
        <v>0.11589222959781334</v>
      </c>
      <c r="M6" s="72">
        <v>227.51</v>
      </c>
      <c r="N6" s="72">
        <v>6.63</v>
      </c>
      <c r="O6" s="72">
        <v>256.10000000000002</v>
      </c>
      <c r="P6" s="72">
        <v>28.72</v>
      </c>
      <c r="Q6" s="72">
        <v>0.96</v>
      </c>
      <c r="R6" s="72">
        <v>29.68</v>
      </c>
      <c r="S6" s="75">
        <f t="shared" si="2"/>
        <v>1.3858392815306519</v>
      </c>
      <c r="T6" s="75">
        <f t="shared" si="3"/>
        <v>4.1290467225205916</v>
      </c>
      <c r="U6" s="1625"/>
      <c r="V6" s="1625"/>
      <c r="W6" s="76">
        <f t="shared" si="4"/>
        <v>0</v>
      </c>
      <c r="X6" s="76">
        <v>3.3645567062043833</v>
      </c>
      <c r="Y6" s="76">
        <f t="shared" si="5"/>
        <v>0.81485072277178727</v>
      </c>
    </row>
    <row r="7" spans="1:25" s="77" customFormat="1">
      <c r="A7" s="70" t="s">
        <v>28</v>
      </c>
      <c r="B7" s="78">
        <v>40518</v>
      </c>
      <c r="C7" s="70"/>
      <c r="D7" s="71"/>
      <c r="E7" s="72" t="s">
        <v>51</v>
      </c>
      <c r="F7" s="70" t="s">
        <v>54</v>
      </c>
      <c r="G7" s="72"/>
      <c r="H7" s="72"/>
      <c r="I7" s="79">
        <v>476.6</v>
      </c>
      <c r="J7" s="72">
        <f t="shared" si="0"/>
        <v>54.888335388409388</v>
      </c>
      <c r="K7" s="80">
        <v>5</v>
      </c>
      <c r="L7" s="72">
        <f t="shared" si="1"/>
        <v>0.11516646115906291</v>
      </c>
      <c r="M7" s="72">
        <v>144.97999999999999</v>
      </c>
      <c r="N7" s="72">
        <v>6.85</v>
      </c>
      <c r="O7" s="72">
        <v>162.19999999999999</v>
      </c>
      <c r="P7" s="72">
        <v>17.760000000000002</v>
      </c>
      <c r="Q7" s="72">
        <v>0.92</v>
      </c>
      <c r="R7" s="72">
        <v>18.680000000000003</v>
      </c>
      <c r="S7" s="75">
        <f t="shared" si="2"/>
        <v>0.73568335388409389</v>
      </c>
      <c r="T7" s="75">
        <f t="shared" si="3"/>
        <v>4.63</v>
      </c>
      <c r="U7" s="1625"/>
      <c r="V7" s="1625"/>
      <c r="W7" s="76">
        <f t="shared" si="4"/>
        <v>0</v>
      </c>
      <c r="X7" s="76">
        <v>4.8779450933398385</v>
      </c>
      <c r="Y7" s="76">
        <f t="shared" si="5"/>
        <v>1.053551856012924</v>
      </c>
    </row>
    <row r="8" spans="1:25" s="77" customFormat="1">
      <c r="A8" s="70" t="s">
        <v>28</v>
      </c>
      <c r="B8" s="78">
        <v>40518</v>
      </c>
      <c r="C8" s="70"/>
      <c r="D8" s="71"/>
      <c r="E8" s="72" t="s">
        <v>29</v>
      </c>
      <c r="F8" s="70" t="s">
        <v>54</v>
      </c>
      <c r="G8" s="72"/>
      <c r="H8" s="72"/>
      <c r="I8" s="79">
        <v>1270.3</v>
      </c>
      <c r="J8" s="72">
        <f t="shared" si="0"/>
        <v>133.88715339805825</v>
      </c>
      <c r="K8" s="80">
        <v>9</v>
      </c>
      <c r="L8" s="72">
        <f t="shared" si="1"/>
        <v>0.10539805825242719</v>
      </c>
      <c r="M8" s="72">
        <v>236.14</v>
      </c>
      <c r="N8" s="72">
        <v>8.19</v>
      </c>
      <c r="O8" s="72">
        <v>257.5</v>
      </c>
      <c r="P8" s="72">
        <v>26.11</v>
      </c>
      <c r="Q8" s="72">
        <v>1.03</v>
      </c>
      <c r="R8" s="72">
        <v>27.14</v>
      </c>
      <c r="S8" s="75">
        <f t="shared" si="2"/>
        <v>1.6102715339805826</v>
      </c>
      <c r="T8" s="75">
        <f t="shared" si="3"/>
        <v>3.9769784262088224</v>
      </c>
      <c r="U8" s="1625"/>
      <c r="V8" s="1625"/>
      <c r="W8" s="76">
        <f t="shared" si="4"/>
        <v>0</v>
      </c>
      <c r="X8" s="76">
        <v>3.3968816781134294</v>
      </c>
      <c r="Y8" s="76">
        <f t="shared" si="5"/>
        <v>0.85413631005074675</v>
      </c>
    </row>
    <row r="9" spans="1:25" s="77" customFormat="1">
      <c r="A9" s="70" t="s">
        <v>28</v>
      </c>
      <c r="B9" s="78">
        <v>40518</v>
      </c>
      <c r="C9" s="70"/>
      <c r="D9" s="81"/>
      <c r="E9" s="72" t="s">
        <v>31</v>
      </c>
      <c r="F9" s="70" t="s">
        <v>54</v>
      </c>
      <c r="G9" s="72"/>
      <c r="H9" s="72"/>
      <c r="I9" s="79">
        <v>940.7</v>
      </c>
      <c r="J9" s="72">
        <f t="shared" si="0"/>
        <v>110.14342347879533</v>
      </c>
      <c r="K9" s="80">
        <v>9</v>
      </c>
      <c r="L9" s="72">
        <f t="shared" si="1"/>
        <v>0.11708666256914566</v>
      </c>
      <c r="M9" s="72">
        <v>290.06</v>
      </c>
      <c r="N9" s="72">
        <v>12.61</v>
      </c>
      <c r="O9" s="72">
        <v>325.39999999999998</v>
      </c>
      <c r="P9" s="72">
        <v>36.299999999999997</v>
      </c>
      <c r="Q9" s="72">
        <v>1.8</v>
      </c>
      <c r="R9" s="72">
        <v>38.099999999999994</v>
      </c>
      <c r="S9" s="75">
        <f t="shared" si="2"/>
        <v>1.4824342347879531</v>
      </c>
      <c r="T9" s="75">
        <f t="shared" si="3"/>
        <v>4.0600759240975854</v>
      </c>
      <c r="U9" s="1625"/>
      <c r="V9" s="1625"/>
      <c r="W9" s="76">
        <f t="shared" si="4"/>
        <v>0</v>
      </c>
      <c r="X9" s="76">
        <v>4.0974670047321746</v>
      </c>
      <c r="Y9" s="76">
        <f t="shared" si="5"/>
        <v>1.0092094535505269</v>
      </c>
    </row>
    <row r="10" spans="1:25" s="77" customFormat="1">
      <c r="A10" s="70" t="s">
        <v>28</v>
      </c>
      <c r="B10" s="78">
        <v>40518</v>
      </c>
      <c r="C10" s="70"/>
      <c r="D10" s="81"/>
      <c r="E10" s="72" t="s">
        <v>53</v>
      </c>
      <c r="F10" s="70" t="s">
        <v>54</v>
      </c>
      <c r="G10" s="72"/>
      <c r="H10" s="72"/>
      <c r="I10" s="79">
        <v>1116</v>
      </c>
      <c r="J10" s="72">
        <f t="shared" si="0"/>
        <v>130.72184368737476</v>
      </c>
      <c r="K10" s="80">
        <v>9</v>
      </c>
      <c r="L10" s="72">
        <f t="shared" si="1"/>
        <v>0.11713426853707416</v>
      </c>
      <c r="M10" s="72">
        <v>264.43</v>
      </c>
      <c r="N10" s="72">
        <v>7.58</v>
      </c>
      <c r="O10" s="72">
        <v>299.39999999999998</v>
      </c>
      <c r="P10" s="72">
        <v>33.71</v>
      </c>
      <c r="Q10" s="72">
        <v>1.36</v>
      </c>
      <c r="R10" s="72">
        <v>35.07</v>
      </c>
      <c r="S10" s="75">
        <f t="shared" si="2"/>
        <v>1.6579184368737474</v>
      </c>
      <c r="T10" s="75">
        <f t="shared" si="3"/>
        <v>3.9480916317770065</v>
      </c>
      <c r="U10" s="1625"/>
      <c r="V10" s="1625"/>
      <c r="W10" s="76">
        <f t="shared" si="4"/>
        <v>0</v>
      </c>
      <c r="X10" s="76">
        <v>3.7602059725198069</v>
      </c>
      <c r="Y10" s="76">
        <f t="shared" si="5"/>
        <v>0.95241101859314403</v>
      </c>
    </row>
    <row r="11" spans="1:25" s="3" customFormat="1">
      <c r="A11" s="82" t="s">
        <v>34</v>
      </c>
      <c r="B11" s="83">
        <v>40577</v>
      </c>
      <c r="C11" s="82"/>
      <c r="D11" s="84"/>
      <c r="E11" s="85" t="s">
        <v>55</v>
      </c>
      <c r="F11" s="82" t="s">
        <v>52</v>
      </c>
      <c r="G11" s="85"/>
      <c r="H11" s="85"/>
      <c r="I11" s="86">
        <v>1019</v>
      </c>
      <c r="J11" s="85">
        <f t="shared" si="0"/>
        <v>121.42995518786626</v>
      </c>
      <c r="K11" s="87">
        <v>7</v>
      </c>
      <c r="L11" s="85">
        <f t="shared" si="1"/>
        <v>0.11916580489486384</v>
      </c>
      <c r="M11" s="85">
        <v>235.92</v>
      </c>
      <c r="N11" s="85">
        <v>14.89</v>
      </c>
      <c r="O11" s="85">
        <v>290.10000000000002</v>
      </c>
      <c r="P11" s="85">
        <v>31.84</v>
      </c>
      <c r="Q11" s="85">
        <v>2.73</v>
      </c>
      <c r="R11" s="85">
        <v>34.57</v>
      </c>
      <c r="S11" s="88">
        <f t="shared" si="2"/>
        <v>1.5599995518786625</v>
      </c>
      <c r="T11" s="89">
        <f t="shared" si="3"/>
        <v>4.0086385218229692</v>
      </c>
      <c r="U11" s="90"/>
      <c r="V11" s="90"/>
      <c r="W11" s="90">
        <f t="shared" ref="W11:W26" si="6">(U11*P11)+(V11*Q11)</f>
        <v>0</v>
      </c>
      <c r="X11" s="90">
        <v>3.6504556973524371</v>
      </c>
      <c r="Y11" s="90">
        <f>X11/T11</f>
        <v>0.91064726277498209</v>
      </c>
    </row>
    <row r="12" spans="1:25" s="3" customFormat="1">
      <c r="A12" s="82" t="s">
        <v>34</v>
      </c>
      <c r="B12" s="83">
        <v>40577</v>
      </c>
      <c r="C12" s="82"/>
      <c r="D12" s="84"/>
      <c r="E12" s="85" t="s">
        <v>56</v>
      </c>
      <c r="F12" s="82" t="s">
        <v>52</v>
      </c>
      <c r="G12" s="85"/>
      <c r="H12" s="85"/>
      <c r="I12" s="86" t="s">
        <v>32</v>
      </c>
      <c r="J12" s="86" t="s">
        <v>32</v>
      </c>
      <c r="K12" s="91" t="s">
        <v>32</v>
      </c>
      <c r="L12" s="91" t="s">
        <v>32</v>
      </c>
      <c r="M12" s="85" t="s">
        <v>32</v>
      </c>
      <c r="N12" s="85" t="s">
        <v>32</v>
      </c>
      <c r="O12" s="85" t="s">
        <v>32</v>
      </c>
      <c r="P12" s="85" t="s">
        <v>32</v>
      </c>
      <c r="Q12" s="85" t="s">
        <v>32</v>
      </c>
      <c r="R12" s="85" t="s">
        <v>32</v>
      </c>
      <c r="S12" s="88" t="s">
        <v>32</v>
      </c>
      <c r="T12" s="85" t="s">
        <v>32</v>
      </c>
      <c r="U12" s="85"/>
      <c r="V12" s="85"/>
      <c r="W12" s="85" t="s">
        <v>32</v>
      </c>
      <c r="X12" s="85" t="s">
        <v>32</v>
      </c>
      <c r="Y12" s="85" t="s">
        <v>32</v>
      </c>
    </row>
    <row r="13" spans="1:25" s="3" customFormat="1">
      <c r="A13" s="82" t="s">
        <v>34</v>
      </c>
      <c r="B13" s="83">
        <v>40577</v>
      </c>
      <c r="C13" s="82"/>
      <c r="D13" s="84"/>
      <c r="E13" s="85" t="s">
        <v>36</v>
      </c>
      <c r="F13" s="82" t="s">
        <v>52</v>
      </c>
      <c r="G13" s="85"/>
      <c r="H13" s="85"/>
      <c r="I13" s="86">
        <v>922.2</v>
      </c>
      <c r="J13" s="85">
        <f t="shared" si="0"/>
        <v>114.39150547445256</v>
      </c>
      <c r="K13" s="87">
        <v>9</v>
      </c>
      <c r="L13" s="85">
        <f t="shared" si="1"/>
        <v>0.1240419708029197</v>
      </c>
      <c r="M13" s="85">
        <v>166.64</v>
      </c>
      <c r="N13" s="85">
        <v>10.210000000000001</v>
      </c>
      <c r="O13" s="85">
        <v>219.2</v>
      </c>
      <c r="P13" s="85">
        <v>25.06</v>
      </c>
      <c r="Q13" s="85">
        <v>2.13</v>
      </c>
      <c r="R13" s="85">
        <v>27.189999999999998</v>
      </c>
      <c r="S13" s="88">
        <f t="shared" si="2"/>
        <v>1.4158150547445256</v>
      </c>
      <c r="T13" s="89">
        <f t="shared" si="3"/>
        <v>4.1070158839814104</v>
      </c>
      <c r="U13" s="90"/>
      <c r="V13" s="90"/>
      <c r="W13" s="90">
        <f t="shared" si="6"/>
        <v>0</v>
      </c>
      <c r="X13" s="90">
        <v>2.7925076606050498</v>
      </c>
      <c r="Y13" s="90">
        <f t="shared" si="5"/>
        <v>0.67993592902736621</v>
      </c>
    </row>
    <row r="14" spans="1:25" s="3" customFormat="1">
      <c r="A14" s="82" t="s">
        <v>34</v>
      </c>
      <c r="B14" s="83">
        <v>40577</v>
      </c>
      <c r="C14" s="82"/>
      <c r="D14" s="84"/>
      <c r="E14" s="85" t="s">
        <v>37</v>
      </c>
      <c r="F14" s="82" t="s">
        <v>52</v>
      </c>
      <c r="G14" s="85"/>
      <c r="H14" s="85"/>
      <c r="I14" s="86">
        <v>1565.5</v>
      </c>
      <c r="J14" s="85">
        <f t="shared" si="0"/>
        <v>167.1986175678982</v>
      </c>
      <c r="K14" s="87">
        <v>8</v>
      </c>
      <c r="L14" s="85">
        <f>R14/O14</f>
        <v>0.10680205529728407</v>
      </c>
      <c r="M14" s="85">
        <v>305.73</v>
      </c>
      <c r="N14" s="85">
        <v>15.79</v>
      </c>
      <c r="O14" s="85">
        <v>408.7</v>
      </c>
      <c r="P14" s="85">
        <v>40.67</v>
      </c>
      <c r="Q14" s="85">
        <v>2.98</v>
      </c>
      <c r="R14" s="85">
        <v>43.65</v>
      </c>
      <c r="S14" s="88">
        <f t="shared" si="2"/>
        <v>2.1084861756789821</v>
      </c>
      <c r="T14" s="89">
        <f t="shared" si="3"/>
        <v>3.7177940199540629</v>
      </c>
      <c r="U14" s="90"/>
      <c r="V14" s="90"/>
      <c r="W14" s="90">
        <f t="shared" si="6"/>
        <v>0</v>
      </c>
      <c r="X14" s="90">
        <v>3.2069854902507715</v>
      </c>
      <c r="Y14" s="90">
        <f t="shared" si="5"/>
        <v>0.86260440278248585</v>
      </c>
    </row>
    <row r="15" spans="1:25" s="3" customFormat="1">
      <c r="A15" s="82" t="s">
        <v>34</v>
      </c>
      <c r="B15" s="83">
        <v>40577</v>
      </c>
      <c r="C15" s="82"/>
      <c r="D15" s="85"/>
      <c r="E15" s="85" t="s">
        <v>55</v>
      </c>
      <c r="F15" s="82" t="s">
        <v>54</v>
      </c>
      <c r="G15" s="85"/>
      <c r="H15" s="85"/>
      <c r="I15" s="86">
        <v>739.1</v>
      </c>
      <c r="J15" s="85">
        <f t="shared" si="0"/>
        <v>87.890121341898649</v>
      </c>
      <c r="K15" s="87">
        <v>6</v>
      </c>
      <c r="L15" s="85">
        <f t="shared" si="1"/>
        <v>0.11891506067094933</v>
      </c>
      <c r="M15" s="85">
        <v>219.46</v>
      </c>
      <c r="N15" s="85">
        <v>13.15</v>
      </c>
      <c r="O15" s="85">
        <v>280.2</v>
      </c>
      <c r="P15" s="92">
        <v>30.62</v>
      </c>
      <c r="Q15" s="92">
        <v>2.7</v>
      </c>
      <c r="R15" s="85">
        <v>33.32</v>
      </c>
      <c r="S15" s="88">
        <f t="shared" si="2"/>
        <v>1.2121012134189866</v>
      </c>
      <c r="T15" s="89">
        <f t="shared" si="3"/>
        <v>4.2696599968142355</v>
      </c>
      <c r="U15" s="85"/>
      <c r="V15" s="85"/>
      <c r="W15" s="90">
        <f t="shared" si="6"/>
        <v>0</v>
      </c>
      <c r="X15" s="90">
        <v>4.4267270120362534</v>
      </c>
      <c r="Y15" s="90">
        <f t="shared" si="5"/>
        <v>1.0367867734993446</v>
      </c>
    </row>
    <row r="16" spans="1:25" s="3" customFormat="1">
      <c r="A16" s="82" t="s">
        <v>34</v>
      </c>
      <c r="B16" s="83">
        <v>40577</v>
      </c>
      <c r="C16" s="82"/>
      <c r="D16" s="85"/>
      <c r="E16" s="85" t="s">
        <v>56</v>
      </c>
      <c r="F16" s="82" t="s">
        <v>54</v>
      </c>
      <c r="G16" s="85"/>
      <c r="H16" s="85"/>
      <c r="I16" s="86">
        <v>819.7</v>
      </c>
      <c r="J16" s="85">
        <f t="shared" si="0"/>
        <v>101.55962616822431</v>
      </c>
      <c r="K16" s="87">
        <v>5</v>
      </c>
      <c r="L16" s="85">
        <f t="shared" si="1"/>
        <v>0.1238985313751669</v>
      </c>
      <c r="M16" s="85">
        <v>178.32</v>
      </c>
      <c r="N16" s="85">
        <v>14.68</v>
      </c>
      <c r="O16" s="85">
        <v>224.7</v>
      </c>
      <c r="P16" s="92">
        <v>24.76</v>
      </c>
      <c r="Q16" s="92">
        <v>3.08</v>
      </c>
      <c r="R16" s="85">
        <v>27.840000000000003</v>
      </c>
      <c r="S16" s="88">
        <f t="shared" si="2"/>
        <v>1.2939962616822429</v>
      </c>
      <c r="T16" s="89">
        <f t="shared" si="3"/>
        <v>4.2004397393291031</v>
      </c>
      <c r="U16" s="85"/>
      <c r="V16" s="85"/>
      <c r="W16" s="90">
        <f t="shared" si="6"/>
        <v>0</v>
      </c>
      <c r="X16" s="90">
        <v>3.2339221998901393</v>
      </c>
      <c r="Y16" s="90">
        <f t="shared" si="5"/>
        <v>0.76990086766645616</v>
      </c>
    </row>
    <row r="17" spans="1:25" s="3" customFormat="1">
      <c r="A17" s="82" t="s">
        <v>34</v>
      </c>
      <c r="B17" s="83">
        <v>40577</v>
      </c>
      <c r="C17" s="82"/>
      <c r="D17" s="85"/>
      <c r="E17" s="85" t="s">
        <v>36</v>
      </c>
      <c r="F17" s="82" t="s">
        <v>54</v>
      </c>
      <c r="G17" s="85"/>
      <c r="H17" s="85"/>
      <c r="I17" s="86">
        <v>1287.0999999999999</v>
      </c>
      <c r="J17" s="85">
        <f t="shared" si="0"/>
        <v>168.61009999999999</v>
      </c>
      <c r="K17" s="87">
        <v>8</v>
      </c>
      <c r="L17" s="85">
        <f t="shared" si="1"/>
        <v>0.13100000000000001</v>
      </c>
      <c r="M17" s="85">
        <v>290.45</v>
      </c>
      <c r="N17" s="85">
        <v>20.14</v>
      </c>
      <c r="O17" s="85">
        <v>350</v>
      </c>
      <c r="P17" s="92">
        <v>41.67</v>
      </c>
      <c r="Q17" s="92">
        <v>4.18</v>
      </c>
      <c r="R17" s="85">
        <v>45.85</v>
      </c>
      <c r="S17" s="88">
        <f t="shared" si="2"/>
        <v>2.1446009999999998</v>
      </c>
      <c r="T17" s="89">
        <f t="shared" si="3"/>
        <v>3.7020423955570605</v>
      </c>
      <c r="U17" s="85"/>
      <c r="V17" s="85"/>
      <c r="W17" s="90">
        <f t="shared" si="6"/>
        <v>0</v>
      </c>
      <c r="X17" s="90">
        <v>3.0401335392346907</v>
      </c>
      <c r="Y17" s="90">
        <f t="shared" si="5"/>
        <v>0.82120440945874962</v>
      </c>
    </row>
    <row r="18" spans="1:25" s="3" customFormat="1">
      <c r="A18" s="82" t="s">
        <v>34</v>
      </c>
      <c r="B18" s="83">
        <v>40577</v>
      </c>
      <c r="C18" s="82"/>
      <c r="D18" s="85"/>
      <c r="E18" s="85" t="s">
        <v>37</v>
      </c>
      <c r="F18" s="82" t="s">
        <v>54</v>
      </c>
      <c r="G18" s="85"/>
      <c r="H18" s="85"/>
      <c r="I18" s="86">
        <v>1109.2</v>
      </c>
      <c r="J18" s="85">
        <f t="shared" si="0"/>
        <v>144.54616527390903</v>
      </c>
      <c r="K18" s="87">
        <v>7</v>
      </c>
      <c r="L18" s="85">
        <f t="shared" si="1"/>
        <v>0.13031569173630456</v>
      </c>
      <c r="M18" s="85">
        <v>176.14</v>
      </c>
      <c r="N18" s="85">
        <v>12.28</v>
      </c>
      <c r="O18" s="85">
        <v>215.4</v>
      </c>
      <c r="P18" s="85">
        <v>25.56</v>
      </c>
      <c r="Q18" s="85">
        <v>2.5099999999999998</v>
      </c>
      <c r="R18" s="85">
        <v>28.07</v>
      </c>
      <c r="S18" s="88">
        <f t="shared" si="2"/>
        <v>1.7261616527390902</v>
      </c>
      <c r="T18" s="89">
        <f t="shared" si="3"/>
        <v>3.9084777854001365</v>
      </c>
      <c r="U18" s="85"/>
      <c r="V18" s="85"/>
      <c r="W18" s="90">
        <f t="shared" si="6"/>
        <v>0</v>
      </c>
      <c r="X18" s="90">
        <v>2.5147347032529099</v>
      </c>
      <c r="Y18" s="90">
        <f t="shared" si="5"/>
        <v>0.64340514167600926</v>
      </c>
    </row>
    <row r="19" spans="1:25" s="77" customFormat="1">
      <c r="A19" s="93" t="s">
        <v>35</v>
      </c>
      <c r="B19" s="78">
        <v>40631</v>
      </c>
      <c r="C19" s="70"/>
      <c r="D19" s="72"/>
      <c r="E19" s="72" t="s">
        <v>57</v>
      </c>
      <c r="F19" s="70" t="s">
        <v>52</v>
      </c>
      <c r="G19" s="72"/>
      <c r="H19" s="72"/>
      <c r="I19" s="79">
        <v>1154.0999999999999</v>
      </c>
      <c r="J19" s="72">
        <f t="shared" si="0"/>
        <v>131.40882137404577</v>
      </c>
      <c r="K19" s="80">
        <v>5</v>
      </c>
      <c r="L19" s="72">
        <f t="shared" si="1"/>
        <v>0.11386259541984732</v>
      </c>
      <c r="M19" s="72">
        <v>114.77</v>
      </c>
      <c r="N19" s="72">
        <v>195.09</v>
      </c>
      <c r="O19" s="72">
        <v>327.5</v>
      </c>
      <c r="P19" s="72">
        <v>15.73</v>
      </c>
      <c r="Q19" s="72">
        <v>21.56</v>
      </c>
      <c r="R19" s="72">
        <v>37.29</v>
      </c>
      <c r="S19" s="75">
        <f t="shared" si="2"/>
        <v>1.6869882137404577</v>
      </c>
      <c r="T19" s="75">
        <f t="shared" si="3"/>
        <v>3.93097246632033</v>
      </c>
      <c r="U19" s="72"/>
      <c r="V19" s="72"/>
      <c r="W19" s="76">
        <f t="shared" si="6"/>
        <v>0</v>
      </c>
      <c r="X19" s="76">
        <v>2.7627107198500958</v>
      </c>
      <c r="Y19" s="76">
        <f t="shared" si="5"/>
        <v>0.70280591978711815</v>
      </c>
    </row>
    <row r="20" spans="1:25" s="797" customFormat="1">
      <c r="A20" s="790" t="s">
        <v>35</v>
      </c>
      <c r="B20" s="791">
        <v>40631</v>
      </c>
      <c r="C20" s="790"/>
      <c r="D20" s="792"/>
      <c r="E20" s="792" t="s">
        <v>29</v>
      </c>
      <c r="F20" s="790" t="s">
        <v>52</v>
      </c>
      <c r="G20" s="792"/>
      <c r="H20" s="792"/>
      <c r="I20" s="793">
        <v>3894</v>
      </c>
      <c r="J20" s="792">
        <f t="shared" si="0"/>
        <v>383.24834123222752</v>
      </c>
      <c r="K20" s="794">
        <v>8</v>
      </c>
      <c r="L20" s="792">
        <f t="shared" si="1"/>
        <v>9.8420221169036343E-2</v>
      </c>
      <c r="M20" s="792">
        <v>440.42</v>
      </c>
      <c r="N20" s="792">
        <v>613.28</v>
      </c>
      <c r="O20" s="792">
        <v>1076.0999999999999</v>
      </c>
      <c r="P20" s="792">
        <v>48.34</v>
      </c>
      <c r="Q20" s="792">
        <v>57.57</v>
      </c>
      <c r="R20" s="792">
        <v>105.91</v>
      </c>
      <c r="S20" s="795">
        <f t="shared" si="2"/>
        <v>4.8915834123222748</v>
      </c>
      <c r="T20" s="795">
        <f t="shared" si="3"/>
        <v>3.0124208725804147</v>
      </c>
      <c r="U20" s="792"/>
      <c r="V20" s="792"/>
      <c r="W20" s="802">
        <f>X20*R20</f>
        <v>353.42287478095921</v>
      </c>
      <c r="X20" s="796">
        <v>3.3370113755165631</v>
      </c>
      <c r="Y20" s="796">
        <f t="shared" si="5"/>
        <v>1.107750715011514</v>
      </c>
    </row>
    <row r="21" spans="1:25" s="797" customFormat="1">
      <c r="A21" s="790" t="s">
        <v>35</v>
      </c>
      <c r="B21" s="791">
        <v>40631</v>
      </c>
      <c r="C21" s="790"/>
      <c r="D21" s="792"/>
      <c r="E21" s="792" t="s">
        <v>31</v>
      </c>
      <c r="F21" s="790" t="s">
        <v>52</v>
      </c>
      <c r="G21" s="792"/>
      <c r="H21" s="792"/>
      <c r="I21" s="793">
        <v>3882</v>
      </c>
      <c r="J21" s="792">
        <f t="shared" si="0"/>
        <v>390.242744383728</v>
      </c>
      <c r="K21" s="794">
        <v>8</v>
      </c>
      <c r="L21" s="792">
        <f t="shared" si="1"/>
        <v>0.10052620926937866</v>
      </c>
      <c r="M21" s="792">
        <v>370.2</v>
      </c>
      <c r="N21" s="792">
        <v>582.62</v>
      </c>
      <c r="O21" s="792">
        <v>988.2</v>
      </c>
      <c r="P21" s="792">
        <v>41.68</v>
      </c>
      <c r="Q21" s="792">
        <v>57.66</v>
      </c>
      <c r="R21" s="792">
        <v>99.34</v>
      </c>
      <c r="S21" s="795">
        <f t="shared" si="2"/>
        <v>4.8958274438372804</v>
      </c>
      <c r="T21" s="795">
        <f t="shared" si="3"/>
        <v>3.0117678181482006</v>
      </c>
      <c r="U21" s="792"/>
      <c r="V21" s="792"/>
      <c r="W21" s="802">
        <f>X21*R21</f>
        <v>257.17474969123197</v>
      </c>
      <c r="X21" s="796">
        <v>2.5888337999922686</v>
      </c>
      <c r="Y21" s="796">
        <f t="shared" si="5"/>
        <v>0.85957283439731591</v>
      </c>
    </row>
    <row r="22" spans="1:25" s="797" customFormat="1">
      <c r="A22" s="790" t="s">
        <v>35</v>
      </c>
      <c r="B22" s="791">
        <v>40631</v>
      </c>
      <c r="C22" s="790"/>
      <c r="D22" s="792"/>
      <c r="E22" s="792" t="s">
        <v>53</v>
      </c>
      <c r="F22" s="790" t="s">
        <v>52</v>
      </c>
      <c r="G22" s="792"/>
      <c r="H22" s="792"/>
      <c r="I22" s="793" t="s">
        <v>32</v>
      </c>
      <c r="J22" s="793" t="s">
        <v>32</v>
      </c>
      <c r="K22" s="798" t="s">
        <v>32</v>
      </c>
      <c r="L22" s="793" t="s">
        <v>32</v>
      </c>
      <c r="M22" s="792" t="s">
        <v>32</v>
      </c>
      <c r="N22" s="792" t="s">
        <v>32</v>
      </c>
      <c r="O22" s="792" t="s">
        <v>32</v>
      </c>
      <c r="P22" s="792" t="s">
        <v>32</v>
      </c>
      <c r="Q22" s="792" t="s">
        <v>32</v>
      </c>
      <c r="R22" s="792" t="s">
        <v>32</v>
      </c>
      <c r="S22" s="795" t="s">
        <v>32</v>
      </c>
      <c r="T22" s="792" t="s">
        <v>32</v>
      </c>
      <c r="U22" s="792"/>
      <c r="V22" s="792"/>
      <c r="W22" s="792" t="s">
        <v>32</v>
      </c>
      <c r="X22" s="792" t="s">
        <v>32</v>
      </c>
      <c r="Y22" s="792" t="s">
        <v>32</v>
      </c>
    </row>
    <row r="23" spans="1:25" s="786" customFormat="1">
      <c r="A23" s="779" t="s">
        <v>35</v>
      </c>
      <c r="B23" s="780">
        <v>40631</v>
      </c>
      <c r="C23" s="779"/>
      <c r="D23" s="781"/>
      <c r="E23" s="781" t="s">
        <v>36</v>
      </c>
      <c r="F23" s="779" t="s">
        <v>52</v>
      </c>
      <c r="G23" s="781"/>
      <c r="H23" s="781"/>
      <c r="I23" s="782">
        <v>3630</v>
      </c>
      <c r="J23" s="781">
        <f t="shared" si="0"/>
        <v>327.40032154340832</v>
      </c>
      <c r="K23" s="783">
        <v>8</v>
      </c>
      <c r="L23" s="781">
        <f t="shared" si="1"/>
        <v>9.0192926045016067E-2</v>
      </c>
      <c r="M23" s="781">
        <v>386.13</v>
      </c>
      <c r="N23" s="781">
        <v>451.66</v>
      </c>
      <c r="O23" s="781">
        <v>870.8</v>
      </c>
      <c r="P23" s="781">
        <v>39.61</v>
      </c>
      <c r="Q23" s="781">
        <v>38.93</v>
      </c>
      <c r="R23" s="781">
        <v>78.539999999999992</v>
      </c>
      <c r="S23" s="784">
        <f t="shared" si="2"/>
        <v>4.0594032154340836</v>
      </c>
      <c r="T23" s="784">
        <f t="shared" si="3"/>
        <v>3.1561851065925257</v>
      </c>
      <c r="U23" s="781"/>
      <c r="V23" s="781"/>
      <c r="W23" s="803">
        <f>X23*R23</f>
        <v>219.16973005895102</v>
      </c>
      <c r="X23" s="785">
        <v>2.7905491476820861</v>
      </c>
      <c r="Y23" s="785">
        <f t="shared" si="5"/>
        <v>0.88415256185490754</v>
      </c>
    </row>
    <row r="24" spans="1:25" s="786" customFormat="1">
      <c r="A24" s="779" t="s">
        <v>35</v>
      </c>
      <c r="B24" s="780">
        <v>40631</v>
      </c>
      <c r="C24" s="787"/>
      <c r="D24" s="781"/>
      <c r="E24" s="781" t="s">
        <v>37</v>
      </c>
      <c r="F24" s="787" t="s">
        <v>52</v>
      </c>
      <c r="G24" s="781"/>
      <c r="H24" s="781"/>
      <c r="I24" s="788" t="s">
        <v>32</v>
      </c>
      <c r="J24" s="782" t="s">
        <v>32</v>
      </c>
      <c r="K24" s="789" t="s">
        <v>32</v>
      </c>
      <c r="L24" s="781" t="s">
        <v>32</v>
      </c>
      <c r="M24" s="781" t="s">
        <v>32</v>
      </c>
      <c r="N24" s="781" t="s">
        <v>32</v>
      </c>
      <c r="O24" s="781" t="s">
        <v>32</v>
      </c>
      <c r="P24" s="781" t="s">
        <v>32</v>
      </c>
      <c r="Q24" s="781" t="s">
        <v>32</v>
      </c>
      <c r="R24" s="781" t="s">
        <v>32</v>
      </c>
      <c r="S24" s="784" t="s">
        <v>32</v>
      </c>
      <c r="T24" s="781" t="s">
        <v>32</v>
      </c>
      <c r="U24" s="781"/>
      <c r="V24" s="781"/>
      <c r="W24" s="781" t="s">
        <v>32</v>
      </c>
      <c r="X24" s="781" t="s">
        <v>32</v>
      </c>
      <c r="Y24" s="781" t="s">
        <v>32</v>
      </c>
    </row>
    <row r="25" spans="1:25" s="786" customFormat="1">
      <c r="A25" s="779" t="s">
        <v>35</v>
      </c>
      <c r="B25" s="780">
        <v>40631</v>
      </c>
      <c r="C25" s="779"/>
      <c r="D25" s="781"/>
      <c r="E25" s="781" t="s">
        <v>56</v>
      </c>
      <c r="F25" s="779" t="s">
        <v>52</v>
      </c>
      <c r="G25" s="781"/>
      <c r="H25" s="781"/>
      <c r="I25" s="782">
        <v>2767.4</v>
      </c>
      <c r="J25" s="781">
        <f t="shared" si="0"/>
        <v>244.44509753831861</v>
      </c>
      <c r="K25" s="783">
        <v>6</v>
      </c>
      <c r="L25" s="781">
        <f t="shared" si="1"/>
        <v>8.8330236878773796E-2</v>
      </c>
      <c r="M25" s="781">
        <v>392.18</v>
      </c>
      <c r="N25" s="781">
        <v>428.67</v>
      </c>
      <c r="O25" s="781">
        <v>861.2</v>
      </c>
      <c r="P25" s="781">
        <v>41.5</v>
      </c>
      <c r="Q25" s="781">
        <v>34.57</v>
      </c>
      <c r="R25" s="781">
        <v>76.069999999999993</v>
      </c>
      <c r="S25" s="784">
        <f t="shared" si="2"/>
        <v>3.2051509753831864</v>
      </c>
      <c r="T25" s="784">
        <f t="shared" si="3"/>
        <v>3.3482346860604775</v>
      </c>
      <c r="U25" s="781"/>
      <c r="V25" s="781"/>
      <c r="W25" s="803">
        <f>X25*R25</f>
        <v>250.98000784117531</v>
      </c>
      <c r="X25" s="785">
        <v>3.2993296679528767</v>
      </c>
      <c r="Y25" s="785">
        <f t="shared" si="5"/>
        <v>0.98539379025275486</v>
      </c>
    </row>
    <row r="26" spans="1:25" s="77" customFormat="1">
      <c r="A26" s="93" t="s">
        <v>35</v>
      </c>
      <c r="B26" s="78">
        <v>40626</v>
      </c>
      <c r="C26" s="93"/>
      <c r="D26" s="72"/>
      <c r="E26" s="72" t="s">
        <v>57</v>
      </c>
      <c r="F26" s="93" t="s">
        <v>54</v>
      </c>
      <c r="G26" s="72"/>
      <c r="H26" s="72"/>
      <c r="I26" s="79">
        <v>1319</v>
      </c>
      <c r="J26" s="72">
        <f t="shared" si="0"/>
        <v>185.64073172461062</v>
      </c>
      <c r="K26" s="80">
        <v>6</v>
      </c>
      <c r="L26" s="72">
        <f t="shared" si="1"/>
        <v>0.14074354186854482</v>
      </c>
      <c r="M26" s="72">
        <v>189.06</v>
      </c>
      <c r="N26" s="72">
        <v>234.05</v>
      </c>
      <c r="O26" s="72">
        <v>423.11</v>
      </c>
      <c r="P26" s="72">
        <v>26.9</v>
      </c>
      <c r="Q26" s="72">
        <v>32.65</v>
      </c>
      <c r="R26" s="72">
        <v>59.55</v>
      </c>
      <c r="S26" s="75">
        <f t="shared" si="2"/>
        <v>2.4519073172461061</v>
      </c>
      <c r="T26" s="75">
        <f t="shared" si="3"/>
        <v>3.5801564185725194</v>
      </c>
      <c r="U26" s="72"/>
      <c r="V26" s="72"/>
      <c r="W26" s="76">
        <f t="shared" si="6"/>
        <v>0</v>
      </c>
      <c r="X26" s="76">
        <v>2.3427944334858455</v>
      </c>
      <c r="Y26" s="76">
        <f t="shared" si="5"/>
        <v>0.65438326139391556</v>
      </c>
    </row>
    <row r="27" spans="1:25" s="797" customFormat="1">
      <c r="A27" s="790" t="s">
        <v>35</v>
      </c>
      <c r="B27" s="791">
        <v>40626</v>
      </c>
      <c r="C27" s="799"/>
      <c r="D27" s="792"/>
      <c r="E27" s="792" t="s">
        <v>29</v>
      </c>
      <c r="F27" s="799" t="s">
        <v>54</v>
      </c>
      <c r="G27" s="792"/>
      <c r="H27" s="792"/>
      <c r="I27" s="800">
        <v>2376.3000000000002</v>
      </c>
      <c r="J27" s="792">
        <f t="shared" si="0"/>
        <v>301.49508867667123</v>
      </c>
      <c r="K27" s="801">
        <v>8</v>
      </c>
      <c r="L27" s="792">
        <f t="shared" si="1"/>
        <v>0.12687585266030013</v>
      </c>
      <c r="M27" s="792">
        <v>380.18</v>
      </c>
      <c r="N27" s="792">
        <v>404.13</v>
      </c>
      <c r="O27" s="792">
        <v>784.31</v>
      </c>
      <c r="P27" s="792">
        <v>50.3</v>
      </c>
      <c r="Q27" s="792">
        <v>49.21</v>
      </c>
      <c r="R27" s="792">
        <v>99.509999999999991</v>
      </c>
      <c r="S27" s="795">
        <f t="shared" si="2"/>
        <v>4.0100508867667122</v>
      </c>
      <c r="T27" s="795">
        <f t="shared" si="3"/>
        <v>3.1658515249419894</v>
      </c>
      <c r="U27" s="792"/>
      <c r="V27" s="792"/>
      <c r="W27" s="802">
        <f t="shared" ref="W27:W32" si="7">X27*R27</f>
        <v>297.50986716018485</v>
      </c>
      <c r="X27" s="796">
        <v>2.9897484389527174</v>
      </c>
      <c r="Y27" s="796">
        <f t="shared" si="5"/>
        <v>0.94437418034236498</v>
      </c>
    </row>
    <row r="28" spans="1:25" s="797" customFormat="1">
      <c r="A28" s="790" t="s">
        <v>35</v>
      </c>
      <c r="B28" s="791">
        <v>40626</v>
      </c>
      <c r="C28" s="790"/>
      <c r="D28" s="792"/>
      <c r="E28" s="792" t="s">
        <v>31</v>
      </c>
      <c r="F28" s="790" t="s">
        <v>54</v>
      </c>
      <c r="G28" s="792"/>
      <c r="H28" s="792"/>
      <c r="I28" s="793">
        <v>2101.4</v>
      </c>
      <c r="J28" s="792">
        <f t="shared" si="0"/>
        <v>303.16575192096599</v>
      </c>
      <c r="K28" s="794">
        <v>8</v>
      </c>
      <c r="L28" s="792">
        <f t="shared" si="1"/>
        <v>0.14426846479535832</v>
      </c>
      <c r="M28" s="792">
        <v>220.58</v>
      </c>
      <c r="N28" s="792">
        <v>289.58</v>
      </c>
      <c r="O28" s="792">
        <v>510.15999999999997</v>
      </c>
      <c r="P28" s="792">
        <v>32.1</v>
      </c>
      <c r="Q28" s="792">
        <v>41.5</v>
      </c>
      <c r="R28" s="792">
        <v>73.599999999999994</v>
      </c>
      <c r="S28" s="795">
        <f t="shared" si="2"/>
        <v>3.7676575192096595</v>
      </c>
      <c r="T28" s="795">
        <f t="shared" si="3"/>
        <v>3.2155862237296238</v>
      </c>
      <c r="U28" s="792"/>
      <c r="V28" s="792"/>
      <c r="W28" s="802">
        <f t="shared" si="7"/>
        <v>153.58401694496834</v>
      </c>
      <c r="X28" s="796">
        <v>2.0867393606653311</v>
      </c>
      <c r="Y28" s="796">
        <f t="shared" si="5"/>
        <v>0.64894523594674736</v>
      </c>
    </row>
    <row r="29" spans="1:25" s="797" customFormat="1">
      <c r="A29" s="790" t="s">
        <v>35</v>
      </c>
      <c r="B29" s="791">
        <v>40626</v>
      </c>
      <c r="C29" s="790"/>
      <c r="D29" s="792"/>
      <c r="E29" s="792" t="s">
        <v>53</v>
      </c>
      <c r="F29" s="790" t="s">
        <v>54</v>
      </c>
      <c r="G29" s="792"/>
      <c r="H29" s="792"/>
      <c r="I29" s="793">
        <v>2126.3000000000002</v>
      </c>
      <c r="J29" s="792">
        <f t="shared" si="0"/>
        <v>299.22938054823925</v>
      </c>
      <c r="K29" s="794">
        <v>6</v>
      </c>
      <c r="L29" s="792">
        <f t="shared" si="1"/>
        <v>0.14072773387962151</v>
      </c>
      <c r="M29" s="792">
        <v>199.16</v>
      </c>
      <c r="N29" s="792">
        <v>313.39</v>
      </c>
      <c r="O29" s="792">
        <v>512.54999999999995</v>
      </c>
      <c r="P29" s="792">
        <v>28.1</v>
      </c>
      <c r="Q29" s="792">
        <v>44.03</v>
      </c>
      <c r="R29" s="792">
        <v>72.13</v>
      </c>
      <c r="S29" s="795">
        <f>(R29+J29)/100</f>
        <v>3.7135938054823923</v>
      </c>
      <c r="T29" s="795">
        <f t="shared" si="3"/>
        <v>3.2272262568983829</v>
      </c>
      <c r="U29" s="792"/>
      <c r="V29" s="792"/>
      <c r="W29" s="802">
        <f t="shared" si="7"/>
        <v>152.2563202578223</v>
      </c>
      <c r="X29" s="796">
        <v>2.1108598399809</v>
      </c>
      <c r="Y29" s="796">
        <f t="shared" si="5"/>
        <v>0.65407866444715945</v>
      </c>
    </row>
    <row r="30" spans="1:25" s="786" customFormat="1">
      <c r="A30" s="779" t="s">
        <v>35</v>
      </c>
      <c r="B30" s="780">
        <v>40626</v>
      </c>
      <c r="C30" s="779"/>
      <c r="D30" s="781"/>
      <c r="E30" s="781" t="s">
        <v>36</v>
      </c>
      <c r="F30" s="779" t="s">
        <v>54</v>
      </c>
      <c r="G30" s="781"/>
      <c r="H30" s="781"/>
      <c r="I30" s="782">
        <v>3234</v>
      </c>
      <c r="J30" s="781">
        <f t="shared" si="0"/>
        <v>388.25490261808181</v>
      </c>
      <c r="K30" s="783">
        <v>8</v>
      </c>
      <c r="L30" s="781">
        <f t="shared" si="1"/>
        <v>0.12005408244220217</v>
      </c>
      <c r="M30" s="781">
        <v>419.32</v>
      </c>
      <c r="N30" s="781">
        <v>475.61</v>
      </c>
      <c r="O30" s="781">
        <v>894.93000000000006</v>
      </c>
      <c r="P30" s="781">
        <v>53.2</v>
      </c>
      <c r="Q30" s="781">
        <v>54.24</v>
      </c>
      <c r="R30" s="781">
        <v>107.44</v>
      </c>
      <c r="S30" s="784">
        <f t="shared" si="2"/>
        <v>4.9569490261808182</v>
      </c>
      <c r="T30" s="784">
        <f t="shared" si="3"/>
        <v>3.0024404385220644</v>
      </c>
      <c r="U30" s="781"/>
      <c r="V30" s="781"/>
      <c r="W30" s="803">
        <f t="shared" si="7"/>
        <v>331.12731478759491</v>
      </c>
      <c r="X30" s="785">
        <v>3.0819742627289175</v>
      </c>
      <c r="Y30" s="785">
        <f t="shared" si="5"/>
        <v>1.0264897258864536</v>
      </c>
    </row>
    <row r="31" spans="1:25" s="786" customFormat="1">
      <c r="A31" s="779" t="s">
        <v>35</v>
      </c>
      <c r="B31" s="780">
        <v>40626</v>
      </c>
      <c r="C31" s="779"/>
      <c r="D31" s="781"/>
      <c r="E31" s="781" t="s">
        <v>37</v>
      </c>
      <c r="F31" s="779" t="s">
        <v>54</v>
      </c>
      <c r="G31" s="781"/>
      <c r="H31" s="781"/>
      <c r="I31" s="782">
        <v>3237</v>
      </c>
      <c r="J31" s="781">
        <f t="shared" si="0"/>
        <v>361.23703418621938</v>
      </c>
      <c r="K31" s="783">
        <v>8</v>
      </c>
      <c r="L31" s="781">
        <f t="shared" si="1"/>
        <v>0.11159624163923984</v>
      </c>
      <c r="M31" s="781">
        <v>379.22</v>
      </c>
      <c r="N31" s="781">
        <v>374.3</v>
      </c>
      <c r="O31" s="781">
        <v>753.52</v>
      </c>
      <c r="P31" s="781">
        <v>46.3</v>
      </c>
      <c r="Q31" s="781">
        <v>37.79</v>
      </c>
      <c r="R31" s="781">
        <v>84.09</v>
      </c>
      <c r="S31" s="784">
        <f t="shared" si="2"/>
        <v>4.4532703418621944</v>
      </c>
      <c r="T31" s="784">
        <f t="shared" si="3"/>
        <v>3.0839565377674321</v>
      </c>
      <c r="U31" s="781"/>
      <c r="V31" s="781"/>
      <c r="W31" s="803">
        <f t="shared" si="7"/>
        <v>237.54103522509891</v>
      </c>
      <c r="X31" s="785">
        <v>2.8248428496265774</v>
      </c>
      <c r="Y31" s="785">
        <f t="shared" si="5"/>
        <v>0.9159801103006352</v>
      </c>
    </row>
    <row r="32" spans="1:25" s="786" customFormat="1">
      <c r="A32" s="779" t="s">
        <v>35</v>
      </c>
      <c r="B32" s="780">
        <v>40626</v>
      </c>
      <c r="C32" s="779"/>
      <c r="D32" s="781"/>
      <c r="E32" s="781" t="s">
        <v>56</v>
      </c>
      <c r="F32" s="779" t="s">
        <v>54</v>
      </c>
      <c r="G32" s="781"/>
      <c r="H32" s="781"/>
      <c r="I32" s="782">
        <v>2235.3000000000002</v>
      </c>
      <c r="J32" s="781">
        <f t="shared" si="0"/>
        <v>268.65078845470367</v>
      </c>
      <c r="K32" s="783">
        <v>6</v>
      </c>
      <c r="L32" s="781">
        <f t="shared" si="1"/>
        <v>0.12018556276772856</v>
      </c>
      <c r="M32" s="781">
        <v>231.38</v>
      </c>
      <c r="N32" s="781">
        <v>303.20999999999998</v>
      </c>
      <c r="O32" s="781">
        <v>534.58999999999992</v>
      </c>
      <c r="P32" s="781">
        <v>29.9</v>
      </c>
      <c r="Q32" s="781">
        <v>34.35</v>
      </c>
      <c r="R32" s="781">
        <v>64.25</v>
      </c>
      <c r="S32" s="784">
        <f t="shared" si="2"/>
        <v>3.3290078845470368</v>
      </c>
      <c r="T32" s="784">
        <f t="shared" si="3"/>
        <v>3.3166474372403405</v>
      </c>
      <c r="U32" s="781"/>
      <c r="V32" s="781"/>
      <c r="W32" s="803">
        <f t="shared" si="7"/>
        <v>193.55575772084515</v>
      </c>
      <c r="X32" s="785">
        <v>3.0125409761999244</v>
      </c>
      <c r="Y32" s="785">
        <f t="shared" si="5"/>
        <v>0.908309078129374</v>
      </c>
    </row>
    <row r="35" spans="1:16">
      <c r="A35" s="55" t="s">
        <v>39</v>
      </c>
      <c r="N35" s="750" t="s">
        <v>390</v>
      </c>
      <c r="O35" s="751"/>
      <c r="P35" s="751"/>
    </row>
    <row r="36" spans="1:16">
      <c r="A36" s="56" t="s">
        <v>40</v>
      </c>
      <c r="N36" s="36"/>
      <c r="O36" s="752" t="s">
        <v>63</v>
      </c>
      <c r="P36" s="753" t="s">
        <v>64</v>
      </c>
    </row>
    <row r="37" spans="1:16">
      <c r="A37" s="56" t="s">
        <v>41</v>
      </c>
      <c r="N37" s="36" t="s">
        <v>391</v>
      </c>
      <c r="O37" s="774">
        <f>AVERAGE(Y20,Y21,Y27,Y28,Y29)</f>
        <v>0.84294432602902025</v>
      </c>
      <c r="P37" s="774">
        <f>AVERAGE(Y23,Y25,Y30,Y31,Y32)</f>
        <v>0.94406505328482493</v>
      </c>
    </row>
    <row r="38" spans="1:16">
      <c r="A38" s="56" t="s">
        <v>42</v>
      </c>
      <c r="N38" s="36" t="s">
        <v>25</v>
      </c>
      <c r="O38" s="774">
        <f>AVERAGE(W20,W21,W27,W28,W29)</f>
        <v>242.78956576703337</v>
      </c>
      <c r="P38" s="774">
        <f>AVERAGE(W23,W25,W30,W31,W32)</f>
        <v>246.47476912673307</v>
      </c>
    </row>
    <row r="39" spans="1:16">
      <c r="A39" s="55" t="s">
        <v>58</v>
      </c>
      <c r="N39" s="36" t="s">
        <v>392</v>
      </c>
      <c r="O39" s="774">
        <f>AVERAGE(X20,X21,X27,X28,X29)</f>
        <v>2.6226385630215558</v>
      </c>
      <c r="P39" s="774">
        <f>AVERAGE(X23,X25,X30,X31,X32)</f>
        <v>3.0018473808380763</v>
      </c>
    </row>
    <row r="40" spans="1:16">
      <c r="A40" s="55" t="s">
        <v>44</v>
      </c>
      <c r="N40" s="36" t="s">
        <v>393</v>
      </c>
      <c r="O40" s="774">
        <f>AVERAGE(S20,S21,S27,S28,S29)</f>
        <v>4.2557426135236636</v>
      </c>
      <c r="P40" s="774">
        <f>AVERAGE(S23,S25,S30,S31,S32)</f>
        <v>4.0007562886814636</v>
      </c>
    </row>
    <row r="41" spans="1:16">
      <c r="A41" s="55" t="s">
        <v>45</v>
      </c>
    </row>
    <row r="42" spans="1:16">
      <c r="A42" s="56" t="s">
        <v>46</v>
      </c>
    </row>
    <row r="43" spans="1:16">
      <c r="A43" s="56" t="s">
        <v>47</v>
      </c>
    </row>
    <row r="44" spans="1:16">
      <c r="A44" s="56" t="s">
        <v>48</v>
      </c>
    </row>
    <row r="45" spans="1:16">
      <c r="A45" s="56" t="s">
        <v>49</v>
      </c>
    </row>
    <row r="47" spans="1:16">
      <c r="A47" s="1" t="s">
        <v>50</v>
      </c>
    </row>
    <row r="49" spans="1:1" ht="21">
      <c r="A49" s="94" t="s">
        <v>59</v>
      </c>
    </row>
    <row r="50" spans="1:1" ht="21">
      <c r="A50" s="94" t="s">
        <v>60</v>
      </c>
    </row>
    <row r="51" spans="1:1" ht="21">
      <c r="A51" s="94" t="s">
        <v>61</v>
      </c>
    </row>
    <row r="52" spans="1:1" ht="21">
      <c r="A52" s="94" t="s">
        <v>62</v>
      </c>
    </row>
  </sheetData>
  <mergeCells count="12">
    <mergeCell ref="U10:V10"/>
    <mergeCell ref="H1:J1"/>
    <mergeCell ref="K1:R1"/>
    <mergeCell ref="S1:T1"/>
    <mergeCell ref="U1:W1"/>
    <mergeCell ref="U3:V3"/>
    <mergeCell ref="U4:V4"/>
    <mergeCell ref="U5:V5"/>
    <mergeCell ref="U6:V6"/>
    <mergeCell ref="U7:V7"/>
    <mergeCell ref="U8:V8"/>
    <mergeCell ref="U9:V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CC"/>
  </sheetPr>
  <dimension ref="A1:Y60"/>
  <sheetViews>
    <sheetView topLeftCell="A16" workbookViewId="0">
      <selection activeCell="N41" sqref="N41"/>
    </sheetView>
  </sheetViews>
  <sheetFormatPr baseColWidth="10" defaultRowHeight="12.75"/>
  <cols>
    <col min="1" max="1" width="11.7109375" style="1" customWidth="1"/>
    <col min="2" max="2" width="10.140625" style="1" bestFit="1" customWidth="1"/>
    <col min="3" max="4" width="3" style="1" bestFit="1" customWidth="1"/>
    <col min="5" max="5" width="8.85546875" style="1" bestFit="1" customWidth="1"/>
    <col min="6" max="6" width="11.140625" style="1" bestFit="1" customWidth="1"/>
    <col min="7" max="7" width="6.28515625" style="1" bestFit="1" customWidth="1"/>
    <col min="8" max="8" width="4.140625" style="1" bestFit="1" customWidth="1"/>
    <col min="9" max="9" width="8.42578125" style="1" bestFit="1" customWidth="1"/>
    <col min="10" max="10" width="12" style="1" bestFit="1" customWidth="1"/>
    <col min="11" max="11" width="4.140625" style="1" bestFit="1" customWidth="1"/>
    <col min="12" max="12" width="12" style="1" bestFit="1" customWidth="1"/>
    <col min="13" max="13" width="14.28515625" style="1" bestFit="1" customWidth="1"/>
    <col min="14" max="14" width="11.140625" style="1" bestFit="1" customWidth="1"/>
    <col min="15" max="15" width="9.85546875" style="1" bestFit="1" customWidth="1"/>
    <col min="16" max="16" width="14.42578125" style="1" bestFit="1" customWidth="1"/>
    <col min="17" max="17" width="11.28515625" style="1" bestFit="1" customWidth="1"/>
    <col min="18" max="18" width="10.42578125" style="1" bestFit="1" customWidth="1"/>
    <col min="19" max="19" width="13" style="4" bestFit="1" customWidth="1"/>
    <col min="20" max="20" width="11.42578125" style="4"/>
    <col min="21" max="21" width="12.42578125" style="1" customWidth="1"/>
    <col min="22" max="22" width="11.85546875" style="1" customWidth="1"/>
    <col min="23" max="23" width="11.42578125" style="4"/>
    <col min="24" max="24" width="15.85546875" style="4" bestFit="1" customWidth="1"/>
    <col min="25" max="16384" width="11.42578125" style="4"/>
  </cols>
  <sheetData>
    <row r="1" spans="1:25" ht="15.75">
      <c r="A1" s="57"/>
      <c r="B1" s="57"/>
      <c r="C1" s="57"/>
      <c r="D1" s="57"/>
      <c r="E1" s="57"/>
      <c r="F1" s="57"/>
      <c r="G1" s="57"/>
      <c r="H1" s="1629" t="s">
        <v>0</v>
      </c>
      <c r="I1" s="1627"/>
      <c r="J1" s="1628"/>
      <c r="K1" s="1627" t="s">
        <v>1</v>
      </c>
      <c r="L1" s="1627"/>
      <c r="M1" s="1627"/>
      <c r="N1" s="1627"/>
      <c r="O1" s="1627"/>
      <c r="P1" s="1627"/>
      <c r="Q1" s="1627"/>
      <c r="R1" s="1628"/>
      <c r="S1" s="1630" t="s">
        <v>2</v>
      </c>
      <c r="T1" s="1631"/>
      <c r="U1" s="1632" t="s">
        <v>3</v>
      </c>
      <c r="V1" s="1632"/>
      <c r="W1" s="1633"/>
      <c r="X1" s="58"/>
      <c r="Y1" s="59"/>
    </row>
    <row r="2" spans="1:25">
      <c r="A2" s="60" t="s">
        <v>4</v>
      </c>
      <c r="B2" s="60" t="s">
        <v>5</v>
      </c>
      <c r="C2" s="60" t="s">
        <v>6</v>
      </c>
      <c r="D2" s="60" t="s">
        <v>7</v>
      </c>
      <c r="E2" s="60" t="s">
        <v>8</v>
      </c>
      <c r="F2" s="60" t="s">
        <v>9</v>
      </c>
      <c r="G2" s="95" t="s">
        <v>10</v>
      </c>
      <c r="H2" s="62" t="s">
        <v>11</v>
      </c>
      <c r="I2" s="60" t="s">
        <v>12</v>
      </c>
      <c r="J2" s="61" t="s">
        <v>13</v>
      </c>
      <c r="K2" s="63" t="s">
        <v>11</v>
      </c>
      <c r="L2" s="60" t="s">
        <v>14</v>
      </c>
      <c r="M2" s="60" t="s">
        <v>15</v>
      </c>
      <c r="N2" s="60" t="s">
        <v>16</v>
      </c>
      <c r="O2" s="60" t="s">
        <v>17</v>
      </c>
      <c r="P2" s="60" t="s">
        <v>18</v>
      </c>
      <c r="Q2" s="60" t="s">
        <v>19</v>
      </c>
      <c r="R2" s="61" t="s">
        <v>20</v>
      </c>
      <c r="S2" s="63" t="s">
        <v>21</v>
      </c>
      <c r="T2" s="60" t="s">
        <v>22</v>
      </c>
      <c r="U2" s="64" t="s">
        <v>23</v>
      </c>
      <c r="V2" s="64" t="s">
        <v>24</v>
      </c>
      <c r="W2" s="65" t="s">
        <v>25</v>
      </c>
      <c r="X2" s="66" t="s">
        <v>26</v>
      </c>
      <c r="Y2" s="67" t="s">
        <v>27</v>
      </c>
    </row>
    <row r="3" spans="1:25" s="113" customFormat="1">
      <c r="A3" s="96" t="s">
        <v>28</v>
      </c>
      <c r="B3" s="97">
        <v>40875</v>
      </c>
      <c r="C3" s="98"/>
      <c r="D3" s="99"/>
      <c r="E3" s="100" t="s">
        <v>63</v>
      </c>
      <c r="F3" s="100" t="s">
        <v>30</v>
      </c>
      <c r="G3" s="101"/>
      <c r="H3" s="102"/>
      <c r="I3" s="103" t="s">
        <v>32</v>
      </c>
      <c r="J3" s="104" t="e">
        <f>I3*L3</f>
        <v>#VALUE!</v>
      </c>
      <c r="K3" s="105">
        <v>8</v>
      </c>
      <c r="L3" s="106">
        <f>R3/O3</f>
        <v>9.6949873252105648E-2</v>
      </c>
      <c r="M3" s="107">
        <v>582.5</v>
      </c>
      <c r="N3" s="107">
        <v>28.95</v>
      </c>
      <c r="O3" s="108">
        <f>M3+N3</f>
        <v>611.45000000000005</v>
      </c>
      <c r="P3" s="109">
        <v>55.07</v>
      </c>
      <c r="Q3" s="109">
        <v>4.21</v>
      </c>
      <c r="R3" s="109">
        <v>59.28</v>
      </c>
      <c r="S3" s="110">
        <v>2.964</v>
      </c>
      <c r="T3" s="110">
        <f>MIN(4.63,4.48*S3^(-0.25))</f>
        <v>3.4143533508845194</v>
      </c>
      <c r="U3" s="111">
        <v>4.0661290152314891</v>
      </c>
      <c r="V3" s="111">
        <v>3.9706719580877512</v>
      </c>
      <c r="W3" s="112"/>
      <c r="X3" s="113">
        <v>3.6534147846004177</v>
      </c>
      <c r="Y3" s="112">
        <f>X3/T3</f>
        <v>1.0700166061178078</v>
      </c>
    </row>
    <row r="4" spans="1:25" s="113" customFormat="1">
      <c r="A4" s="96" t="s">
        <v>28</v>
      </c>
      <c r="B4" s="97">
        <v>40875</v>
      </c>
      <c r="C4" s="98"/>
      <c r="D4" s="99"/>
      <c r="E4" s="100" t="s">
        <v>63</v>
      </c>
      <c r="F4" s="100" t="s">
        <v>30</v>
      </c>
      <c r="G4" s="101"/>
      <c r="H4" s="102"/>
      <c r="I4" s="103" t="s">
        <v>32</v>
      </c>
      <c r="J4" s="104" t="e">
        <f t="shared" ref="J4:J40" si="0">I4*L4</f>
        <v>#VALUE!</v>
      </c>
      <c r="K4" s="105">
        <v>8</v>
      </c>
      <c r="L4" s="106">
        <f t="shared" ref="L4:L40" si="1">R4/O4</f>
        <v>0.10670267046584056</v>
      </c>
      <c r="M4" s="107">
        <v>583.4</v>
      </c>
      <c r="N4" s="107">
        <v>20.239999999999998</v>
      </c>
      <c r="O4" s="108">
        <f t="shared" ref="O4:O40" si="2">M4+N4</f>
        <v>603.64</v>
      </c>
      <c r="P4" s="107">
        <v>61.12</v>
      </c>
      <c r="Q4" s="107">
        <v>3.29</v>
      </c>
      <c r="R4" s="109">
        <v>64.41</v>
      </c>
      <c r="S4" s="110">
        <v>3.2204999999999999</v>
      </c>
      <c r="T4" s="110">
        <f t="shared" ref="T4:T40" si="3">MIN(4.63,4.48*S4^(-0.25))</f>
        <v>3.3442380827266072</v>
      </c>
      <c r="U4" s="114">
        <v>3.6076098640641434</v>
      </c>
      <c r="V4" s="114">
        <v>3.6727918367346977</v>
      </c>
      <c r="W4" s="112"/>
      <c r="X4" s="113">
        <v>3.3401188484998179</v>
      </c>
      <c r="Y4" s="112">
        <f t="shared" ref="Y4:Y40" si="4">X4/T4</f>
        <v>0.99876825927912682</v>
      </c>
    </row>
    <row r="5" spans="1:25" s="113" customFormat="1">
      <c r="A5" s="96" t="s">
        <v>28</v>
      </c>
      <c r="B5" s="97">
        <v>40875</v>
      </c>
      <c r="C5" s="98"/>
      <c r="D5" s="99"/>
      <c r="E5" s="100" t="s">
        <v>63</v>
      </c>
      <c r="F5" s="100" t="s">
        <v>30</v>
      </c>
      <c r="G5" s="101"/>
      <c r="H5" s="102"/>
      <c r="I5" s="103" t="s">
        <v>32</v>
      </c>
      <c r="J5" s="104" t="e">
        <f t="shared" si="0"/>
        <v>#VALUE!</v>
      </c>
      <c r="K5" s="105">
        <v>9</v>
      </c>
      <c r="L5" s="106">
        <f t="shared" si="1"/>
        <v>9.1588785046728974E-2</v>
      </c>
      <c r="M5" s="107">
        <v>533.1</v>
      </c>
      <c r="N5" s="107">
        <v>23.3</v>
      </c>
      <c r="O5" s="108">
        <f t="shared" si="2"/>
        <v>556.4</v>
      </c>
      <c r="P5" s="107">
        <v>47.71</v>
      </c>
      <c r="Q5" s="107">
        <v>3.25</v>
      </c>
      <c r="R5" s="109">
        <v>50.96</v>
      </c>
      <c r="S5" s="110">
        <v>2.548</v>
      </c>
      <c r="T5" s="110">
        <f t="shared" si="3"/>
        <v>3.5459136713667427</v>
      </c>
      <c r="U5" s="114">
        <v>4.0475892078637647</v>
      </c>
      <c r="V5" s="114">
        <v>4.1265418747599014</v>
      </c>
      <c r="W5" s="112"/>
      <c r="X5" s="113">
        <v>3.8725078120558365</v>
      </c>
      <c r="Y5" s="112">
        <f t="shared" si="4"/>
        <v>1.0921043688475389</v>
      </c>
    </row>
    <row r="6" spans="1:25" s="113" customFormat="1">
      <c r="A6" s="96" t="s">
        <v>28</v>
      </c>
      <c r="B6" s="97">
        <v>40875</v>
      </c>
      <c r="C6" s="98"/>
      <c r="D6" s="99"/>
      <c r="E6" s="100" t="s">
        <v>63</v>
      </c>
      <c r="F6" s="100" t="s">
        <v>30</v>
      </c>
      <c r="G6" s="101"/>
      <c r="H6" s="102"/>
      <c r="I6" s="103" t="s">
        <v>32</v>
      </c>
      <c r="J6" s="104" t="e">
        <f t="shared" si="0"/>
        <v>#VALUE!</v>
      </c>
      <c r="K6" s="105">
        <v>9</v>
      </c>
      <c r="L6" s="106">
        <f t="shared" si="1"/>
        <v>9.0012436738865415E-2</v>
      </c>
      <c r="M6" s="107">
        <v>773.58</v>
      </c>
      <c r="N6" s="107">
        <v>38.53</v>
      </c>
      <c r="O6" s="108">
        <f t="shared" si="2"/>
        <v>812.11</v>
      </c>
      <c r="P6" s="107">
        <v>67.5</v>
      </c>
      <c r="Q6" s="107">
        <v>5.6</v>
      </c>
      <c r="R6" s="109">
        <v>73.099999999999994</v>
      </c>
      <c r="S6" s="110">
        <v>3.6549999999999998</v>
      </c>
      <c r="T6" s="110">
        <f t="shared" si="3"/>
        <v>3.2400832474334416</v>
      </c>
      <c r="U6" s="114">
        <v>4.3286573470411343</v>
      </c>
      <c r="V6" s="114">
        <v>4.4641755856324847</v>
      </c>
      <c r="W6" s="112"/>
      <c r="X6" s="113">
        <v>3.8569235957418262</v>
      </c>
      <c r="Y6" s="112">
        <f t="shared" si="4"/>
        <v>1.1903779320475796</v>
      </c>
    </row>
    <row r="7" spans="1:25" s="113" customFormat="1">
      <c r="A7" s="96" t="s">
        <v>28</v>
      </c>
      <c r="B7" s="97">
        <v>40875</v>
      </c>
      <c r="C7" s="98"/>
      <c r="D7" s="99"/>
      <c r="E7" s="100" t="s">
        <v>63</v>
      </c>
      <c r="F7" s="100" t="s">
        <v>30</v>
      </c>
      <c r="G7" s="101"/>
      <c r="H7" s="102"/>
      <c r="I7" s="103" t="s">
        <v>32</v>
      </c>
      <c r="J7" s="104" t="e">
        <f t="shared" si="0"/>
        <v>#VALUE!</v>
      </c>
      <c r="K7" s="105">
        <v>7</v>
      </c>
      <c r="L7" s="106">
        <f t="shared" si="1"/>
        <v>9.4121107962902753E-2</v>
      </c>
      <c r="M7" s="107">
        <v>618.12</v>
      </c>
      <c r="N7" s="107">
        <v>27.75</v>
      </c>
      <c r="O7" s="108">
        <f t="shared" si="2"/>
        <v>645.87</v>
      </c>
      <c r="P7" s="107">
        <v>56.81</v>
      </c>
      <c r="Q7" s="107">
        <v>3.98</v>
      </c>
      <c r="R7" s="109">
        <v>60.79</v>
      </c>
      <c r="S7" s="110">
        <v>3.0394999999999999</v>
      </c>
      <c r="T7" s="110">
        <f t="shared" si="3"/>
        <v>3.3929501353900831</v>
      </c>
      <c r="U7" s="114">
        <v>3.9818656804733705</v>
      </c>
      <c r="V7" s="114">
        <v>3.8936369094320216</v>
      </c>
      <c r="W7" s="112"/>
      <c r="X7" s="113">
        <v>3.8624866792216168</v>
      </c>
      <c r="Y7" s="112">
        <f t="shared" si="4"/>
        <v>1.138385925255442</v>
      </c>
    </row>
    <row r="8" spans="1:25" s="113" customFormat="1">
      <c r="A8" s="96" t="s">
        <v>28</v>
      </c>
      <c r="B8" s="97">
        <v>40875</v>
      </c>
      <c r="C8" s="98"/>
      <c r="D8" s="99"/>
      <c r="E8" s="100" t="s">
        <v>63</v>
      </c>
      <c r="F8" s="100" t="s">
        <v>33</v>
      </c>
      <c r="G8" s="101"/>
      <c r="H8" s="102"/>
      <c r="I8" s="103" t="s">
        <v>32</v>
      </c>
      <c r="J8" s="104" t="e">
        <f t="shared" si="0"/>
        <v>#VALUE!</v>
      </c>
      <c r="K8" s="105">
        <v>7</v>
      </c>
      <c r="L8" s="106">
        <f t="shared" si="1"/>
        <v>9.968061859135989E-2</v>
      </c>
      <c r="M8" s="107">
        <v>450.48</v>
      </c>
      <c r="N8" s="107">
        <v>25.44</v>
      </c>
      <c r="O8" s="108">
        <f t="shared" si="2"/>
        <v>475.92</v>
      </c>
      <c r="P8" s="107">
        <v>43.33</v>
      </c>
      <c r="Q8" s="107">
        <v>4.1100000000000003</v>
      </c>
      <c r="R8" s="109">
        <v>47.44</v>
      </c>
      <c r="S8" s="110">
        <v>2.3719999999999999</v>
      </c>
      <c r="T8" s="110">
        <f t="shared" si="3"/>
        <v>3.6099346733027113</v>
      </c>
      <c r="U8" s="114">
        <v>4.2011158169714262</v>
      </c>
      <c r="V8" s="114">
        <v>4.3433682894628269</v>
      </c>
      <c r="W8" s="112"/>
      <c r="X8" s="113">
        <v>3.8522879695314689</v>
      </c>
      <c r="Y8" s="112">
        <f t="shared" si="4"/>
        <v>1.0671350919508551</v>
      </c>
    </row>
    <row r="9" spans="1:25" s="113" customFormat="1">
      <c r="A9" s="96" t="s">
        <v>28</v>
      </c>
      <c r="B9" s="97">
        <v>40875</v>
      </c>
      <c r="C9" s="98"/>
      <c r="D9" s="115"/>
      <c r="E9" s="100" t="s">
        <v>63</v>
      </c>
      <c r="F9" s="100" t="s">
        <v>33</v>
      </c>
      <c r="G9" s="101"/>
      <c r="H9" s="102"/>
      <c r="I9" s="103" t="s">
        <v>32</v>
      </c>
      <c r="J9" s="104" t="e">
        <f t="shared" si="0"/>
        <v>#VALUE!</v>
      </c>
      <c r="K9" s="105">
        <v>8</v>
      </c>
      <c r="L9" s="106">
        <f t="shared" si="1"/>
        <v>0.10609155352637273</v>
      </c>
      <c r="M9" s="107">
        <v>549.54999999999995</v>
      </c>
      <c r="N9" s="107">
        <v>33.06</v>
      </c>
      <c r="O9" s="108">
        <f t="shared" si="2"/>
        <v>582.6099999999999</v>
      </c>
      <c r="P9" s="107">
        <v>56.08</v>
      </c>
      <c r="Q9" s="107">
        <v>5.73</v>
      </c>
      <c r="R9" s="109">
        <v>61.81</v>
      </c>
      <c r="S9" s="110">
        <v>3.0905</v>
      </c>
      <c r="T9" s="110">
        <f t="shared" si="3"/>
        <v>3.3788648973240121</v>
      </c>
      <c r="U9" s="114">
        <v>3.7062023677089666</v>
      </c>
      <c r="V9" s="114">
        <v>3.8344751412833342</v>
      </c>
      <c r="W9" s="112"/>
      <c r="X9" s="113">
        <v>3.2533319838713526</v>
      </c>
      <c r="Y9" s="112">
        <f t="shared" si="4"/>
        <v>0.96284760791942914</v>
      </c>
    </row>
    <row r="10" spans="1:25" s="113" customFormat="1">
      <c r="A10" s="96" t="s">
        <v>28</v>
      </c>
      <c r="B10" s="97">
        <v>40875</v>
      </c>
      <c r="C10" s="98"/>
      <c r="D10" s="115"/>
      <c r="E10" s="100" t="s">
        <v>63</v>
      </c>
      <c r="F10" s="100" t="s">
        <v>33</v>
      </c>
      <c r="G10" s="101"/>
      <c r="H10" s="102"/>
      <c r="I10" s="103" t="s">
        <v>32</v>
      </c>
      <c r="J10" s="104" t="e">
        <f t="shared" si="0"/>
        <v>#VALUE!</v>
      </c>
      <c r="K10" s="105">
        <v>7</v>
      </c>
      <c r="L10" s="106">
        <f t="shared" si="1"/>
        <v>0.10535169392066349</v>
      </c>
      <c r="M10" s="107">
        <v>476.9</v>
      </c>
      <c r="N10" s="107">
        <v>34.340000000000003</v>
      </c>
      <c r="O10" s="108">
        <f t="shared" si="2"/>
        <v>511.24</v>
      </c>
      <c r="P10" s="107">
        <v>48.23</v>
      </c>
      <c r="Q10" s="107">
        <v>5.63</v>
      </c>
      <c r="R10" s="109">
        <v>53.86</v>
      </c>
      <c r="S10" s="110">
        <v>2.6929999999999996</v>
      </c>
      <c r="T10" s="110">
        <f t="shared" si="3"/>
        <v>3.4971875662343512</v>
      </c>
      <c r="U10" s="114">
        <v>3.7518686789332318</v>
      </c>
      <c r="V10" s="114">
        <v>4.0078521404479757</v>
      </c>
      <c r="W10" s="112"/>
      <c r="X10" s="113">
        <v>4.1025089860248958</v>
      </c>
      <c r="Y10" s="112">
        <f t="shared" si="4"/>
        <v>1.1730880624290716</v>
      </c>
    </row>
    <row r="11" spans="1:25" s="113" customFormat="1">
      <c r="A11" s="96" t="s">
        <v>28</v>
      </c>
      <c r="B11" s="97">
        <v>40875</v>
      </c>
      <c r="C11" s="98"/>
      <c r="D11" s="115"/>
      <c r="E11" s="100" t="s">
        <v>63</v>
      </c>
      <c r="F11" s="100" t="s">
        <v>33</v>
      </c>
      <c r="G11" s="101"/>
      <c r="H11" s="102"/>
      <c r="I11" s="103" t="s">
        <v>32</v>
      </c>
      <c r="J11" s="104" t="e">
        <f t="shared" si="0"/>
        <v>#VALUE!</v>
      </c>
      <c r="K11" s="105">
        <v>9</v>
      </c>
      <c r="L11" s="106">
        <f t="shared" si="1"/>
        <v>0.10207349291489873</v>
      </c>
      <c r="M11" s="107">
        <v>354.55</v>
      </c>
      <c r="N11" s="107">
        <v>20.18</v>
      </c>
      <c r="O11" s="108">
        <f t="shared" si="2"/>
        <v>374.73</v>
      </c>
      <c r="P11" s="107">
        <v>34.979999999999997</v>
      </c>
      <c r="Q11" s="107">
        <v>3.27</v>
      </c>
      <c r="R11" s="109">
        <v>38.25</v>
      </c>
      <c r="S11" s="110">
        <v>1.9125000000000001</v>
      </c>
      <c r="T11" s="110">
        <f t="shared" si="3"/>
        <v>3.8095848682866382</v>
      </c>
      <c r="U11" s="114">
        <v>4.0349636721219451</v>
      </c>
      <c r="V11" s="114">
        <v>4.3210333583630396</v>
      </c>
      <c r="W11" s="112"/>
      <c r="X11" s="113">
        <v>3.9692104962309962</v>
      </c>
      <c r="Y11" s="112">
        <f t="shared" si="4"/>
        <v>1.0419010557484047</v>
      </c>
    </row>
    <row r="12" spans="1:25" s="113" customFormat="1">
      <c r="A12" s="96" t="s">
        <v>28</v>
      </c>
      <c r="B12" s="97">
        <v>40875</v>
      </c>
      <c r="C12" s="98"/>
      <c r="D12" s="115"/>
      <c r="E12" s="100" t="s">
        <v>63</v>
      </c>
      <c r="F12" s="100" t="s">
        <v>33</v>
      </c>
      <c r="G12" s="101"/>
      <c r="H12" s="102"/>
      <c r="I12" s="103" t="s">
        <v>32</v>
      </c>
      <c r="J12" s="104" t="e">
        <f t="shared" si="0"/>
        <v>#VALUE!</v>
      </c>
      <c r="K12" s="105">
        <v>8</v>
      </c>
      <c r="L12" s="106">
        <f t="shared" si="1"/>
        <v>0.10917416122541167</v>
      </c>
      <c r="M12" s="107">
        <v>462.41</v>
      </c>
      <c r="N12" s="107">
        <v>24.61</v>
      </c>
      <c r="O12" s="108">
        <f t="shared" si="2"/>
        <v>487.02000000000004</v>
      </c>
      <c r="P12" s="107">
        <v>48.91</v>
      </c>
      <c r="Q12" s="107">
        <v>4.26</v>
      </c>
      <c r="R12" s="109">
        <v>53.169999999999995</v>
      </c>
      <c r="S12" s="110">
        <v>2.6584999999999996</v>
      </c>
      <c r="T12" s="110">
        <f t="shared" si="3"/>
        <v>3.508478728822336</v>
      </c>
      <c r="U12" s="114">
        <v>3.8052847298245691</v>
      </c>
      <c r="V12" s="114">
        <v>3.9453262244673946</v>
      </c>
      <c r="W12" s="112"/>
      <c r="X12" s="113">
        <v>3.7210922833487308</v>
      </c>
      <c r="Y12" s="112">
        <f t="shared" si="4"/>
        <v>1.0605999269084243</v>
      </c>
    </row>
    <row r="13" spans="1:25" s="130" customFormat="1">
      <c r="A13" s="116" t="s">
        <v>34</v>
      </c>
      <c r="B13" s="117">
        <v>40929</v>
      </c>
      <c r="C13" s="82"/>
      <c r="D13" s="118"/>
      <c r="E13" s="119" t="s">
        <v>64</v>
      </c>
      <c r="F13" s="119" t="s">
        <v>30</v>
      </c>
      <c r="G13" s="120"/>
      <c r="H13" s="121"/>
      <c r="I13" s="122">
        <v>1628</v>
      </c>
      <c r="J13" s="123">
        <f t="shared" si="0"/>
        <v>217.42056864033032</v>
      </c>
      <c r="K13" s="124">
        <v>15</v>
      </c>
      <c r="L13" s="125">
        <f t="shared" si="1"/>
        <v>0.13355071783804073</v>
      </c>
      <c r="M13" s="126">
        <v>371.87</v>
      </c>
      <c r="N13" s="126">
        <v>54.41</v>
      </c>
      <c r="O13" s="127">
        <f t="shared" si="2"/>
        <v>426.28</v>
      </c>
      <c r="P13" s="126">
        <v>47.71</v>
      </c>
      <c r="Q13" s="126">
        <v>9.2200000000000006</v>
      </c>
      <c r="R13" s="128">
        <v>56.93</v>
      </c>
      <c r="S13" s="88">
        <v>2.7435056864033034</v>
      </c>
      <c r="T13" s="88">
        <f t="shared" si="3"/>
        <v>3.4809801585249733</v>
      </c>
      <c r="U13" s="122">
        <v>4.930214622641528</v>
      </c>
      <c r="V13" s="122">
        <v>4.2077404014060464</v>
      </c>
      <c r="W13" s="129"/>
      <c r="X13" s="130">
        <v>4.7275594465065511</v>
      </c>
      <c r="Y13" s="129">
        <f t="shared" si="4"/>
        <v>1.3581115752494843</v>
      </c>
    </row>
    <row r="14" spans="1:25" s="130" customFormat="1">
      <c r="A14" s="116" t="s">
        <v>34</v>
      </c>
      <c r="B14" s="117">
        <v>40929</v>
      </c>
      <c r="C14" s="82"/>
      <c r="D14" s="118"/>
      <c r="E14" s="119" t="s">
        <v>64</v>
      </c>
      <c r="F14" s="119" t="s">
        <v>30</v>
      </c>
      <c r="G14" s="120"/>
      <c r="H14" s="121"/>
      <c r="I14" s="122">
        <v>1214</v>
      </c>
      <c r="J14" s="123">
        <f t="shared" si="0"/>
        <v>167.14947760422055</v>
      </c>
      <c r="K14" s="131">
        <v>8</v>
      </c>
      <c r="L14" s="125">
        <f t="shared" si="1"/>
        <v>0.13768490741698564</v>
      </c>
      <c r="M14" s="126">
        <v>349.22</v>
      </c>
      <c r="N14" s="126">
        <v>37.46</v>
      </c>
      <c r="O14" s="127">
        <f t="shared" si="2"/>
        <v>386.68</v>
      </c>
      <c r="P14" s="126">
        <v>46.52</v>
      </c>
      <c r="Q14" s="126">
        <v>6.72</v>
      </c>
      <c r="R14" s="128">
        <v>53.24</v>
      </c>
      <c r="S14" s="88">
        <v>2.2038947760422056</v>
      </c>
      <c r="T14" s="88">
        <f t="shared" si="3"/>
        <v>3.6768871440743882</v>
      </c>
      <c r="U14" s="122">
        <v>4.1346084533209639</v>
      </c>
      <c r="V14" s="122">
        <v>4.3750841478650644</v>
      </c>
      <c r="W14" s="129"/>
      <c r="X14" s="130">
        <v>4.7791624508574788</v>
      </c>
      <c r="Y14" s="129">
        <f t="shared" si="4"/>
        <v>1.2997849168581364</v>
      </c>
    </row>
    <row r="15" spans="1:25" s="130" customFormat="1">
      <c r="A15" s="116" t="s">
        <v>34</v>
      </c>
      <c r="B15" s="117">
        <v>40929</v>
      </c>
      <c r="C15" s="82"/>
      <c r="D15" s="118"/>
      <c r="E15" s="119" t="s">
        <v>64</v>
      </c>
      <c r="F15" s="119" t="s">
        <v>30</v>
      </c>
      <c r="G15" s="120"/>
      <c r="H15" s="121"/>
      <c r="I15" s="122">
        <v>1361</v>
      </c>
      <c r="J15" s="123">
        <f t="shared" si="0"/>
        <v>184.35646819896198</v>
      </c>
      <c r="K15" s="131">
        <v>9</v>
      </c>
      <c r="L15" s="125">
        <f t="shared" si="1"/>
        <v>0.13545662615647464</v>
      </c>
      <c r="M15" s="126">
        <v>282.66000000000003</v>
      </c>
      <c r="N15" s="126">
        <v>27.55</v>
      </c>
      <c r="O15" s="127">
        <f t="shared" si="2"/>
        <v>310.21000000000004</v>
      </c>
      <c r="P15" s="126">
        <v>36.99</v>
      </c>
      <c r="Q15" s="126">
        <v>5.03</v>
      </c>
      <c r="R15" s="128">
        <v>42.02</v>
      </c>
      <c r="S15" s="88">
        <v>2.26376468198962</v>
      </c>
      <c r="T15" s="88">
        <f t="shared" si="3"/>
        <v>3.6523315425934713</v>
      </c>
      <c r="U15" s="122">
        <v>4.2394691573203955</v>
      </c>
      <c r="V15" s="122">
        <v>4.1224441502008586</v>
      </c>
      <c r="W15" s="129"/>
      <c r="X15" s="130">
        <v>3.7473545056987962</v>
      </c>
      <c r="Y15" s="129">
        <f t="shared" si="4"/>
        <v>1.0260170693698443</v>
      </c>
    </row>
    <row r="16" spans="1:25" s="130" customFormat="1">
      <c r="A16" s="116" t="s">
        <v>34</v>
      </c>
      <c r="B16" s="117">
        <v>40929</v>
      </c>
      <c r="C16" s="82"/>
      <c r="D16" s="118"/>
      <c r="E16" s="119" t="s">
        <v>64</v>
      </c>
      <c r="F16" s="119" t="s">
        <v>30</v>
      </c>
      <c r="G16" s="120"/>
      <c r="H16" s="121"/>
      <c r="I16" s="122">
        <v>1609</v>
      </c>
      <c r="J16" s="123">
        <f t="shared" si="0"/>
        <v>211.73623494072157</v>
      </c>
      <c r="K16" s="131">
        <v>8</v>
      </c>
      <c r="L16" s="125">
        <f t="shared" si="1"/>
        <v>0.13159492538267345</v>
      </c>
      <c r="M16" s="126">
        <v>286.94</v>
      </c>
      <c r="N16" s="126">
        <v>25.99</v>
      </c>
      <c r="O16" s="127">
        <f t="shared" si="2"/>
        <v>312.93</v>
      </c>
      <c r="P16" s="126">
        <v>36.9</v>
      </c>
      <c r="Q16" s="126">
        <v>4.28</v>
      </c>
      <c r="R16" s="128">
        <v>41.18</v>
      </c>
      <c r="S16" s="88">
        <v>2.529162349407216</v>
      </c>
      <c r="T16" s="88">
        <f t="shared" si="3"/>
        <v>3.5524979582224918</v>
      </c>
      <c r="U16" s="122">
        <v>4.501981017770607</v>
      </c>
      <c r="V16" s="122">
        <v>4.7996731664798862</v>
      </c>
      <c r="W16" s="129"/>
      <c r="X16" s="130">
        <v>3.5980105870471188</v>
      </c>
      <c r="Y16" s="129">
        <f t="shared" si="4"/>
        <v>1.0128114440486264</v>
      </c>
    </row>
    <row r="17" spans="1:25" s="130" customFormat="1">
      <c r="A17" s="116" t="s">
        <v>34</v>
      </c>
      <c r="B17" s="117">
        <v>40929</v>
      </c>
      <c r="C17" s="82"/>
      <c r="D17" s="118"/>
      <c r="E17" s="119" t="s">
        <v>64</v>
      </c>
      <c r="F17" s="119" t="s">
        <v>30</v>
      </c>
      <c r="G17" s="120"/>
      <c r="H17" s="121"/>
      <c r="I17" s="122">
        <v>1251</v>
      </c>
      <c r="J17" s="123">
        <f t="shared" si="0"/>
        <v>170.21576763485479</v>
      </c>
      <c r="K17" s="131">
        <v>7</v>
      </c>
      <c r="L17" s="125">
        <f t="shared" si="1"/>
        <v>0.13606376309740589</v>
      </c>
      <c r="M17" s="126">
        <v>300.3</v>
      </c>
      <c r="N17" s="126">
        <v>34.69</v>
      </c>
      <c r="O17" s="127">
        <f t="shared" si="2"/>
        <v>334.99</v>
      </c>
      <c r="P17" s="126">
        <v>39.659999999999997</v>
      </c>
      <c r="Q17" s="126">
        <v>5.92</v>
      </c>
      <c r="R17" s="128">
        <v>45.58</v>
      </c>
      <c r="S17" s="88">
        <v>2.1579576763485475</v>
      </c>
      <c r="T17" s="88">
        <f t="shared" si="3"/>
        <v>3.6963006045671798</v>
      </c>
      <c r="U17" s="122">
        <v>4.5593216256248921</v>
      </c>
      <c r="V17" s="122">
        <v>4.5615460920997037</v>
      </c>
      <c r="W17" s="129"/>
      <c r="X17" s="130">
        <v>4.6777824949427895</v>
      </c>
      <c r="Y17" s="129">
        <f t="shared" si="4"/>
        <v>1.2655308632536224</v>
      </c>
    </row>
    <row r="18" spans="1:25" s="130" customFormat="1">
      <c r="A18" s="116" t="s">
        <v>34</v>
      </c>
      <c r="B18" s="117">
        <v>40929</v>
      </c>
      <c r="C18" s="82"/>
      <c r="D18" s="118"/>
      <c r="E18" s="119" t="s">
        <v>64</v>
      </c>
      <c r="F18" s="119" t="s">
        <v>33</v>
      </c>
      <c r="G18" s="120"/>
      <c r="H18" s="121"/>
      <c r="I18" s="122">
        <v>1471</v>
      </c>
      <c r="J18" s="123">
        <f t="shared" si="0"/>
        <v>197.64100595483316</v>
      </c>
      <c r="K18" s="131">
        <v>8</v>
      </c>
      <c r="L18" s="125">
        <f t="shared" si="1"/>
        <v>0.13435826373544063</v>
      </c>
      <c r="M18" s="126">
        <v>472.77</v>
      </c>
      <c r="N18" s="126">
        <v>61.25</v>
      </c>
      <c r="O18" s="127">
        <f t="shared" si="2"/>
        <v>534.02</v>
      </c>
      <c r="P18" s="126">
        <v>60.42</v>
      </c>
      <c r="Q18" s="126">
        <v>11.33</v>
      </c>
      <c r="R18" s="128">
        <v>71.75</v>
      </c>
      <c r="S18" s="88">
        <v>2.6939100595483318</v>
      </c>
      <c r="T18" s="88">
        <f t="shared" si="3"/>
        <v>3.4968921729089191</v>
      </c>
      <c r="U18" s="122">
        <v>4.3834262578276757</v>
      </c>
      <c r="V18" s="122">
        <v>4.915230780123574</v>
      </c>
      <c r="W18" s="129"/>
      <c r="X18" s="130">
        <v>4.9081510151577676</v>
      </c>
      <c r="Y18" s="129">
        <f t="shared" si="4"/>
        <v>1.4035751668816487</v>
      </c>
    </row>
    <row r="19" spans="1:25" s="130" customFormat="1">
      <c r="A19" s="116" t="s">
        <v>34</v>
      </c>
      <c r="B19" s="117">
        <v>40929</v>
      </c>
      <c r="C19" s="82"/>
      <c r="D19" s="118"/>
      <c r="E19" s="119" t="s">
        <v>64</v>
      </c>
      <c r="F19" s="119" t="s">
        <v>33</v>
      </c>
      <c r="G19" s="120"/>
      <c r="H19" s="121"/>
      <c r="I19" s="122">
        <v>1310</v>
      </c>
      <c r="J19" s="123">
        <f t="shared" si="0"/>
        <v>201.01816691708785</v>
      </c>
      <c r="K19" s="131">
        <v>9</v>
      </c>
      <c r="L19" s="125">
        <f t="shared" si="1"/>
        <v>0.15344898237945637</v>
      </c>
      <c r="M19" s="126">
        <v>317.32</v>
      </c>
      <c r="N19" s="126">
        <v>48.73</v>
      </c>
      <c r="O19" s="127">
        <f t="shared" si="2"/>
        <v>366.05</v>
      </c>
      <c r="P19" s="126">
        <v>45.58</v>
      </c>
      <c r="Q19" s="126">
        <v>10.59</v>
      </c>
      <c r="R19" s="128">
        <v>56.17</v>
      </c>
      <c r="S19" s="88">
        <v>2.5718816691708786</v>
      </c>
      <c r="T19" s="88">
        <f t="shared" si="3"/>
        <v>3.5376532971996193</v>
      </c>
      <c r="U19" s="122">
        <v>4.2921540935955829</v>
      </c>
      <c r="V19" s="122">
        <v>4.5053294874607026</v>
      </c>
      <c r="W19" s="129"/>
      <c r="X19" s="130">
        <v>4.4155343029635343</v>
      </c>
      <c r="Y19" s="129">
        <f t="shared" si="4"/>
        <v>1.2481534882061052</v>
      </c>
    </row>
    <row r="20" spans="1:25" s="130" customFormat="1">
      <c r="A20" s="116" t="s">
        <v>34</v>
      </c>
      <c r="B20" s="117">
        <v>40929</v>
      </c>
      <c r="C20" s="82"/>
      <c r="D20" s="118"/>
      <c r="E20" s="119" t="s">
        <v>64</v>
      </c>
      <c r="F20" s="119" t="s">
        <v>33</v>
      </c>
      <c r="G20" s="120"/>
      <c r="H20" s="121"/>
      <c r="I20" s="122">
        <v>1646</v>
      </c>
      <c r="J20" s="123">
        <f t="shared" si="0"/>
        <v>237.33487147218534</v>
      </c>
      <c r="K20" s="131">
        <v>8</v>
      </c>
      <c r="L20" s="125">
        <f t="shared" si="1"/>
        <v>0.14418886480691698</v>
      </c>
      <c r="M20" s="126">
        <v>374.71</v>
      </c>
      <c r="N20" s="126">
        <v>54.38</v>
      </c>
      <c r="O20" s="127">
        <f t="shared" si="2"/>
        <v>429.09</v>
      </c>
      <c r="P20" s="126">
        <v>50.54</v>
      </c>
      <c r="Q20" s="126">
        <v>11.33</v>
      </c>
      <c r="R20" s="128">
        <v>61.87</v>
      </c>
      <c r="S20" s="88">
        <v>2.9920487147218533</v>
      </c>
      <c r="T20" s="88">
        <f t="shared" si="3"/>
        <v>3.4063231724449223</v>
      </c>
      <c r="U20" s="122">
        <v>4.136234905300606</v>
      </c>
      <c r="V20" s="122">
        <v>4.6377710018668195</v>
      </c>
      <c r="W20" s="129"/>
      <c r="X20" s="130">
        <v>4.1528684587258411</v>
      </c>
      <c r="Y20" s="129">
        <f t="shared" si="4"/>
        <v>1.2191645503045674</v>
      </c>
    </row>
    <row r="21" spans="1:25" s="130" customFormat="1">
      <c r="A21" s="116" t="s">
        <v>34</v>
      </c>
      <c r="B21" s="117">
        <v>40929</v>
      </c>
      <c r="C21" s="82"/>
      <c r="D21" s="118"/>
      <c r="E21" s="119" t="s">
        <v>64</v>
      </c>
      <c r="F21" s="119" t="s">
        <v>33</v>
      </c>
      <c r="G21" s="120"/>
      <c r="H21" s="121"/>
      <c r="I21" s="122">
        <v>1641</v>
      </c>
      <c r="J21" s="123">
        <f t="shared" si="0"/>
        <v>225.22565178303861</v>
      </c>
      <c r="K21" s="131">
        <v>8</v>
      </c>
      <c r="L21" s="125">
        <f t="shared" si="1"/>
        <v>0.13724902607132153</v>
      </c>
      <c r="M21" s="126">
        <v>269.60000000000002</v>
      </c>
      <c r="N21" s="126">
        <v>30.73</v>
      </c>
      <c r="O21" s="127">
        <f t="shared" si="2"/>
        <v>300.33000000000004</v>
      </c>
      <c r="P21" s="126">
        <v>35.49</v>
      </c>
      <c r="Q21" s="126">
        <v>5.73</v>
      </c>
      <c r="R21" s="128">
        <v>41.22</v>
      </c>
      <c r="S21" s="88">
        <v>2.6644565178303861</v>
      </c>
      <c r="T21" s="88">
        <f t="shared" si="3"/>
        <v>3.5065162405497774</v>
      </c>
      <c r="U21" s="122">
        <v>4.4645459809017236</v>
      </c>
      <c r="V21" s="122">
        <v>4.9088933063625921</v>
      </c>
      <c r="W21" s="129"/>
      <c r="X21" s="130">
        <v>3.5011773368999077</v>
      </c>
      <c r="Y21" s="129">
        <f t="shared" si="4"/>
        <v>0.99847743364535724</v>
      </c>
    </row>
    <row r="22" spans="1:25" s="130" customFormat="1">
      <c r="A22" s="116" t="s">
        <v>34</v>
      </c>
      <c r="B22" s="117">
        <v>40929</v>
      </c>
      <c r="C22" s="82"/>
      <c r="D22" s="118"/>
      <c r="E22" s="119" t="s">
        <v>64</v>
      </c>
      <c r="F22" s="119" t="s">
        <v>33</v>
      </c>
      <c r="G22" s="120"/>
      <c r="H22" s="121"/>
      <c r="I22" s="122">
        <v>1472</v>
      </c>
      <c r="J22" s="123">
        <f t="shared" si="0"/>
        <v>207.33342039963432</v>
      </c>
      <c r="K22" s="131">
        <v>8</v>
      </c>
      <c r="L22" s="125">
        <f t="shared" si="1"/>
        <v>0.14085150842366462</v>
      </c>
      <c r="M22" s="126">
        <v>542.36</v>
      </c>
      <c r="N22" s="126">
        <v>70.2</v>
      </c>
      <c r="O22" s="127">
        <f t="shared" si="2"/>
        <v>612.56000000000006</v>
      </c>
      <c r="P22" s="126">
        <v>71.92</v>
      </c>
      <c r="Q22" s="126">
        <v>14.36</v>
      </c>
      <c r="R22" s="128">
        <v>86.28</v>
      </c>
      <c r="S22" s="88">
        <v>2.9361342039963434</v>
      </c>
      <c r="T22" s="88">
        <f t="shared" si="3"/>
        <v>3.4224257783051506</v>
      </c>
      <c r="U22" s="122">
        <v>4.0774917850525023</v>
      </c>
      <c r="V22" s="122">
        <v>4.5275938853879518</v>
      </c>
      <c r="W22" s="129"/>
      <c r="X22" s="130">
        <v>5.7959882086304919</v>
      </c>
      <c r="Y22" s="129">
        <f t="shared" si="4"/>
        <v>1.6935321856711745</v>
      </c>
    </row>
    <row r="23" spans="1:25" s="797" customFormat="1">
      <c r="A23" s="804" t="s">
        <v>35</v>
      </c>
      <c r="B23" s="805">
        <v>40996</v>
      </c>
      <c r="C23" s="806"/>
      <c r="D23" s="792"/>
      <c r="E23" s="804" t="s">
        <v>63</v>
      </c>
      <c r="F23" s="804" t="s">
        <v>30</v>
      </c>
      <c r="G23" s="807"/>
      <c r="H23" s="808"/>
      <c r="I23" s="809">
        <v>3220.5</v>
      </c>
      <c r="J23" s="810">
        <f t="shared" si="0"/>
        <v>492.62453987730049</v>
      </c>
      <c r="K23" s="811">
        <v>7</v>
      </c>
      <c r="L23" s="792">
        <f t="shared" si="1"/>
        <v>0.1529652351738241</v>
      </c>
      <c r="M23" s="809">
        <v>431.36</v>
      </c>
      <c r="N23" s="809">
        <v>595.54</v>
      </c>
      <c r="O23" s="812">
        <f t="shared" si="2"/>
        <v>1026.9000000000001</v>
      </c>
      <c r="P23" s="809">
        <v>49.86</v>
      </c>
      <c r="Q23" s="809">
        <v>107.22</v>
      </c>
      <c r="R23" s="813">
        <v>157.07999999999998</v>
      </c>
      <c r="S23" s="795">
        <v>6.4970453987730048</v>
      </c>
      <c r="T23" s="795">
        <f t="shared" si="3"/>
        <v>2.8060734756937453</v>
      </c>
      <c r="U23" s="809">
        <v>3.0019123844489575</v>
      </c>
      <c r="V23" s="809">
        <v>3.1078709215130744</v>
      </c>
      <c r="W23" s="802">
        <f>X23*R23</f>
        <v>517.04339437760154</v>
      </c>
      <c r="X23" s="797">
        <v>3.2915927831525438</v>
      </c>
      <c r="Y23" s="796">
        <f>X23/T23</f>
        <v>1.1730244456049974</v>
      </c>
    </row>
    <row r="24" spans="1:25" s="786" customFormat="1">
      <c r="A24" s="821" t="s">
        <v>35</v>
      </c>
      <c r="B24" s="822">
        <v>40996</v>
      </c>
      <c r="C24" s="823"/>
      <c r="D24" s="781"/>
      <c r="E24" s="824" t="s">
        <v>64</v>
      </c>
      <c r="F24" s="824" t="s">
        <v>30</v>
      </c>
      <c r="G24" s="825"/>
      <c r="H24" s="826"/>
      <c r="I24" s="827">
        <v>4480.8999999999996</v>
      </c>
      <c r="J24" s="828">
        <f t="shared" si="0"/>
        <v>504.59200477911889</v>
      </c>
      <c r="K24" s="829">
        <v>9</v>
      </c>
      <c r="L24" s="781">
        <f t="shared" si="1"/>
        <v>0.11260952147539979</v>
      </c>
      <c r="M24" s="830">
        <v>831.9</v>
      </c>
      <c r="N24" s="830">
        <v>800.2</v>
      </c>
      <c r="O24" s="831">
        <f t="shared" si="2"/>
        <v>1632.1</v>
      </c>
      <c r="P24" s="830">
        <v>80.22</v>
      </c>
      <c r="Q24" s="827">
        <v>103.57</v>
      </c>
      <c r="R24" s="832">
        <v>183.79</v>
      </c>
      <c r="S24" s="784">
        <v>6.8838200477911888</v>
      </c>
      <c r="T24" s="784">
        <f t="shared" si="3"/>
        <v>2.7657991371759985</v>
      </c>
      <c r="U24" s="827">
        <v>3.9034363741265494</v>
      </c>
      <c r="V24" s="827">
        <v>2.4890949927105526</v>
      </c>
      <c r="W24" s="803">
        <f t="shared" ref="W24:W40" si="5">X24*R24</f>
        <v>779.09420277203878</v>
      </c>
      <c r="X24" s="786">
        <v>4.239045665009189</v>
      </c>
      <c r="Y24" s="785">
        <f t="shared" si="4"/>
        <v>1.5326657702762319</v>
      </c>
    </row>
    <row r="25" spans="1:25" s="797" customFormat="1">
      <c r="A25" s="804" t="s">
        <v>35</v>
      </c>
      <c r="B25" s="805">
        <v>40996</v>
      </c>
      <c r="C25" s="806"/>
      <c r="D25" s="792"/>
      <c r="E25" s="814" t="s">
        <v>63</v>
      </c>
      <c r="F25" s="814" t="s">
        <v>30</v>
      </c>
      <c r="G25" s="807"/>
      <c r="H25" s="808"/>
      <c r="I25" s="809">
        <v>3630</v>
      </c>
      <c r="J25" s="810">
        <f t="shared" si="0"/>
        <v>404.17386126823459</v>
      </c>
      <c r="K25" s="811">
        <v>7</v>
      </c>
      <c r="L25" s="792">
        <f t="shared" si="1"/>
        <v>0.11134266150640071</v>
      </c>
      <c r="M25" s="815">
        <v>524.79999999999995</v>
      </c>
      <c r="N25" s="815">
        <v>684.44</v>
      </c>
      <c r="O25" s="812">
        <f t="shared" si="2"/>
        <v>1209.24</v>
      </c>
      <c r="P25" s="815">
        <v>58.41</v>
      </c>
      <c r="Q25" s="809">
        <v>76.23</v>
      </c>
      <c r="R25" s="813">
        <v>134.63999999999999</v>
      </c>
      <c r="S25" s="795">
        <v>5.3881386126823463</v>
      </c>
      <c r="T25" s="795">
        <f t="shared" si="3"/>
        <v>2.9404806380726805</v>
      </c>
      <c r="U25" s="809" t="s">
        <v>32</v>
      </c>
      <c r="V25" s="809">
        <v>2.0397198562874261</v>
      </c>
      <c r="W25" s="802" t="e">
        <f t="shared" si="5"/>
        <v>#VALUE!</v>
      </c>
      <c r="X25" s="797" t="s">
        <v>32</v>
      </c>
      <c r="Y25" s="796" t="s">
        <v>32</v>
      </c>
    </row>
    <row r="26" spans="1:25" s="786" customFormat="1">
      <c r="A26" s="821" t="s">
        <v>35</v>
      </c>
      <c r="B26" s="822">
        <v>40996</v>
      </c>
      <c r="C26" s="823"/>
      <c r="D26" s="781"/>
      <c r="E26" s="833" t="s">
        <v>64</v>
      </c>
      <c r="F26" s="824" t="s">
        <v>30</v>
      </c>
      <c r="G26" s="825"/>
      <c r="H26" s="826"/>
      <c r="I26" s="827">
        <v>3805.8</v>
      </c>
      <c r="J26" s="828">
        <f t="shared" si="0"/>
        <v>519.87446471577971</v>
      </c>
      <c r="K26" s="829">
        <v>8</v>
      </c>
      <c r="L26" s="781">
        <f t="shared" si="1"/>
        <v>0.13660057404902509</v>
      </c>
      <c r="M26" s="830">
        <v>583.95000000000005</v>
      </c>
      <c r="N26" s="830">
        <v>628.49</v>
      </c>
      <c r="O26" s="831">
        <f t="shared" si="2"/>
        <v>1212.44</v>
      </c>
      <c r="P26" s="830">
        <v>62.03</v>
      </c>
      <c r="Q26" s="827">
        <v>103.59</v>
      </c>
      <c r="R26" s="832">
        <v>165.62</v>
      </c>
      <c r="S26" s="784">
        <v>6.8549446471577973</v>
      </c>
      <c r="T26" s="784">
        <f t="shared" si="3"/>
        <v>2.768707173509398</v>
      </c>
      <c r="U26" s="827">
        <v>3.4066286673662183</v>
      </c>
      <c r="V26" s="827">
        <v>2.2702870122675098</v>
      </c>
      <c r="W26" s="803">
        <f t="shared" si="5"/>
        <v>485.43962746248519</v>
      </c>
      <c r="X26" s="786">
        <v>2.9310447256520056</v>
      </c>
      <c r="Y26" s="785">
        <f t="shared" si="4"/>
        <v>1.0586329799322336</v>
      </c>
    </row>
    <row r="27" spans="1:25" s="786" customFormat="1">
      <c r="A27" s="821" t="s">
        <v>35</v>
      </c>
      <c r="B27" s="822">
        <v>40996</v>
      </c>
      <c r="C27" s="823"/>
      <c r="D27" s="781"/>
      <c r="E27" s="833" t="s">
        <v>64</v>
      </c>
      <c r="F27" s="824" t="s">
        <v>30</v>
      </c>
      <c r="G27" s="825"/>
      <c r="H27" s="826"/>
      <c r="I27" s="827">
        <v>4312</v>
      </c>
      <c r="J27" s="828">
        <f t="shared" si="0"/>
        <v>390.13748483623129</v>
      </c>
      <c r="K27" s="829">
        <v>7</v>
      </c>
      <c r="L27" s="781">
        <f t="shared" si="1"/>
        <v>9.0477153255155679E-2</v>
      </c>
      <c r="M27" s="830">
        <v>570.44000000000005</v>
      </c>
      <c r="N27" s="830">
        <v>517.67999999999995</v>
      </c>
      <c r="O27" s="831">
        <f t="shared" si="2"/>
        <v>1088.1199999999999</v>
      </c>
      <c r="P27" s="830">
        <v>57.04</v>
      </c>
      <c r="Q27" s="827">
        <v>41.41</v>
      </c>
      <c r="R27" s="832">
        <v>98.449999999999989</v>
      </c>
      <c r="S27" s="784">
        <v>4.8858748483623131</v>
      </c>
      <c r="T27" s="784">
        <f t="shared" si="3"/>
        <v>3.013300401238161</v>
      </c>
      <c r="U27" s="827">
        <v>3.8750735061195019</v>
      </c>
      <c r="V27" s="827">
        <v>2.3743598896889866</v>
      </c>
      <c r="W27" s="803">
        <f t="shared" si="5"/>
        <v>303.36463748440013</v>
      </c>
      <c r="X27" s="786">
        <v>3.0814082019746083</v>
      </c>
      <c r="Y27" s="785">
        <f t="shared" si="4"/>
        <v>1.0226023932789647</v>
      </c>
    </row>
    <row r="28" spans="1:25" s="797" customFormat="1">
      <c r="A28" s="804" t="s">
        <v>35</v>
      </c>
      <c r="B28" s="805">
        <v>40996</v>
      </c>
      <c r="C28" s="806"/>
      <c r="D28" s="792"/>
      <c r="E28" s="816" t="s">
        <v>63</v>
      </c>
      <c r="F28" s="814" t="s">
        <v>30</v>
      </c>
      <c r="G28" s="807"/>
      <c r="H28" s="808"/>
      <c r="I28" s="809">
        <v>3289.9</v>
      </c>
      <c r="J28" s="810">
        <f t="shared" si="0"/>
        <v>362.96134859417765</v>
      </c>
      <c r="K28" s="811">
        <v>9</v>
      </c>
      <c r="L28" s="792">
        <f t="shared" si="1"/>
        <v>0.11032595172928589</v>
      </c>
      <c r="M28" s="815">
        <v>451.54</v>
      </c>
      <c r="N28" s="815">
        <v>553.21</v>
      </c>
      <c r="O28" s="812">
        <f t="shared" si="2"/>
        <v>1004.75</v>
      </c>
      <c r="P28" s="815">
        <v>54.5</v>
      </c>
      <c r="Q28" s="809">
        <v>56.35</v>
      </c>
      <c r="R28" s="813">
        <v>110.85</v>
      </c>
      <c r="S28" s="795">
        <v>4.7381134859417759</v>
      </c>
      <c r="T28" s="795">
        <f t="shared" si="3"/>
        <v>3.0365235197175355</v>
      </c>
      <c r="U28" s="809">
        <v>2.8698620719852879</v>
      </c>
      <c r="V28" s="809">
        <v>2.2803060142526448</v>
      </c>
      <c r="W28" s="802">
        <f t="shared" si="5"/>
        <v>303.64643881028087</v>
      </c>
      <c r="X28" s="797">
        <v>2.7392551990102021</v>
      </c>
      <c r="Y28" s="796">
        <f t="shared" si="4"/>
        <v>0.90210241456157536</v>
      </c>
    </row>
    <row r="29" spans="1:25" s="786" customFormat="1">
      <c r="A29" s="821" t="s">
        <v>35</v>
      </c>
      <c r="B29" s="822">
        <v>40996</v>
      </c>
      <c r="C29" s="823"/>
      <c r="D29" s="781"/>
      <c r="E29" s="821" t="s">
        <v>64</v>
      </c>
      <c r="F29" s="821" t="s">
        <v>30</v>
      </c>
      <c r="G29" s="825"/>
      <c r="H29" s="826"/>
      <c r="I29" s="827">
        <v>4730.6000000000004</v>
      </c>
      <c r="J29" s="828">
        <f t="shared" si="0"/>
        <v>436.80778567276576</v>
      </c>
      <c r="K29" s="829">
        <v>9</v>
      </c>
      <c r="L29" s="781">
        <f t="shared" si="1"/>
        <v>9.2336656168935383E-2</v>
      </c>
      <c r="M29" s="827">
        <v>564.69000000000005</v>
      </c>
      <c r="N29" s="827">
        <v>587.94000000000005</v>
      </c>
      <c r="O29" s="831">
        <f t="shared" si="2"/>
        <v>1152.6300000000001</v>
      </c>
      <c r="P29" s="827">
        <v>58.42</v>
      </c>
      <c r="Q29" s="827">
        <v>48.01</v>
      </c>
      <c r="R29" s="832">
        <v>106.43</v>
      </c>
      <c r="S29" s="784">
        <v>5.4323778567276575</v>
      </c>
      <c r="T29" s="784">
        <f t="shared" si="3"/>
        <v>2.9344757263214971</v>
      </c>
      <c r="U29" s="827">
        <v>3.4875707288965727</v>
      </c>
      <c r="V29" s="827">
        <v>2.4670636166687876</v>
      </c>
      <c r="W29" s="803">
        <f t="shared" si="5"/>
        <v>294.5708059335492</v>
      </c>
      <c r="X29" s="786">
        <v>2.7677422337080633</v>
      </c>
      <c r="Y29" s="785">
        <f t="shared" si="4"/>
        <v>0.94318116482686254</v>
      </c>
    </row>
    <row r="30" spans="1:25" s="797" customFormat="1">
      <c r="A30" s="804" t="s">
        <v>35</v>
      </c>
      <c r="B30" s="805">
        <v>40996</v>
      </c>
      <c r="C30" s="806"/>
      <c r="D30" s="792"/>
      <c r="E30" s="804" t="s">
        <v>63</v>
      </c>
      <c r="F30" s="814" t="s">
        <v>30</v>
      </c>
      <c r="G30" s="807"/>
      <c r="H30" s="808"/>
      <c r="I30" s="809">
        <v>3457</v>
      </c>
      <c r="J30" s="810">
        <f t="shared" si="0"/>
        <v>382.8857891742523</v>
      </c>
      <c r="K30" s="811">
        <v>8</v>
      </c>
      <c r="L30" s="792">
        <f t="shared" si="1"/>
        <v>0.11075666449934982</v>
      </c>
      <c r="M30" s="809">
        <v>411.82</v>
      </c>
      <c r="N30" s="809">
        <v>572.5</v>
      </c>
      <c r="O30" s="812">
        <f t="shared" si="2"/>
        <v>984.31999999999994</v>
      </c>
      <c r="P30" s="809">
        <v>50.71</v>
      </c>
      <c r="Q30" s="809">
        <v>58.31</v>
      </c>
      <c r="R30" s="813">
        <v>109.02000000000001</v>
      </c>
      <c r="S30" s="795">
        <v>4.9190578917425229</v>
      </c>
      <c r="T30" s="795">
        <f t="shared" si="3"/>
        <v>3.0082057050576987</v>
      </c>
      <c r="U30" s="809">
        <v>2.8276899446958206</v>
      </c>
      <c r="V30" s="809">
        <v>2.2761655988350893</v>
      </c>
      <c r="W30" s="802">
        <f t="shared" si="5"/>
        <v>283.02615304004701</v>
      </c>
      <c r="X30" s="797">
        <v>2.5960938638786186</v>
      </c>
      <c r="Y30" s="796">
        <f t="shared" si="4"/>
        <v>0.86300410225065527</v>
      </c>
    </row>
    <row r="31" spans="1:25" s="797" customFormat="1">
      <c r="A31" s="804" t="s">
        <v>35</v>
      </c>
      <c r="B31" s="805">
        <v>40996</v>
      </c>
      <c r="C31" s="806"/>
      <c r="D31" s="792"/>
      <c r="E31" s="816" t="s">
        <v>63</v>
      </c>
      <c r="F31" s="814" t="s">
        <v>30</v>
      </c>
      <c r="G31" s="807"/>
      <c r="H31" s="808"/>
      <c r="I31" s="809">
        <v>4526.2</v>
      </c>
      <c r="J31" s="810">
        <f t="shared" si="0"/>
        <v>466.00933460124901</v>
      </c>
      <c r="K31" s="811">
        <v>8</v>
      </c>
      <c r="L31" s="792">
        <f t="shared" si="1"/>
        <v>0.10295818448173943</v>
      </c>
      <c r="M31" s="815">
        <v>325.42</v>
      </c>
      <c r="N31" s="815">
        <v>452.76</v>
      </c>
      <c r="O31" s="812">
        <f t="shared" si="2"/>
        <v>778.18000000000006</v>
      </c>
      <c r="P31" s="815">
        <v>36.76</v>
      </c>
      <c r="Q31" s="809">
        <v>43.36</v>
      </c>
      <c r="R31" s="813">
        <v>80.12</v>
      </c>
      <c r="S31" s="795">
        <v>5.4612933460124893</v>
      </c>
      <c r="T31" s="795">
        <f t="shared" si="3"/>
        <v>2.9305837546708187</v>
      </c>
      <c r="U31" s="809">
        <v>3.4576213131168587</v>
      </c>
      <c r="V31" s="809">
        <v>2.2990718520075633</v>
      </c>
      <c r="W31" s="802">
        <f t="shared" si="5"/>
        <v>166.35627164142011</v>
      </c>
      <c r="X31" s="797">
        <v>2.0763388871869708</v>
      </c>
      <c r="Y31" s="796">
        <f t="shared" si="4"/>
        <v>0.70850692592479692</v>
      </c>
    </row>
    <row r="32" spans="1:25" s="786" customFormat="1">
      <c r="A32" s="821" t="s">
        <v>35</v>
      </c>
      <c r="B32" s="822">
        <v>40996</v>
      </c>
      <c r="C32" s="823"/>
      <c r="D32" s="781"/>
      <c r="E32" s="821" t="s">
        <v>64</v>
      </c>
      <c r="F32" s="821" t="s">
        <v>33</v>
      </c>
      <c r="G32" s="825"/>
      <c r="H32" s="826"/>
      <c r="I32" s="827">
        <v>3909</v>
      </c>
      <c r="J32" s="828">
        <f t="shared" si="0"/>
        <v>405.78145949589907</v>
      </c>
      <c r="K32" s="829">
        <v>9</v>
      </c>
      <c r="L32" s="781">
        <f t="shared" si="1"/>
        <v>0.10380697352159096</v>
      </c>
      <c r="M32" s="827">
        <v>476.66</v>
      </c>
      <c r="N32" s="827">
        <v>591.38</v>
      </c>
      <c r="O32" s="831">
        <f t="shared" si="2"/>
        <v>1068.04</v>
      </c>
      <c r="P32" s="827">
        <v>49.05</v>
      </c>
      <c r="Q32" s="827">
        <v>61.82</v>
      </c>
      <c r="R32" s="832">
        <v>110.87</v>
      </c>
      <c r="S32" s="784">
        <v>5.1665145949589908</v>
      </c>
      <c r="T32" s="784">
        <f t="shared" si="3"/>
        <v>2.9715195977156004</v>
      </c>
      <c r="U32" s="827">
        <v>3.7226426034971034</v>
      </c>
      <c r="V32" s="827">
        <v>2.6642205853337666</v>
      </c>
      <c r="W32" s="803">
        <f t="shared" si="5"/>
        <v>356.07729791523707</v>
      </c>
      <c r="X32" s="786">
        <v>3.2116649942747095</v>
      </c>
      <c r="Y32" s="785">
        <f t="shared" si="4"/>
        <v>1.0808156866082002</v>
      </c>
    </row>
    <row r="33" spans="1:25" s="797" customFormat="1">
      <c r="A33" s="804" t="s">
        <v>35</v>
      </c>
      <c r="B33" s="805">
        <v>40996</v>
      </c>
      <c r="C33" s="806"/>
      <c r="D33" s="792"/>
      <c r="E33" s="804" t="s">
        <v>63</v>
      </c>
      <c r="F33" s="804" t="s">
        <v>33</v>
      </c>
      <c r="G33" s="807"/>
      <c r="H33" s="808"/>
      <c r="I33" s="809">
        <v>2851.8</v>
      </c>
      <c r="J33" s="810">
        <f t="shared" si="0"/>
        <v>360.39266645297187</v>
      </c>
      <c r="K33" s="811">
        <v>9</v>
      </c>
      <c r="L33" s="792">
        <f t="shared" si="1"/>
        <v>0.1263737521751076</v>
      </c>
      <c r="M33" s="809">
        <v>351.73</v>
      </c>
      <c r="N33" s="809">
        <v>521.79</v>
      </c>
      <c r="O33" s="812">
        <f t="shared" si="2"/>
        <v>873.52</v>
      </c>
      <c r="P33" s="809">
        <v>43.55</v>
      </c>
      <c r="Q33" s="809">
        <v>66.84</v>
      </c>
      <c r="R33" s="813">
        <v>110.39</v>
      </c>
      <c r="S33" s="795">
        <v>4.7078266645297182</v>
      </c>
      <c r="T33" s="795">
        <f t="shared" si="3"/>
        <v>3.0413954921239865</v>
      </c>
      <c r="U33" s="809">
        <v>2.852171812080543</v>
      </c>
      <c r="V33" s="809">
        <v>1.9613053713846496</v>
      </c>
      <c r="W33" s="802">
        <f t="shared" si="5"/>
        <v>272.71635532086839</v>
      </c>
      <c r="X33" s="797">
        <v>2.4704806170927474</v>
      </c>
      <c r="Y33" s="796">
        <f t="shared" si="4"/>
        <v>0.81228522350687926</v>
      </c>
    </row>
    <row r="34" spans="1:25" s="797" customFormat="1">
      <c r="A34" s="804" t="s">
        <v>35</v>
      </c>
      <c r="B34" s="805">
        <v>40996</v>
      </c>
      <c r="C34" s="806"/>
      <c r="D34" s="792"/>
      <c r="E34" s="804" t="s">
        <v>63</v>
      </c>
      <c r="F34" s="804" t="s">
        <v>33</v>
      </c>
      <c r="G34" s="807"/>
      <c r="H34" s="808"/>
      <c r="I34" s="809">
        <v>3385</v>
      </c>
      <c r="J34" s="810">
        <f t="shared" si="0"/>
        <v>449.27997778632152</v>
      </c>
      <c r="K34" s="811">
        <v>9</v>
      </c>
      <c r="L34" s="792">
        <f t="shared" si="1"/>
        <v>0.13272672903584093</v>
      </c>
      <c r="M34" s="809">
        <v>259.66000000000003</v>
      </c>
      <c r="N34" s="809">
        <v>442.61</v>
      </c>
      <c r="O34" s="812">
        <f t="shared" si="2"/>
        <v>702.27</v>
      </c>
      <c r="P34" s="809">
        <v>34.21</v>
      </c>
      <c r="Q34" s="809">
        <v>59</v>
      </c>
      <c r="R34" s="813">
        <v>93.210000000000008</v>
      </c>
      <c r="S34" s="795">
        <v>5.42489977786322</v>
      </c>
      <c r="T34" s="795">
        <f t="shared" si="3"/>
        <v>2.9354864780099064</v>
      </c>
      <c r="U34" s="809">
        <v>3.1140606211306241</v>
      </c>
      <c r="V34" s="809">
        <v>1.6346478119210368</v>
      </c>
      <c r="W34" s="802">
        <f t="shared" si="5"/>
        <v>166.62567696819042</v>
      </c>
      <c r="X34" s="797">
        <v>1.787637345437082</v>
      </c>
      <c r="Y34" s="796">
        <f t="shared" si="4"/>
        <v>0.608974818595996</v>
      </c>
    </row>
    <row r="35" spans="1:25" s="786" customFormat="1">
      <c r="A35" s="821" t="s">
        <v>35</v>
      </c>
      <c r="B35" s="822">
        <v>40996</v>
      </c>
      <c r="C35" s="823"/>
      <c r="D35" s="781"/>
      <c r="E35" s="824" t="s">
        <v>64</v>
      </c>
      <c r="F35" s="824" t="s">
        <v>33</v>
      </c>
      <c r="G35" s="825"/>
      <c r="H35" s="826"/>
      <c r="I35" s="827">
        <v>4275</v>
      </c>
      <c r="J35" s="828">
        <f t="shared" si="0"/>
        <v>466.56235743613144</v>
      </c>
      <c r="K35" s="829">
        <v>9</v>
      </c>
      <c r="L35" s="781">
        <f t="shared" si="1"/>
        <v>0.10913739355231145</v>
      </c>
      <c r="M35" s="827">
        <v>446.36</v>
      </c>
      <c r="N35" s="830">
        <v>605.79999999999995</v>
      </c>
      <c r="O35" s="831">
        <f t="shared" si="2"/>
        <v>1052.1599999999999</v>
      </c>
      <c r="P35" s="830">
        <v>49.08</v>
      </c>
      <c r="Q35" s="827">
        <v>65.75</v>
      </c>
      <c r="R35" s="832">
        <v>114.83</v>
      </c>
      <c r="S35" s="784">
        <v>5.813923574361314</v>
      </c>
      <c r="T35" s="784">
        <f t="shared" si="3"/>
        <v>2.8850987616752048</v>
      </c>
      <c r="U35" s="827">
        <v>3.9262280076733305</v>
      </c>
      <c r="V35" s="827">
        <v>2.7663228251507341</v>
      </c>
      <c r="W35" s="803">
        <f t="shared" si="5"/>
        <v>361.69840320090094</v>
      </c>
      <c r="X35" s="786">
        <v>3.1498598206122175</v>
      </c>
      <c r="Y35" s="785">
        <f t="shared" si="4"/>
        <v>1.0917684560591201</v>
      </c>
    </row>
    <row r="36" spans="1:25" s="797" customFormat="1">
      <c r="A36" s="804" t="s">
        <v>35</v>
      </c>
      <c r="B36" s="805">
        <v>40996</v>
      </c>
      <c r="C36" s="790"/>
      <c r="D36" s="792"/>
      <c r="E36" s="816" t="s">
        <v>63</v>
      </c>
      <c r="F36" s="814" t="s">
        <v>33</v>
      </c>
      <c r="G36" s="807"/>
      <c r="H36" s="808"/>
      <c r="I36" s="809">
        <v>2860</v>
      </c>
      <c r="J36" s="810">
        <f t="shared" si="0"/>
        <v>355.79205231945906</v>
      </c>
      <c r="K36" s="811">
        <v>8</v>
      </c>
      <c r="L36" s="792">
        <f t="shared" si="1"/>
        <v>0.12440281549631435</v>
      </c>
      <c r="M36" s="815">
        <v>363.29</v>
      </c>
      <c r="N36" s="815">
        <v>538.86</v>
      </c>
      <c r="O36" s="812">
        <f t="shared" si="2"/>
        <v>902.15000000000009</v>
      </c>
      <c r="P36" s="815">
        <v>43.3</v>
      </c>
      <c r="Q36" s="809">
        <v>68.930000000000007</v>
      </c>
      <c r="R36" s="813">
        <v>112.23</v>
      </c>
      <c r="S36" s="795">
        <v>4.680220523194591</v>
      </c>
      <c r="T36" s="795">
        <f t="shared" si="3"/>
        <v>3.0458705010390621</v>
      </c>
      <c r="U36" s="809">
        <v>3.191005637126382</v>
      </c>
      <c r="V36" s="809">
        <v>2.7767543821616543</v>
      </c>
      <c r="W36" s="802">
        <f t="shared" si="5"/>
        <v>375.39359473643242</v>
      </c>
      <c r="X36" s="797">
        <v>3.3448596162918327</v>
      </c>
      <c r="Y36" s="796">
        <f t="shared" si="4"/>
        <v>1.0981621231601193</v>
      </c>
    </row>
    <row r="37" spans="1:25" s="786" customFormat="1">
      <c r="A37" s="821" t="s">
        <v>35</v>
      </c>
      <c r="B37" s="822">
        <v>40996</v>
      </c>
      <c r="C37" s="779"/>
      <c r="D37" s="781"/>
      <c r="E37" s="833" t="s">
        <v>64</v>
      </c>
      <c r="F37" s="824" t="s">
        <v>33</v>
      </c>
      <c r="G37" s="825"/>
      <c r="H37" s="826"/>
      <c r="I37" s="827">
        <v>3614</v>
      </c>
      <c r="J37" s="828">
        <f t="shared" si="0"/>
        <v>388.01959461738221</v>
      </c>
      <c r="K37" s="829">
        <v>8</v>
      </c>
      <c r="L37" s="781">
        <f t="shared" si="1"/>
        <v>0.10736568749789215</v>
      </c>
      <c r="M37" s="830">
        <v>539.34</v>
      </c>
      <c r="N37" s="830">
        <v>646.70000000000005</v>
      </c>
      <c r="O37" s="831">
        <f t="shared" si="2"/>
        <v>1186.04</v>
      </c>
      <c r="P37" s="830">
        <v>56.58</v>
      </c>
      <c r="Q37" s="827">
        <v>70.760000000000005</v>
      </c>
      <c r="R37" s="832">
        <v>127.34</v>
      </c>
      <c r="S37" s="784">
        <v>5.1535959461738221</v>
      </c>
      <c r="T37" s="784">
        <f t="shared" si="3"/>
        <v>2.9733800455241717</v>
      </c>
      <c r="U37" s="827">
        <v>3.7371713187197333</v>
      </c>
      <c r="V37" s="827">
        <v>2.6739245897532258</v>
      </c>
      <c r="W37" s="803">
        <f t="shared" si="5"/>
        <v>470.24025274737221</v>
      </c>
      <c r="X37" s="786">
        <v>3.6927929381763169</v>
      </c>
      <c r="Y37" s="785">
        <f t="shared" si="4"/>
        <v>1.2419512075945613</v>
      </c>
    </row>
    <row r="38" spans="1:25" s="786" customFormat="1">
      <c r="A38" s="821" t="s">
        <v>35</v>
      </c>
      <c r="B38" s="822">
        <v>40996</v>
      </c>
      <c r="C38" s="779"/>
      <c r="D38" s="781"/>
      <c r="E38" s="833" t="s">
        <v>64</v>
      </c>
      <c r="F38" s="824" t="s">
        <v>33</v>
      </c>
      <c r="G38" s="825"/>
      <c r="H38" s="826"/>
      <c r="I38" s="827">
        <v>3994</v>
      </c>
      <c r="J38" s="828">
        <f t="shared" si="0"/>
        <v>443.58810156051067</v>
      </c>
      <c r="K38" s="829">
        <v>8</v>
      </c>
      <c r="L38" s="781">
        <f t="shared" si="1"/>
        <v>0.1110636208213597</v>
      </c>
      <c r="M38" s="830">
        <v>496.29</v>
      </c>
      <c r="N38" s="830">
        <v>603.35</v>
      </c>
      <c r="O38" s="831">
        <f t="shared" si="2"/>
        <v>1099.6400000000001</v>
      </c>
      <c r="P38" s="830">
        <v>52.8</v>
      </c>
      <c r="Q38" s="827">
        <v>69.33</v>
      </c>
      <c r="R38" s="832">
        <v>122.13</v>
      </c>
      <c r="S38" s="784">
        <v>5.6571810156051061</v>
      </c>
      <c r="T38" s="784">
        <f t="shared" si="3"/>
        <v>2.9048786535142104</v>
      </c>
      <c r="U38" s="827">
        <v>3.8886891989250412</v>
      </c>
      <c r="V38" s="827">
        <v>2.5171256983240222</v>
      </c>
      <c r="W38" s="803">
        <f t="shared" si="5"/>
        <v>379.25309187182734</v>
      </c>
      <c r="X38" s="786">
        <v>3.1053229499044246</v>
      </c>
      <c r="Y38" s="785">
        <f t="shared" si="4"/>
        <v>1.0690026401439263</v>
      </c>
    </row>
    <row r="39" spans="1:25" s="797" customFormat="1">
      <c r="A39" s="804" t="s">
        <v>35</v>
      </c>
      <c r="B39" s="805">
        <v>40996</v>
      </c>
      <c r="C39" s="790"/>
      <c r="D39" s="792"/>
      <c r="E39" s="816" t="s">
        <v>63</v>
      </c>
      <c r="F39" s="814" t="s">
        <v>33</v>
      </c>
      <c r="G39" s="807"/>
      <c r="H39" s="808"/>
      <c r="I39" s="809">
        <v>3609</v>
      </c>
      <c r="J39" s="810">
        <f t="shared" si="0"/>
        <v>426.35007577397704</v>
      </c>
      <c r="K39" s="811">
        <v>9</v>
      </c>
      <c r="L39" s="792">
        <f t="shared" si="1"/>
        <v>0.11813523850761348</v>
      </c>
      <c r="M39" s="815">
        <v>396.31</v>
      </c>
      <c r="N39" s="815">
        <v>573.67999999999995</v>
      </c>
      <c r="O39" s="812">
        <f t="shared" si="2"/>
        <v>969.99</v>
      </c>
      <c r="P39" s="815">
        <v>45.79</v>
      </c>
      <c r="Q39" s="809">
        <v>68.8</v>
      </c>
      <c r="R39" s="813">
        <v>114.59</v>
      </c>
      <c r="S39" s="795">
        <v>5.4094007577397702</v>
      </c>
      <c r="T39" s="795">
        <f t="shared" si="3"/>
        <v>2.9375869121952065</v>
      </c>
      <c r="U39" s="809">
        <v>3.4316934056235064</v>
      </c>
      <c r="V39" s="809">
        <v>2.077278446166396</v>
      </c>
      <c r="W39" s="802">
        <f t="shared" si="5"/>
        <v>296.62227457569202</v>
      </c>
      <c r="X39" s="797">
        <v>2.5885528804929923</v>
      </c>
      <c r="Y39" s="796">
        <f t="shared" si="4"/>
        <v>0.8811834195430196</v>
      </c>
    </row>
    <row r="40" spans="1:25" s="797" customFormat="1" ht="13.5" thickBot="1">
      <c r="A40" s="804" t="s">
        <v>35</v>
      </c>
      <c r="B40" s="805">
        <v>40996</v>
      </c>
      <c r="C40" s="817"/>
      <c r="D40" s="792"/>
      <c r="E40" s="816" t="s">
        <v>63</v>
      </c>
      <c r="F40" s="814" t="s">
        <v>33</v>
      </c>
      <c r="G40" s="807"/>
      <c r="H40" s="808"/>
      <c r="I40" s="809">
        <v>3378</v>
      </c>
      <c r="J40" s="810">
        <f t="shared" si="0"/>
        <v>404.882859538145</v>
      </c>
      <c r="K40" s="811">
        <v>9</v>
      </c>
      <c r="L40" s="792">
        <f t="shared" si="1"/>
        <v>0.11985875060335849</v>
      </c>
      <c r="M40" s="815">
        <v>337.22</v>
      </c>
      <c r="N40" s="815">
        <v>450.04</v>
      </c>
      <c r="O40" s="812">
        <f t="shared" si="2"/>
        <v>787.26</v>
      </c>
      <c r="P40" s="818">
        <v>39.659999999999997</v>
      </c>
      <c r="Q40" s="819">
        <v>54.7</v>
      </c>
      <c r="R40" s="820">
        <v>94.36</v>
      </c>
      <c r="S40" s="795">
        <v>4.9924285953814502</v>
      </c>
      <c r="T40" s="795">
        <f t="shared" si="3"/>
        <v>2.9970918209010469</v>
      </c>
      <c r="U40" s="819">
        <v>3.0549059768960287</v>
      </c>
      <c r="V40" s="819">
        <v>2.0810339897658556</v>
      </c>
      <c r="W40" s="802">
        <f t="shared" si="5"/>
        <v>202.33314843515345</v>
      </c>
      <c r="X40" s="797">
        <v>2.1442682114789471</v>
      </c>
      <c r="Y40" s="796">
        <f t="shared" si="4"/>
        <v>0.71544962237236143</v>
      </c>
    </row>
    <row r="43" spans="1:25">
      <c r="A43" s="55" t="s">
        <v>39</v>
      </c>
    </row>
    <row r="44" spans="1:25">
      <c r="A44" s="56" t="s">
        <v>40</v>
      </c>
      <c r="N44" s="750" t="s">
        <v>390</v>
      </c>
      <c r="O44" s="751"/>
      <c r="P44" s="751"/>
    </row>
    <row r="45" spans="1:25">
      <c r="A45" s="56" t="s">
        <v>41</v>
      </c>
      <c r="N45" s="36"/>
      <c r="O45" s="752" t="s">
        <v>63</v>
      </c>
      <c r="P45" s="753" t="s">
        <v>64</v>
      </c>
    </row>
    <row r="46" spans="1:25">
      <c r="A46" s="56" t="s">
        <v>42</v>
      </c>
      <c r="N46" s="36" t="s">
        <v>391</v>
      </c>
      <c r="O46" s="774">
        <f>AVERAGE(Y23,Y28,Y30,Y31,Y33,Y34,Y36,Y39,Y40)</f>
        <v>0.86252145505782218</v>
      </c>
      <c r="P46" s="774">
        <f>AVERAGE(Y24,Y26,Y27,Y29,Y32,Y35,Y37,Y38)</f>
        <v>1.1300775373400125</v>
      </c>
    </row>
    <row r="47" spans="1:25">
      <c r="A47" s="55" t="s">
        <v>58</v>
      </c>
      <c r="N47" s="36" t="s">
        <v>25</v>
      </c>
      <c r="O47" s="774">
        <f>AVERAGE(W23,W28,W30,W31,W33,W34,W36,W39,W40)</f>
        <v>287.08481198952069</v>
      </c>
      <c r="P47" s="774">
        <f>AVERAGE(W24,W26,W27,W29,W32,W35,W37,W38)</f>
        <v>428.71728992347641</v>
      </c>
    </row>
    <row r="48" spans="1:25">
      <c r="A48" s="55" t="s">
        <v>44</v>
      </c>
      <c r="N48" s="36" t="s">
        <v>392</v>
      </c>
      <c r="O48" s="774">
        <f>AVERAGE(X23,X28,X30,X31,X33,X34,X36,X39,X40)</f>
        <v>2.5598977115579928</v>
      </c>
      <c r="P48" s="774">
        <f>AVERAGE(X24,X26,X27,X29,X32,X35,X37,X38)</f>
        <v>3.2723601911639415</v>
      </c>
    </row>
    <row r="49" spans="1:16">
      <c r="A49" s="55" t="s">
        <v>45</v>
      </c>
      <c r="N49" s="36" t="s">
        <v>393</v>
      </c>
      <c r="O49" s="774">
        <f>AVERAGE(S23,S25,S28,S30,S31,S33,S34,S36,S39,S40)</f>
        <v>5.2218425053860882</v>
      </c>
      <c r="P49" s="774">
        <f>AVERAGE(S24,S26,S27,S29,S32,S35,S37,S38)</f>
        <v>5.7310290663922734</v>
      </c>
    </row>
    <row r="50" spans="1:16">
      <c r="A50" s="56" t="s">
        <v>46</v>
      </c>
    </row>
    <row r="51" spans="1:16">
      <c r="A51" s="56" t="s">
        <v>47</v>
      </c>
    </row>
    <row r="52" spans="1:16">
      <c r="A52" s="56" t="s">
        <v>48</v>
      </c>
    </row>
    <row r="53" spans="1:16">
      <c r="A53" s="56" t="s">
        <v>49</v>
      </c>
    </row>
    <row r="55" spans="1:16">
      <c r="A55" s="1" t="s">
        <v>50</v>
      </c>
    </row>
    <row r="57" spans="1:16" ht="21">
      <c r="A57" s="94" t="s">
        <v>59</v>
      </c>
    </row>
    <row r="58" spans="1:16" ht="21">
      <c r="A58" s="94" t="s">
        <v>60</v>
      </c>
    </row>
    <row r="59" spans="1:16" ht="21">
      <c r="A59" s="94" t="s">
        <v>61</v>
      </c>
    </row>
    <row r="60" spans="1:16" ht="21">
      <c r="A60" s="94" t="s">
        <v>62</v>
      </c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CC"/>
  </sheetPr>
  <dimension ref="A1:Y54"/>
  <sheetViews>
    <sheetView topLeftCell="A16" workbookViewId="0">
      <selection activeCell="I44" sqref="I44"/>
    </sheetView>
  </sheetViews>
  <sheetFormatPr baseColWidth="10" defaultRowHeight="15"/>
  <cols>
    <col min="1" max="1" width="11.7109375" style="1" customWidth="1"/>
    <col min="2" max="2" width="10.140625" style="1" bestFit="1" customWidth="1"/>
    <col min="3" max="4" width="3" style="1" bestFit="1" customWidth="1"/>
    <col min="5" max="5" width="8.85546875" style="1" bestFit="1" customWidth="1"/>
    <col min="6" max="6" width="11.140625" style="1" bestFit="1" customWidth="1"/>
    <col min="7" max="7" width="6.28515625" style="1" bestFit="1" customWidth="1"/>
    <col min="8" max="8" width="7.5703125" style="1" bestFit="1" customWidth="1"/>
    <col min="9" max="9" width="8.42578125" style="1" bestFit="1" customWidth="1"/>
    <col min="10" max="10" width="12" style="1" bestFit="1" customWidth="1"/>
    <col min="11" max="11" width="4.140625" style="1" bestFit="1" customWidth="1"/>
    <col min="12" max="12" width="12" style="1" bestFit="1" customWidth="1"/>
    <col min="13" max="13" width="14.28515625" style="1" bestFit="1" customWidth="1"/>
    <col min="14" max="14" width="11.140625" style="1" bestFit="1" customWidth="1"/>
    <col min="15" max="15" width="9.85546875" style="1" bestFit="1" customWidth="1"/>
    <col min="16" max="16" width="14.42578125" style="1" bestFit="1" customWidth="1"/>
    <col min="17" max="17" width="11.28515625" style="1" bestFit="1" customWidth="1"/>
    <col min="18" max="18" width="10.42578125" style="1" bestFit="1" customWidth="1"/>
    <col min="19" max="19" width="13" style="4" bestFit="1" customWidth="1"/>
    <col min="20" max="20" width="11.42578125" style="4"/>
    <col min="21" max="21" width="12.42578125" style="1" customWidth="1"/>
    <col min="22" max="22" width="11.85546875" style="1" customWidth="1"/>
    <col min="23" max="23" width="11.42578125" style="4"/>
    <col min="24" max="24" width="15.85546875" style="4" bestFit="1" customWidth="1"/>
    <col min="25" max="25" width="11.42578125" style="4"/>
  </cols>
  <sheetData>
    <row r="1" spans="1:25" ht="15.75">
      <c r="A1" s="57"/>
      <c r="B1" s="57"/>
      <c r="C1" s="57"/>
      <c r="D1" s="57"/>
      <c r="E1" s="57"/>
      <c r="F1" s="57"/>
      <c r="G1" s="57"/>
      <c r="H1" s="1629" t="s">
        <v>0</v>
      </c>
      <c r="I1" s="1627"/>
      <c r="J1" s="1628"/>
      <c r="K1" s="1627" t="s">
        <v>1</v>
      </c>
      <c r="L1" s="1627"/>
      <c r="M1" s="1627"/>
      <c r="N1" s="1627"/>
      <c r="O1" s="1627"/>
      <c r="P1" s="1627"/>
      <c r="Q1" s="1627"/>
      <c r="R1" s="1628"/>
      <c r="S1" s="1630" t="s">
        <v>2</v>
      </c>
      <c r="T1" s="1631"/>
      <c r="U1" s="1632" t="s">
        <v>3</v>
      </c>
      <c r="V1" s="1632"/>
      <c r="W1" s="1633"/>
      <c r="X1" s="58"/>
      <c r="Y1" s="59"/>
    </row>
    <row r="2" spans="1:25" ht="15.75" thickBot="1">
      <c r="A2" s="60" t="s">
        <v>4</v>
      </c>
      <c r="B2" s="60" t="s">
        <v>5</v>
      </c>
      <c r="C2" s="60" t="s">
        <v>6</v>
      </c>
      <c r="D2" s="60" t="s">
        <v>7</v>
      </c>
      <c r="E2" s="60" t="s">
        <v>8</v>
      </c>
      <c r="F2" s="60" t="s">
        <v>9</v>
      </c>
      <c r="G2" s="95" t="s">
        <v>10</v>
      </c>
      <c r="H2" s="62" t="s">
        <v>11</v>
      </c>
      <c r="I2" s="60" t="s">
        <v>12</v>
      </c>
      <c r="J2" s="61" t="s">
        <v>13</v>
      </c>
      <c r="K2" s="63" t="s">
        <v>11</v>
      </c>
      <c r="L2" s="60" t="s">
        <v>14</v>
      </c>
      <c r="M2" s="60" t="s">
        <v>15</v>
      </c>
      <c r="N2" s="60" t="s">
        <v>16</v>
      </c>
      <c r="O2" s="60" t="s">
        <v>17</v>
      </c>
      <c r="P2" s="60" t="s">
        <v>18</v>
      </c>
      <c r="Q2" s="60" t="s">
        <v>19</v>
      </c>
      <c r="R2" s="61" t="s">
        <v>20</v>
      </c>
      <c r="S2" s="63" t="s">
        <v>21</v>
      </c>
      <c r="T2" s="60" t="s">
        <v>22</v>
      </c>
      <c r="U2" s="64" t="s">
        <v>23</v>
      </c>
      <c r="V2" s="64" t="s">
        <v>24</v>
      </c>
      <c r="W2" s="65" t="s">
        <v>25</v>
      </c>
      <c r="X2" s="66" t="s">
        <v>26</v>
      </c>
      <c r="Y2" s="67" t="s">
        <v>27</v>
      </c>
    </row>
    <row r="3" spans="1:25">
      <c r="A3" s="132" t="s">
        <v>28</v>
      </c>
      <c r="B3" s="133">
        <v>41249</v>
      </c>
      <c r="C3" s="132"/>
      <c r="D3" s="132"/>
      <c r="E3" s="132" t="s">
        <v>65</v>
      </c>
      <c r="F3" s="132" t="s">
        <v>66</v>
      </c>
      <c r="G3" s="132"/>
      <c r="H3" s="134"/>
      <c r="I3" s="134">
        <v>1626.6</v>
      </c>
      <c r="J3" s="135">
        <v>215.70783021355123</v>
      </c>
      <c r="K3" s="136">
        <v>8</v>
      </c>
      <c r="L3" s="132">
        <f>R3/O3</f>
        <v>7.8236224624307946E-2</v>
      </c>
      <c r="M3" s="137">
        <v>287.7</v>
      </c>
      <c r="N3" s="137">
        <v>15.74</v>
      </c>
      <c r="O3" s="132">
        <f>M3+N3</f>
        <v>303.44</v>
      </c>
      <c r="P3" s="137">
        <v>37.299999999999997</v>
      </c>
      <c r="Q3" s="137">
        <v>2.94</v>
      </c>
      <c r="R3" s="138">
        <f>K3+N3</f>
        <v>23.740000000000002</v>
      </c>
      <c r="S3" s="135">
        <v>2.5594783021355125</v>
      </c>
      <c r="T3" s="132">
        <f>MIN(4.63,4.48*S3^(-0.25))</f>
        <v>3.5419314441638501</v>
      </c>
      <c r="U3" s="132"/>
      <c r="V3" s="132"/>
      <c r="W3" s="132"/>
      <c r="X3" s="139">
        <v>4.2977999999999996</v>
      </c>
      <c r="Y3" s="132">
        <f>X3/T3</f>
        <v>1.2134057555183959</v>
      </c>
    </row>
    <row r="4" spans="1:25">
      <c r="A4" s="140" t="s">
        <v>28</v>
      </c>
      <c r="B4" s="141">
        <v>41249</v>
      </c>
      <c r="C4" s="140"/>
      <c r="D4" s="132"/>
      <c r="E4" s="140" t="s">
        <v>67</v>
      </c>
      <c r="F4" s="140" t="s">
        <v>66</v>
      </c>
      <c r="G4" s="140"/>
      <c r="H4" s="134"/>
      <c r="I4" s="134">
        <v>1216.3</v>
      </c>
      <c r="J4" s="142">
        <v>158.35600965683739</v>
      </c>
      <c r="K4" s="143">
        <v>8</v>
      </c>
      <c r="L4" s="140">
        <f t="shared" ref="L4:L34" si="0">R4/O4</f>
        <v>6.708053112605622E-2</v>
      </c>
      <c r="M4" s="140">
        <v>332.6</v>
      </c>
      <c r="N4" s="140">
        <v>15.34</v>
      </c>
      <c r="O4" s="140">
        <f t="shared" ref="O4:O34" si="1">M4+N4</f>
        <v>347.94</v>
      </c>
      <c r="P4" s="140">
        <v>42.5</v>
      </c>
      <c r="Q4" s="140">
        <v>2.8</v>
      </c>
      <c r="R4" s="144">
        <f t="shared" ref="R4:R18" si="2">K4+N4</f>
        <v>23.34</v>
      </c>
      <c r="S4" s="142">
        <v>2.0365600965683739</v>
      </c>
      <c r="T4" s="140">
        <f t="shared" ref="T4:T34" si="3">MIN(4.63,4.48*S4^(-0.25))</f>
        <v>3.750193756607676</v>
      </c>
      <c r="U4" s="140"/>
      <c r="V4" s="140"/>
      <c r="W4" s="140"/>
      <c r="X4" s="145">
        <v>3.8500999999999999</v>
      </c>
      <c r="Y4" s="140">
        <f t="shared" ref="Y4:Y34" si="4">X4/T4</f>
        <v>1.0266402884427754</v>
      </c>
    </row>
    <row r="5" spans="1:25">
      <c r="A5" s="140" t="s">
        <v>28</v>
      </c>
      <c r="B5" s="141">
        <v>41249</v>
      </c>
      <c r="C5" s="140"/>
      <c r="D5" s="132"/>
      <c r="E5" s="140" t="s">
        <v>68</v>
      </c>
      <c r="F5" s="140" t="s">
        <v>66</v>
      </c>
      <c r="G5" s="140"/>
      <c r="H5" s="134"/>
      <c r="I5" s="134">
        <v>1120.9000000000001</v>
      </c>
      <c r="J5" s="142">
        <v>159.99693948527707</v>
      </c>
      <c r="K5" s="143">
        <v>8</v>
      </c>
      <c r="L5" s="140">
        <f t="shared" si="0"/>
        <v>7.0885062074489372E-2</v>
      </c>
      <c r="M5" s="140">
        <v>448.8</v>
      </c>
      <c r="N5" s="140">
        <v>25.63</v>
      </c>
      <c r="O5" s="140">
        <f t="shared" si="1"/>
        <v>474.43</v>
      </c>
      <c r="P5" s="140">
        <v>62.3</v>
      </c>
      <c r="Q5" s="140">
        <v>5.42</v>
      </c>
      <c r="R5" s="144">
        <f t="shared" si="2"/>
        <v>33.629999999999995</v>
      </c>
      <c r="S5" s="142">
        <v>2.2771693948527703</v>
      </c>
      <c r="T5" s="140">
        <f t="shared" si="3"/>
        <v>3.6469447120925125</v>
      </c>
      <c r="U5" s="140"/>
      <c r="V5" s="140"/>
      <c r="W5" s="140"/>
      <c r="X5" s="145">
        <v>3.4912999999999998</v>
      </c>
      <c r="Y5" s="140">
        <f t="shared" si="4"/>
        <v>0.95732188876446989</v>
      </c>
    </row>
    <row r="6" spans="1:25">
      <c r="A6" s="140" t="s">
        <v>28</v>
      </c>
      <c r="B6" s="141">
        <v>41249</v>
      </c>
      <c r="C6" s="140"/>
      <c r="D6" s="132"/>
      <c r="E6" s="140" t="s">
        <v>69</v>
      </c>
      <c r="F6" s="140" t="s">
        <v>66</v>
      </c>
      <c r="G6" s="140"/>
      <c r="H6" s="134"/>
      <c r="I6" s="134">
        <v>1491.3</v>
      </c>
      <c r="J6" s="142">
        <v>193.09332074387288</v>
      </c>
      <c r="K6" s="143">
        <v>7</v>
      </c>
      <c r="L6" s="140">
        <f t="shared" si="0"/>
        <v>8.4937805328625965E-2</v>
      </c>
      <c r="M6" s="140">
        <v>229.9</v>
      </c>
      <c r="N6" s="140">
        <v>13.69</v>
      </c>
      <c r="O6" s="140">
        <f t="shared" si="1"/>
        <v>243.59</v>
      </c>
      <c r="P6" s="140">
        <v>29</v>
      </c>
      <c r="Q6" s="140">
        <v>2.54</v>
      </c>
      <c r="R6" s="144">
        <f t="shared" si="2"/>
        <v>20.689999999999998</v>
      </c>
      <c r="S6" s="142">
        <v>2.2463332074387288</v>
      </c>
      <c r="T6" s="140">
        <f t="shared" si="3"/>
        <v>3.6593965110041693</v>
      </c>
      <c r="U6" s="140"/>
      <c r="V6" s="140"/>
      <c r="W6" s="140"/>
      <c r="X6" s="145">
        <v>4.1947999999999999</v>
      </c>
      <c r="Y6" s="140">
        <f t="shared" si="4"/>
        <v>1.1463092308761347</v>
      </c>
    </row>
    <row r="7" spans="1:25">
      <c r="A7" s="140" t="s">
        <v>28</v>
      </c>
      <c r="B7" s="141">
        <v>41249</v>
      </c>
      <c r="C7" s="140"/>
      <c r="D7" s="132"/>
      <c r="E7" s="140" t="s">
        <v>65</v>
      </c>
      <c r="F7" s="140" t="s">
        <v>70</v>
      </c>
      <c r="G7" s="140"/>
      <c r="H7" s="134"/>
      <c r="I7" s="134">
        <v>1298</v>
      </c>
      <c r="J7" s="142">
        <v>182.02085435586949</v>
      </c>
      <c r="K7" s="143">
        <v>8</v>
      </c>
      <c r="L7" s="140">
        <f t="shared" si="0"/>
        <v>9.4578479038620294E-2</v>
      </c>
      <c r="M7" s="140">
        <v>304.10000000000002</v>
      </c>
      <c r="N7" s="140">
        <v>22.93</v>
      </c>
      <c r="O7" s="140">
        <f t="shared" si="1"/>
        <v>327.03000000000003</v>
      </c>
      <c r="P7" s="140">
        <v>41</v>
      </c>
      <c r="Q7" s="140">
        <v>4.8600000000000003</v>
      </c>
      <c r="R7" s="144">
        <f t="shared" si="2"/>
        <v>30.93</v>
      </c>
      <c r="S7" s="142">
        <v>2.2788085435586951</v>
      </c>
      <c r="T7" s="140">
        <f t="shared" si="3"/>
        <v>3.6462887225996052</v>
      </c>
      <c r="U7" s="140"/>
      <c r="V7" s="140"/>
      <c r="W7" s="140"/>
      <c r="X7" s="145">
        <v>3.8622000000000001</v>
      </c>
      <c r="Y7" s="140">
        <f t="shared" si="4"/>
        <v>1.0592139827167779</v>
      </c>
    </row>
    <row r="8" spans="1:25">
      <c r="A8" s="140" t="s">
        <v>28</v>
      </c>
      <c r="B8" s="141">
        <v>41249</v>
      </c>
      <c r="C8" s="140"/>
      <c r="D8" s="132"/>
      <c r="E8" s="140" t="s">
        <v>67</v>
      </c>
      <c r="F8" s="140" t="s">
        <v>70</v>
      </c>
      <c r="G8" s="140"/>
      <c r="H8" s="134"/>
      <c r="I8" s="134">
        <v>1572.8</v>
      </c>
      <c r="J8" s="142">
        <v>218.69102103642891</v>
      </c>
      <c r="K8" s="143">
        <v>9</v>
      </c>
      <c r="L8" s="140">
        <f t="shared" si="0"/>
        <v>8.6369078159740029E-2</v>
      </c>
      <c r="M8" s="140">
        <v>276.10000000000002</v>
      </c>
      <c r="N8" s="140">
        <v>16.25</v>
      </c>
      <c r="O8" s="140">
        <f t="shared" si="1"/>
        <v>292.35000000000002</v>
      </c>
      <c r="P8" s="140">
        <v>37</v>
      </c>
      <c r="Q8" s="140">
        <v>3.65</v>
      </c>
      <c r="R8" s="144">
        <f t="shared" si="2"/>
        <v>25.25</v>
      </c>
      <c r="S8" s="142">
        <v>2.5934102103642891</v>
      </c>
      <c r="T8" s="140">
        <f t="shared" si="3"/>
        <v>3.5302885970136675</v>
      </c>
      <c r="U8" s="140"/>
      <c r="V8" s="140"/>
      <c r="W8" s="140"/>
      <c r="X8" s="145">
        <v>3.7292999999999998</v>
      </c>
      <c r="Y8" s="140">
        <f t="shared" si="4"/>
        <v>1.0563725592164559</v>
      </c>
    </row>
    <row r="9" spans="1:25">
      <c r="A9" s="140" t="s">
        <v>28</v>
      </c>
      <c r="B9" s="141">
        <v>41249</v>
      </c>
      <c r="C9" s="140"/>
      <c r="D9" s="132"/>
      <c r="E9" s="140" t="s">
        <v>68</v>
      </c>
      <c r="F9" s="140" t="s">
        <v>70</v>
      </c>
      <c r="G9" s="140"/>
      <c r="H9" s="134"/>
      <c r="I9" s="134">
        <v>1818.5</v>
      </c>
      <c r="J9" s="142">
        <v>242.49931185112044</v>
      </c>
      <c r="K9" s="143">
        <v>8</v>
      </c>
      <c r="L9" s="140">
        <f t="shared" si="0"/>
        <v>8.655716123627441E-2</v>
      </c>
      <c r="M9" s="140">
        <v>313.3</v>
      </c>
      <c r="N9" s="140">
        <v>20.93</v>
      </c>
      <c r="O9" s="140">
        <f t="shared" si="1"/>
        <v>334.23</v>
      </c>
      <c r="P9" s="140">
        <v>40.299999999999997</v>
      </c>
      <c r="Q9" s="140">
        <v>4.2699999999999996</v>
      </c>
      <c r="R9" s="144">
        <f t="shared" si="2"/>
        <v>28.93</v>
      </c>
      <c r="S9" s="142">
        <v>2.8706931185112041</v>
      </c>
      <c r="T9" s="140">
        <f t="shared" si="3"/>
        <v>3.4417658566453184</v>
      </c>
      <c r="U9" s="140"/>
      <c r="V9" s="140"/>
      <c r="W9" s="140"/>
      <c r="X9" s="145">
        <v>4.0044000000000004</v>
      </c>
      <c r="Y9" s="140">
        <f t="shared" si="4"/>
        <v>1.163472521603512</v>
      </c>
    </row>
    <row r="10" spans="1:25">
      <c r="A10" s="140" t="s">
        <v>28</v>
      </c>
      <c r="B10" s="141">
        <v>41249</v>
      </c>
      <c r="C10" s="140"/>
      <c r="D10" s="132"/>
      <c r="E10" s="140" t="s">
        <v>69</v>
      </c>
      <c r="F10" s="140" t="s">
        <v>70</v>
      </c>
      <c r="G10" s="140"/>
      <c r="H10" s="134"/>
      <c r="I10" s="134">
        <v>1434.4</v>
      </c>
      <c r="J10" s="142">
        <v>208.74027153670554</v>
      </c>
      <c r="K10" s="143">
        <v>8</v>
      </c>
      <c r="L10" s="140">
        <f t="shared" si="0"/>
        <v>7.1008049981977642E-2</v>
      </c>
      <c r="M10" s="140">
        <v>394.6</v>
      </c>
      <c r="N10" s="140">
        <v>21.55</v>
      </c>
      <c r="O10" s="140">
        <f t="shared" si="1"/>
        <v>416.15000000000003</v>
      </c>
      <c r="P10" s="140">
        <v>55.5</v>
      </c>
      <c r="Q10" s="140">
        <v>5.0599999999999996</v>
      </c>
      <c r="R10" s="144">
        <f t="shared" si="2"/>
        <v>29.55</v>
      </c>
      <c r="S10" s="142">
        <v>2.6930027153670557</v>
      </c>
      <c r="T10" s="140">
        <f t="shared" si="3"/>
        <v>3.4971866846764303</v>
      </c>
      <c r="U10" s="140"/>
      <c r="V10" s="140"/>
      <c r="W10" s="140"/>
      <c r="X10" s="145">
        <v>3.7568999999999999</v>
      </c>
      <c r="Y10" s="140">
        <f t="shared" si="4"/>
        <v>1.0742634977027539</v>
      </c>
    </row>
    <row r="11" spans="1:25">
      <c r="A11" s="146" t="s">
        <v>34</v>
      </c>
      <c r="B11" s="147">
        <v>41312</v>
      </c>
      <c r="C11" s="146"/>
      <c r="D11" s="148"/>
      <c r="E11" s="148" t="s">
        <v>71</v>
      </c>
      <c r="F11" s="148" t="s">
        <v>66</v>
      </c>
      <c r="G11" s="149"/>
      <c r="H11" s="150"/>
      <c r="I11" s="150">
        <v>1764.6</v>
      </c>
      <c r="J11" s="151">
        <v>261.24714462681942</v>
      </c>
      <c r="K11" s="152">
        <v>9</v>
      </c>
      <c r="L11" s="146">
        <f t="shared" si="0"/>
        <v>0.10385568287395476</v>
      </c>
      <c r="M11" s="153">
        <v>587.73</v>
      </c>
      <c r="N11" s="153">
        <v>58.07</v>
      </c>
      <c r="O11" s="146">
        <f t="shared" si="1"/>
        <v>645.80000000000007</v>
      </c>
      <c r="P11" s="153">
        <v>83.83</v>
      </c>
      <c r="Q11" s="153">
        <v>11.78</v>
      </c>
      <c r="R11" s="154">
        <f t="shared" si="2"/>
        <v>67.069999999999993</v>
      </c>
      <c r="S11" s="151">
        <v>3.5685714462681939</v>
      </c>
      <c r="T11" s="146">
        <f t="shared" si="3"/>
        <v>3.2595257400280886</v>
      </c>
      <c r="U11" s="146"/>
      <c r="V11" s="146"/>
      <c r="W11" s="146"/>
      <c r="X11" s="155">
        <v>3.7473000000000001</v>
      </c>
      <c r="Y11" s="146">
        <f t="shared" si="4"/>
        <v>1.1496457763722732</v>
      </c>
    </row>
    <row r="12" spans="1:25">
      <c r="A12" s="146" t="s">
        <v>34</v>
      </c>
      <c r="B12" s="147">
        <v>41312</v>
      </c>
      <c r="C12" s="146"/>
      <c r="D12" s="148"/>
      <c r="E12" s="148" t="s">
        <v>72</v>
      </c>
      <c r="F12" s="148" t="s">
        <v>66</v>
      </c>
      <c r="G12" s="149"/>
      <c r="H12" s="150"/>
      <c r="I12" s="150">
        <v>1333.1</v>
      </c>
      <c r="J12" s="151">
        <v>195.51361475522236</v>
      </c>
      <c r="K12" s="152">
        <v>9</v>
      </c>
      <c r="L12" s="146">
        <f t="shared" si="0"/>
        <v>0.11032134204872698</v>
      </c>
      <c r="M12" s="153">
        <v>398.27</v>
      </c>
      <c r="N12" s="153">
        <v>39.270000000000003</v>
      </c>
      <c r="O12" s="146">
        <f t="shared" si="1"/>
        <v>437.53999999999996</v>
      </c>
      <c r="P12" s="153">
        <v>57.25</v>
      </c>
      <c r="Q12" s="153">
        <v>6.92</v>
      </c>
      <c r="R12" s="154">
        <f t="shared" si="2"/>
        <v>48.27</v>
      </c>
      <c r="S12" s="151">
        <v>2.5968361475522239</v>
      </c>
      <c r="T12" s="146">
        <f t="shared" si="3"/>
        <v>3.5291236664581835</v>
      </c>
      <c r="U12" s="146"/>
      <c r="V12" s="146"/>
      <c r="W12" s="146"/>
      <c r="X12" s="155">
        <v>3.0710999999999999</v>
      </c>
      <c r="Y12" s="146">
        <f t="shared" si="4"/>
        <v>0.87021603385243385</v>
      </c>
    </row>
    <row r="13" spans="1:25">
      <c r="A13" s="146" t="s">
        <v>34</v>
      </c>
      <c r="B13" s="147">
        <v>41312</v>
      </c>
      <c r="C13" s="146"/>
      <c r="D13" s="148"/>
      <c r="E13" s="148" t="s">
        <v>73</v>
      </c>
      <c r="F13" s="148" t="s">
        <v>66</v>
      </c>
      <c r="G13" s="149"/>
      <c r="H13" s="150"/>
      <c r="I13" s="150">
        <v>1982</v>
      </c>
      <c r="J13" s="151">
        <v>276.58678266508161</v>
      </c>
      <c r="K13" s="152">
        <v>9</v>
      </c>
      <c r="L13" s="146">
        <f t="shared" si="0"/>
        <v>0.12752620771641629</v>
      </c>
      <c r="M13" s="153">
        <v>331.92</v>
      </c>
      <c r="N13" s="153">
        <v>38.200000000000003</v>
      </c>
      <c r="O13" s="146">
        <f t="shared" si="1"/>
        <v>370.12</v>
      </c>
      <c r="P13" s="153">
        <v>45.45</v>
      </c>
      <c r="Q13" s="153">
        <v>6.2</v>
      </c>
      <c r="R13" s="154">
        <f t="shared" si="2"/>
        <v>47.2</v>
      </c>
      <c r="S13" s="151">
        <v>3.2823678266508161</v>
      </c>
      <c r="T13" s="146">
        <f t="shared" si="3"/>
        <v>3.3283669601432924</v>
      </c>
      <c r="U13" s="146"/>
      <c r="V13" s="146"/>
      <c r="W13" s="146"/>
      <c r="X13" s="155">
        <v>4.0919999999999996</v>
      </c>
      <c r="Y13" s="146">
        <f t="shared" si="4"/>
        <v>1.2294317450572911</v>
      </c>
    </row>
    <row r="14" spans="1:25">
      <c r="A14" s="146" t="s">
        <v>34</v>
      </c>
      <c r="B14" s="147">
        <v>41312</v>
      </c>
      <c r="C14" s="146"/>
      <c r="D14" s="148"/>
      <c r="E14" s="148" t="s">
        <v>74</v>
      </c>
      <c r="F14" s="148" t="s">
        <v>66</v>
      </c>
      <c r="G14" s="149"/>
      <c r="H14" s="150"/>
      <c r="I14" s="150">
        <v>1783.7</v>
      </c>
      <c r="J14" s="151">
        <v>238.83968982088246</v>
      </c>
      <c r="K14" s="152">
        <v>8</v>
      </c>
      <c r="L14" s="146">
        <f t="shared" si="0"/>
        <v>0.13582350371341195</v>
      </c>
      <c r="M14" s="153">
        <v>205.81</v>
      </c>
      <c r="N14" s="153">
        <v>23.09</v>
      </c>
      <c r="O14" s="146">
        <f t="shared" si="1"/>
        <v>228.9</v>
      </c>
      <c r="P14" s="153">
        <v>26.83</v>
      </c>
      <c r="Q14" s="153">
        <v>3.82</v>
      </c>
      <c r="R14" s="154">
        <f t="shared" si="2"/>
        <v>31.09</v>
      </c>
      <c r="S14" s="151">
        <v>2.6948968982088246</v>
      </c>
      <c r="T14" s="146">
        <f t="shared" si="3"/>
        <v>3.4965719990308197</v>
      </c>
      <c r="U14" s="146"/>
      <c r="V14" s="146"/>
      <c r="W14" s="146"/>
      <c r="X14" s="155">
        <v>4.6685999999999996</v>
      </c>
      <c r="Y14" s="146">
        <f t="shared" si="4"/>
        <v>1.3351934412601951</v>
      </c>
    </row>
    <row r="15" spans="1:25">
      <c r="A15" s="146" t="s">
        <v>34</v>
      </c>
      <c r="B15" s="147">
        <v>41312</v>
      </c>
      <c r="C15" s="146"/>
      <c r="D15" s="148"/>
      <c r="E15" s="148" t="s">
        <v>71</v>
      </c>
      <c r="F15" s="148" t="s">
        <v>70</v>
      </c>
      <c r="G15" s="149"/>
      <c r="H15" s="150"/>
      <c r="I15" s="150">
        <v>2039.7</v>
      </c>
      <c r="J15" s="151">
        <v>295.52112569702598</v>
      </c>
      <c r="K15" s="152">
        <v>9</v>
      </c>
      <c r="L15" s="146">
        <f t="shared" si="0"/>
        <v>0.15351998141263942</v>
      </c>
      <c r="M15" s="153">
        <v>446.19</v>
      </c>
      <c r="N15" s="153">
        <v>70.290000000000006</v>
      </c>
      <c r="O15" s="146">
        <f t="shared" si="1"/>
        <v>516.48</v>
      </c>
      <c r="P15" s="153">
        <v>61.47</v>
      </c>
      <c r="Q15" s="153">
        <v>13.36</v>
      </c>
      <c r="R15" s="154">
        <f t="shared" si="2"/>
        <v>79.290000000000006</v>
      </c>
      <c r="S15" s="151">
        <v>3.7035112569702595</v>
      </c>
      <c r="T15" s="146">
        <f t="shared" si="3"/>
        <v>3.2294204920857155</v>
      </c>
      <c r="U15" s="146"/>
      <c r="V15" s="146"/>
      <c r="W15" s="146"/>
      <c r="X15" s="155">
        <v>3.9750999999999999</v>
      </c>
      <c r="Y15" s="146">
        <f t="shared" si="4"/>
        <v>1.2309019558591729</v>
      </c>
    </row>
    <row r="16" spans="1:25">
      <c r="A16" s="146" t="s">
        <v>34</v>
      </c>
      <c r="B16" s="147">
        <v>41312</v>
      </c>
      <c r="C16" s="146"/>
      <c r="D16" s="148"/>
      <c r="E16" s="148" t="s">
        <v>72</v>
      </c>
      <c r="F16" s="148" t="s">
        <v>70</v>
      </c>
      <c r="G16" s="149"/>
      <c r="H16" s="150"/>
      <c r="I16" s="150">
        <v>1345.2</v>
      </c>
      <c r="J16" s="151">
        <v>195.84960570636025</v>
      </c>
      <c r="K16" s="152">
        <v>8</v>
      </c>
      <c r="L16" s="146">
        <f t="shared" si="0"/>
        <v>0.15910441846641568</v>
      </c>
      <c r="M16" s="153">
        <v>220.2</v>
      </c>
      <c r="N16" s="153">
        <v>32.15</v>
      </c>
      <c r="O16" s="146">
        <f t="shared" si="1"/>
        <v>252.35</v>
      </c>
      <c r="P16" s="153">
        <v>31.14</v>
      </c>
      <c r="Q16" s="153">
        <v>5.6</v>
      </c>
      <c r="R16" s="154">
        <f t="shared" si="2"/>
        <v>40.15</v>
      </c>
      <c r="S16" s="151">
        <v>2.3258960570636025</v>
      </c>
      <c r="T16" s="146">
        <f t="shared" si="3"/>
        <v>3.6276922598049528</v>
      </c>
      <c r="U16" s="146"/>
      <c r="V16" s="146"/>
      <c r="W16" s="146"/>
      <c r="X16" s="155">
        <v>3.8883000000000001</v>
      </c>
      <c r="Y16" s="146">
        <f t="shared" si="4"/>
        <v>1.0718384365406615</v>
      </c>
    </row>
    <row r="17" spans="1:25">
      <c r="A17" s="146" t="s">
        <v>34</v>
      </c>
      <c r="B17" s="147">
        <v>41312</v>
      </c>
      <c r="C17" s="146"/>
      <c r="D17" s="148"/>
      <c r="E17" s="148" t="s">
        <v>73</v>
      </c>
      <c r="F17" s="148" t="s">
        <v>70</v>
      </c>
      <c r="G17" s="149"/>
      <c r="H17" s="150"/>
      <c r="I17" s="150">
        <v>1823.8</v>
      </c>
      <c r="J17" s="151">
        <v>258.51764531141697</v>
      </c>
      <c r="K17" s="152">
        <v>8</v>
      </c>
      <c r="L17" s="146">
        <f t="shared" si="0"/>
        <v>0.15120308941479355</v>
      </c>
      <c r="M17" s="153">
        <v>350.88</v>
      </c>
      <c r="N17" s="153">
        <v>53.08</v>
      </c>
      <c r="O17" s="146">
        <f t="shared" si="1"/>
        <v>403.96</v>
      </c>
      <c r="P17" s="153">
        <v>48.26</v>
      </c>
      <c r="Q17" s="153">
        <v>9</v>
      </c>
      <c r="R17" s="154">
        <f t="shared" si="2"/>
        <v>61.08</v>
      </c>
      <c r="S17" s="151">
        <v>3.1577764531141694</v>
      </c>
      <c r="T17" s="146">
        <f t="shared" si="3"/>
        <v>3.3607226154253156</v>
      </c>
      <c r="U17" s="146"/>
      <c r="V17" s="146"/>
      <c r="W17" s="146"/>
      <c r="X17" s="155">
        <v>3.7736999999999998</v>
      </c>
      <c r="Y17" s="146">
        <f t="shared" si="4"/>
        <v>1.1228835080524548</v>
      </c>
    </row>
    <row r="18" spans="1:25">
      <c r="A18" s="146" t="s">
        <v>34</v>
      </c>
      <c r="B18" s="147">
        <v>41312</v>
      </c>
      <c r="C18" s="146"/>
      <c r="D18" s="148"/>
      <c r="E18" s="148" t="s">
        <v>74</v>
      </c>
      <c r="F18" s="148" t="s">
        <v>70</v>
      </c>
      <c r="G18" s="149"/>
      <c r="H18" s="150"/>
      <c r="I18" s="150">
        <v>1766.3</v>
      </c>
      <c r="J18" s="151">
        <v>251.11520896273919</v>
      </c>
      <c r="K18" s="152">
        <v>7</v>
      </c>
      <c r="L18" s="146">
        <f t="shared" si="0"/>
        <v>0.1439828801611279</v>
      </c>
      <c r="M18" s="153">
        <v>347.01</v>
      </c>
      <c r="N18" s="153">
        <v>50.19</v>
      </c>
      <c r="O18" s="146">
        <f t="shared" si="1"/>
        <v>397.2</v>
      </c>
      <c r="P18" s="153">
        <v>47</v>
      </c>
      <c r="Q18" s="153">
        <v>9.4700000000000006</v>
      </c>
      <c r="R18" s="154">
        <f t="shared" si="2"/>
        <v>57.19</v>
      </c>
      <c r="S18" s="151">
        <v>3.075852089627392</v>
      </c>
      <c r="T18" s="146">
        <f t="shared" si="3"/>
        <v>3.3828804649255635</v>
      </c>
      <c r="U18" s="146"/>
      <c r="V18" s="146"/>
      <c r="W18" s="146"/>
      <c r="X18" s="155">
        <v>3.9584000000000001</v>
      </c>
      <c r="Y18" s="146">
        <f t="shared" si="4"/>
        <v>1.1701270680538516</v>
      </c>
    </row>
    <row r="19" spans="1:25" s="866" customFormat="1">
      <c r="A19" s="856" t="s">
        <v>35</v>
      </c>
      <c r="B19" s="857"/>
      <c r="C19" s="856"/>
      <c r="D19" s="858"/>
      <c r="E19" s="859" t="s">
        <v>65</v>
      </c>
      <c r="F19" s="859" t="s">
        <v>66</v>
      </c>
      <c r="G19" s="860"/>
      <c r="H19" s="861"/>
      <c r="I19" s="861">
        <v>2448.8000000000002</v>
      </c>
      <c r="J19" s="862">
        <v>377.18377886888527</v>
      </c>
      <c r="K19" s="863">
        <v>7</v>
      </c>
      <c r="L19" s="856">
        <f>R19/O19</f>
        <v>0.15402800509183487</v>
      </c>
      <c r="M19" s="864">
        <v>284.8</v>
      </c>
      <c r="N19" s="864">
        <v>265.10000000000002</v>
      </c>
      <c r="O19" s="856">
        <f t="shared" si="1"/>
        <v>549.90000000000009</v>
      </c>
      <c r="P19" s="864">
        <v>44.1</v>
      </c>
      <c r="Q19" s="864">
        <v>40.6</v>
      </c>
      <c r="R19" s="1240">
        <f>P19+Q19</f>
        <v>84.7</v>
      </c>
      <c r="S19" s="862">
        <v>4.618837788688853</v>
      </c>
      <c r="T19" s="856">
        <f>MIN(4.63,4.48*S19^(-0.25))</f>
        <v>3.0559400937683208</v>
      </c>
      <c r="U19" s="856"/>
      <c r="V19" s="856"/>
      <c r="W19" s="778">
        <f>X19*R19</f>
        <v>212.66476000000003</v>
      </c>
      <c r="X19" s="865">
        <v>2.5108000000000001</v>
      </c>
      <c r="Y19" s="856">
        <f>X19/T19</f>
        <v>0.82161296457349686</v>
      </c>
    </row>
    <row r="20" spans="1:25" s="844" customFormat="1">
      <c r="A20" s="834" t="s">
        <v>35</v>
      </c>
      <c r="B20" s="835"/>
      <c r="C20" s="834"/>
      <c r="D20" s="836"/>
      <c r="E20" s="837" t="s">
        <v>71</v>
      </c>
      <c r="F20" s="837" t="s">
        <v>66</v>
      </c>
      <c r="G20" s="838"/>
      <c r="H20" s="839"/>
      <c r="I20" s="839">
        <v>3376</v>
      </c>
      <c r="J20" s="840">
        <v>474.62941325882645</v>
      </c>
      <c r="K20" s="841">
        <v>8</v>
      </c>
      <c r="L20" s="834">
        <f>R20/O20</f>
        <v>0.14058928117856234</v>
      </c>
      <c r="M20" s="842">
        <v>438.9</v>
      </c>
      <c r="N20" s="842">
        <v>348.5</v>
      </c>
      <c r="O20" s="834">
        <f t="shared" si="1"/>
        <v>787.4</v>
      </c>
      <c r="P20" s="842">
        <v>61.3</v>
      </c>
      <c r="Q20" s="842">
        <v>49.4</v>
      </c>
      <c r="R20" s="1241">
        <f t="shared" ref="R20:R34" si="5">P20+Q20</f>
        <v>110.69999999999999</v>
      </c>
      <c r="S20" s="840">
        <v>5.8532941325882639</v>
      </c>
      <c r="T20" s="834">
        <f t="shared" si="3"/>
        <v>2.8802350224603148</v>
      </c>
      <c r="U20" s="834"/>
      <c r="V20" s="834"/>
      <c r="W20" s="777">
        <f t="shared" ref="W20:W34" si="6">X20*R20</f>
        <v>339.45047999999997</v>
      </c>
      <c r="X20" s="843">
        <v>3.0663999999999998</v>
      </c>
      <c r="Y20" s="834">
        <f t="shared" si="4"/>
        <v>1.0646353426327904</v>
      </c>
    </row>
    <row r="21" spans="1:25" s="844" customFormat="1">
      <c r="A21" s="834" t="s">
        <v>35</v>
      </c>
      <c r="B21" s="845"/>
      <c r="C21" s="834"/>
      <c r="D21" s="836"/>
      <c r="E21" s="837" t="s">
        <v>72</v>
      </c>
      <c r="F21" s="837" t="s">
        <v>66</v>
      </c>
      <c r="G21" s="838"/>
      <c r="H21" s="839"/>
      <c r="I21" s="839">
        <v>2755.8</v>
      </c>
      <c r="J21" s="840">
        <v>391.91717697127331</v>
      </c>
      <c r="K21" s="846">
        <v>8</v>
      </c>
      <c r="L21" s="834">
        <f t="shared" si="0"/>
        <v>0.14221539189029439</v>
      </c>
      <c r="M21" s="842">
        <v>565.4</v>
      </c>
      <c r="N21" s="842">
        <v>280.5</v>
      </c>
      <c r="O21" s="834">
        <f t="shared" si="1"/>
        <v>845.9</v>
      </c>
      <c r="P21" s="842">
        <v>80.2</v>
      </c>
      <c r="Q21" s="842">
        <v>40.1</v>
      </c>
      <c r="R21" s="1241">
        <f t="shared" si="5"/>
        <v>120.30000000000001</v>
      </c>
      <c r="S21" s="840">
        <v>5.1221717697127325</v>
      </c>
      <c r="T21" s="834">
        <f t="shared" si="3"/>
        <v>2.9779299625616922</v>
      </c>
      <c r="U21" s="834"/>
      <c r="V21" s="834"/>
      <c r="W21" s="777">
        <f t="shared" si="6"/>
        <v>400.47870000000006</v>
      </c>
      <c r="X21" s="843">
        <v>3.3290000000000002</v>
      </c>
      <c r="Y21" s="834">
        <f t="shared" si="4"/>
        <v>1.1178906293472088</v>
      </c>
    </row>
    <row r="22" spans="1:25" s="866" customFormat="1">
      <c r="A22" s="856" t="s">
        <v>35</v>
      </c>
      <c r="B22" s="857"/>
      <c r="C22" s="856"/>
      <c r="D22" s="858"/>
      <c r="E22" s="859" t="s">
        <v>67</v>
      </c>
      <c r="F22" s="859" t="s">
        <v>66</v>
      </c>
      <c r="G22" s="860"/>
      <c r="H22" s="861"/>
      <c r="I22" s="861">
        <v>2933.2</v>
      </c>
      <c r="J22" s="862">
        <v>442.27874608150466</v>
      </c>
      <c r="K22" s="863">
        <v>8</v>
      </c>
      <c r="L22" s="856">
        <f t="shared" si="0"/>
        <v>0.15078369905956113</v>
      </c>
      <c r="M22" s="864">
        <v>537.9</v>
      </c>
      <c r="N22" s="864">
        <v>419.1</v>
      </c>
      <c r="O22" s="856">
        <f t="shared" si="1"/>
        <v>957</v>
      </c>
      <c r="P22" s="864">
        <v>81.099999999999994</v>
      </c>
      <c r="Q22" s="864">
        <v>63.2</v>
      </c>
      <c r="R22" s="1240">
        <f t="shared" si="5"/>
        <v>144.30000000000001</v>
      </c>
      <c r="S22" s="862">
        <v>5.8657874608150475</v>
      </c>
      <c r="T22" s="856">
        <f t="shared" si="3"/>
        <v>2.8787001689702456</v>
      </c>
      <c r="U22" s="856"/>
      <c r="V22" s="856"/>
      <c r="W22" s="778">
        <f t="shared" si="6"/>
        <v>330.98090999999999</v>
      </c>
      <c r="X22" s="865">
        <v>2.2936999999999999</v>
      </c>
      <c r="Y22" s="856">
        <f t="shared" si="4"/>
        <v>0.79678322345758257</v>
      </c>
    </row>
    <row r="23" spans="1:25" s="844" customFormat="1">
      <c r="A23" s="834" t="s">
        <v>35</v>
      </c>
      <c r="B23" s="845"/>
      <c r="C23" s="834"/>
      <c r="D23" s="836"/>
      <c r="E23" s="837" t="s">
        <v>73</v>
      </c>
      <c r="F23" s="837" t="s">
        <v>66</v>
      </c>
      <c r="G23" s="838"/>
      <c r="H23" s="839"/>
      <c r="I23" s="839">
        <v>3432</v>
      </c>
      <c r="J23" s="840">
        <v>446.0932090545939</v>
      </c>
      <c r="K23" s="846">
        <v>8</v>
      </c>
      <c r="L23" s="834">
        <f t="shared" si="0"/>
        <v>0.12998053876882107</v>
      </c>
      <c r="M23" s="842">
        <v>587.29999999999995</v>
      </c>
      <c r="N23" s="842">
        <v>389</v>
      </c>
      <c r="O23" s="834">
        <f t="shared" si="1"/>
        <v>976.3</v>
      </c>
      <c r="P23" s="842">
        <v>77.5</v>
      </c>
      <c r="Q23" s="842">
        <v>49.4</v>
      </c>
      <c r="R23" s="1241">
        <f t="shared" si="5"/>
        <v>126.9</v>
      </c>
      <c r="S23" s="840">
        <v>5.7299320905459386</v>
      </c>
      <c r="T23" s="834">
        <f t="shared" si="3"/>
        <v>2.895613850315129</v>
      </c>
      <c r="U23" s="834"/>
      <c r="V23" s="834"/>
      <c r="W23" s="777">
        <f t="shared" si="6"/>
        <v>408.32612999999998</v>
      </c>
      <c r="X23" s="843">
        <v>3.2176999999999998</v>
      </c>
      <c r="Y23" s="834">
        <f t="shared" si="4"/>
        <v>1.1112324247412404</v>
      </c>
    </row>
    <row r="24" spans="1:25" s="866" customFormat="1">
      <c r="A24" s="856" t="s">
        <v>35</v>
      </c>
      <c r="B24" s="857"/>
      <c r="C24" s="856"/>
      <c r="D24" s="858"/>
      <c r="E24" s="859" t="s">
        <v>68</v>
      </c>
      <c r="F24" s="859" t="s">
        <v>66</v>
      </c>
      <c r="G24" s="860"/>
      <c r="H24" s="861"/>
      <c r="I24" s="861">
        <v>2106.6999999999998</v>
      </c>
      <c r="J24" s="862">
        <v>342.59292190699034</v>
      </c>
      <c r="K24" s="863">
        <v>8</v>
      </c>
      <c r="L24" s="856">
        <f t="shared" si="0"/>
        <v>0.16262064931266454</v>
      </c>
      <c r="M24" s="864">
        <v>168.6</v>
      </c>
      <c r="N24" s="864">
        <v>173.3</v>
      </c>
      <c r="O24" s="856">
        <f t="shared" si="1"/>
        <v>341.9</v>
      </c>
      <c r="P24" s="864">
        <v>29.3</v>
      </c>
      <c r="Q24" s="864">
        <v>26.3</v>
      </c>
      <c r="R24" s="1240">
        <f t="shared" si="5"/>
        <v>55.6</v>
      </c>
      <c r="S24" s="862">
        <v>3.9819292190699036</v>
      </c>
      <c r="T24" s="856">
        <f>MIN(4.63,4.48*S24^(-0.25))</f>
        <v>3.1714263483791414</v>
      </c>
      <c r="U24" s="856"/>
      <c r="V24" s="856"/>
      <c r="W24" s="778">
        <f t="shared" si="6"/>
        <v>126.54559999999999</v>
      </c>
      <c r="X24" s="865">
        <v>2.2759999999999998</v>
      </c>
      <c r="Y24" s="856">
        <f t="shared" si="4"/>
        <v>0.71765816070842137</v>
      </c>
    </row>
    <row r="25" spans="1:25" s="844" customFormat="1">
      <c r="A25" s="834" t="s">
        <v>35</v>
      </c>
      <c r="B25" s="845"/>
      <c r="C25" s="834"/>
      <c r="D25" s="836"/>
      <c r="E25" s="837" t="s">
        <v>74</v>
      </c>
      <c r="F25" s="837" t="s">
        <v>66</v>
      </c>
      <c r="G25" s="838"/>
      <c r="H25" s="839"/>
      <c r="I25" s="839">
        <v>2690.5</v>
      </c>
      <c r="J25" s="840">
        <v>375.85495047305994</v>
      </c>
      <c r="K25" s="846">
        <v>8</v>
      </c>
      <c r="L25" s="834">
        <f t="shared" si="0"/>
        <v>0.13969706391862477</v>
      </c>
      <c r="M25" s="842">
        <v>821.08</v>
      </c>
      <c r="N25" s="842">
        <v>529.70000000000005</v>
      </c>
      <c r="O25" s="834">
        <f t="shared" si="1"/>
        <v>1350.7800000000002</v>
      </c>
      <c r="P25" s="842">
        <v>117.1</v>
      </c>
      <c r="Q25" s="842">
        <v>71.599999999999994</v>
      </c>
      <c r="R25" s="1241">
        <f t="shared" si="5"/>
        <v>188.7</v>
      </c>
      <c r="S25" s="840">
        <v>5.6455495047305995</v>
      </c>
      <c r="T25" s="834">
        <f>MIN(4.63,4.48*S25^(-0.25))</f>
        <v>2.9063737273707209</v>
      </c>
      <c r="U25" s="834"/>
      <c r="V25" s="834"/>
      <c r="W25" s="777">
        <f t="shared" si="6"/>
        <v>647.65613999999994</v>
      </c>
      <c r="X25" s="843">
        <v>3.4321999999999999</v>
      </c>
      <c r="Y25" s="834">
        <f t="shared" si="4"/>
        <v>1.1809217677951462</v>
      </c>
    </row>
    <row r="26" spans="1:25" s="866" customFormat="1">
      <c r="A26" s="856" t="s">
        <v>35</v>
      </c>
      <c r="B26" s="857"/>
      <c r="C26" s="856"/>
      <c r="D26" s="858"/>
      <c r="E26" s="859" t="s">
        <v>69</v>
      </c>
      <c r="F26" s="859" t="s">
        <v>66</v>
      </c>
      <c r="G26" s="860"/>
      <c r="H26" s="861"/>
      <c r="I26" s="861">
        <v>2648.4</v>
      </c>
      <c r="J26" s="862">
        <v>453.59798255752867</v>
      </c>
      <c r="K26" s="863">
        <v>8</v>
      </c>
      <c r="L26" s="856">
        <f t="shared" si="0"/>
        <v>0.17127245980876327</v>
      </c>
      <c r="M26" s="864">
        <v>439.1</v>
      </c>
      <c r="N26" s="864">
        <v>512.6</v>
      </c>
      <c r="O26" s="856">
        <f t="shared" si="1"/>
        <v>951.7</v>
      </c>
      <c r="P26" s="864">
        <v>92.8</v>
      </c>
      <c r="Q26" s="864">
        <v>70.2</v>
      </c>
      <c r="R26" s="1240">
        <f t="shared" si="5"/>
        <v>163</v>
      </c>
      <c r="S26" s="862">
        <v>6.1659798255752865</v>
      </c>
      <c r="T26" s="856">
        <f t="shared" si="3"/>
        <v>2.8430041205445304</v>
      </c>
      <c r="U26" s="856"/>
      <c r="V26" s="856"/>
      <c r="W26" s="778">
        <f t="shared" si="6"/>
        <v>427.43490000000003</v>
      </c>
      <c r="X26" s="865">
        <v>2.6223000000000001</v>
      </c>
      <c r="Y26" s="856">
        <f t="shared" si="4"/>
        <v>0.92236939828906817</v>
      </c>
    </row>
    <row r="27" spans="1:25" s="844" customFormat="1">
      <c r="A27" s="834" t="s">
        <v>35</v>
      </c>
      <c r="B27" s="835"/>
      <c r="C27" s="834"/>
      <c r="D27" s="836"/>
      <c r="E27" s="837" t="s">
        <v>71</v>
      </c>
      <c r="F27" s="837" t="s">
        <v>70</v>
      </c>
      <c r="G27" s="838"/>
      <c r="H27" s="839"/>
      <c r="I27" s="839">
        <v>2336.9</v>
      </c>
      <c r="J27" s="840">
        <v>394.74306774701773</v>
      </c>
      <c r="K27" s="841">
        <v>8</v>
      </c>
      <c r="L27" s="834">
        <f t="shared" si="0"/>
        <v>0.16891739815440016</v>
      </c>
      <c r="M27" s="842">
        <v>385.1</v>
      </c>
      <c r="N27" s="842">
        <v>503.5</v>
      </c>
      <c r="O27" s="834">
        <f t="shared" si="1"/>
        <v>888.6</v>
      </c>
      <c r="P27" s="842">
        <v>61</v>
      </c>
      <c r="Q27" s="842">
        <v>89.1</v>
      </c>
      <c r="R27" s="1241">
        <f t="shared" si="5"/>
        <v>150.1</v>
      </c>
      <c r="S27" s="840">
        <v>5.4484306774701796</v>
      </c>
      <c r="T27" s="834">
        <f t="shared" si="3"/>
        <v>2.9323118578647835</v>
      </c>
      <c r="U27" s="834"/>
      <c r="V27" s="834"/>
      <c r="W27" s="777">
        <f t="shared" si="6"/>
        <v>428.43042999999994</v>
      </c>
      <c r="X27" s="843">
        <v>2.8542999999999998</v>
      </c>
      <c r="Y27" s="834">
        <f t="shared" si="4"/>
        <v>0.97339578406179839</v>
      </c>
    </row>
    <row r="28" spans="1:25" s="866" customFormat="1">
      <c r="A28" s="856" t="s">
        <v>35</v>
      </c>
      <c r="B28" s="857"/>
      <c r="C28" s="856"/>
      <c r="D28" s="858"/>
      <c r="E28" s="859" t="s">
        <v>65</v>
      </c>
      <c r="F28" s="859" t="s">
        <v>70</v>
      </c>
      <c r="G28" s="860"/>
      <c r="H28" s="861"/>
      <c r="I28" s="861">
        <v>2687.5</v>
      </c>
      <c r="J28" s="862">
        <v>454.5004845743822</v>
      </c>
      <c r="K28" s="863">
        <v>8</v>
      </c>
      <c r="L28" s="856">
        <f t="shared" si="0"/>
        <v>0.16911645937651432</v>
      </c>
      <c r="M28" s="864">
        <v>243.2</v>
      </c>
      <c r="N28" s="864">
        <v>375.9</v>
      </c>
      <c r="O28" s="856">
        <f t="shared" si="1"/>
        <v>619.09999999999991</v>
      </c>
      <c r="P28" s="864">
        <v>38.700000000000003</v>
      </c>
      <c r="Q28" s="864">
        <v>66</v>
      </c>
      <c r="R28" s="1240">
        <f t="shared" si="5"/>
        <v>104.7</v>
      </c>
      <c r="S28" s="862">
        <v>5.5920048457438227</v>
      </c>
      <c r="T28" s="856">
        <f t="shared" si="3"/>
        <v>2.913306174077285</v>
      </c>
      <c r="U28" s="856"/>
      <c r="V28" s="856"/>
      <c r="W28" s="778">
        <f t="shared" si="6"/>
        <v>221.79648</v>
      </c>
      <c r="X28" s="865">
        <v>2.1183999999999998</v>
      </c>
      <c r="Y28" s="856">
        <f t="shared" si="4"/>
        <v>0.72714636684932321</v>
      </c>
    </row>
    <row r="29" spans="1:25" s="866" customFormat="1">
      <c r="A29" s="856" t="s">
        <v>35</v>
      </c>
      <c r="B29" s="857"/>
      <c r="C29" s="856"/>
      <c r="D29" s="858"/>
      <c r="E29" s="859" t="s">
        <v>67</v>
      </c>
      <c r="F29" s="859" t="s">
        <v>70</v>
      </c>
      <c r="G29" s="860"/>
      <c r="H29" s="861"/>
      <c r="I29" s="861">
        <v>2796.4</v>
      </c>
      <c r="J29" s="862">
        <v>480.61353871098504</v>
      </c>
      <c r="K29" s="863">
        <v>8</v>
      </c>
      <c r="L29" s="856">
        <f t="shared" si="0"/>
        <v>0.17186866639643292</v>
      </c>
      <c r="M29" s="864">
        <v>209.3</v>
      </c>
      <c r="N29" s="864">
        <v>284.10000000000002</v>
      </c>
      <c r="O29" s="856">
        <f t="shared" si="1"/>
        <v>493.40000000000003</v>
      </c>
      <c r="P29" s="864">
        <v>33.6</v>
      </c>
      <c r="Q29" s="864">
        <v>51.2</v>
      </c>
      <c r="R29" s="1240">
        <f t="shared" si="5"/>
        <v>84.800000000000011</v>
      </c>
      <c r="S29" s="862">
        <v>5.654135387109851</v>
      </c>
      <c r="T29" s="856">
        <f t="shared" si="3"/>
        <v>2.9052697564002448</v>
      </c>
      <c r="U29" s="856"/>
      <c r="V29" s="856"/>
      <c r="W29" s="778">
        <f t="shared" si="6"/>
        <v>169.12512000000001</v>
      </c>
      <c r="X29" s="865">
        <v>1.9944</v>
      </c>
      <c r="Y29" s="856">
        <f t="shared" si="4"/>
        <v>0.68647670172670916</v>
      </c>
    </row>
    <row r="30" spans="1:25" s="844" customFormat="1">
      <c r="A30" s="834" t="s">
        <v>35</v>
      </c>
      <c r="B30" s="845"/>
      <c r="C30" s="834"/>
      <c r="D30" s="836"/>
      <c r="E30" s="837" t="s">
        <v>72</v>
      </c>
      <c r="F30" s="837" t="s">
        <v>70</v>
      </c>
      <c r="G30" s="838"/>
      <c r="H30" s="839"/>
      <c r="I30" s="839">
        <v>3165.5</v>
      </c>
      <c r="J30" s="840">
        <v>554.88639135737935</v>
      </c>
      <c r="K30" s="846">
        <v>7</v>
      </c>
      <c r="L30" s="834">
        <f t="shared" si="0"/>
        <v>0.17529186269384911</v>
      </c>
      <c r="M30" s="842">
        <v>322.7</v>
      </c>
      <c r="N30" s="842">
        <v>251.2</v>
      </c>
      <c r="O30" s="834">
        <f t="shared" si="1"/>
        <v>573.9</v>
      </c>
      <c r="P30" s="842">
        <v>42.5</v>
      </c>
      <c r="Q30" s="842">
        <v>58.1</v>
      </c>
      <c r="R30" s="1241">
        <f t="shared" si="5"/>
        <v>100.6</v>
      </c>
      <c r="S30" s="840">
        <v>6.5548639135737936</v>
      </c>
      <c r="T30" s="834">
        <f t="shared" si="3"/>
        <v>2.7998650157357865</v>
      </c>
      <c r="U30" s="834"/>
      <c r="V30" s="834"/>
      <c r="W30" s="777">
        <f t="shared" si="6"/>
        <v>260.38297999999998</v>
      </c>
      <c r="X30" s="843">
        <v>2.5882999999999998</v>
      </c>
      <c r="Y30" s="834">
        <f t="shared" si="4"/>
        <v>0.92443742303762855</v>
      </c>
    </row>
    <row r="31" spans="1:25" s="866" customFormat="1">
      <c r="A31" s="856" t="s">
        <v>35</v>
      </c>
      <c r="B31" s="857"/>
      <c r="C31" s="856"/>
      <c r="D31" s="858"/>
      <c r="E31" s="859" t="s">
        <v>68</v>
      </c>
      <c r="F31" s="859" t="s">
        <v>70</v>
      </c>
      <c r="G31" s="860"/>
      <c r="H31" s="861"/>
      <c r="I31" s="861">
        <v>3170</v>
      </c>
      <c r="J31" s="862">
        <v>527.16419561849978</v>
      </c>
      <c r="K31" s="863">
        <v>8</v>
      </c>
      <c r="L31" s="856">
        <f t="shared" si="0"/>
        <v>0.16629785350741316</v>
      </c>
      <c r="M31" s="864">
        <v>383.9</v>
      </c>
      <c r="N31" s="864">
        <v>519.9</v>
      </c>
      <c r="O31" s="856">
        <f t="shared" si="1"/>
        <v>903.8</v>
      </c>
      <c r="P31" s="864">
        <v>60.6</v>
      </c>
      <c r="Q31" s="864">
        <v>89.7</v>
      </c>
      <c r="R31" s="1240">
        <f t="shared" si="5"/>
        <v>150.30000000000001</v>
      </c>
      <c r="S31" s="862">
        <v>6.7746419561849986</v>
      </c>
      <c r="T31" s="856">
        <f t="shared" si="3"/>
        <v>2.7768756173700062</v>
      </c>
      <c r="U31" s="856"/>
      <c r="V31" s="856"/>
      <c r="W31" s="778">
        <f t="shared" si="6"/>
        <v>333.77121</v>
      </c>
      <c r="X31" s="865">
        <v>2.2206999999999999</v>
      </c>
      <c r="Y31" s="856">
        <f t="shared" si="4"/>
        <v>0.79971172857329376</v>
      </c>
    </row>
    <row r="32" spans="1:25" s="844" customFormat="1">
      <c r="A32" s="834" t="s">
        <v>35</v>
      </c>
      <c r="B32" s="845"/>
      <c r="C32" s="834"/>
      <c r="D32" s="836"/>
      <c r="E32" s="837" t="s">
        <v>73</v>
      </c>
      <c r="F32" s="837" t="s">
        <v>70</v>
      </c>
      <c r="G32" s="838"/>
      <c r="H32" s="839"/>
      <c r="I32" s="839">
        <v>2980</v>
      </c>
      <c r="J32" s="840">
        <v>420.7456090651558</v>
      </c>
      <c r="K32" s="846">
        <v>8</v>
      </c>
      <c r="L32" s="834">
        <f t="shared" si="0"/>
        <v>0.1411898016997167</v>
      </c>
      <c r="M32" s="842">
        <v>369.9</v>
      </c>
      <c r="N32" s="842">
        <v>512.6</v>
      </c>
      <c r="O32" s="834">
        <f t="shared" si="1"/>
        <v>882.5</v>
      </c>
      <c r="P32" s="842">
        <v>54.5</v>
      </c>
      <c r="Q32" s="842">
        <v>70.099999999999994</v>
      </c>
      <c r="R32" s="1241">
        <f t="shared" si="5"/>
        <v>124.6</v>
      </c>
      <c r="S32" s="840">
        <v>5.4534560906515583</v>
      </c>
      <c r="T32" s="834">
        <f>MIN(4.63,4.48*S32^(-0.25))</f>
        <v>2.9316360857742612</v>
      </c>
      <c r="U32" s="834"/>
      <c r="V32" s="834"/>
      <c r="W32" s="777">
        <f t="shared" si="6"/>
        <v>366.83485999999999</v>
      </c>
      <c r="X32" s="843">
        <v>2.9441000000000002</v>
      </c>
      <c r="Y32" s="834">
        <f t="shared" si="4"/>
        <v>1.004251521628561</v>
      </c>
    </row>
    <row r="33" spans="1:25" s="866" customFormat="1">
      <c r="A33" s="856" t="s">
        <v>35</v>
      </c>
      <c r="B33" s="857"/>
      <c r="C33" s="856"/>
      <c r="D33" s="858"/>
      <c r="E33" s="859" t="s">
        <v>69</v>
      </c>
      <c r="F33" s="859" t="s">
        <v>70</v>
      </c>
      <c r="G33" s="860"/>
      <c r="H33" s="861"/>
      <c r="I33" s="861">
        <v>3397</v>
      </c>
      <c r="J33" s="862">
        <v>555.83096686950637</v>
      </c>
      <c r="K33" s="863">
        <v>8</v>
      </c>
      <c r="L33" s="856">
        <f t="shared" si="0"/>
        <v>0.16362407031778228</v>
      </c>
      <c r="M33" s="864">
        <v>257.60000000000002</v>
      </c>
      <c r="N33" s="864">
        <v>334</v>
      </c>
      <c r="O33" s="856">
        <f t="shared" si="1"/>
        <v>591.6</v>
      </c>
      <c r="P33" s="864">
        <v>40.799999999999997</v>
      </c>
      <c r="Q33" s="864">
        <v>56</v>
      </c>
      <c r="R33" s="1240">
        <f t="shared" si="5"/>
        <v>96.8</v>
      </c>
      <c r="S33" s="862">
        <v>6.5263096686950632</v>
      </c>
      <c r="T33" s="856">
        <f t="shared" si="3"/>
        <v>2.8029225320368689</v>
      </c>
      <c r="U33" s="856"/>
      <c r="V33" s="856"/>
      <c r="W33" s="778">
        <f t="shared" si="6"/>
        <v>238.04087999999999</v>
      </c>
      <c r="X33" s="865">
        <v>2.4590999999999998</v>
      </c>
      <c r="Y33" s="856">
        <f t="shared" si="4"/>
        <v>0.87733427231504146</v>
      </c>
    </row>
    <row r="34" spans="1:25" s="844" customFormat="1" ht="15.75" thickBot="1">
      <c r="A34" s="847" t="s">
        <v>35</v>
      </c>
      <c r="B34" s="848"/>
      <c r="C34" s="847"/>
      <c r="D34" s="836"/>
      <c r="E34" s="849" t="s">
        <v>74</v>
      </c>
      <c r="F34" s="849" t="s">
        <v>70</v>
      </c>
      <c r="G34" s="850"/>
      <c r="H34" s="851"/>
      <c r="I34" s="851">
        <v>2541.3000000000002</v>
      </c>
      <c r="J34" s="852">
        <v>395.9177879714577</v>
      </c>
      <c r="K34" s="853">
        <v>8</v>
      </c>
      <c r="L34" s="847">
        <f t="shared" si="0"/>
        <v>0.15579340808698605</v>
      </c>
      <c r="M34" s="854">
        <v>262.8</v>
      </c>
      <c r="N34" s="854">
        <v>325.8</v>
      </c>
      <c r="O34" s="847">
        <f t="shared" si="1"/>
        <v>588.6</v>
      </c>
      <c r="P34" s="854">
        <v>39.4</v>
      </c>
      <c r="Q34" s="854">
        <v>52.3</v>
      </c>
      <c r="R34" s="1242">
        <f t="shared" si="5"/>
        <v>91.699999999999989</v>
      </c>
      <c r="S34" s="852">
        <v>4.8761778797145769</v>
      </c>
      <c r="T34" s="847">
        <f t="shared" si="3"/>
        <v>3.0147973787394715</v>
      </c>
      <c r="U34" s="847"/>
      <c r="V34" s="847"/>
      <c r="W34" s="1200">
        <f t="shared" si="6"/>
        <v>260.58388999999994</v>
      </c>
      <c r="X34" s="855">
        <v>2.8416999999999999</v>
      </c>
      <c r="Y34" s="847">
        <f t="shared" si="4"/>
        <v>0.94258407548044043</v>
      </c>
    </row>
    <row r="35" spans="1:25">
      <c r="O35" s="671"/>
      <c r="R35" s="671"/>
    </row>
    <row r="36" spans="1:25">
      <c r="S36" s="1239"/>
    </row>
    <row r="37" spans="1:25">
      <c r="A37" s="55" t="s">
        <v>39</v>
      </c>
      <c r="M37" s="750" t="s">
        <v>390</v>
      </c>
      <c r="N37" s="751"/>
      <c r="O37" s="751"/>
      <c r="S37" s="1239"/>
    </row>
    <row r="38" spans="1:25">
      <c r="A38" s="56" t="s">
        <v>40</v>
      </c>
      <c r="M38" s="36"/>
      <c r="N38" s="752" t="s">
        <v>63</v>
      </c>
      <c r="O38" s="753" t="s">
        <v>64</v>
      </c>
      <c r="S38" s="1239"/>
    </row>
    <row r="39" spans="1:25">
      <c r="A39" s="56" t="s">
        <v>41</v>
      </c>
      <c r="M39" s="36" t="s">
        <v>391</v>
      </c>
      <c r="N39" s="774">
        <f>AVERAGE(Y19,Y22,Y24,Y26,Y28,Y29,Y31,Y33)</f>
        <v>0.79363660206161701</v>
      </c>
      <c r="O39" s="774">
        <f>AVERAGE(Y20,Y21,Y23,Y25,Y27,Y30,Y32,Y34)</f>
        <v>1.0399186210906017</v>
      </c>
      <c r="S39" s="1239"/>
    </row>
    <row r="40" spans="1:25">
      <c r="A40" s="56" t="s">
        <v>42</v>
      </c>
      <c r="M40" s="36" t="s">
        <v>25</v>
      </c>
      <c r="N40" s="774">
        <f>AVERAGE(W19,W22,W24,W26,W28,W29,W31,W33)</f>
        <v>257.5449825</v>
      </c>
      <c r="O40" s="774">
        <f>AVERAGE(W20,W21,W23,W25,W27,W30,W32,W34)</f>
        <v>389.01795124999995</v>
      </c>
      <c r="S40" s="1239"/>
    </row>
    <row r="41" spans="1:25">
      <c r="A41" s="55" t="s">
        <v>58</v>
      </c>
      <c r="M41" s="36" t="s">
        <v>392</v>
      </c>
      <c r="N41" s="774">
        <f>AVERAGE(X19,X22,X24,X26,X28,X29,X31,X33)</f>
        <v>2.311925</v>
      </c>
      <c r="O41" s="774">
        <f>AVERAGE(X20,X21,X23,X25,X27,X30,X32,X34)</f>
        <v>3.0342124999999998</v>
      </c>
      <c r="S41" s="1239"/>
    </row>
    <row r="42" spans="1:25">
      <c r="A42" s="55" t="s">
        <v>44</v>
      </c>
      <c r="M42" s="36" t="s">
        <v>393</v>
      </c>
      <c r="N42" s="774">
        <f>AVERAGE(S19,S22,S24,S26,S28,S29,S31,S33)</f>
        <v>5.6474532689853527</v>
      </c>
      <c r="O42" s="774">
        <f>AVERAGE(S20,S21,S23,S25,S27,S30,S32,S34)</f>
        <v>5.5854845073734545</v>
      </c>
      <c r="S42" s="1239"/>
    </row>
    <row r="43" spans="1:25">
      <c r="A43" s="55" t="s">
        <v>45</v>
      </c>
      <c r="S43" s="1239"/>
    </row>
    <row r="44" spans="1:25">
      <c r="A44" s="56" t="s">
        <v>46</v>
      </c>
      <c r="S44" s="1239"/>
    </row>
    <row r="45" spans="1:25">
      <c r="A45" s="56" t="s">
        <v>47</v>
      </c>
      <c r="S45" s="1239"/>
    </row>
    <row r="46" spans="1:25">
      <c r="A46" s="56" t="s">
        <v>48</v>
      </c>
      <c r="S46" s="1239"/>
    </row>
    <row r="47" spans="1:25">
      <c r="A47" s="56" t="s">
        <v>49</v>
      </c>
      <c r="S47" s="1239"/>
    </row>
    <row r="48" spans="1:25">
      <c r="S48" s="1239"/>
    </row>
    <row r="49" spans="1:19">
      <c r="A49" s="1" t="s">
        <v>50</v>
      </c>
      <c r="S49" s="1239"/>
    </row>
    <row r="50" spans="1:19">
      <c r="S50" s="1239"/>
    </row>
    <row r="51" spans="1:19" ht="21">
      <c r="A51" s="94" t="s">
        <v>59</v>
      </c>
      <c r="S51" s="1239"/>
    </row>
    <row r="52" spans="1:19" ht="21">
      <c r="A52" s="94" t="s">
        <v>60</v>
      </c>
      <c r="S52" s="1239"/>
    </row>
    <row r="53" spans="1:19" ht="21">
      <c r="A53" s="94" t="s">
        <v>61</v>
      </c>
      <c r="S53" s="1239"/>
    </row>
    <row r="54" spans="1:19" ht="21">
      <c r="A54" s="94" t="s">
        <v>62</v>
      </c>
      <c r="S54" s="1239"/>
    </row>
  </sheetData>
  <mergeCells count="4">
    <mergeCell ref="H1:J1"/>
    <mergeCell ref="K1:R1"/>
    <mergeCell ref="S1:T1"/>
    <mergeCell ref="U1:W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Y36"/>
  <sheetViews>
    <sheetView topLeftCell="E1" workbookViewId="0">
      <selection activeCell="S15" sqref="S15"/>
    </sheetView>
  </sheetViews>
  <sheetFormatPr baseColWidth="10" defaultRowHeight="12.75"/>
  <cols>
    <col min="1" max="1" width="11.7109375" style="1" customWidth="1"/>
    <col min="2" max="2" width="10.140625" style="1" bestFit="1" customWidth="1"/>
    <col min="3" max="4" width="3" style="1" bestFit="1" customWidth="1"/>
    <col min="5" max="5" width="8.85546875" style="1" bestFit="1" customWidth="1"/>
    <col min="6" max="6" width="11.140625" style="1" bestFit="1" customWidth="1"/>
    <col min="7" max="7" width="6.28515625" style="1" bestFit="1" customWidth="1"/>
    <col min="8" max="8" width="4.140625" style="1" bestFit="1" customWidth="1"/>
    <col min="9" max="9" width="6.5703125" style="1" bestFit="1" customWidth="1"/>
    <col min="10" max="10" width="12" style="1" bestFit="1" customWidth="1"/>
    <col min="11" max="11" width="4.140625" style="1" bestFit="1" customWidth="1"/>
    <col min="12" max="12" width="12" style="1" bestFit="1" customWidth="1"/>
    <col min="13" max="13" width="14.28515625" style="1" bestFit="1" customWidth="1"/>
    <col min="14" max="14" width="11.140625" style="1" bestFit="1" customWidth="1"/>
    <col min="15" max="15" width="13.42578125" style="1" customWidth="1"/>
    <col min="16" max="16" width="14.42578125" style="1" bestFit="1" customWidth="1"/>
    <col min="17" max="17" width="11.28515625" style="1" bestFit="1" customWidth="1"/>
    <col min="18" max="18" width="10.42578125" style="1" bestFit="1" customWidth="1"/>
    <col min="19" max="19" width="13" style="4" bestFit="1" customWidth="1"/>
    <col min="20" max="20" width="11.42578125" style="4"/>
    <col min="21" max="21" width="12.42578125" style="1" customWidth="1"/>
    <col min="22" max="22" width="11.85546875" style="1" customWidth="1"/>
    <col min="23" max="23" width="11.42578125" style="4"/>
    <col min="24" max="24" width="15.85546875" style="4" bestFit="1" customWidth="1"/>
    <col min="25" max="16384" width="11.42578125" style="4"/>
  </cols>
  <sheetData>
    <row r="1" spans="1:25" ht="15.75"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</row>
    <row r="2" spans="1: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7" t="s">
        <v>11</v>
      </c>
      <c r="L2" s="5" t="s">
        <v>14</v>
      </c>
      <c r="M2" s="8" t="s">
        <v>15</v>
      </c>
      <c r="N2" s="8" t="s">
        <v>16</v>
      </c>
      <c r="O2" s="5" t="s">
        <v>17</v>
      </c>
      <c r="P2" s="8" t="s">
        <v>18</v>
      </c>
      <c r="Q2" s="8" t="s">
        <v>19</v>
      </c>
      <c r="R2" s="9" t="s">
        <v>20</v>
      </c>
      <c r="S2" s="10" t="s">
        <v>21</v>
      </c>
      <c r="T2" s="8" t="s">
        <v>22</v>
      </c>
      <c r="U2" s="11" t="s">
        <v>23</v>
      </c>
      <c r="V2" s="11" t="s">
        <v>24</v>
      </c>
      <c r="W2" s="12" t="s">
        <v>25</v>
      </c>
      <c r="X2" s="13" t="s">
        <v>26</v>
      </c>
      <c r="Y2" s="14" t="s">
        <v>27</v>
      </c>
    </row>
    <row r="3" spans="1:25">
      <c r="A3" s="17" t="s">
        <v>28</v>
      </c>
      <c r="B3" s="156">
        <v>41261</v>
      </c>
      <c r="C3" s="17"/>
      <c r="D3" s="17"/>
      <c r="E3" s="19" t="s">
        <v>71</v>
      </c>
      <c r="F3" s="17" t="s">
        <v>30</v>
      </c>
      <c r="G3" s="19"/>
      <c r="H3" s="1" t="s">
        <v>32</v>
      </c>
      <c r="I3" s="1" t="s">
        <v>32</v>
      </c>
      <c r="J3" s="157" t="e">
        <f>I3*L3</f>
        <v>#VALUE!</v>
      </c>
      <c r="K3" s="19">
        <v>21</v>
      </c>
      <c r="L3" s="35">
        <f>R3/O3</f>
        <v>0.13986380303823992</v>
      </c>
      <c r="M3" s="1634">
        <v>190.9</v>
      </c>
      <c r="N3" s="1635"/>
      <c r="O3" s="159">
        <f t="shared" ref="O3:O10" si="0">M3+N3</f>
        <v>190.9</v>
      </c>
      <c r="P3" s="1636">
        <v>26.7</v>
      </c>
      <c r="Q3" s="1637"/>
      <c r="R3" s="157">
        <f t="shared" ref="R3:R10" si="1">P3+Q3</f>
        <v>26.7</v>
      </c>
      <c r="S3" s="160">
        <f>(R3)/100</f>
        <v>0.26700000000000002</v>
      </c>
      <c r="T3" s="161">
        <f t="shared" ref="T3:T22" si="2">MIN(4.63,4.48*S3^(-0.25))</f>
        <v>4.63</v>
      </c>
      <c r="U3" s="1638"/>
      <c r="V3" s="1638"/>
      <c r="W3" s="162">
        <f t="shared" ref="W3:W10" si="3">(U3*P3)</f>
        <v>0</v>
      </c>
      <c r="X3" s="162">
        <v>4.4634</v>
      </c>
      <c r="Y3" s="162">
        <f t="shared" ref="Y3:Y22" si="4">X3/T3</f>
        <v>0.96401727861771058</v>
      </c>
    </row>
    <row r="4" spans="1:25">
      <c r="A4" s="17" t="s">
        <v>28</v>
      </c>
      <c r="B4" s="156">
        <v>41261</v>
      </c>
      <c r="C4" s="17"/>
      <c r="D4" s="17"/>
      <c r="E4" s="19" t="s">
        <v>71</v>
      </c>
      <c r="F4" s="17" t="s">
        <v>33</v>
      </c>
      <c r="G4" s="19"/>
      <c r="H4" s="1" t="s">
        <v>32</v>
      </c>
      <c r="I4" s="1" t="s">
        <v>32</v>
      </c>
      <c r="J4" s="157" t="e">
        <f t="shared" ref="J4:J22" si="5">I4*L4</f>
        <v>#VALUE!</v>
      </c>
      <c r="K4" s="19">
        <v>31</v>
      </c>
      <c r="L4" s="35">
        <f t="shared" ref="L4:L22" si="6">R4/O4</f>
        <v>0.14648910411622276</v>
      </c>
      <c r="M4" s="1634">
        <v>165.2</v>
      </c>
      <c r="N4" s="1635"/>
      <c r="O4" s="159">
        <f t="shared" si="0"/>
        <v>165.2</v>
      </c>
      <c r="P4" s="1636">
        <v>24.2</v>
      </c>
      <c r="Q4" s="1637"/>
      <c r="R4" s="157">
        <f t="shared" si="1"/>
        <v>24.2</v>
      </c>
      <c r="S4" s="160">
        <f t="shared" ref="S4:S22" si="7">(R4)/100</f>
        <v>0.24199999999999999</v>
      </c>
      <c r="T4" s="161">
        <f t="shared" si="2"/>
        <v>4.63</v>
      </c>
      <c r="U4" s="1638"/>
      <c r="V4" s="1638"/>
      <c r="W4" s="162">
        <f t="shared" si="3"/>
        <v>0</v>
      </c>
      <c r="X4" s="162">
        <v>4.6393000000000004</v>
      </c>
      <c r="Y4" s="162">
        <f t="shared" si="4"/>
        <v>1.0020086393088554</v>
      </c>
    </row>
    <row r="5" spans="1:25">
      <c r="A5" s="17" t="s">
        <v>28</v>
      </c>
      <c r="B5" s="156">
        <v>41261</v>
      </c>
      <c r="C5" s="17"/>
      <c r="D5" s="17"/>
      <c r="E5" s="19" t="s">
        <v>72</v>
      </c>
      <c r="F5" s="17" t="s">
        <v>30</v>
      </c>
      <c r="G5" s="19"/>
      <c r="H5" s="1" t="s">
        <v>32</v>
      </c>
      <c r="I5" s="1" t="s">
        <v>32</v>
      </c>
      <c r="J5" s="157" t="e">
        <f t="shared" si="5"/>
        <v>#VALUE!</v>
      </c>
      <c r="K5" s="19">
        <v>37</v>
      </c>
      <c r="L5" s="35">
        <f t="shared" si="6"/>
        <v>0.14304947829013798</v>
      </c>
      <c r="M5" s="1634">
        <v>297.10000000000002</v>
      </c>
      <c r="N5" s="1635"/>
      <c r="O5" s="159">
        <f t="shared" si="0"/>
        <v>297.10000000000002</v>
      </c>
      <c r="P5" s="1636">
        <v>42.5</v>
      </c>
      <c r="Q5" s="1637"/>
      <c r="R5" s="157">
        <f t="shared" si="1"/>
        <v>42.5</v>
      </c>
      <c r="S5" s="160">
        <f t="shared" si="7"/>
        <v>0.42499999999999999</v>
      </c>
      <c r="T5" s="161">
        <f t="shared" si="2"/>
        <v>4.63</v>
      </c>
      <c r="U5" s="1638"/>
      <c r="V5" s="1638"/>
      <c r="W5" s="162">
        <f t="shared" si="3"/>
        <v>0</v>
      </c>
      <c r="X5" s="162">
        <v>4.5566000000000004</v>
      </c>
      <c r="Y5" s="162">
        <f t="shared" si="4"/>
        <v>0.9841468682505401</v>
      </c>
    </row>
    <row r="6" spans="1:25">
      <c r="A6" s="17" t="s">
        <v>28</v>
      </c>
      <c r="B6" s="156">
        <v>41261</v>
      </c>
      <c r="C6" s="17"/>
      <c r="D6" s="17"/>
      <c r="E6" s="19" t="s">
        <v>72</v>
      </c>
      <c r="F6" s="17" t="s">
        <v>33</v>
      </c>
      <c r="G6" s="19"/>
      <c r="H6" s="1" t="s">
        <v>32</v>
      </c>
      <c r="I6" s="1" t="s">
        <v>32</v>
      </c>
      <c r="J6" s="157" t="e">
        <f t="shared" si="5"/>
        <v>#VALUE!</v>
      </c>
      <c r="K6" s="19">
        <v>36</v>
      </c>
      <c r="L6" s="35">
        <f t="shared" si="6"/>
        <v>0.15124153498871334</v>
      </c>
      <c r="M6" s="1634">
        <v>88.6</v>
      </c>
      <c r="N6" s="1635"/>
      <c r="O6" s="159">
        <f t="shared" si="0"/>
        <v>88.6</v>
      </c>
      <c r="P6" s="1636">
        <v>13.4</v>
      </c>
      <c r="Q6" s="1637"/>
      <c r="R6" s="157">
        <f t="shared" si="1"/>
        <v>13.4</v>
      </c>
      <c r="S6" s="160">
        <f t="shared" si="7"/>
        <v>0.13400000000000001</v>
      </c>
      <c r="T6" s="161">
        <f t="shared" si="2"/>
        <v>4.63</v>
      </c>
      <c r="U6" s="1638"/>
      <c r="V6" s="1638"/>
      <c r="W6" s="162">
        <f t="shared" si="3"/>
        <v>0</v>
      </c>
      <c r="X6" s="162">
        <v>4.6520999999999999</v>
      </c>
      <c r="Y6" s="162">
        <f t="shared" si="4"/>
        <v>1.0047732181425486</v>
      </c>
    </row>
    <row r="7" spans="1:25">
      <c r="A7" s="25" t="s">
        <v>28</v>
      </c>
      <c r="B7" s="163">
        <v>41261</v>
      </c>
      <c r="C7" s="25"/>
      <c r="D7" s="25"/>
      <c r="E7" s="26" t="s">
        <v>73</v>
      </c>
      <c r="F7" s="25" t="s">
        <v>30</v>
      </c>
      <c r="G7" s="26"/>
      <c r="H7" s="1" t="s">
        <v>32</v>
      </c>
      <c r="I7" s="1" t="s">
        <v>32</v>
      </c>
      <c r="J7" s="164" t="e">
        <f t="shared" si="5"/>
        <v>#VALUE!</v>
      </c>
      <c r="K7" s="26">
        <v>29</v>
      </c>
      <c r="L7" s="38">
        <f t="shared" si="6"/>
        <v>0.1375968992248062</v>
      </c>
      <c r="M7" s="1639">
        <v>103.2</v>
      </c>
      <c r="N7" s="1640"/>
      <c r="O7" s="165">
        <f t="shared" si="0"/>
        <v>103.2</v>
      </c>
      <c r="P7" s="1641">
        <v>14.2</v>
      </c>
      <c r="Q7" s="1642"/>
      <c r="R7" s="164">
        <f t="shared" si="1"/>
        <v>14.2</v>
      </c>
      <c r="S7" s="166">
        <f t="shared" si="7"/>
        <v>0.14199999999999999</v>
      </c>
      <c r="T7" s="167">
        <f t="shared" si="2"/>
        <v>4.63</v>
      </c>
      <c r="U7" s="1643"/>
      <c r="V7" s="1643"/>
      <c r="W7" s="168">
        <f t="shared" si="3"/>
        <v>0</v>
      </c>
      <c r="X7" s="168">
        <v>4.6387999999999998</v>
      </c>
      <c r="Y7" s="168">
        <f t="shared" si="4"/>
        <v>1.001900647948164</v>
      </c>
    </row>
    <row r="8" spans="1:25" s="30" customFormat="1" ht="13.5" thickBot="1">
      <c r="A8" s="27" t="s">
        <v>28</v>
      </c>
      <c r="B8" s="169">
        <v>41261</v>
      </c>
      <c r="C8" s="27"/>
      <c r="D8" s="27"/>
      <c r="E8" s="170" t="s">
        <v>73</v>
      </c>
      <c r="F8" s="27" t="s">
        <v>33</v>
      </c>
      <c r="G8" s="28"/>
      <c r="H8" s="29" t="s">
        <v>32</v>
      </c>
      <c r="I8" s="29" t="s">
        <v>32</v>
      </c>
      <c r="J8" s="171" t="e">
        <f t="shared" si="5"/>
        <v>#VALUE!</v>
      </c>
      <c r="K8" s="170">
        <v>38</v>
      </c>
      <c r="L8" s="28">
        <f t="shared" si="6"/>
        <v>0.16014669926650366</v>
      </c>
      <c r="M8" s="1644">
        <v>163.6</v>
      </c>
      <c r="N8" s="1645"/>
      <c r="O8" s="172">
        <f t="shared" si="0"/>
        <v>163.6</v>
      </c>
      <c r="P8" s="1646">
        <v>26.2</v>
      </c>
      <c r="Q8" s="1647"/>
      <c r="R8" s="173">
        <f t="shared" si="1"/>
        <v>26.2</v>
      </c>
      <c r="S8" s="174">
        <f t="shared" si="7"/>
        <v>0.26200000000000001</v>
      </c>
      <c r="T8" s="175">
        <f t="shared" si="2"/>
        <v>4.63</v>
      </c>
      <c r="U8" s="1648"/>
      <c r="V8" s="1648"/>
      <c r="W8" s="176">
        <f t="shared" si="3"/>
        <v>0</v>
      </c>
      <c r="X8" s="176">
        <v>4.7861000000000002</v>
      </c>
      <c r="Y8" s="176">
        <f t="shared" si="4"/>
        <v>1.0337149028077754</v>
      </c>
    </row>
    <row r="9" spans="1:25" ht="13.5" thickTop="1">
      <c r="A9" s="177" t="s">
        <v>34</v>
      </c>
      <c r="B9" s="178">
        <v>41313</v>
      </c>
      <c r="C9" s="31"/>
      <c r="D9" s="31"/>
      <c r="E9" s="177" t="s">
        <v>65</v>
      </c>
      <c r="F9" s="179" t="s">
        <v>33</v>
      </c>
      <c r="G9" s="32"/>
      <c r="H9" s="33" t="s">
        <v>32</v>
      </c>
      <c r="I9" s="33" t="s">
        <v>32</v>
      </c>
      <c r="J9" s="180" t="e">
        <f t="shared" si="5"/>
        <v>#VALUE!</v>
      </c>
      <c r="K9" s="181">
        <v>24</v>
      </c>
      <c r="L9" s="32">
        <f t="shared" si="6"/>
        <v>0.17562380038387715</v>
      </c>
      <c r="M9" s="1649">
        <v>104.2</v>
      </c>
      <c r="N9" s="1650"/>
      <c r="O9" s="182">
        <f t="shared" si="0"/>
        <v>104.2</v>
      </c>
      <c r="P9" s="1636">
        <v>18.3</v>
      </c>
      <c r="Q9" s="1637"/>
      <c r="R9" s="32">
        <f t="shared" si="1"/>
        <v>18.3</v>
      </c>
      <c r="S9" s="183">
        <f t="shared" si="7"/>
        <v>0.183</v>
      </c>
      <c r="T9" s="184">
        <f t="shared" si="2"/>
        <v>4.63</v>
      </c>
      <c r="U9" s="1651"/>
      <c r="V9" s="1651"/>
      <c r="W9" s="185">
        <f t="shared" si="3"/>
        <v>0</v>
      </c>
      <c r="X9" s="185">
        <v>4.5056000000000003</v>
      </c>
      <c r="Y9" s="185">
        <f t="shared" si="4"/>
        <v>0.97313174946004333</v>
      </c>
    </row>
    <row r="10" spans="1:25">
      <c r="A10" s="17" t="s">
        <v>34</v>
      </c>
      <c r="B10" s="156">
        <v>41313</v>
      </c>
      <c r="C10" s="34"/>
      <c r="D10" s="34"/>
      <c r="E10" s="17" t="s">
        <v>65</v>
      </c>
      <c r="F10" s="19" t="s">
        <v>30</v>
      </c>
      <c r="G10" s="35"/>
      <c r="H10" s="36" t="s">
        <v>32</v>
      </c>
      <c r="I10" s="36" t="s">
        <v>32</v>
      </c>
      <c r="J10" s="186" t="e">
        <f t="shared" si="5"/>
        <v>#VALUE!</v>
      </c>
      <c r="K10" s="187">
        <v>34</v>
      </c>
      <c r="L10" s="35">
        <f t="shared" si="6"/>
        <v>0.15250809061488674</v>
      </c>
      <c r="M10" s="1634">
        <v>247.2</v>
      </c>
      <c r="N10" s="1635"/>
      <c r="O10" s="159">
        <f t="shared" si="0"/>
        <v>247.2</v>
      </c>
      <c r="P10" s="1636">
        <v>37.700000000000003</v>
      </c>
      <c r="Q10" s="1637"/>
      <c r="R10" s="35">
        <f t="shared" si="1"/>
        <v>37.700000000000003</v>
      </c>
      <c r="S10" s="188">
        <f t="shared" si="7"/>
        <v>0.377</v>
      </c>
      <c r="T10" s="160">
        <f t="shared" si="2"/>
        <v>4.63</v>
      </c>
      <c r="U10" s="1638"/>
      <c r="V10" s="1638"/>
      <c r="W10" s="162">
        <f t="shared" si="3"/>
        <v>0</v>
      </c>
      <c r="X10" s="162">
        <v>4.8512000000000004</v>
      </c>
      <c r="Y10" s="162">
        <f t="shared" si="4"/>
        <v>1.0477753779697625</v>
      </c>
    </row>
    <row r="11" spans="1:25">
      <c r="A11" s="17" t="s">
        <v>34</v>
      </c>
      <c r="B11" s="156">
        <v>41313</v>
      </c>
      <c r="C11" s="34"/>
      <c r="D11" s="34"/>
      <c r="E11" s="17" t="s">
        <v>67</v>
      </c>
      <c r="F11" s="19" t="s">
        <v>33</v>
      </c>
      <c r="G11" s="35"/>
      <c r="H11" s="36" t="s">
        <v>32</v>
      </c>
      <c r="I11" s="36" t="s">
        <v>32</v>
      </c>
      <c r="J11" s="186" t="e">
        <f t="shared" si="5"/>
        <v>#VALUE!</v>
      </c>
      <c r="K11" s="187">
        <v>27</v>
      </c>
      <c r="L11" s="35">
        <f t="shared" si="6"/>
        <v>0.15583508036338226</v>
      </c>
      <c r="M11" s="1634">
        <v>143.1</v>
      </c>
      <c r="N11" s="1635"/>
      <c r="O11" s="159">
        <f>M11+N11</f>
        <v>143.1</v>
      </c>
      <c r="P11" s="1636">
        <v>22.3</v>
      </c>
      <c r="Q11" s="1637"/>
      <c r="R11" s="35">
        <f>P11+Q11</f>
        <v>22.3</v>
      </c>
      <c r="S11" s="188">
        <f t="shared" si="7"/>
        <v>0.223</v>
      </c>
      <c r="T11" s="160">
        <f t="shared" si="2"/>
        <v>4.63</v>
      </c>
      <c r="U11" s="162"/>
      <c r="V11" s="162"/>
      <c r="W11" s="162">
        <f t="shared" ref="W11:W22" si="8">(U11*P11)+(V11*Q11)</f>
        <v>0</v>
      </c>
      <c r="X11" s="162">
        <v>4.7754000000000003</v>
      </c>
      <c r="Y11" s="162">
        <f t="shared" si="4"/>
        <v>1.0314038876889851</v>
      </c>
    </row>
    <row r="12" spans="1:25">
      <c r="A12" s="17" t="s">
        <v>34</v>
      </c>
      <c r="B12" s="156">
        <v>41313</v>
      </c>
      <c r="C12" s="34"/>
      <c r="D12" s="34"/>
      <c r="E12" s="17" t="s">
        <v>67</v>
      </c>
      <c r="F12" s="19" t="s">
        <v>30</v>
      </c>
      <c r="G12" s="35"/>
      <c r="H12" s="36" t="s">
        <v>32</v>
      </c>
      <c r="I12" s="36" t="s">
        <v>32</v>
      </c>
      <c r="J12" s="186" t="e">
        <f t="shared" si="5"/>
        <v>#VALUE!</v>
      </c>
      <c r="K12" s="187">
        <v>40</v>
      </c>
      <c r="L12" s="35">
        <f t="shared" si="6"/>
        <v>0.14381164492523069</v>
      </c>
      <c r="M12" s="1634">
        <v>314.3</v>
      </c>
      <c r="N12" s="1635"/>
      <c r="O12" s="159">
        <f t="shared" ref="O12:O22" si="9">M12+N12</f>
        <v>314.3</v>
      </c>
      <c r="P12" s="1636">
        <v>45.2</v>
      </c>
      <c r="Q12" s="1637"/>
      <c r="R12" s="35">
        <f t="shared" ref="R12:R22" si="10">P12+Q12</f>
        <v>45.2</v>
      </c>
      <c r="S12" s="188">
        <f t="shared" si="7"/>
        <v>0.45200000000000001</v>
      </c>
      <c r="T12" s="160">
        <f t="shared" si="2"/>
        <v>4.63</v>
      </c>
      <c r="U12" s="162"/>
      <c r="V12" s="162"/>
      <c r="W12" s="162">
        <f t="shared" si="8"/>
        <v>0</v>
      </c>
      <c r="X12" s="162">
        <v>4.8167999999999997</v>
      </c>
      <c r="Y12" s="162">
        <f t="shared" si="4"/>
        <v>1.0403455723542117</v>
      </c>
    </row>
    <row r="13" spans="1:25">
      <c r="A13" s="25" t="s">
        <v>34</v>
      </c>
      <c r="B13" s="163">
        <v>41313</v>
      </c>
      <c r="C13" s="37"/>
      <c r="D13" s="37"/>
      <c r="E13" s="25" t="s">
        <v>68</v>
      </c>
      <c r="F13" s="26" t="s">
        <v>33</v>
      </c>
      <c r="G13" s="38"/>
      <c r="H13" s="36" t="s">
        <v>32</v>
      </c>
      <c r="I13" s="36" t="s">
        <v>32</v>
      </c>
      <c r="J13" s="189" t="e">
        <f t="shared" si="5"/>
        <v>#VALUE!</v>
      </c>
      <c r="K13" s="190">
        <v>38</v>
      </c>
      <c r="L13" s="38">
        <f t="shared" si="6"/>
        <v>0.1486220472440945</v>
      </c>
      <c r="M13" s="1634">
        <v>101.6</v>
      </c>
      <c r="N13" s="1635"/>
      <c r="O13" s="165">
        <f t="shared" si="9"/>
        <v>101.6</v>
      </c>
      <c r="P13" s="1636">
        <v>15.1</v>
      </c>
      <c r="Q13" s="1637"/>
      <c r="R13" s="38">
        <f t="shared" si="10"/>
        <v>15.1</v>
      </c>
      <c r="S13" s="188">
        <f t="shared" si="7"/>
        <v>0.151</v>
      </c>
      <c r="T13" s="166">
        <f t="shared" si="2"/>
        <v>4.63</v>
      </c>
      <c r="U13" s="168"/>
      <c r="V13" s="168"/>
      <c r="W13" s="168">
        <f t="shared" si="8"/>
        <v>0</v>
      </c>
      <c r="X13" s="168">
        <v>5.0468000000000002</v>
      </c>
      <c r="Y13" s="168">
        <f t="shared" si="4"/>
        <v>1.0900215982721382</v>
      </c>
    </row>
    <row r="14" spans="1:25" s="30" customFormat="1" ht="13.5" thickBot="1">
      <c r="A14" s="27" t="s">
        <v>34</v>
      </c>
      <c r="B14" s="169">
        <v>41313</v>
      </c>
      <c r="C14" s="39"/>
      <c r="D14" s="39"/>
      <c r="E14" s="27" t="s">
        <v>68</v>
      </c>
      <c r="F14" s="170" t="s">
        <v>30</v>
      </c>
      <c r="G14" s="28"/>
      <c r="H14" s="29" t="s">
        <v>32</v>
      </c>
      <c r="I14" s="29" t="s">
        <v>32</v>
      </c>
      <c r="J14" s="171" t="e">
        <f t="shared" si="5"/>
        <v>#VALUE!</v>
      </c>
      <c r="K14" s="191">
        <v>33</v>
      </c>
      <c r="L14" s="28">
        <f t="shared" si="6"/>
        <v>0.14622015915119363</v>
      </c>
      <c r="M14" s="1652">
        <v>301.60000000000002</v>
      </c>
      <c r="N14" s="1653"/>
      <c r="O14" s="172">
        <f t="shared" si="9"/>
        <v>301.60000000000002</v>
      </c>
      <c r="P14" s="1646">
        <v>44.1</v>
      </c>
      <c r="Q14" s="1647"/>
      <c r="R14" s="28">
        <f t="shared" si="10"/>
        <v>44.1</v>
      </c>
      <c r="S14" s="192">
        <f t="shared" si="7"/>
        <v>0.441</v>
      </c>
      <c r="T14" s="174">
        <f t="shared" si="2"/>
        <v>4.63</v>
      </c>
      <c r="U14" s="176"/>
      <c r="V14" s="176"/>
      <c r="W14" s="176">
        <f t="shared" si="8"/>
        <v>0</v>
      </c>
      <c r="X14" s="176">
        <v>4.9115000000000002</v>
      </c>
      <c r="Y14" s="176">
        <f t="shared" si="4"/>
        <v>1.0607991360691145</v>
      </c>
    </row>
    <row r="15" spans="1:25" s="773" customFormat="1" ht="13.5" thickTop="1">
      <c r="A15" s="1201" t="s">
        <v>35</v>
      </c>
      <c r="B15" s="1202">
        <v>41386</v>
      </c>
      <c r="C15" s="1203"/>
      <c r="D15" s="1203"/>
      <c r="E15" s="1203" t="s">
        <v>71</v>
      </c>
      <c r="F15" s="1204" t="s">
        <v>33</v>
      </c>
      <c r="G15" s="1205"/>
      <c r="H15" s="1206" t="s">
        <v>32</v>
      </c>
      <c r="I15" s="1206" t="s">
        <v>32</v>
      </c>
      <c r="J15" s="1207" t="e">
        <f t="shared" si="5"/>
        <v>#VALUE!</v>
      </c>
      <c r="K15" s="1208">
        <v>15</v>
      </c>
      <c r="L15" s="1205">
        <f t="shared" si="6"/>
        <v>0.11529472864191119</v>
      </c>
      <c r="M15" s="1204">
        <v>779</v>
      </c>
      <c r="N15" s="1204">
        <v>376.3</v>
      </c>
      <c r="O15" s="1209">
        <f t="shared" si="9"/>
        <v>1155.3</v>
      </c>
      <c r="P15" s="1204">
        <v>92</v>
      </c>
      <c r="Q15" s="1204">
        <v>41.2</v>
      </c>
      <c r="R15" s="1205">
        <f>P15+Q15</f>
        <v>133.19999999999999</v>
      </c>
      <c r="S15" s="1210">
        <f>(R15)/100</f>
        <v>1.3319999999999999</v>
      </c>
      <c r="T15" s="1211">
        <f t="shared" si="2"/>
        <v>4.1701526981319672</v>
      </c>
      <c r="U15" s="1212">
        <v>4.3772000000000002</v>
      </c>
      <c r="V15" s="1212">
        <v>3.4573</v>
      </c>
      <c r="W15" s="1212">
        <f t="shared" si="8"/>
        <v>545.14316000000008</v>
      </c>
      <c r="X15" s="1212">
        <f t="shared" ref="X15:X22" si="11">W15/R15</f>
        <v>4.0926663663663669</v>
      </c>
      <c r="Y15" s="1212">
        <f t="shared" si="4"/>
        <v>0.98141882626976451</v>
      </c>
    </row>
    <row r="16" spans="1:25" s="771" customFormat="1">
      <c r="A16" s="867" t="s">
        <v>35</v>
      </c>
      <c r="B16" s="868">
        <v>41386</v>
      </c>
      <c r="C16" s="869"/>
      <c r="D16" s="869"/>
      <c r="E16" s="869" t="s">
        <v>65</v>
      </c>
      <c r="F16" s="870" t="s">
        <v>30</v>
      </c>
      <c r="G16" s="871"/>
      <c r="H16" s="872" t="s">
        <v>32</v>
      </c>
      <c r="I16" s="872" t="s">
        <v>32</v>
      </c>
      <c r="J16" s="873" t="e">
        <f t="shared" si="5"/>
        <v>#VALUE!</v>
      </c>
      <c r="K16" s="874">
        <v>24</v>
      </c>
      <c r="L16" s="875">
        <f t="shared" si="6"/>
        <v>0.10088331008833101</v>
      </c>
      <c r="M16" s="870">
        <v>1631.2</v>
      </c>
      <c r="N16" s="870">
        <v>1165.0999999999999</v>
      </c>
      <c r="O16" s="876">
        <f t="shared" si="9"/>
        <v>2796.3</v>
      </c>
      <c r="P16" s="870">
        <v>170.1</v>
      </c>
      <c r="Q16" s="870">
        <v>112</v>
      </c>
      <c r="R16" s="875">
        <f t="shared" si="10"/>
        <v>282.10000000000002</v>
      </c>
      <c r="S16" s="877">
        <f t="shared" si="7"/>
        <v>2.8210000000000002</v>
      </c>
      <c r="T16" s="878">
        <f t="shared" si="2"/>
        <v>3.4568237924977088</v>
      </c>
      <c r="U16" s="879">
        <v>3.8738999999999999</v>
      </c>
      <c r="V16" s="879">
        <v>3.0470000000000002</v>
      </c>
      <c r="W16" s="879">
        <f t="shared" si="8"/>
        <v>1000.21439</v>
      </c>
      <c r="X16" s="879">
        <f t="shared" si="11"/>
        <v>3.5456022332506199</v>
      </c>
      <c r="Y16" s="879">
        <f t="shared" si="4"/>
        <v>1.0256820845035797</v>
      </c>
    </row>
    <row r="17" spans="1:25" s="771" customFormat="1">
      <c r="A17" s="867" t="s">
        <v>35</v>
      </c>
      <c r="B17" s="868">
        <v>41386</v>
      </c>
      <c r="C17" s="869"/>
      <c r="D17" s="869"/>
      <c r="E17" s="869" t="s">
        <v>65</v>
      </c>
      <c r="F17" s="870" t="s">
        <v>33</v>
      </c>
      <c r="G17" s="871"/>
      <c r="H17" s="872" t="s">
        <v>32</v>
      </c>
      <c r="I17" s="872" t="s">
        <v>32</v>
      </c>
      <c r="J17" s="873" t="e">
        <f t="shared" si="5"/>
        <v>#VALUE!</v>
      </c>
      <c r="K17" s="874">
        <v>33</v>
      </c>
      <c r="L17" s="875">
        <f t="shared" si="6"/>
        <v>0.11532889017676037</v>
      </c>
      <c r="M17" s="870">
        <v>1218.5</v>
      </c>
      <c r="N17" s="870">
        <v>852.1</v>
      </c>
      <c r="O17" s="876">
        <f t="shared" si="9"/>
        <v>2070.6</v>
      </c>
      <c r="P17" s="870">
        <v>142.80000000000001</v>
      </c>
      <c r="Q17" s="870">
        <v>96</v>
      </c>
      <c r="R17" s="875">
        <f t="shared" si="10"/>
        <v>238.8</v>
      </c>
      <c r="S17" s="877">
        <f t="shared" si="7"/>
        <v>2.3879999999999999</v>
      </c>
      <c r="T17" s="878">
        <f t="shared" si="2"/>
        <v>3.6038726289555614</v>
      </c>
      <c r="U17" s="879">
        <v>3.5497000000000001</v>
      </c>
      <c r="V17" s="879">
        <v>2.7202000000000002</v>
      </c>
      <c r="W17" s="879">
        <f t="shared" si="8"/>
        <v>768.03636000000006</v>
      </c>
      <c r="X17" s="879">
        <f t="shared" si="11"/>
        <v>3.2162326633165832</v>
      </c>
      <c r="Y17" s="879">
        <f t="shared" si="4"/>
        <v>0.89243793953080963</v>
      </c>
    </row>
    <row r="18" spans="1:25" s="773" customFormat="1">
      <c r="A18" s="1213" t="s">
        <v>35</v>
      </c>
      <c r="B18" s="1202">
        <v>41386</v>
      </c>
      <c r="C18" s="1214"/>
      <c r="D18" s="1214"/>
      <c r="E18" s="1214" t="s">
        <v>71</v>
      </c>
      <c r="F18" s="1215" t="s">
        <v>30</v>
      </c>
      <c r="G18" s="1205"/>
      <c r="H18" s="1216" t="s">
        <v>32</v>
      </c>
      <c r="I18" s="1216" t="s">
        <v>32</v>
      </c>
      <c r="J18" s="1217" t="e">
        <f>I18*L18</f>
        <v>#VALUE!</v>
      </c>
      <c r="K18" s="1218">
        <v>30</v>
      </c>
      <c r="L18" s="1219">
        <f t="shared" si="6"/>
        <v>0.10380228136882129</v>
      </c>
      <c r="M18" s="1215">
        <v>1437.5</v>
      </c>
      <c r="N18" s="1215">
        <v>1192.5</v>
      </c>
      <c r="O18" s="1220">
        <f t="shared" si="9"/>
        <v>2630</v>
      </c>
      <c r="P18" s="1215">
        <v>152.1</v>
      </c>
      <c r="Q18" s="1215">
        <v>120.9</v>
      </c>
      <c r="R18" s="1219">
        <f t="shared" si="10"/>
        <v>273</v>
      </c>
      <c r="S18" s="1221">
        <f t="shared" si="7"/>
        <v>2.73</v>
      </c>
      <c r="T18" s="1222">
        <f t="shared" si="2"/>
        <v>3.4852774167454643</v>
      </c>
      <c r="U18" s="1223">
        <v>4.0782999999999996</v>
      </c>
      <c r="V18" s="1223">
        <v>3.2965</v>
      </c>
      <c r="W18" s="1223">
        <f t="shared" si="8"/>
        <v>1018.85628</v>
      </c>
      <c r="X18" s="1223">
        <f t="shared" si="11"/>
        <v>3.7320742857142855</v>
      </c>
      <c r="Y18" s="1223">
        <f t="shared" si="4"/>
        <v>1.0708112553058342</v>
      </c>
    </row>
    <row r="19" spans="1:25" s="771" customFormat="1">
      <c r="A19" s="867" t="s">
        <v>35</v>
      </c>
      <c r="B19" s="880">
        <v>41419</v>
      </c>
      <c r="C19" s="869"/>
      <c r="D19" s="869"/>
      <c r="E19" s="869" t="s">
        <v>67</v>
      </c>
      <c r="F19" s="870" t="s">
        <v>33</v>
      </c>
      <c r="G19" s="871"/>
      <c r="H19" s="872" t="s">
        <v>32</v>
      </c>
      <c r="I19" s="872" t="s">
        <v>32</v>
      </c>
      <c r="J19" s="873" t="e">
        <f t="shared" si="5"/>
        <v>#VALUE!</v>
      </c>
      <c r="K19" s="874">
        <v>38</v>
      </c>
      <c r="L19" s="875">
        <f t="shared" si="6"/>
        <v>0.12569250717064162</v>
      </c>
      <c r="M19" s="870">
        <v>1189.8</v>
      </c>
      <c r="N19" s="870">
        <v>1355.3</v>
      </c>
      <c r="O19" s="876">
        <f t="shared" si="9"/>
        <v>2545.1</v>
      </c>
      <c r="P19" s="870">
        <v>123.2</v>
      </c>
      <c r="Q19" s="870">
        <v>196.7</v>
      </c>
      <c r="R19" s="875">
        <f t="shared" si="10"/>
        <v>319.89999999999998</v>
      </c>
      <c r="S19" s="877">
        <f t="shared" si="7"/>
        <v>3.1989999999999998</v>
      </c>
      <c r="T19" s="878">
        <f t="shared" si="2"/>
        <v>3.3498430070947842</v>
      </c>
      <c r="U19" s="879">
        <v>3.8045</v>
      </c>
      <c r="V19" s="879">
        <v>2.6377999999999999</v>
      </c>
      <c r="W19" s="879">
        <f t="shared" si="8"/>
        <v>987.56965999999989</v>
      </c>
      <c r="X19" s="879">
        <f t="shared" si="11"/>
        <v>3.0871199124726476</v>
      </c>
      <c r="Y19" s="879">
        <f t="shared" si="4"/>
        <v>0.92157152019790078</v>
      </c>
    </row>
    <row r="20" spans="1:25" s="771" customFormat="1">
      <c r="A20" s="867" t="s">
        <v>35</v>
      </c>
      <c r="B20" s="880">
        <v>41419</v>
      </c>
      <c r="C20" s="869"/>
      <c r="D20" s="869"/>
      <c r="E20" s="869" t="s">
        <v>67</v>
      </c>
      <c r="F20" s="870" t="s">
        <v>30</v>
      </c>
      <c r="G20" s="871"/>
      <c r="H20" s="872" t="s">
        <v>32</v>
      </c>
      <c r="I20" s="872" t="s">
        <v>32</v>
      </c>
      <c r="J20" s="873" t="e">
        <f t="shared" si="5"/>
        <v>#VALUE!</v>
      </c>
      <c r="K20" s="874">
        <v>50</v>
      </c>
      <c r="L20" s="875">
        <f t="shared" si="6"/>
        <v>0.1049564315933989</v>
      </c>
      <c r="M20" s="870">
        <v>1598.8</v>
      </c>
      <c r="N20" s="870">
        <v>1970.3</v>
      </c>
      <c r="O20" s="876">
        <f t="shared" si="9"/>
        <v>3569.1</v>
      </c>
      <c r="P20" s="870">
        <v>150.5</v>
      </c>
      <c r="Q20" s="870">
        <v>224.1</v>
      </c>
      <c r="R20" s="875">
        <f>P20+Q20</f>
        <v>374.6</v>
      </c>
      <c r="S20" s="877">
        <f>(R20)/100</f>
        <v>3.7460000000000004</v>
      </c>
      <c r="T20" s="878">
        <f t="shared" si="2"/>
        <v>3.2202239132705426</v>
      </c>
      <c r="U20" s="879">
        <v>3.7698999999999998</v>
      </c>
      <c r="V20" s="879">
        <v>2.5478000000000001</v>
      </c>
      <c r="W20" s="879">
        <f t="shared" si="8"/>
        <v>1138.3319300000001</v>
      </c>
      <c r="X20" s="879">
        <f t="shared" si="11"/>
        <v>3.0387931927389213</v>
      </c>
      <c r="Y20" s="879">
        <f t="shared" si="4"/>
        <v>0.94365897359374751</v>
      </c>
    </row>
    <row r="21" spans="1:25" s="773" customFormat="1">
      <c r="A21" s="1213" t="s">
        <v>35</v>
      </c>
      <c r="B21" s="1224">
        <v>41419</v>
      </c>
      <c r="C21" s="1214"/>
      <c r="D21" s="1214"/>
      <c r="E21" s="1214" t="s">
        <v>72</v>
      </c>
      <c r="F21" s="1215" t="s">
        <v>33</v>
      </c>
      <c r="G21" s="1205"/>
      <c r="H21" s="1216" t="s">
        <v>32</v>
      </c>
      <c r="I21" s="1216" t="s">
        <v>32</v>
      </c>
      <c r="J21" s="1217" t="e">
        <f t="shared" si="5"/>
        <v>#VALUE!</v>
      </c>
      <c r="K21" s="1218">
        <v>27</v>
      </c>
      <c r="L21" s="1219">
        <f t="shared" si="6"/>
        <v>0.10108995649529869</v>
      </c>
      <c r="M21" s="1215">
        <v>938.1</v>
      </c>
      <c r="N21" s="1215">
        <v>1199.5999999999999</v>
      </c>
      <c r="O21" s="1220">
        <f t="shared" si="9"/>
        <v>2137.6999999999998</v>
      </c>
      <c r="P21" s="1215">
        <v>78.400000000000006</v>
      </c>
      <c r="Q21" s="1215">
        <v>137.69999999999999</v>
      </c>
      <c r="R21" s="1219">
        <f t="shared" si="10"/>
        <v>216.1</v>
      </c>
      <c r="S21" s="1221">
        <f>(R21)/100</f>
        <v>2.161</v>
      </c>
      <c r="T21" s="1222">
        <f t="shared" si="2"/>
        <v>3.6949989751754182</v>
      </c>
      <c r="U21" s="1223">
        <v>2.0276999999999998</v>
      </c>
      <c r="V21" s="1223">
        <v>4.5663</v>
      </c>
      <c r="W21" s="1223">
        <f t="shared" si="8"/>
        <v>787.75118999999995</v>
      </c>
      <c r="X21" s="1223">
        <f t="shared" si="11"/>
        <v>3.6453086071263301</v>
      </c>
      <c r="Y21" s="1223">
        <f t="shared" si="4"/>
        <v>0.9865519940917632</v>
      </c>
    </row>
    <row r="22" spans="1:25" s="1238" customFormat="1" ht="13.5" thickBot="1">
      <c r="A22" s="1225" t="s">
        <v>35</v>
      </c>
      <c r="B22" s="1226">
        <v>41419</v>
      </c>
      <c r="C22" s="1227"/>
      <c r="D22" s="1227"/>
      <c r="E22" s="1227" t="s">
        <v>72</v>
      </c>
      <c r="F22" s="1228" t="s">
        <v>30</v>
      </c>
      <c r="G22" s="1229"/>
      <c r="H22" s="1230" t="s">
        <v>32</v>
      </c>
      <c r="I22" s="1230" t="s">
        <v>32</v>
      </c>
      <c r="J22" s="1231" t="e">
        <f t="shared" si="5"/>
        <v>#VALUE!</v>
      </c>
      <c r="K22" s="1232">
        <v>40</v>
      </c>
      <c r="L22" s="1233">
        <f t="shared" si="6"/>
        <v>9.2883830046050914E-2</v>
      </c>
      <c r="M22" s="1228">
        <v>1906.3</v>
      </c>
      <c r="N22" s="1228">
        <v>2697.3</v>
      </c>
      <c r="O22" s="1234">
        <f t="shared" si="9"/>
        <v>4603.6000000000004</v>
      </c>
      <c r="P22" s="1228">
        <v>164.5</v>
      </c>
      <c r="Q22" s="1228">
        <v>263.10000000000002</v>
      </c>
      <c r="R22" s="1233">
        <f t="shared" si="10"/>
        <v>427.6</v>
      </c>
      <c r="S22" s="1235">
        <f t="shared" si="7"/>
        <v>4.2759999999999998</v>
      </c>
      <c r="T22" s="1236">
        <f t="shared" si="2"/>
        <v>3.1154342484839881</v>
      </c>
      <c r="U22" s="1237">
        <v>2.7488999999999999</v>
      </c>
      <c r="V22" s="1237">
        <v>3.4297</v>
      </c>
      <c r="W22" s="1237">
        <f t="shared" si="8"/>
        <v>1354.5481200000002</v>
      </c>
      <c r="X22" s="1237">
        <f t="shared" si="11"/>
        <v>3.1677926099158094</v>
      </c>
      <c r="Y22" s="1237">
        <f t="shared" si="4"/>
        <v>1.0168061198715073</v>
      </c>
    </row>
    <row r="23" spans="1:25" ht="13.5" thickTop="1">
      <c r="P23" s="54"/>
      <c r="Q23" s="54"/>
    </row>
    <row r="24" spans="1:25">
      <c r="A24" s="55" t="s">
        <v>39</v>
      </c>
      <c r="P24" s="54"/>
      <c r="Q24" s="54"/>
    </row>
    <row r="25" spans="1:25">
      <c r="A25" s="56" t="s">
        <v>40</v>
      </c>
      <c r="P25" s="54"/>
      <c r="Q25" s="54"/>
    </row>
    <row r="26" spans="1:25">
      <c r="A26" s="56" t="s">
        <v>41</v>
      </c>
    </row>
    <row r="27" spans="1:25">
      <c r="A27" s="56" t="s">
        <v>42</v>
      </c>
      <c r="N27" s="750" t="s">
        <v>390</v>
      </c>
      <c r="O27" s="751"/>
      <c r="P27" s="751"/>
    </row>
    <row r="28" spans="1:25">
      <c r="A28" s="55" t="s">
        <v>43</v>
      </c>
      <c r="N28" s="36"/>
      <c r="O28" s="752" t="s">
        <v>63</v>
      </c>
      <c r="P28" s="753" t="s">
        <v>64</v>
      </c>
      <c r="Q28" s="54"/>
    </row>
    <row r="29" spans="1:25">
      <c r="A29" s="55" t="s">
        <v>44</v>
      </c>
      <c r="N29" s="36" t="s">
        <v>391</v>
      </c>
      <c r="O29" s="774">
        <f>AVERAGE(Y16,Y17,Y19,Y20)</f>
        <v>0.9458376294565094</v>
      </c>
      <c r="P29" s="774">
        <f>AVERAGE(Y15,Y18,Y21,Y22)</f>
        <v>1.0138970488847172</v>
      </c>
      <c r="Q29" s="54"/>
    </row>
    <row r="30" spans="1:25">
      <c r="A30" s="55" t="s">
        <v>45</v>
      </c>
      <c r="N30" s="36" t="s">
        <v>25</v>
      </c>
      <c r="O30" s="774">
        <f>AVERAGE(W16,W17,W19,W20)</f>
        <v>973.53808500000014</v>
      </c>
      <c r="P30" s="774">
        <f>AVERAGE(W15,W18,W21,W22)</f>
        <v>926.57468749999998</v>
      </c>
    </row>
    <row r="31" spans="1:25">
      <c r="A31" s="56" t="s">
        <v>46</v>
      </c>
      <c r="N31" s="36" t="s">
        <v>392</v>
      </c>
      <c r="O31" s="774">
        <f>AVERAGE(X16,X17,X19,X20)</f>
        <v>3.2219370004446932</v>
      </c>
      <c r="P31" s="774">
        <f>AVERAGE(X15,X18,X21,X22)</f>
        <v>3.6594604672806978</v>
      </c>
    </row>
    <row r="32" spans="1:25">
      <c r="A32" s="56" t="s">
        <v>47</v>
      </c>
      <c r="N32" s="36" t="s">
        <v>393</v>
      </c>
      <c r="O32" s="774">
        <f>AVERAGE(S16,S17,S19,S20)</f>
        <v>3.0385</v>
      </c>
      <c r="P32" s="774">
        <f>AVERAGE(S15,S18,S21,S22)</f>
        <v>2.6247499999999997</v>
      </c>
    </row>
    <row r="33" spans="1:1">
      <c r="A33" s="56" t="s">
        <v>48</v>
      </c>
    </row>
    <row r="34" spans="1:1">
      <c r="A34" s="56" t="s">
        <v>49</v>
      </c>
    </row>
    <row r="36" spans="1:1">
      <c r="A36" s="1" t="s">
        <v>50</v>
      </c>
    </row>
  </sheetData>
  <mergeCells count="36">
    <mergeCell ref="M13:N13"/>
    <mergeCell ref="P13:Q13"/>
    <mergeCell ref="M14:N14"/>
    <mergeCell ref="P14:Q14"/>
    <mergeCell ref="M10:N10"/>
    <mergeCell ref="P10:Q10"/>
    <mergeCell ref="U10:V10"/>
    <mergeCell ref="M11:N11"/>
    <mergeCell ref="P11:Q11"/>
    <mergeCell ref="M12:N12"/>
    <mergeCell ref="P12:Q12"/>
    <mergeCell ref="M8:N8"/>
    <mergeCell ref="P8:Q8"/>
    <mergeCell ref="U8:V8"/>
    <mergeCell ref="M9:N9"/>
    <mergeCell ref="P9:Q9"/>
    <mergeCell ref="U9:V9"/>
    <mergeCell ref="M6:N6"/>
    <mergeCell ref="P6:Q6"/>
    <mergeCell ref="U6:V6"/>
    <mergeCell ref="M7:N7"/>
    <mergeCell ref="P7:Q7"/>
    <mergeCell ref="U7:V7"/>
    <mergeCell ref="M4:N4"/>
    <mergeCell ref="P4:Q4"/>
    <mergeCell ref="U4:V4"/>
    <mergeCell ref="M5:N5"/>
    <mergeCell ref="P5:Q5"/>
    <mergeCell ref="U5:V5"/>
    <mergeCell ref="H1:J1"/>
    <mergeCell ref="K1:R1"/>
    <mergeCell ref="S1:T1"/>
    <mergeCell ref="U1:W1"/>
    <mergeCell ref="M3:N3"/>
    <mergeCell ref="P3:Q3"/>
    <mergeCell ref="U3:V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Z31"/>
  <sheetViews>
    <sheetView topLeftCell="E1" workbookViewId="0">
      <selection activeCell="M20" sqref="M20:M23"/>
    </sheetView>
  </sheetViews>
  <sheetFormatPr baseColWidth="10" defaultRowHeight="15"/>
  <cols>
    <col min="6" max="6" width="13.5703125" bestFit="1" customWidth="1"/>
    <col min="13" max="13" width="14.28515625" bestFit="1" customWidth="1"/>
    <col min="16" max="16" width="14.42578125" bestFit="1" customWidth="1"/>
    <col min="24" max="24" width="15.85546875" bestFit="1" customWidth="1"/>
  </cols>
  <sheetData>
    <row r="1" spans="1:26" ht="15.75">
      <c r="A1" s="1"/>
      <c r="B1" s="1"/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  <c r="Y1" s="4"/>
    </row>
    <row r="2" spans="1:26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9" t="s">
        <v>13</v>
      </c>
      <c r="K2" s="200" t="s">
        <v>11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9" t="s">
        <v>20</v>
      </c>
      <c r="S2" s="10" t="s">
        <v>21</v>
      </c>
      <c r="T2" s="8" t="s">
        <v>22</v>
      </c>
      <c r="U2" s="11" t="s">
        <v>23</v>
      </c>
      <c r="V2" s="11" t="s">
        <v>24</v>
      </c>
      <c r="W2" s="12" t="s">
        <v>25</v>
      </c>
      <c r="X2" s="201" t="s">
        <v>26</v>
      </c>
      <c r="Y2" s="202" t="s">
        <v>27</v>
      </c>
    </row>
    <row r="3" spans="1:26" ht="15.75" thickBot="1">
      <c r="A3" s="203" t="s">
        <v>28</v>
      </c>
      <c r="B3" s="204">
        <v>41626</v>
      </c>
      <c r="C3" s="203">
        <v>1</v>
      </c>
      <c r="D3" s="205">
        <v>221</v>
      </c>
      <c r="E3" s="203" t="s">
        <v>75</v>
      </c>
      <c r="F3" s="206" t="s">
        <v>76</v>
      </c>
      <c r="G3" s="206"/>
      <c r="H3" s="207">
        <v>18</v>
      </c>
      <c r="I3" s="207">
        <v>321.8</v>
      </c>
      <c r="J3" s="208">
        <f>I3*L3</f>
        <v>52.754098360655746</v>
      </c>
      <c r="K3" s="207">
        <v>5</v>
      </c>
      <c r="L3" s="209">
        <f>P3/M3</f>
        <v>0.16393442622950821</v>
      </c>
      <c r="M3" s="207">
        <v>48.8</v>
      </c>
      <c r="N3" s="159"/>
      <c r="O3" s="207">
        <v>61.8</v>
      </c>
      <c r="P3" s="207">
        <v>8</v>
      </c>
      <c r="Q3" s="206"/>
      <c r="R3" s="208">
        <f>O3*L3</f>
        <v>10.131147540983607</v>
      </c>
      <c r="S3" s="210">
        <f t="shared" ref="S3:S14" si="0">(R3+J3)/100</f>
        <v>0.62885245901639353</v>
      </c>
      <c r="T3" s="211">
        <f>MIN(4.63,4.48*S3^(-0.25))</f>
        <v>4.63</v>
      </c>
      <c r="U3" s="212">
        <v>3.8997000000000002</v>
      </c>
      <c r="V3" s="162"/>
      <c r="W3" s="162">
        <f>(U3*P3)</f>
        <v>31.197600000000001</v>
      </c>
      <c r="X3" s="162">
        <f>W3/R3</f>
        <v>3.0793747572815535</v>
      </c>
      <c r="Y3" s="162">
        <f>X3/T3</f>
        <v>0.66509174023359685</v>
      </c>
      <c r="Z3">
        <f>U3/T3</f>
        <v>0.84226781857451405</v>
      </c>
    </row>
    <row r="4" spans="1:26" ht="15.75" thickBot="1">
      <c r="A4" s="17" t="s">
        <v>28</v>
      </c>
      <c r="B4" s="156">
        <v>41626</v>
      </c>
      <c r="C4" s="17">
        <v>6</v>
      </c>
      <c r="D4" s="34">
        <v>249</v>
      </c>
      <c r="E4" s="17" t="s">
        <v>75</v>
      </c>
      <c r="F4" s="19" t="s">
        <v>77</v>
      </c>
      <c r="G4" s="19"/>
      <c r="H4" s="213">
        <v>25</v>
      </c>
      <c r="I4" s="207">
        <v>514.79999999999995</v>
      </c>
      <c r="J4" s="157">
        <f t="shared" ref="J4:J14" si="1">I4*L4</f>
        <v>98.343243243243222</v>
      </c>
      <c r="K4" s="213">
        <v>6</v>
      </c>
      <c r="L4" s="35">
        <f t="shared" ref="L4:L5" si="2">P4/M4</f>
        <v>0.19103194103194102</v>
      </c>
      <c r="M4" s="207">
        <v>162.80000000000001</v>
      </c>
      <c r="N4" s="159"/>
      <c r="O4" s="207">
        <v>204.8</v>
      </c>
      <c r="P4" s="207">
        <v>31.1</v>
      </c>
      <c r="Q4" s="179"/>
      <c r="R4" s="157">
        <f t="shared" ref="R4:R6" si="3">O4*L4</f>
        <v>39.123341523341523</v>
      </c>
      <c r="S4" s="160">
        <f t="shared" si="0"/>
        <v>1.3746658476658473</v>
      </c>
      <c r="T4" s="161">
        <f t="shared" ref="T4:T14" si="4">MIN(4.63,4.48*S4^(-0.25))</f>
        <v>4.1374116044874905</v>
      </c>
      <c r="U4" s="214">
        <v>3.1730999999999998</v>
      </c>
      <c r="V4" s="162"/>
      <c r="W4" s="162">
        <f t="shared" ref="W4:W6" si="5">(U4*P4)</f>
        <v>98.683409999999995</v>
      </c>
      <c r="X4" s="162">
        <f t="shared" ref="X4:X14" si="6">W4/R4</f>
        <v>2.5223666015624997</v>
      </c>
      <c r="Y4" s="162">
        <f t="shared" ref="Y4:Y14" si="7">X4/T4</f>
        <v>0.60964845722062266</v>
      </c>
      <c r="Z4">
        <f t="shared" ref="Z4:Z6" si="8">U4/T4</f>
        <v>0.76692877173699958</v>
      </c>
    </row>
    <row r="5" spans="1:26" ht="15.75" thickBot="1">
      <c r="A5" s="17" t="s">
        <v>28</v>
      </c>
      <c r="B5" s="156">
        <v>41626</v>
      </c>
      <c r="C5" s="17">
        <v>7</v>
      </c>
      <c r="D5" s="34">
        <v>238</v>
      </c>
      <c r="E5" s="17" t="s">
        <v>78</v>
      </c>
      <c r="F5" s="19" t="s">
        <v>76</v>
      </c>
      <c r="G5" s="19"/>
      <c r="H5" s="213">
        <v>23</v>
      </c>
      <c r="I5" s="207">
        <v>453.8</v>
      </c>
      <c r="J5" s="157">
        <f t="shared" si="1"/>
        <v>78.744215938303341</v>
      </c>
      <c r="K5" s="213">
        <v>4</v>
      </c>
      <c r="L5" s="35">
        <f t="shared" si="2"/>
        <v>0.17352185089974292</v>
      </c>
      <c r="M5" s="207">
        <v>77.8</v>
      </c>
      <c r="N5" s="159"/>
      <c r="O5" s="207">
        <v>94.8</v>
      </c>
      <c r="P5" s="207">
        <v>13.5</v>
      </c>
      <c r="Q5" s="179"/>
      <c r="R5" s="157">
        <f t="shared" si="3"/>
        <v>16.449871465295629</v>
      </c>
      <c r="S5" s="160">
        <f t="shared" si="0"/>
        <v>0.9519408740359897</v>
      </c>
      <c r="T5" s="161">
        <f t="shared" si="4"/>
        <v>4.5355036450021649</v>
      </c>
      <c r="U5" s="214">
        <v>3.536</v>
      </c>
      <c r="V5" s="162"/>
      <c r="W5" s="162">
        <f t="shared" si="5"/>
        <v>47.735999999999997</v>
      </c>
      <c r="X5" s="162">
        <f t="shared" si="6"/>
        <v>2.9019071729957804</v>
      </c>
      <c r="Y5" s="162">
        <f t="shared" si="7"/>
        <v>0.63982027138121622</v>
      </c>
      <c r="Z5">
        <f t="shared" si="8"/>
        <v>0.77962675741567222</v>
      </c>
    </row>
    <row r="6" spans="1:26" ht="15.75" thickBot="1">
      <c r="A6" s="194" t="s">
        <v>28</v>
      </c>
      <c r="B6" s="195">
        <v>41626</v>
      </c>
      <c r="C6" s="194">
        <v>7</v>
      </c>
      <c r="D6" s="45">
        <v>245</v>
      </c>
      <c r="E6" s="194" t="s">
        <v>78</v>
      </c>
      <c r="F6" s="196" t="s">
        <v>77</v>
      </c>
      <c r="G6" s="196"/>
      <c r="H6" s="215">
        <v>21</v>
      </c>
      <c r="I6" s="216">
        <v>566.79999999999995</v>
      </c>
      <c r="J6" s="217">
        <f t="shared" si="1"/>
        <v>108.21701323251416</v>
      </c>
      <c r="K6" s="215">
        <v>5</v>
      </c>
      <c r="L6" s="198">
        <f>P6/M6</f>
        <v>0.19092627599243855</v>
      </c>
      <c r="M6" s="216">
        <v>105.8</v>
      </c>
      <c r="N6" s="172"/>
      <c r="O6" s="216">
        <v>127.8</v>
      </c>
      <c r="P6" s="216">
        <v>20.2</v>
      </c>
      <c r="Q6" s="218"/>
      <c r="R6" s="217">
        <f t="shared" si="3"/>
        <v>24.400378071833646</v>
      </c>
      <c r="S6" s="199">
        <f t="shared" si="0"/>
        <v>1.3261739130434782</v>
      </c>
      <c r="T6" s="219">
        <f t="shared" si="4"/>
        <v>4.1747252034374727</v>
      </c>
      <c r="U6" s="220">
        <v>3.4224999999999999</v>
      </c>
      <c r="V6" s="176"/>
      <c r="W6" s="176">
        <f t="shared" si="5"/>
        <v>69.134499999999989</v>
      </c>
      <c r="X6" s="176">
        <f t="shared" si="6"/>
        <v>2.8333372456964003</v>
      </c>
      <c r="Y6" s="176">
        <f t="shared" si="7"/>
        <v>0.67868832261424727</v>
      </c>
      <c r="Z6">
        <f t="shared" si="8"/>
        <v>0.81981443884783367</v>
      </c>
    </row>
    <row r="7" spans="1:26" s="866" customFormat="1" ht="16.5" thickTop="1" thickBot="1">
      <c r="A7" s="881" t="s">
        <v>35</v>
      </c>
      <c r="B7" s="868">
        <v>41724</v>
      </c>
      <c r="C7" s="881">
        <v>2</v>
      </c>
      <c r="D7" s="882">
        <v>277</v>
      </c>
      <c r="E7" s="881" t="s">
        <v>79</v>
      </c>
      <c r="F7" s="883" t="s">
        <v>80</v>
      </c>
      <c r="G7" s="884"/>
      <c r="H7" s="885">
        <v>24</v>
      </c>
      <c r="I7" s="885">
        <v>2140</v>
      </c>
      <c r="J7" s="886">
        <f t="shared" si="1"/>
        <v>343.74491682070243</v>
      </c>
      <c r="K7" s="887">
        <v>5</v>
      </c>
      <c r="L7" s="871">
        <f>R7/O7</f>
        <v>0.16062846580406656</v>
      </c>
      <c r="M7" s="888">
        <v>211</v>
      </c>
      <c r="N7" s="888">
        <v>330</v>
      </c>
      <c r="O7" s="889">
        <f>M7+N7</f>
        <v>541</v>
      </c>
      <c r="P7" s="888">
        <v>35.5</v>
      </c>
      <c r="Q7" s="888">
        <v>51.4</v>
      </c>
      <c r="R7" s="886">
        <f>P7+Q7</f>
        <v>86.9</v>
      </c>
      <c r="S7" s="890">
        <f>(R7+J7)/100</f>
        <v>4.3064491682070241</v>
      </c>
      <c r="T7" s="891">
        <f t="shared" si="4"/>
        <v>3.1099125910010086</v>
      </c>
      <c r="U7" s="892">
        <v>3.7801</v>
      </c>
      <c r="V7" s="893">
        <v>2.5114000000000001</v>
      </c>
      <c r="W7" s="894">
        <f>(U7*P7)+(V7*Q7)</f>
        <v>263.27950999999996</v>
      </c>
      <c r="X7" s="894">
        <f>W7/R7</f>
        <v>3.0296836593785956</v>
      </c>
      <c r="Y7" s="1253">
        <f>X7/T7</f>
        <v>0.97420219080929571</v>
      </c>
    </row>
    <row r="8" spans="1:26" s="866" customFormat="1" ht="15.75" thickBot="1">
      <c r="A8" s="867" t="s">
        <v>35</v>
      </c>
      <c r="B8" s="880">
        <v>41724</v>
      </c>
      <c r="C8" s="881">
        <v>3</v>
      </c>
      <c r="D8" s="869">
        <v>223</v>
      </c>
      <c r="E8" s="867" t="s">
        <v>79</v>
      </c>
      <c r="F8" s="870" t="s">
        <v>81</v>
      </c>
      <c r="G8" s="870"/>
      <c r="H8" s="888">
        <v>20</v>
      </c>
      <c r="I8" s="885">
        <v>2270</v>
      </c>
      <c r="J8" s="895">
        <f t="shared" si="1"/>
        <v>368.60476190476192</v>
      </c>
      <c r="K8" s="887">
        <v>8</v>
      </c>
      <c r="L8" s="871">
        <f t="shared" ref="L8:L14" si="9">R8/O8</f>
        <v>0.16238095238095238</v>
      </c>
      <c r="M8" s="888">
        <v>170</v>
      </c>
      <c r="N8" s="888">
        <v>460</v>
      </c>
      <c r="O8" s="876">
        <f t="shared" ref="O8:O14" si="10">M8+N8</f>
        <v>630</v>
      </c>
      <c r="P8" s="888">
        <v>28.7</v>
      </c>
      <c r="Q8" s="888">
        <v>73.599999999999994</v>
      </c>
      <c r="R8" s="895">
        <f t="shared" ref="R8:R14" si="11">P8+Q8</f>
        <v>102.3</v>
      </c>
      <c r="S8" s="878">
        <f t="shared" si="0"/>
        <v>4.7090476190476194</v>
      </c>
      <c r="T8" s="896">
        <f t="shared" si="4"/>
        <v>3.0411983308838519</v>
      </c>
      <c r="U8" s="897">
        <v>4.5027999999999997</v>
      </c>
      <c r="V8" s="898">
        <v>1.9947999999999999</v>
      </c>
      <c r="W8" s="879">
        <f t="shared" ref="W8:W14" si="12">(U8*P8)+(V8*Q8)</f>
        <v>276.04764</v>
      </c>
      <c r="X8" s="879">
        <f t="shared" si="6"/>
        <v>2.6984129032258064</v>
      </c>
      <c r="Y8" s="1254">
        <f t="shared" si="7"/>
        <v>0.8872860660953924</v>
      </c>
    </row>
    <row r="9" spans="1:26" s="866" customFormat="1" ht="15.75" thickBot="1">
      <c r="A9" s="867" t="s">
        <v>35</v>
      </c>
      <c r="B9" s="880">
        <v>41724</v>
      </c>
      <c r="C9" s="881">
        <v>4</v>
      </c>
      <c r="D9" s="869">
        <v>268</v>
      </c>
      <c r="E9" s="867" t="s">
        <v>79</v>
      </c>
      <c r="F9" s="870" t="s">
        <v>81</v>
      </c>
      <c r="G9" s="870"/>
      <c r="H9" s="888">
        <v>41</v>
      </c>
      <c r="I9" s="885">
        <v>3020</v>
      </c>
      <c r="J9" s="895">
        <f t="shared" si="1"/>
        <v>490.24666666666667</v>
      </c>
      <c r="K9" s="887">
        <v>9</v>
      </c>
      <c r="L9" s="871">
        <f t="shared" si="9"/>
        <v>0.16233333333333333</v>
      </c>
      <c r="M9" s="888">
        <v>150</v>
      </c>
      <c r="N9" s="888">
        <v>450</v>
      </c>
      <c r="O9" s="876">
        <f t="shared" si="10"/>
        <v>600</v>
      </c>
      <c r="P9" s="888">
        <v>25.2</v>
      </c>
      <c r="Q9" s="888">
        <v>72.2</v>
      </c>
      <c r="R9" s="895">
        <f t="shared" si="11"/>
        <v>97.4</v>
      </c>
      <c r="S9" s="878">
        <f t="shared" si="0"/>
        <v>5.8764666666666665</v>
      </c>
      <c r="T9" s="896">
        <f t="shared" si="4"/>
        <v>2.8773914231741919</v>
      </c>
      <c r="U9" s="897">
        <v>4.9888000000000003</v>
      </c>
      <c r="V9" s="898">
        <v>2.2606999999999999</v>
      </c>
      <c r="W9" s="879">
        <f t="shared" si="12"/>
        <v>288.94029999999998</v>
      </c>
      <c r="X9" s="879">
        <f t="shared" si="6"/>
        <v>2.9665328542094453</v>
      </c>
      <c r="Y9" s="1254">
        <f t="shared" si="7"/>
        <v>1.0309799460432523</v>
      </c>
    </row>
    <row r="10" spans="1:26" s="866" customFormat="1" ht="15.75" thickBot="1">
      <c r="A10" s="867" t="s">
        <v>35</v>
      </c>
      <c r="B10" s="880">
        <v>41724</v>
      </c>
      <c r="C10" s="881">
        <v>6</v>
      </c>
      <c r="D10" s="869">
        <v>249</v>
      </c>
      <c r="E10" s="867" t="s">
        <v>79</v>
      </c>
      <c r="F10" s="899" t="s">
        <v>80</v>
      </c>
      <c r="G10" s="870"/>
      <c r="H10" s="888">
        <v>37</v>
      </c>
      <c r="I10" s="885">
        <v>2140</v>
      </c>
      <c r="J10" s="895">
        <f t="shared" si="1"/>
        <v>326.03529411764703</v>
      </c>
      <c r="K10" s="887">
        <v>9</v>
      </c>
      <c r="L10" s="871">
        <f t="shared" si="9"/>
        <v>0.15235294117647058</v>
      </c>
      <c r="M10" s="888">
        <v>290</v>
      </c>
      <c r="N10" s="888">
        <v>560</v>
      </c>
      <c r="O10" s="876">
        <f t="shared" si="10"/>
        <v>850</v>
      </c>
      <c r="P10" s="888">
        <v>47.8</v>
      </c>
      <c r="Q10" s="888">
        <v>81.7</v>
      </c>
      <c r="R10" s="895">
        <f t="shared" si="11"/>
        <v>129.5</v>
      </c>
      <c r="S10" s="878">
        <f t="shared" si="0"/>
        <v>4.5553529411764702</v>
      </c>
      <c r="T10" s="896">
        <f t="shared" si="4"/>
        <v>3.0665320369048708</v>
      </c>
      <c r="U10" s="897">
        <v>4.4444999999999997</v>
      </c>
      <c r="V10" s="898">
        <v>2.5308000000000002</v>
      </c>
      <c r="W10" s="879">
        <f t="shared" si="12"/>
        <v>419.21346</v>
      </c>
      <c r="X10" s="879">
        <f t="shared" si="6"/>
        <v>3.2371695752895753</v>
      </c>
      <c r="Y10" s="1254">
        <f t="shared" si="7"/>
        <v>1.0556451184370907</v>
      </c>
    </row>
    <row r="11" spans="1:26" s="844" customFormat="1" ht="16.5" thickTop="1" thickBot="1">
      <c r="A11" s="1213" t="s">
        <v>35</v>
      </c>
      <c r="B11" s="1224">
        <v>41724</v>
      </c>
      <c r="C11" s="1201">
        <v>7</v>
      </c>
      <c r="D11" s="1214">
        <v>238</v>
      </c>
      <c r="E11" s="1213" t="s">
        <v>82</v>
      </c>
      <c r="F11" s="1243" t="s">
        <v>81</v>
      </c>
      <c r="G11" s="1215"/>
      <c r="H11" s="1244">
        <v>36</v>
      </c>
      <c r="I11" s="1245">
        <v>3840</v>
      </c>
      <c r="J11" s="1246">
        <f t="shared" si="1"/>
        <v>557.83406113537114</v>
      </c>
      <c r="K11" s="1247">
        <v>9</v>
      </c>
      <c r="L11" s="1205">
        <f>R11/O11</f>
        <v>0.14526928675400291</v>
      </c>
      <c r="M11" s="1244">
        <v>241</v>
      </c>
      <c r="N11" s="1244">
        <v>446</v>
      </c>
      <c r="O11" s="1220">
        <f t="shared" si="10"/>
        <v>687</v>
      </c>
      <c r="P11" s="1244">
        <v>38.299999999999997</v>
      </c>
      <c r="Q11" s="1244">
        <v>61.5</v>
      </c>
      <c r="R11" s="1246">
        <f t="shared" si="11"/>
        <v>99.8</v>
      </c>
      <c r="S11" s="1222">
        <f t="shared" si="0"/>
        <v>6.5763406113537108</v>
      </c>
      <c r="T11" s="1248">
        <f t="shared" si="4"/>
        <v>2.7975762947043421</v>
      </c>
      <c r="U11" s="1249">
        <v>5.6992000000000003</v>
      </c>
      <c r="V11" s="1250">
        <v>2.9594999999999998</v>
      </c>
      <c r="W11" s="1223">
        <f t="shared" si="12"/>
        <v>400.28860999999995</v>
      </c>
      <c r="X11" s="1223">
        <f t="shared" si="6"/>
        <v>4.0109079158316625</v>
      </c>
      <c r="Y11" s="1255">
        <f t="shared" si="7"/>
        <v>1.4337081435184056</v>
      </c>
    </row>
    <row r="12" spans="1:26" s="844" customFormat="1" ht="15.75" thickBot="1">
      <c r="A12" s="1213" t="s">
        <v>35</v>
      </c>
      <c r="B12" s="1224">
        <v>41724</v>
      </c>
      <c r="C12" s="1201">
        <v>7</v>
      </c>
      <c r="D12" s="1214">
        <v>245</v>
      </c>
      <c r="E12" s="1213" t="s">
        <v>82</v>
      </c>
      <c r="F12" s="1215" t="s">
        <v>80</v>
      </c>
      <c r="G12" s="1215"/>
      <c r="H12" s="1244">
        <v>26</v>
      </c>
      <c r="I12" s="1245">
        <v>5070</v>
      </c>
      <c r="J12" s="1246">
        <f t="shared" si="1"/>
        <v>6801.8551401869154</v>
      </c>
      <c r="K12" s="1247">
        <v>6</v>
      </c>
      <c r="L12" s="1205">
        <f t="shared" si="9"/>
        <v>1.341588785046729</v>
      </c>
      <c r="M12" s="1244">
        <v>450</v>
      </c>
      <c r="N12" s="1244">
        <v>620</v>
      </c>
      <c r="O12" s="1220">
        <f t="shared" si="10"/>
        <v>1070</v>
      </c>
      <c r="P12" s="1244">
        <v>657</v>
      </c>
      <c r="Q12" s="1244">
        <v>778.5</v>
      </c>
      <c r="R12" s="1246">
        <f t="shared" si="11"/>
        <v>1435.5</v>
      </c>
      <c r="S12" s="1222">
        <f t="shared" si="0"/>
        <v>82.37355140186915</v>
      </c>
      <c r="T12" s="1248">
        <f t="shared" si="4"/>
        <v>1.4870688156910032</v>
      </c>
      <c r="U12" s="1249">
        <v>5.2750000000000004</v>
      </c>
      <c r="V12" s="1250">
        <v>2.9167000000000001</v>
      </c>
      <c r="W12" s="1223">
        <f t="shared" si="12"/>
        <v>5736.3259500000004</v>
      </c>
      <c r="X12" s="1223">
        <f t="shared" si="6"/>
        <v>3.9960473354231976</v>
      </c>
      <c r="Y12" s="1255">
        <f t="shared" si="7"/>
        <v>2.6871973194907834</v>
      </c>
    </row>
    <row r="13" spans="1:26" s="844" customFormat="1" ht="15.75" thickBot="1">
      <c r="A13" s="1213" t="s">
        <v>35</v>
      </c>
      <c r="B13" s="1224">
        <v>41724</v>
      </c>
      <c r="C13" s="1201">
        <v>10</v>
      </c>
      <c r="D13" s="1214">
        <v>277</v>
      </c>
      <c r="E13" s="1213" t="s">
        <v>82</v>
      </c>
      <c r="F13" s="1215" t="s">
        <v>81</v>
      </c>
      <c r="G13" s="1215"/>
      <c r="H13" s="1244">
        <v>32</v>
      </c>
      <c r="I13" s="1245">
        <v>4460</v>
      </c>
      <c r="J13" s="1246">
        <f t="shared" si="1"/>
        <v>769.17846153846142</v>
      </c>
      <c r="K13" s="1247">
        <v>8</v>
      </c>
      <c r="L13" s="1205">
        <f t="shared" si="9"/>
        <v>0.17246153846153844</v>
      </c>
      <c r="M13" s="1244">
        <v>250</v>
      </c>
      <c r="N13" s="1244">
        <v>400</v>
      </c>
      <c r="O13" s="1220">
        <f t="shared" si="10"/>
        <v>650</v>
      </c>
      <c r="P13" s="1244">
        <v>48.9</v>
      </c>
      <c r="Q13" s="1244">
        <v>63.2</v>
      </c>
      <c r="R13" s="1246">
        <f t="shared" si="11"/>
        <v>112.1</v>
      </c>
      <c r="S13" s="1222">
        <f t="shared" si="0"/>
        <v>8.812784615384615</v>
      </c>
      <c r="T13" s="1248">
        <f t="shared" si="4"/>
        <v>2.6001579165753377</v>
      </c>
      <c r="U13" s="1249">
        <v>5.8574999999999999</v>
      </c>
      <c r="V13" s="1250">
        <v>3.2637999999999998</v>
      </c>
      <c r="W13" s="1223">
        <f t="shared" si="12"/>
        <v>492.70390999999995</v>
      </c>
      <c r="X13" s="1223">
        <f t="shared" si="6"/>
        <v>4.3952177520071363</v>
      </c>
      <c r="Y13" s="1255">
        <f t="shared" si="7"/>
        <v>1.6903656981711588</v>
      </c>
    </row>
    <row r="14" spans="1:26" s="844" customFormat="1" ht="15.75" thickBot="1">
      <c r="A14" s="1213" t="s">
        <v>35</v>
      </c>
      <c r="B14" s="1224">
        <v>41724</v>
      </c>
      <c r="C14" s="1201">
        <v>11</v>
      </c>
      <c r="D14" s="1214">
        <v>259</v>
      </c>
      <c r="E14" s="1213" t="s">
        <v>82</v>
      </c>
      <c r="F14" s="1228" t="s">
        <v>80</v>
      </c>
      <c r="G14" s="1215"/>
      <c r="H14" s="1244" t="s">
        <v>83</v>
      </c>
      <c r="I14" s="1245">
        <v>6550</v>
      </c>
      <c r="J14" s="1246">
        <f t="shared" si="1"/>
        <v>801.4724409448819</v>
      </c>
      <c r="K14" s="1247">
        <v>9</v>
      </c>
      <c r="L14" s="1205">
        <f t="shared" si="9"/>
        <v>0.12236220472440945</v>
      </c>
      <c r="M14" s="1244">
        <v>1210</v>
      </c>
      <c r="N14" s="1244">
        <v>1330</v>
      </c>
      <c r="O14" s="1220">
        <f t="shared" si="10"/>
        <v>2540</v>
      </c>
      <c r="P14" s="1244">
        <v>154.4</v>
      </c>
      <c r="Q14" s="1244">
        <v>156.4</v>
      </c>
      <c r="R14" s="1246">
        <f t="shared" si="11"/>
        <v>310.8</v>
      </c>
      <c r="S14" s="1222">
        <f t="shared" si="0"/>
        <v>11.12272440944882</v>
      </c>
      <c r="T14" s="1248">
        <f t="shared" si="4"/>
        <v>2.4531563009025201</v>
      </c>
      <c r="U14" s="1251">
        <v>4.8765999999999998</v>
      </c>
      <c r="V14" s="1252">
        <v>2.76</v>
      </c>
      <c r="W14" s="1223">
        <f t="shared" si="12"/>
        <v>1184.61104</v>
      </c>
      <c r="X14" s="1223">
        <f t="shared" si="6"/>
        <v>3.8114898326898325</v>
      </c>
      <c r="Y14" s="1255">
        <f t="shared" si="7"/>
        <v>1.5537085147357221</v>
      </c>
    </row>
    <row r="15" spans="1:26" ht="15.75" thickTop="1"/>
    <row r="16" spans="1:26">
      <c r="A16" s="55" t="s">
        <v>39</v>
      </c>
      <c r="B16" s="1"/>
      <c r="C16" s="1"/>
      <c r="D16" s="1"/>
      <c r="E16" s="1"/>
      <c r="F16" s="1"/>
      <c r="G16" s="1"/>
      <c r="H16" s="1"/>
      <c r="I16" s="1"/>
      <c r="J16" s="1"/>
    </row>
    <row r="17" spans="1:13">
      <c r="A17" s="56" t="s">
        <v>40</v>
      </c>
      <c r="B17" s="1"/>
      <c r="C17" s="1"/>
      <c r="D17" s="1"/>
      <c r="E17" s="1"/>
      <c r="F17" s="1"/>
      <c r="G17" s="1"/>
      <c r="H17" s="1"/>
      <c r="I17" s="1"/>
      <c r="J17" s="1"/>
    </row>
    <row r="18" spans="1:13">
      <c r="A18" s="56" t="s">
        <v>41</v>
      </c>
      <c r="B18" s="1"/>
      <c r="C18" s="1"/>
      <c r="D18" s="1"/>
      <c r="E18" s="1"/>
      <c r="F18" s="1"/>
      <c r="G18" s="1"/>
      <c r="H18" s="1"/>
      <c r="I18" s="1"/>
      <c r="J18" s="750" t="s">
        <v>390</v>
      </c>
      <c r="K18" s="751"/>
      <c r="L18" s="751"/>
    </row>
    <row r="19" spans="1:13">
      <c r="A19" s="56" t="s">
        <v>84</v>
      </c>
      <c r="B19" s="1"/>
      <c r="C19" s="1"/>
      <c r="D19" s="1"/>
      <c r="E19" s="1"/>
      <c r="F19" s="1"/>
      <c r="G19" s="1"/>
      <c r="H19" s="1"/>
      <c r="I19" s="1"/>
      <c r="J19" s="36"/>
      <c r="K19" s="752" t="s">
        <v>63</v>
      </c>
      <c r="L19" s="753" t="s">
        <v>64</v>
      </c>
      <c r="M19" t="s">
        <v>405</v>
      </c>
    </row>
    <row r="20" spans="1:13">
      <c r="A20" s="56" t="s">
        <v>85</v>
      </c>
      <c r="B20" s="1"/>
      <c r="C20" s="1"/>
      <c r="D20" s="1"/>
      <c r="E20" s="1"/>
      <c r="F20" s="1"/>
      <c r="G20" s="1"/>
      <c r="H20" s="1"/>
      <c r="I20" s="1"/>
      <c r="J20" s="36" t="s">
        <v>391</v>
      </c>
      <c r="K20" s="774">
        <f>AVERAGE(Y7:Y10)</f>
        <v>0.9870283303462577</v>
      </c>
      <c r="L20" s="774">
        <f>AVERAGE(Y11:Y14)</f>
        <v>1.8412449189790174</v>
      </c>
      <c r="M20" s="1603">
        <f>AVERAGE(Y11,Y13)</f>
        <v>1.5620369208447822</v>
      </c>
    </row>
    <row r="21" spans="1:13">
      <c r="A21" s="56" t="s">
        <v>86</v>
      </c>
      <c r="B21" s="1"/>
      <c r="C21" s="1"/>
      <c r="D21" s="1"/>
      <c r="E21" s="1"/>
      <c r="F21" s="1"/>
      <c r="G21" s="1"/>
      <c r="H21" s="1"/>
      <c r="I21" s="1"/>
      <c r="J21" s="36" t="s">
        <v>25</v>
      </c>
      <c r="K21" s="774">
        <f>AVERAGE(W7:W10)</f>
        <v>311.8702275</v>
      </c>
      <c r="L21" s="774">
        <f>AVERAGE(W11:W14)</f>
        <v>1953.4823775</v>
      </c>
      <c r="M21" s="1603">
        <f>AVERAGE(W11,W13)</f>
        <v>446.49625999999995</v>
      </c>
    </row>
    <row r="22" spans="1:13">
      <c r="A22" s="56" t="s">
        <v>42</v>
      </c>
      <c r="B22" s="1"/>
      <c r="C22" s="1"/>
      <c r="D22" s="1"/>
      <c r="E22" s="1"/>
      <c r="F22" s="1"/>
      <c r="G22" s="1"/>
      <c r="H22" s="1"/>
      <c r="I22" s="1"/>
      <c r="J22" s="36" t="s">
        <v>392</v>
      </c>
      <c r="K22" s="774">
        <f>AVERAGE(X7:X10)</f>
        <v>2.9829497480258556</v>
      </c>
      <c r="L22" s="774">
        <f>AVERAGE(X11:X14)</f>
        <v>4.0534157089879574</v>
      </c>
      <c r="M22" s="1603">
        <f>AVERAGE(X11,X13)</f>
        <v>4.2030628339193994</v>
      </c>
    </row>
    <row r="23" spans="1:13">
      <c r="A23" s="55" t="s">
        <v>87</v>
      </c>
      <c r="B23" s="1"/>
      <c r="C23" s="1"/>
      <c r="D23" s="1"/>
      <c r="E23" s="1"/>
      <c r="F23" s="1"/>
      <c r="G23" s="1"/>
      <c r="H23" s="1"/>
      <c r="I23" s="1"/>
      <c r="J23" s="36" t="s">
        <v>393</v>
      </c>
      <c r="K23" s="774">
        <f>AVERAGE(S7:S10)</f>
        <v>4.8618290987744448</v>
      </c>
      <c r="L23" s="774">
        <f>AVERAGE(S11:S14)</f>
        <v>27.221350259514075</v>
      </c>
      <c r="M23" s="1603">
        <f>AVERAGE(S11,S13)</f>
        <v>7.6945626133691629</v>
      </c>
    </row>
    <row r="24" spans="1:13">
      <c r="A24" s="55" t="s">
        <v>44</v>
      </c>
      <c r="B24" s="1"/>
      <c r="C24" s="1"/>
      <c r="D24" s="1"/>
      <c r="E24" s="1"/>
      <c r="F24" s="1"/>
      <c r="G24" s="1"/>
      <c r="H24" s="1"/>
      <c r="I24" s="1"/>
      <c r="J24" s="1"/>
    </row>
    <row r="25" spans="1:13">
      <c r="A25" s="55" t="s">
        <v>45</v>
      </c>
      <c r="B25" s="1"/>
      <c r="C25" s="1"/>
      <c r="D25" s="1"/>
      <c r="E25" s="1"/>
      <c r="F25" s="1"/>
      <c r="G25" s="1"/>
      <c r="H25" s="1"/>
      <c r="I25" s="1"/>
      <c r="J25" s="1"/>
    </row>
    <row r="26" spans="1:13">
      <c r="A26" s="56" t="s">
        <v>46</v>
      </c>
      <c r="B26" s="1"/>
      <c r="C26" s="1"/>
      <c r="D26" s="1"/>
      <c r="E26" s="1"/>
      <c r="F26" s="1"/>
      <c r="G26" s="1"/>
      <c r="H26" s="1"/>
      <c r="I26" s="1"/>
      <c r="J26" s="1"/>
    </row>
    <row r="27" spans="1:13">
      <c r="A27" s="56" t="s">
        <v>47</v>
      </c>
      <c r="B27" s="1"/>
      <c r="C27" s="1"/>
      <c r="D27" s="1"/>
      <c r="E27" s="1"/>
      <c r="F27" s="1"/>
      <c r="G27" s="1"/>
      <c r="H27" s="1"/>
      <c r="I27" s="1"/>
      <c r="J27" s="1"/>
    </row>
    <row r="28" spans="1:13">
      <c r="A28" s="56" t="s">
        <v>48</v>
      </c>
      <c r="B28" s="1"/>
      <c r="C28" s="1"/>
      <c r="D28" s="1"/>
      <c r="E28" s="1"/>
      <c r="F28" s="1"/>
      <c r="G28" s="1"/>
      <c r="H28" s="1"/>
      <c r="I28" s="1"/>
      <c r="J28" s="1"/>
    </row>
    <row r="29" spans="1:13">
      <c r="A29" s="56" t="s">
        <v>49</v>
      </c>
      <c r="B29" s="1"/>
      <c r="C29" s="1"/>
      <c r="D29" s="1"/>
      <c r="E29" s="1"/>
      <c r="F29" s="1"/>
      <c r="G29" s="1"/>
      <c r="H29" s="1"/>
      <c r="I29" s="1"/>
      <c r="J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3">
      <c r="A31" s="1" t="s">
        <v>50</v>
      </c>
      <c r="B31" s="1"/>
      <c r="C31" s="1"/>
      <c r="D31" s="1"/>
      <c r="E31" s="1"/>
      <c r="F31" s="1"/>
      <c r="G31" s="1"/>
      <c r="H31" s="1"/>
      <c r="I31" s="1"/>
      <c r="J31" s="1"/>
    </row>
  </sheetData>
  <mergeCells count="4">
    <mergeCell ref="H1:J1"/>
    <mergeCell ref="K1:R1"/>
    <mergeCell ref="S1:T1"/>
    <mergeCell ref="U1:W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Y43"/>
  <sheetViews>
    <sheetView workbookViewId="0">
      <selection activeCell="J31" sqref="J31:L36"/>
    </sheetView>
  </sheetViews>
  <sheetFormatPr baseColWidth="10" defaultRowHeight="15"/>
  <sheetData>
    <row r="1" spans="1:25" ht="15.75">
      <c r="A1" s="1"/>
      <c r="B1" s="1"/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  <c r="Y1" s="4"/>
    </row>
    <row r="2" spans="1: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7" t="s">
        <v>11</v>
      </c>
      <c r="L2" s="5" t="s">
        <v>14</v>
      </c>
      <c r="M2" s="8" t="s">
        <v>15</v>
      </c>
      <c r="N2" s="8" t="s">
        <v>16</v>
      </c>
      <c r="O2" s="5" t="s">
        <v>17</v>
      </c>
      <c r="P2" s="8" t="s">
        <v>18</v>
      </c>
      <c r="Q2" s="8" t="s">
        <v>19</v>
      </c>
      <c r="R2" s="9" t="s">
        <v>20</v>
      </c>
      <c r="S2" s="10" t="s">
        <v>21</v>
      </c>
      <c r="T2" s="8" t="s">
        <v>22</v>
      </c>
      <c r="U2" s="11" t="s">
        <v>23</v>
      </c>
      <c r="V2" s="11" t="s">
        <v>24</v>
      </c>
      <c r="W2" s="12" t="s">
        <v>25</v>
      </c>
      <c r="X2" s="13" t="s">
        <v>26</v>
      </c>
      <c r="Y2" s="14" t="s">
        <v>27</v>
      </c>
    </row>
    <row r="3" spans="1:25">
      <c r="A3" s="17" t="s">
        <v>28</v>
      </c>
      <c r="B3" s="156"/>
      <c r="C3" s="34"/>
      <c r="D3" s="34"/>
      <c r="E3" s="17"/>
      <c r="F3" s="19"/>
      <c r="G3" s="19"/>
      <c r="H3" s="19"/>
      <c r="I3" s="35"/>
      <c r="J3" s="157" t="e">
        <f>I3*L3</f>
        <v>#DIV/0!</v>
      </c>
      <c r="K3" s="187"/>
      <c r="L3" s="35" t="e">
        <f>R3/O3</f>
        <v>#DIV/0!</v>
      </c>
      <c r="M3" s="1636"/>
      <c r="N3" s="1654"/>
      <c r="O3" s="159">
        <f t="shared" ref="O3:O10" si="0">M3+N3</f>
        <v>0</v>
      </c>
      <c r="P3" s="1636"/>
      <c r="Q3" s="1637"/>
      <c r="R3" s="157">
        <f t="shared" ref="R3:R10" si="1">P3+Q3</f>
        <v>0</v>
      </c>
      <c r="S3" s="160" t="e">
        <f t="shared" ref="S3:S26" si="2">(R3+J3)/100</f>
        <v>#DIV/0!</v>
      </c>
      <c r="T3" s="161" t="e">
        <f>4.48*S3^(-0.25)</f>
        <v>#DIV/0!</v>
      </c>
      <c r="U3" s="1638"/>
      <c r="V3" s="1638"/>
      <c r="W3" s="162">
        <f>(U3*P3)</f>
        <v>0</v>
      </c>
      <c r="X3" s="162" t="e">
        <f>W3/R3</f>
        <v>#DIV/0!</v>
      </c>
      <c r="Y3" s="162" t="e">
        <f>W3/T3</f>
        <v>#DIV/0!</v>
      </c>
    </row>
    <row r="4" spans="1:25">
      <c r="A4" s="17" t="s">
        <v>28</v>
      </c>
      <c r="B4" s="156"/>
      <c r="C4" s="34"/>
      <c r="D4" s="34"/>
      <c r="E4" s="17"/>
      <c r="F4" s="19"/>
      <c r="G4" s="19"/>
      <c r="H4" s="19"/>
      <c r="I4" s="35"/>
      <c r="J4" s="157" t="e">
        <f t="shared" ref="J4:J26" si="3">I4*L4</f>
        <v>#DIV/0!</v>
      </c>
      <c r="K4" s="187"/>
      <c r="L4" s="35" t="e">
        <f t="shared" ref="L4:L26" si="4">R4/O4</f>
        <v>#DIV/0!</v>
      </c>
      <c r="M4" s="1655"/>
      <c r="N4" s="1656"/>
      <c r="O4" s="159">
        <f t="shared" si="0"/>
        <v>0</v>
      </c>
      <c r="P4" s="1636"/>
      <c r="Q4" s="1637"/>
      <c r="R4" s="157">
        <f t="shared" si="1"/>
        <v>0</v>
      </c>
      <c r="S4" s="160" t="e">
        <f t="shared" si="2"/>
        <v>#DIV/0!</v>
      </c>
      <c r="T4" s="161" t="e">
        <f t="shared" ref="T4:T26" si="5">4.48*S4^(-0.25)</f>
        <v>#DIV/0!</v>
      </c>
      <c r="U4" s="1638"/>
      <c r="V4" s="1638"/>
      <c r="W4" s="162">
        <f t="shared" ref="W4:W10" si="6">(U4*P4)</f>
        <v>0</v>
      </c>
      <c r="X4" s="162" t="e">
        <f t="shared" ref="X4:X26" si="7">W4/R4</f>
        <v>#DIV/0!</v>
      </c>
      <c r="Y4" s="162" t="e">
        <f t="shared" ref="Y4:Y10" si="8">W4/T4</f>
        <v>#DIV/0!</v>
      </c>
    </row>
    <row r="5" spans="1:25">
      <c r="A5" s="17" t="s">
        <v>28</v>
      </c>
      <c r="B5" s="156"/>
      <c r="C5" s="34"/>
      <c r="D5" s="34"/>
      <c r="E5" s="17"/>
      <c r="F5" s="19"/>
      <c r="G5" s="19"/>
      <c r="H5" s="19"/>
      <c r="I5" s="35"/>
      <c r="J5" s="157" t="e">
        <f t="shared" si="3"/>
        <v>#DIV/0!</v>
      </c>
      <c r="K5" s="187"/>
      <c r="L5" s="35" t="e">
        <f t="shared" si="4"/>
        <v>#DIV/0!</v>
      </c>
      <c r="M5" s="1634"/>
      <c r="N5" s="1635"/>
      <c r="O5" s="159">
        <f t="shared" si="0"/>
        <v>0</v>
      </c>
      <c r="P5" s="1636"/>
      <c r="Q5" s="1637"/>
      <c r="R5" s="157">
        <f t="shared" si="1"/>
        <v>0</v>
      </c>
      <c r="S5" s="160" t="e">
        <f t="shared" si="2"/>
        <v>#DIV/0!</v>
      </c>
      <c r="T5" s="161" t="e">
        <f t="shared" si="5"/>
        <v>#DIV/0!</v>
      </c>
      <c r="U5" s="1638"/>
      <c r="V5" s="1638"/>
      <c r="W5" s="162">
        <f t="shared" si="6"/>
        <v>0</v>
      </c>
      <c r="X5" s="162" t="e">
        <f t="shared" si="7"/>
        <v>#DIV/0!</v>
      </c>
      <c r="Y5" s="162" t="e">
        <f t="shared" si="8"/>
        <v>#DIV/0!</v>
      </c>
    </row>
    <row r="6" spans="1:25">
      <c r="A6" s="17" t="s">
        <v>28</v>
      </c>
      <c r="B6" s="156"/>
      <c r="C6" s="34"/>
      <c r="D6" s="34"/>
      <c r="E6" s="17"/>
      <c r="F6" s="19"/>
      <c r="G6" s="19"/>
      <c r="H6" s="19"/>
      <c r="I6" s="35"/>
      <c r="J6" s="157" t="e">
        <f t="shared" si="3"/>
        <v>#DIV/0!</v>
      </c>
      <c r="K6" s="187"/>
      <c r="L6" s="35" t="e">
        <f t="shared" si="4"/>
        <v>#DIV/0!</v>
      </c>
      <c r="M6" s="1634"/>
      <c r="N6" s="1635"/>
      <c r="O6" s="159">
        <f t="shared" si="0"/>
        <v>0</v>
      </c>
      <c r="P6" s="1636"/>
      <c r="Q6" s="1637"/>
      <c r="R6" s="157">
        <f t="shared" si="1"/>
        <v>0</v>
      </c>
      <c r="S6" s="160" t="e">
        <f t="shared" si="2"/>
        <v>#DIV/0!</v>
      </c>
      <c r="T6" s="161" t="e">
        <f t="shared" si="5"/>
        <v>#DIV/0!</v>
      </c>
      <c r="U6" s="1638"/>
      <c r="V6" s="1638"/>
      <c r="W6" s="162">
        <f t="shared" si="6"/>
        <v>0</v>
      </c>
      <c r="X6" s="162" t="e">
        <f t="shared" si="7"/>
        <v>#DIV/0!</v>
      </c>
      <c r="Y6" s="162" t="e">
        <f t="shared" si="8"/>
        <v>#DIV/0!</v>
      </c>
    </row>
    <row r="7" spans="1:25">
      <c r="A7" s="17" t="s">
        <v>34</v>
      </c>
      <c r="B7" s="156"/>
      <c r="C7" s="34"/>
      <c r="D7" s="34"/>
      <c r="E7" s="17"/>
      <c r="F7" s="19"/>
      <c r="G7" s="19"/>
      <c r="H7" s="19"/>
      <c r="I7" s="35"/>
      <c r="J7" s="157" t="e">
        <f t="shared" si="3"/>
        <v>#DIV/0!</v>
      </c>
      <c r="K7" s="187"/>
      <c r="L7" s="35" t="e">
        <f t="shared" si="4"/>
        <v>#DIV/0!</v>
      </c>
      <c r="M7" s="1634"/>
      <c r="N7" s="1635"/>
      <c r="O7" s="159">
        <f t="shared" si="0"/>
        <v>0</v>
      </c>
      <c r="P7" s="1636"/>
      <c r="Q7" s="1637"/>
      <c r="R7" s="157">
        <f t="shared" si="1"/>
        <v>0</v>
      </c>
      <c r="S7" s="160" t="e">
        <f t="shared" si="2"/>
        <v>#DIV/0!</v>
      </c>
      <c r="T7" s="161" t="e">
        <f t="shared" si="5"/>
        <v>#DIV/0!</v>
      </c>
      <c r="U7" s="1638"/>
      <c r="V7" s="1638"/>
      <c r="W7" s="162">
        <f t="shared" si="6"/>
        <v>0</v>
      </c>
      <c r="X7" s="162" t="e">
        <f t="shared" si="7"/>
        <v>#DIV/0!</v>
      </c>
      <c r="Y7" s="162" t="e">
        <f t="shared" si="8"/>
        <v>#DIV/0!</v>
      </c>
    </row>
    <row r="8" spans="1:25">
      <c r="A8" s="17" t="s">
        <v>34</v>
      </c>
      <c r="B8" s="156"/>
      <c r="C8" s="34"/>
      <c r="D8" s="34"/>
      <c r="E8" s="17"/>
      <c r="F8" s="19"/>
      <c r="G8" s="19"/>
      <c r="H8" s="19"/>
      <c r="I8" s="35"/>
      <c r="J8" s="157" t="e">
        <f t="shared" si="3"/>
        <v>#DIV/0!</v>
      </c>
      <c r="K8" s="187"/>
      <c r="L8" s="35" t="e">
        <f t="shared" si="4"/>
        <v>#DIV/0!</v>
      </c>
      <c r="M8" s="1634"/>
      <c r="N8" s="1635"/>
      <c r="O8" s="159">
        <f t="shared" si="0"/>
        <v>0</v>
      </c>
      <c r="P8" s="1636"/>
      <c r="Q8" s="1637"/>
      <c r="R8" s="157">
        <f t="shared" si="1"/>
        <v>0</v>
      </c>
      <c r="S8" s="160" t="e">
        <f t="shared" si="2"/>
        <v>#DIV/0!</v>
      </c>
      <c r="T8" s="161" t="e">
        <f t="shared" si="5"/>
        <v>#DIV/0!</v>
      </c>
      <c r="U8" s="1638"/>
      <c r="V8" s="1638"/>
      <c r="W8" s="162">
        <f t="shared" si="6"/>
        <v>0</v>
      </c>
      <c r="X8" s="162" t="e">
        <f t="shared" si="7"/>
        <v>#DIV/0!</v>
      </c>
      <c r="Y8" s="162" t="e">
        <f t="shared" si="8"/>
        <v>#DIV/0!</v>
      </c>
    </row>
    <row r="9" spans="1:25">
      <c r="A9" s="17" t="s">
        <v>34</v>
      </c>
      <c r="B9" s="156"/>
      <c r="C9" s="34"/>
      <c r="D9" s="34"/>
      <c r="E9" s="17"/>
      <c r="F9" s="19"/>
      <c r="G9" s="19"/>
      <c r="H9" s="19"/>
      <c r="I9" s="35"/>
      <c r="J9" s="157" t="e">
        <f t="shared" si="3"/>
        <v>#DIV/0!</v>
      </c>
      <c r="K9" s="187"/>
      <c r="L9" s="35" t="e">
        <f t="shared" si="4"/>
        <v>#DIV/0!</v>
      </c>
      <c r="M9" s="1634"/>
      <c r="N9" s="1635"/>
      <c r="O9" s="159">
        <f t="shared" si="0"/>
        <v>0</v>
      </c>
      <c r="P9" s="1636"/>
      <c r="Q9" s="1637"/>
      <c r="R9" s="157">
        <f t="shared" si="1"/>
        <v>0</v>
      </c>
      <c r="S9" s="160" t="e">
        <f t="shared" si="2"/>
        <v>#DIV/0!</v>
      </c>
      <c r="T9" s="161" t="e">
        <f t="shared" si="5"/>
        <v>#DIV/0!</v>
      </c>
      <c r="U9" s="1638"/>
      <c r="V9" s="1638"/>
      <c r="W9" s="162">
        <f t="shared" si="6"/>
        <v>0</v>
      </c>
      <c r="X9" s="162" t="e">
        <f t="shared" si="7"/>
        <v>#DIV/0!</v>
      </c>
      <c r="Y9" s="162" t="e">
        <f t="shared" si="8"/>
        <v>#DIV/0!</v>
      </c>
    </row>
    <row r="10" spans="1:25">
      <c r="A10" s="17" t="s">
        <v>34</v>
      </c>
      <c r="B10" s="156"/>
      <c r="C10" s="34"/>
      <c r="D10" s="34"/>
      <c r="E10" s="17"/>
      <c r="F10" s="19"/>
      <c r="G10" s="19"/>
      <c r="H10" s="19"/>
      <c r="I10" s="35"/>
      <c r="J10" s="157" t="e">
        <f t="shared" si="3"/>
        <v>#DIV/0!</v>
      </c>
      <c r="K10" s="187"/>
      <c r="L10" s="35" t="e">
        <f t="shared" si="4"/>
        <v>#DIV/0!</v>
      </c>
      <c r="M10" s="1639"/>
      <c r="N10" s="1640"/>
      <c r="O10" s="159">
        <f t="shared" si="0"/>
        <v>0</v>
      </c>
      <c r="P10" s="1636"/>
      <c r="Q10" s="1637"/>
      <c r="R10" s="157">
        <f t="shared" si="1"/>
        <v>0</v>
      </c>
      <c r="S10" s="160" t="e">
        <f t="shared" si="2"/>
        <v>#DIV/0!</v>
      </c>
      <c r="T10" s="161" t="e">
        <f t="shared" si="5"/>
        <v>#DIV/0!</v>
      </c>
      <c r="U10" s="1638"/>
      <c r="V10" s="1638"/>
      <c r="W10" s="162">
        <f t="shared" si="6"/>
        <v>0</v>
      </c>
      <c r="X10" s="162" t="e">
        <f t="shared" si="7"/>
        <v>#DIV/0!</v>
      </c>
      <c r="Y10" s="162" t="e">
        <f t="shared" si="8"/>
        <v>#DIV/0!</v>
      </c>
    </row>
    <row r="11" spans="1:25">
      <c r="A11" s="17" t="s">
        <v>35</v>
      </c>
      <c r="B11" s="156"/>
      <c r="C11" s="34"/>
      <c r="D11" s="34"/>
      <c r="E11" s="17"/>
      <c r="F11" s="19"/>
      <c r="G11" s="19"/>
      <c r="H11" s="19"/>
      <c r="I11" s="35"/>
      <c r="J11" s="157" t="e">
        <f t="shared" si="3"/>
        <v>#DIV/0!</v>
      </c>
      <c r="K11" s="187"/>
      <c r="L11" s="35" t="e">
        <f t="shared" si="4"/>
        <v>#DIV/0!</v>
      </c>
      <c r="M11" s="35"/>
      <c r="N11" s="159"/>
      <c r="O11" s="159">
        <f>M11+N11</f>
        <v>0</v>
      </c>
      <c r="P11" s="179"/>
      <c r="Q11" s="179"/>
      <c r="R11" s="157">
        <f>P11+Q11</f>
        <v>0</v>
      </c>
      <c r="S11" s="160" t="e">
        <f t="shared" si="2"/>
        <v>#DIV/0!</v>
      </c>
      <c r="T11" s="161" t="e">
        <f t="shared" si="5"/>
        <v>#DIV/0!</v>
      </c>
      <c r="U11" s="162"/>
      <c r="V11" s="162"/>
      <c r="W11" s="162">
        <f>(U11*P11)+(V11*Q11)</f>
        <v>0</v>
      </c>
      <c r="X11" s="162" t="e">
        <f t="shared" si="7"/>
        <v>#DIV/0!</v>
      </c>
      <c r="Y11" s="162" t="e">
        <f>X11/T11</f>
        <v>#DIV/0!</v>
      </c>
    </row>
    <row r="12" spans="1:25">
      <c r="A12" s="17" t="s">
        <v>35</v>
      </c>
      <c r="B12" s="156"/>
      <c r="C12" s="34"/>
      <c r="D12" s="34"/>
      <c r="E12" s="17"/>
      <c r="F12" s="19"/>
      <c r="G12" s="19"/>
      <c r="H12" s="19"/>
      <c r="I12" s="35"/>
      <c r="J12" s="157" t="e">
        <f t="shared" si="3"/>
        <v>#DIV/0!</v>
      </c>
      <c r="K12" s="187"/>
      <c r="L12" s="35" t="e">
        <f t="shared" si="4"/>
        <v>#DIV/0!</v>
      </c>
      <c r="M12" s="19"/>
      <c r="N12" s="179"/>
      <c r="O12" s="159">
        <f t="shared" ref="O12:O26" si="9">M12+N12</f>
        <v>0</v>
      </c>
      <c r="P12" s="19"/>
      <c r="Q12" s="19"/>
      <c r="R12" s="157">
        <f t="shared" ref="R12:R26" si="10">P12+Q12</f>
        <v>0</v>
      </c>
      <c r="S12" s="160" t="e">
        <f t="shared" si="2"/>
        <v>#DIV/0!</v>
      </c>
      <c r="T12" s="161" t="e">
        <f t="shared" si="5"/>
        <v>#DIV/0!</v>
      </c>
      <c r="U12" s="162"/>
      <c r="V12" s="162"/>
      <c r="W12" s="162">
        <f t="shared" ref="W12:W26" si="11">(U12*P12)+(V12*Q12)</f>
        <v>0</v>
      </c>
      <c r="X12" s="162" t="e">
        <f t="shared" si="7"/>
        <v>#DIV/0!</v>
      </c>
      <c r="Y12" s="162" t="e">
        <f t="shared" ref="Y12:Y26" si="12">X12/T12</f>
        <v>#DIV/0!</v>
      </c>
    </row>
    <row r="13" spans="1:25">
      <c r="A13" s="17" t="s">
        <v>35</v>
      </c>
      <c r="B13" s="156"/>
      <c r="C13" s="34"/>
      <c r="D13" s="34"/>
      <c r="E13" s="17"/>
      <c r="F13" s="19"/>
      <c r="G13" s="19"/>
      <c r="H13" s="19"/>
      <c r="I13" s="35"/>
      <c r="J13" s="157" t="e">
        <f t="shared" si="3"/>
        <v>#DIV/0!</v>
      </c>
      <c r="K13" s="187"/>
      <c r="L13" s="35" t="e">
        <f t="shared" si="4"/>
        <v>#DIV/0!</v>
      </c>
      <c r="M13" s="19"/>
      <c r="N13" s="19"/>
      <c r="O13" s="159">
        <f t="shared" si="9"/>
        <v>0</v>
      </c>
      <c r="P13" s="19"/>
      <c r="Q13" s="19"/>
      <c r="R13" s="157">
        <f t="shared" si="10"/>
        <v>0</v>
      </c>
      <c r="S13" s="160" t="e">
        <f t="shared" si="2"/>
        <v>#DIV/0!</v>
      </c>
      <c r="T13" s="161" t="e">
        <f t="shared" si="5"/>
        <v>#DIV/0!</v>
      </c>
      <c r="U13" s="162"/>
      <c r="V13" s="162"/>
      <c r="W13" s="162">
        <f t="shared" si="11"/>
        <v>0</v>
      </c>
      <c r="X13" s="162" t="e">
        <f t="shared" si="7"/>
        <v>#DIV/0!</v>
      </c>
      <c r="Y13" s="162" t="e">
        <f t="shared" si="12"/>
        <v>#DIV/0!</v>
      </c>
    </row>
    <row r="14" spans="1:25">
      <c r="A14" s="17" t="s">
        <v>35</v>
      </c>
      <c r="B14" s="156"/>
      <c r="C14" s="34"/>
      <c r="D14" s="34"/>
      <c r="E14" s="17"/>
      <c r="F14" s="19"/>
      <c r="G14" s="19"/>
      <c r="H14" s="19"/>
      <c r="I14" s="35"/>
      <c r="J14" s="157" t="e">
        <f t="shared" si="3"/>
        <v>#DIV/0!</v>
      </c>
      <c r="K14" s="187"/>
      <c r="L14" s="35" t="e">
        <f t="shared" si="4"/>
        <v>#DIV/0!</v>
      </c>
      <c r="M14" s="19"/>
      <c r="N14" s="19"/>
      <c r="O14" s="159">
        <f t="shared" si="9"/>
        <v>0</v>
      </c>
      <c r="P14" s="19"/>
      <c r="Q14" s="19"/>
      <c r="R14" s="157">
        <f t="shared" si="10"/>
        <v>0</v>
      </c>
      <c r="S14" s="160" t="e">
        <f t="shared" si="2"/>
        <v>#DIV/0!</v>
      </c>
      <c r="T14" s="161" t="e">
        <f t="shared" si="5"/>
        <v>#DIV/0!</v>
      </c>
      <c r="U14" s="162"/>
      <c r="V14" s="162"/>
      <c r="W14" s="162">
        <f t="shared" si="11"/>
        <v>0</v>
      </c>
      <c r="X14" s="162" t="e">
        <f t="shared" si="7"/>
        <v>#DIV/0!</v>
      </c>
      <c r="Y14" s="162" t="e">
        <f t="shared" si="12"/>
        <v>#DIV/0!</v>
      </c>
    </row>
    <row r="15" spans="1:25">
      <c r="A15" s="17" t="s">
        <v>35</v>
      </c>
      <c r="B15" s="156"/>
      <c r="C15" s="34"/>
      <c r="D15" s="34"/>
      <c r="E15" s="17"/>
      <c r="F15" s="19"/>
      <c r="G15" s="19"/>
      <c r="H15" s="19"/>
      <c r="I15" s="35"/>
      <c r="J15" s="157" t="e">
        <f t="shared" si="3"/>
        <v>#DIV/0!</v>
      </c>
      <c r="K15" s="187"/>
      <c r="L15" s="35" t="e">
        <f t="shared" si="4"/>
        <v>#DIV/0!</v>
      </c>
      <c r="M15" s="19"/>
      <c r="N15" s="19"/>
      <c r="O15" s="159">
        <f t="shared" si="9"/>
        <v>0</v>
      </c>
      <c r="P15" s="19"/>
      <c r="Q15" s="19"/>
      <c r="R15" s="157">
        <f t="shared" si="10"/>
        <v>0</v>
      </c>
      <c r="S15" s="160" t="e">
        <f t="shared" si="2"/>
        <v>#DIV/0!</v>
      </c>
      <c r="T15" s="161" t="e">
        <f t="shared" si="5"/>
        <v>#DIV/0!</v>
      </c>
      <c r="U15" s="162"/>
      <c r="V15" s="162"/>
      <c r="W15" s="162">
        <f t="shared" si="11"/>
        <v>0</v>
      </c>
      <c r="X15" s="162" t="e">
        <f t="shared" si="7"/>
        <v>#DIV/0!</v>
      </c>
      <c r="Y15" s="162" t="e">
        <f t="shared" si="12"/>
        <v>#DIV/0!</v>
      </c>
    </row>
    <row r="16" spans="1:25">
      <c r="A16" s="17" t="s">
        <v>35</v>
      </c>
      <c r="B16" s="156"/>
      <c r="C16" s="34"/>
      <c r="D16" s="34"/>
      <c r="E16" s="17"/>
      <c r="F16" s="19"/>
      <c r="G16" s="19"/>
      <c r="H16" s="19"/>
      <c r="I16" s="35"/>
      <c r="J16" s="157" t="e">
        <f t="shared" si="3"/>
        <v>#DIV/0!</v>
      </c>
      <c r="K16" s="187"/>
      <c r="L16" s="35" t="e">
        <f t="shared" si="4"/>
        <v>#DIV/0!</v>
      </c>
      <c r="M16" s="19"/>
      <c r="N16" s="19"/>
      <c r="O16" s="159">
        <f t="shared" si="9"/>
        <v>0</v>
      </c>
      <c r="P16" s="19"/>
      <c r="Q16" s="19"/>
      <c r="R16" s="157">
        <f t="shared" si="10"/>
        <v>0</v>
      </c>
      <c r="S16" s="160" t="e">
        <f t="shared" si="2"/>
        <v>#DIV/0!</v>
      </c>
      <c r="T16" s="161" t="e">
        <f t="shared" si="5"/>
        <v>#DIV/0!</v>
      </c>
      <c r="U16" s="162"/>
      <c r="V16" s="162"/>
      <c r="W16" s="162">
        <f t="shared" si="11"/>
        <v>0</v>
      </c>
      <c r="X16" s="162" t="e">
        <f t="shared" si="7"/>
        <v>#DIV/0!</v>
      </c>
      <c r="Y16" s="162" t="e">
        <f t="shared" si="12"/>
        <v>#DIV/0!</v>
      </c>
    </row>
    <row r="17" spans="1:25">
      <c r="A17" s="17" t="s">
        <v>35</v>
      </c>
      <c r="B17" s="156"/>
      <c r="C17" s="34"/>
      <c r="D17" s="34"/>
      <c r="E17" s="17"/>
      <c r="F17" s="19"/>
      <c r="G17" s="19"/>
      <c r="H17" s="19"/>
      <c r="I17" s="35"/>
      <c r="J17" s="157" t="e">
        <f t="shared" si="3"/>
        <v>#DIV/0!</v>
      </c>
      <c r="K17" s="187"/>
      <c r="L17" s="35" t="e">
        <f t="shared" si="4"/>
        <v>#DIV/0!</v>
      </c>
      <c r="M17" s="19"/>
      <c r="N17" s="19"/>
      <c r="O17" s="159">
        <f t="shared" si="9"/>
        <v>0</v>
      </c>
      <c r="P17" s="19"/>
      <c r="Q17" s="19"/>
      <c r="R17" s="157">
        <f t="shared" si="10"/>
        <v>0</v>
      </c>
      <c r="S17" s="160" t="e">
        <f t="shared" si="2"/>
        <v>#DIV/0!</v>
      </c>
      <c r="T17" s="161" t="e">
        <f t="shared" si="5"/>
        <v>#DIV/0!</v>
      </c>
      <c r="U17" s="193"/>
      <c r="V17" s="193"/>
      <c r="W17" s="162">
        <f t="shared" si="11"/>
        <v>0</v>
      </c>
      <c r="X17" s="162" t="e">
        <f t="shared" si="7"/>
        <v>#DIV/0!</v>
      </c>
      <c r="Y17" s="162" t="e">
        <f t="shared" si="12"/>
        <v>#DIV/0!</v>
      </c>
    </row>
    <row r="18" spans="1:25">
      <c r="A18" s="17" t="s">
        <v>35</v>
      </c>
      <c r="B18" s="156"/>
      <c r="C18" s="34"/>
      <c r="D18" s="34"/>
      <c r="E18" s="17"/>
      <c r="F18" s="19"/>
      <c r="G18" s="19"/>
      <c r="H18" s="19"/>
      <c r="I18" s="35"/>
      <c r="J18" s="157" t="e">
        <f t="shared" si="3"/>
        <v>#DIV/0!</v>
      </c>
      <c r="K18" s="187"/>
      <c r="L18" s="35" t="e">
        <f t="shared" si="4"/>
        <v>#DIV/0!</v>
      </c>
      <c r="M18" s="19"/>
      <c r="N18" s="19"/>
      <c r="O18" s="159">
        <f t="shared" si="9"/>
        <v>0</v>
      </c>
      <c r="P18" s="19"/>
      <c r="Q18" s="19"/>
      <c r="R18" s="157">
        <f t="shared" si="10"/>
        <v>0</v>
      </c>
      <c r="S18" s="160" t="e">
        <f t="shared" si="2"/>
        <v>#DIV/0!</v>
      </c>
      <c r="T18" s="161" t="e">
        <f t="shared" si="5"/>
        <v>#DIV/0!</v>
      </c>
      <c r="U18" s="162"/>
      <c r="V18" s="162"/>
      <c r="W18" s="162">
        <f t="shared" si="11"/>
        <v>0</v>
      </c>
      <c r="X18" s="162" t="e">
        <f t="shared" si="7"/>
        <v>#DIV/0!</v>
      </c>
      <c r="Y18" s="162" t="e">
        <f t="shared" si="12"/>
        <v>#DIV/0!</v>
      </c>
    </row>
    <row r="19" spans="1:25">
      <c r="A19" s="17" t="s">
        <v>38</v>
      </c>
      <c r="B19" s="156"/>
      <c r="C19" s="34"/>
      <c r="D19" s="34"/>
      <c r="E19" s="17"/>
      <c r="F19" s="19"/>
      <c r="G19" s="19"/>
      <c r="H19" s="19"/>
      <c r="I19" s="35"/>
      <c r="J19" s="157" t="e">
        <f t="shared" si="3"/>
        <v>#DIV/0!</v>
      </c>
      <c r="K19" s="187"/>
      <c r="L19" s="35" t="e">
        <f t="shared" si="4"/>
        <v>#DIV/0!</v>
      </c>
      <c r="M19" s="19"/>
      <c r="N19" s="19"/>
      <c r="O19" s="159">
        <f t="shared" si="9"/>
        <v>0</v>
      </c>
      <c r="P19" s="19"/>
      <c r="Q19" s="19"/>
      <c r="R19" s="157">
        <f t="shared" si="10"/>
        <v>0</v>
      </c>
      <c r="S19" s="160" t="e">
        <f t="shared" si="2"/>
        <v>#DIV/0!</v>
      </c>
      <c r="T19" s="161" t="e">
        <f t="shared" si="5"/>
        <v>#DIV/0!</v>
      </c>
      <c r="U19" s="162"/>
      <c r="V19" s="162"/>
      <c r="W19" s="162">
        <f t="shared" si="11"/>
        <v>0</v>
      </c>
      <c r="X19" s="162" t="e">
        <f t="shared" si="7"/>
        <v>#DIV/0!</v>
      </c>
      <c r="Y19" s="162" t="e">
        <f t="shared" si="12"/>
        <v>#DIV/0!</v>
      </c>
    </row>
    <row r="20" spans="1:25">
      <c r="A20" s="17" t="s">
        <v>38</v>
      </c>
      <c r="B20" s="156"/>
      <c r="C20" s="34"/>
      <c r="D20" s="34"/>
      <c r="E20" s="17"/>
      <c r="F20" s="19"/>
      <c r="G20" s="19"/>
      <c r="H20" s="19"/>
      <c r="I20" s="35"/>
      <c r="J20" s="157" t="e">
        <f t="shared" si="3"/>
        <v>#DIV/0!</v>
      </c>
      <c r="K20" s="187"/>
      <c r="L20" s="35" t="e">
        <f t="shared" si="4"/>
        <v>#DIV/0!</v>
      </c>
      <c r="M20" s="19"/>
      <c r="N20" s="19"/>
      <c r="O20" s="159">
        <f t="shared" si="9"/>
        <v>0</v>
      </c>
      <c r="P20" s="19"/>
      <c r="Q20" s="19"/>
      <c r="R20" s="157">
        <f t="shared" si="10"/>
        <v>0</v>
      </c>
      <c r="S20" s="160" t="e">
        <f t="shared" si="2"/>
        <v>#DIV/0!</v>
      </c>
      <c r="T20" s="161" t="e">
        <f t="shared" si="5"/>
        <v>#DIV/0!</v>
      </c>
      <c r="U20" s="162"/>
      <c r="V20" s="162"/>
      <c r="W20" s="162">
        <f t="shared" si="11"/>
        <v>0</v>
      </c>
      <c r="X20" s="162" t="e">
        <f t="shared" si="7"/>
        <v>#DIV/0!</v>
      </c>
      <c r="Y20" s="162" t="e">
        <f t="shared" si="12"/>
        <v>#DIV/0!</v>
      </c>
    </row>
    <row r="21" spans="1:25">
      <c r="A21" s="17" t="s">
        <v>38</v>
      </c>
      <c r="B21" s="156"/>
      <c r="C21" s="34"/>
      <c r="D21" s="34"/>
      <c r="E21" s="17"/>
      <c r="F21" s="19"/>
      <c r="G21" s="19"/>
      <c r="H21" s="19"/>
      <c r="I21" s="35"/>
      <c r="J21" s="157" t="e">
        <f t="shared" si="3"/>
        <v>#DIV/0!</v>
      </c>
      <c r="K21" s="187"/>
      <c r="L21" s="35" t="e">
        <f t="shared" si="4"/>
        <v>#DIV/0!</v>
      </c>
      <c r="M21" s="19"/>
      <c r="N21" s="19"/>
      <c r="O21" s="159">
        <f t="shared" si="9"/>
        <v>0</v>
      </c>
      <c r="P21" s="19"/>
      <c r="Q21" s="19"/>
      <c r="R21" s="157">
        <f t="shared" si="10"/>
        <v>0</v>
      </c>
      <c r="S21" s="160" t="e">
        <f t="shared" si="2"/>
        <v>#DIV/0!</v>
      </c>
      <c r="T21" s="161" t="e">
        <f t="shared" si="5"/>
        <v>#DIV/0!</v>
      </c>
      <c r="U21" s="162"/>
      <c r="V21" s="162"/>
      <c r="W21" s="162">
        <f t="shared" si="11"/>
        <v>0</v>
      </c>
      <c r="X21" s="162" t="e">
        <f t="shared" si="7"/>
        <v>#DIV/0!</v>
      </c>
      <c r="Y21" s="162" t="e">
        <f t="shared" si="12"/>
        <v>#DIV/0!</v>
      </c>
    </row>
    <row r="22" spans="1:25">
      <c r="A22" s="17" t="s">
        <v>38</v>
      </c>
      <c r="B22" s="156"/>
      <c r="C22" s="34"/>
      <c r="D22" s="34"/>
      <c r="E22" s="17"/>
      <c r="F22" s="19"/>
      <c r="G22" s="19"/>
      <c r="H22" s="19"/>
      <c r="I22" s="35"/>
      <c r="J22" s="157" t="e">
        <f t="shared" si="3"/>
        <v>#DIV/0!</v>
      </c>
      <c r="K22" s="187"/>
      <c r="L22" s="35" t="e">
        <f t="shared" si="4"/>
        <v>#DIV/0!</v>
      </c>
      <c r="M22" s="19"/>
      <c r="N22" s="19"/>
      <c r="O22" s="159">
        <f t="shared" si="9"/>
        <v>0</v>
      </c>
      <c r="P22" s="19"/>
      <c r="Q22" s="19"/>
      <c r="R22" s="157">
        <f t="shared" si="10"/>
        <v>0</v>
      </c>
      <c r="S22" s="160" t="e">
        <f t="shared" si="2"/>
        <v>#DIV/0!</v>
      </c>
      <c r="T22" s="161" t="e">
        <f t="shared" si="5"/>
        <v>#DIV/0!</v>
      </c>
      <c r="U22" s="162"/>
      <c r="V22" s="162"/>
      <c r="W22" s="162">
        <f t="shared" si="11"/>
        <v>0</v>
      </c>
      <c r="X22" s="162" t="e">
        <f t="shared" si="7"/>
        <v>#DIV/0!</v>
      </c>
      <c r="Y22" s="162" t="e">
        <f t="shared" si="12"/>
        <v>#DIV/0!</v>
      </c>
    </row>
    <row r="23" spans="1:25">
      <c r="A23" s="17" t="s">
        <v>38</v>
      </c>
      <c r="B23" s="156"/>
      <c r="C23" s="34"/>
      <c r="D23" s="34"/>
      <c r="E23" s="17"/>
      <c r="F23" s="19"/>
      <c r="G23" s="19"/>
      <c r="H23" s="19"/>
      <c r="I23" s="35"/>
      <c r="J23" s="157" t="e">
        <f t="shared" si="3"/>
        <v>#DIV/0!</v>
      </c>
      <c r="K23" s="187"/>
      <c r="L23" s="35" t="e">
        <f t="shared" si="4"/>
        <v>#DIV/0!</v>
      </c>
      <c r="M23" s="19"/>
      <c r="N23" s="19"/>
      <c r="O23" s="159">
        <f t="shared" si="9"/>
        <v>0</v>
      </c>
      <c r="P23" s="19"/>
      <c r="Q23" s="19"/>
      <c r="R23" s="157">
        <f t="shared" si="10"/>
        <v>0</v>
      </c>
      <c r="S23" s="160" t="e">
        <f t="shared" si="2"/>
        <v>#DIV/0!</v>
      </c>
      <c r="T23" s="161" t="e">
        <f t="shared" si="5"/>
        <v>#DIV/0!</v>
      </c>
      <c r="U23" s="162"/>
      <c r="V23" s="162"/>
      <c r="W23" s="162">
        <f t="shared" si="11"/>
        <v>0</v>
      </c>
      <c r="X23" s="162" t="e">
        <f t="shared" si="7"/>
        <v>#DIV/0!</v>
      </c>
      <c r="Y23" s="162" t="e">
        <f t="shared" si="12"/>
        <v>#DIV/0!</v>
      </c>
    </row>
    <row r="24" spans="1:25">
      <c r="A24" s="17" t="s">
        <v>38</v>
      </c>
      <c r="B24" s="156"/>
      <c r="C24" s="34"/>
      <c r="D24" s="34"/>
      <c r="E24" s="17"/>
      <c r="F24" s="19"/>
      <c r="G24" s="19"/>
      <c r="H24" s="19"/>
      <c r="I24" s="35"/>
      <c r="J24" s="157" t="e">
        <f t="shared" si="3"/>
        <v>#DIV/0!</v>
      </c>
      <c r="K24" s="187"/>
      <c r="L24" s="35" t="e">
        <f t="shared" si="4"/>
        <v>#DIV/0!</v>
      </c>
      <c r="M24" s="19"/>
      <c r="N24" s="19"/>
      <c r="O24" s="159">
        <f t="shared" si="9"/>
        <v>0</v>
      </c>
      <c r="P24" s="19"/>
      <c r="Q24" s="19"/>
      <c r="R24" s="157">
        <f t="shared" si="10"/>
        <v>0</v>
      </c>
      <c r="S24" s="160" t="e">
        <f t="shared" si="2"/>
        <v>#DIV/0!</v>
      </c>
      <c r="T24" s="161" t="e">
        <f t="shared" si="5"/>
        <v>#DIV/0!</v>
      </c>
      <c r="U24" s="162"/>
      <c r="V24" s="162"/>
      <c r="W24" s="162">
        <f t="shared" si="11"/>
        <v>0</v>
      </c>
      <c r="X24" s="162" t="e">
        <f t="shared" si="7"/>
        <v>#DIV/0!</v>
      </c>
      <c r="Y24" s="162" t="e">
        <f t="shared" si="12"/>
        <v>#DIV/0!</v>
      </c>
    </row>
    <row r="25" spans="1:25">
      <c r="A25" s="17" t="s">
        <v>38</v>
      </c>
      <c r="B25" s="156"/>
      <c r="C25" s="34"/>
      <c r="D25" s="34"/>
      <c r="E25" s="17"/>
      <c r="F25" s="19"/>
      <c r="G25" s="19"/>
      <c r="H25" s="19"/>
      <c r="I25" s="35"/>
      <c r="J25" s="157" t="e">
        <f t="shared" si="3"/>
        <v>#DIV/0!</v>
      </c>
      <c r="K25" s="187"/>
      <c r="L25" s="35" t="e">
        <f t="shared" si="4"/>
        <v>#DIV/0!</v>
      </c>
      <c r="M25" s="19"/>
      <c r="N25" s="19"/>
      <c r="O25" s="159">
        <f t="shared" si="9"/>
        <v>0</v>
      </c>
      <c r="P25" s="19"/>
      <c r="Q25" s="19"/>
      <c r="R25" s="157">
        <f t="shared" si="10"/>
        <v>0</v>
      </c>
      <c r="S25" s="160" t="e">
        <f t="shared" si="2"/>
        <v>#DIV/0!</v>
      </c>
      <c r="T25" s="161" t="e">
        <f t="shared" si="5"/>
        <v>#DIV/0!</v>
      </c>
      <c r="U25" s="193"/>
      <c r="V25" s="193"/>
      <c r="W25" s="162">
        <f t="shared" si="11"/>
        <v>0</v>
      </c>
      <c r="X25" s="162" t="e">
        <f t="shared" si="7"/>
        <v>#DIV/0!</v>
      </c>
      <c r="Y25" s="162" t="e">
        <f t="shared" si="12"/>
        <v>#DIV/0!</v>
      </c>
    </row>
    <row r="26" spans="1:25">
      <c r="A26" s="17" t="s">
        <v>38</v>
      </c>
      <c r="B26" s="156"/>
      <c r="C26" s="34"/>
      <c r="D26" s="34"/>
      <c r="E26" s="17"/>
      <c r="F26" s="19"/>
      <c r="G26" s="19"/>
      <c r="H26" s="19"/>
      <c r="I26" s="35"/>
      <c r="J26" s="157" t="e">
        <f t="shared" si="3"/>
        <v>#DIV/0!</v>
      </c>
      <c r="K26" s="187"/>
      <c r="L26" s="35" t="e">
        <f t="shared" si="4"/>
        <v>#DIV/0!</v>
      </c>
      <c r="M26" s="19"/>
      <c r="N26" s="19"/>
      <c r="O26" s="159">
        <f t="shared" si="9"/>
        <v>0</v>
      </c>
      <c r="P26" s="19"/>
      <c r="Q26" s="19"/>
      <c r="R26" s="157">
        <f t="shared" si="10"/>
        <v>0</v>
      </c>
      <c r="S26" s="160" t="e">
        <f t="shared" si="2"/>
        <v>#DIV/0!</v>
      </c>
      <c r="T26" s="161" t="e">
        <f t="shared" si="5"/>
        <v>#DIV/0!</v>
      </c>
      <c r="U26" s="162"/>
      <c r="V26" s="162"/>
      <c r="W26" s="162">
        <f t="shared" si="11"/>
        <v>0</v>
      </c>
      <c r="X26" s="162" t="e">
        <f t="shared" si="7"/>
        <v>#DIV/0!</v>
      </c>
      <c r="Y26" s="162" t="e">
        <f t="shared" si="12"/>
        <v>#DIV/0!</v>
      </c>
    </row>
    <row r="28" spans="1:25" ht="23.25">
      <c r="A28" s="1657" t="s">
        <v>88</v>
      </c>
      <c r="B28" s="1657"/>
      <c r="C28" s="1657"/>
      <c r="D28" s="1657"/>
      <c r="E28" s="1657"/>
      <c r="F28" s="1657"/>
    </row>
    <row r="31" spans="1:25">
      <c r="A31" s="55" t="s">
        <v>39</v>
      </c>
      <c r="B31" s="1"/>
      <c r="C31" s="1"/>
      <c r="D31" s="1"/>
      <c r="E31" s="1"/>
      <c r="F31" s="1"/>
      <c r="G31" s="1"/>
      <c r="H31" s="1"/>
      <c r="I31" s="1"/>
      <c r="J31" s="750" t="s">
        <v>390</v>
      </c>
      <c r="K31" s="751"/>
      <c r="L31" s="751"/>
    </row>
    <row r="32" spans="1:25">
      <c r="A32" s="56" t="s">
        <v>40</v>
      </c>
      <c r="B32" s="1"/>
      <c r="C32" s="1"/>
      <c r="D32" s="1"/>
      <c r="E32" s="1"/>
      <c r="F32" s="1"/>
      <c r="G32" s="1"/>
      <c r="H32" s="1"/>
      <c r="I32" s="1"/>
      <c r="J32" s="36"/>
      <c r="K32" s="752" t="s">
        <v>63</v>
      </c>
      <c r="L32" s="753" t="s">
        <v>64</v>
      </c>
    </row>
    <row r="33" spans="1:12">
      <c r="A33" s="56" t="s">
        <v>41</v>
      </c>
      <c r="B33" s="1"/>
      <c r="C33" s="1"/>
      <c r="D33" s="1"/>
      <c r="E33" s="1"/>
      <c r="F33" s="1"/>
      <c r="G33" s="1"/>
      <c r="H33" s="1"/>
      <c r="I33" s="1"/>
      <c r="J33" s="36" t="s">
        <v>391</v>
      </c>
      <c r="K33" s="751"/>
      <c r="L33" s="751"/>
    </row>
    <row r="34" spans="1:12">
      <c r="A34" s="56" t="s">
        <v>42</v>
      </c>
      <c r="B34" s="1"/>
      <c r="C34" s="1"/>
      <c r="D34" s="1"/>
      <c r="E34" s="1"/>
      <c r="F34" s="1"/>
      <c r="G34" s="1"/>
      <c r="H34" s="1"/>
      <c r="I34" s="1"/>
      <c r="J34" s="36" t="s">
        <v>25</v>
      </c>
      <c r="K34" s="751"/>
      <c r="L34" s="751"/>
    </row>
    <row r="35" spans="1:12">
      <c r="A35" s="55" t="s">
        <v>87</v>
      </c>
      <c r="B35" s="1"/>
      <c r="C35" s="1"/>
      <c r="D35" s="1"/>
      <c r="E35" s="1"/>
      <c r="F35" s="1"/>
      <c r="G35" s="1"/>
      <c r="H35" s="1"/>
      <c r="I35" s="1"/>
      <c r="J35" s="36" t="s">
        <v>392</v>
      </c>
      <c r="K35" s="36"/>
      <c r="L35" s="36"/>
    </row>
    <row r="36" spans="1:12">
      <c r="A36" s="55" t="s">
        <v>44</v>
      </c>
      <c r="B36" s="1"/>
      <c r="C36" s="1"/>
      <c r="D36" s="1"/>
      <c r="E36" s="1"/>
      <c r="F36" s="1"/>
      <c r="G36" s="1"/>
      <c r="H36" s="1"/>
      <c r="I36" s="1"/>
      <c r="J36" s="36" t="s">
        <v>393</v>
      </c>
      <c r="K36" s="36"/>
      <c r="L36" s="36"/>
    </row>
    <row r="37" spans="1:12">
      <c r="A37" s="55" t="s">
        <v>45</v>
      </c>
      <c r="B37" s="1"/>
      <c r="C37" s="1"/>
      <c r="D37" s="1"/>
      <c r="E37" s="1"/>
      <c r="F37" s="1"/>
      <c r="G37" s="1"/>
      <c r="H37" s="1"/>
      <c r="I37" s="1"/>
      <c r="J37" s="1"/>
    </row>
    <row r="38" spans="1:12">
      <c r="A38" s="56" t="s">
        <v>46</v>
      </c>
      <c r="B38" s="1"/>
      <c r="C38" s="1"/>
      <c r="D38" s="1"/>
      <c r="E38" s="1"/>
      <c r="F38" s="1"/>
      <c r="G38" s="1"/>
      <c r="H38" s="1"/>
      <c r="I38" s="1"/>
      <c r="J38" s="1"/>
    </row>
    <row r="39" spans="1:12">
      <c r="A39" s="56" t="s">
        <v>47</v>
      </c>
      <c r="B39" s="1"/>
      <c r="C39" s="1"/>
      <c r="D39" s="1"/>
      <c r="E39" s="1"/>
      <c r="F39" s="1"/>
      <c r="G39" s="1"/>
      <c r="H39" s="1"/>
      <c r="I39" s="1"/>
      <c r="J39" s="1"/>
    </row>
    <row r="40" spans="1:12">
      <c r="A40" s="56" t="s">
        <v>48</v>
      </c>
      <c r="B40" s="1"/>
      <c r="C40" s="1"/>
      <c r="D40" s="1"/>
      <c r="E40" s="1"/>
      <c r="F40" s="1"/>
      <c r="G40" s="1"/>
      <c r="H40" s="1"/>
      <c r="I40" s="1"/>
      <c r="J40" s="1"/>
    </row>
    <row r="41" spans="1:12">
      <c r="A41" s="56" t="s">
        <v>49</v>
      </c>
      <c r="B41" s="1"/>
      <c r="C41" s="1"/>
      <c r="D41" s="1"/>
      <c r="E41" s="1"/>
      <c r="F41" s="1"/>
      <c r="G41" s="1"/>
      <c r="H41" s="1"/>
      <c r="I41" s="1"/>
      <c r="J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2">
      <c r="A43" s="1" t="s">
        <v>50</v>
      </c>
      <c r="B43" s="1"/>
      <c r="C43" s="1"/>
      <c r="D43" s="1"/>
      <c r="E43" s="1"/>
      <c r="F43" s="1"/>
      <c r="G43" s="1"/>
      <c r="H43" s="1"/>
      <c r="I43" s="1"/>
      <c r="J43" s="1"/>
    </row>
  </sheetData>
  <mergeCells count="29">
    <mergeCell ref="M10:N10"/>
    <mergeCell ref="P10:Q10"/>
    <mergeCell ref="U10:V10"/>
    <mergeCell ref="A28:F28"/>
    <mergeCell ref="M8:N8"/>
    <mergeCell ref="P8:Q8"/>
    <mergeCell ref="U8:V8"/>
    <mergeCell ref="M9:N9"/>
    <mergeCell ref="P9:Q9"/>
    <mergeCell ref="U9:V9"/>
    <mergeCell ref="M6:N6"/>
    <mergeCell ref="P6:Q6"/>
    <mergeCell ref="U6:V6"/>
    <mergeCell ref="M7:N7"/>
    <mergeCell ref="P7:Q7"/>
    <mergeCell ref="U7:V7"/>
    <mergeCell ref="M4:N4"/>
    <mergeCell ref="P4:Q4"/>
    <mergeCell ref="U4:V4"/>
    <mergeCell ref="M5:N5"/>
    <mergeCell ref="P5:Q5"/>
    <mergeCell ref="U5:V5"/>
    <mergeCell ref="H1:J1"/>
    <mergeCell ref="K1:R1"/>
    <mergeCell ref="S1:T1"/>
    <mergeCell ref="U1:W1"/>
    <mergeCell ref="M3:N3"/>
    <mergeCell ref="P3:Q3"/>
    <mergeCell ref="U3:V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53"/>
  <sheetViews>
    <sheetView topLeftCell="E10" workbookViewId="0">
      <selection activeCell="M43" sqref="M43"/>
    </sheetView>
  </sheetViews>
  <sheetFormatPr baseColWidth="10" defaultRowHeight="15"/>
  <cols>
    <col min="1" max="1" width="6.5703125" bestFit="1" customWidth="1"/>
    <col min="2" max="2" width="11.85546875" bestFit="1" customWidth="1"/>
    <col min="3" max="3" width="7.28515625" bestFit="1" customWidth="1"/>
    <col min="5" max="5" width="13" bestFit="1" customWidth="1"/>
    <col min="6" max="6" width="13.5703125" bestFit="1" customWidth="1"/>
    <col min="16" max="16" width="13.5703125" customWidth="1"/>
    <col min="24" max="24" width="16" bestFit="1" customWidth="1"/>
  </cols>
  <sheetData>
    <row r="1" spans="1:25" s="4" customFormat="1" ht="15.75">
      <c r="A1" s="1"/>
      <c r="B1" s="1"/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</row>
    <row r="2" spans="1:25" s="4" customFormat="1" ht="12.7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7" t="s">
        <v>11</v>
      </c>
      <c r="L2" s="5" t="s">
        <v>14</v>
      </c>
      <c r="M2" s="8" t="s">
        <v>15</v>
      </c>
      <c r="N2" s="8" t="s">
        <v>16</v>
      </c>
      <c r="O2" s="5" t="s">
        <v>17</v>
      </c>
      <c r="P2" s="8" t="s">
        <v>18</v>
      </c>
      <c r="Q2" s="8" t="s">
        <v>19</v>
      </c>
      <c r="R2" s="9" t="s">
        <v>20</v>
      </c>
      <c r="S2" s="10" t="s">
        <v>21</v>
      </c>
      <c r="T2" s="8" t="s">
        <v>22</v>
      </c>
      <c r="U2" s="11" t="s">
        <v>23</v>
      </c>
      <c r="V2" s="11" t="s">
        <v>24</v>
      </c>
      <c r="W2" s="12" t="s">
        <v>25</v>
      </c>
      <c r="X2" s="13" t="s">
        <v>26</v>
      </c>
      <c r="Y2" s="14" t="s">
        <v>27</v>
      </c>
    </row>
    <row r="3" spans="1:25" s="234" customFormat="1" ht="12.75">
      <c r="A3" s="223" t="s">
        <v>28</v>
      </c>
      <c r="B3" s="224">
        <v>41610</v>
      </c>
      <c r="C3" s="225">
        <v>2</v>
      </c>
      <c r="D3" s="225">
        <v>8</v>
      </c>
      <c r="E3" s="223" t="s">
        <v>89</v>
      </c>
      <c r="F3" s="226" t="s">
        <v>81</v>
      </c>
      <c r="G3" s="226"/>
      <c r="H3" s="226">
        <v>28</v>
      </c>
      <c r="I3" s="227">
        <v>208</v>
      </c>
      <c r="J3" s="228">
        <f>I3*L3</f>
        <v>59.652830188679246</v>
      </c>
      <c r="K3" s="229">
        <v>7</v>
      </c>
      <c r="L3" s="227">
        <f>R3/O3</f>
        <v>0.28679245283018867</v>
      </c>
      <c r="M3" s="1658">
        <v>53</v>
      </c>
      <c r="N3" s="1659"/>
      <c r="O3" s="230">
        <f t="shared" ref="O3:O8" si="0">M3+N3</f>
        <v>53</v>
      </c>
      <c r="P3" s="1660">
        <v>7.6</v>
      </c>
      <c r="Q3" s="1661">
        <v>7.6</v>
      </c>
      <c r="R3" s="228">
        <f t="shared" ref="R3:R8" si="1">P3+Q3</f>
        <v>15.2</v>
      </c>
      <c r="S3" s="231">
        <f t="shared" ref="S3:S38" si="2">(R3+J3)/100</f>
        <v>0.74852830188679254</v>
      </c>
      <c r="T3" s="232">
        <f>MIN(4.63,4.48*S3^(-0.25))</f>
        <v>4.63</v>
      </c>
      <c r="U3" s="1662"/>
      <c r="V3" s="1662"/>
      <c r="W3" s="233">
        <f>(U3*P3)</f>
        <v>0</v>
      </c>
      <c r="X3" s="233">
        <f>W3/R3</f>
        <v>0</v>
      </c>
      <c r="Y3" s="233">
        <f>X3/T3</f>
        <v>0</v>
      </c>
    </row>
    <row r="4" spans="1:25" s="234" customFormat="1" ht="12.75">
      <c r="A4" s="223" t="s">
        <v>28</v>
      </c>
      <c r="B4" s="224">
        <v>41610</v>
      </c>
      <c r="C4" s="225">
        <v>6</v>
      </c>
      <c r="D4" s="225">
        <v>20</v>
      </c>
      <c r="E4" s="223" t="s">
        <v>89</v>
      </c>
      <c r="F4" s="226" t="s">
        <v>90</v>
      </c>
      <c r="G4" s="226"/>
      <c r="H4" s="226">
        <v>28</v>
      </c>
      <c r="I4" s="227">
        <v>98</v>
      </c>
      <c r="J4" s="228">
        <f t="shared" ref="J4:J38" si="3">I4*L4</f>
        <v>15.339130434782611</v>
      </c>
      <c r="K4" s="229">
        <v>7</v>
      </c>
      <c r="L4" s="227">
        <f t="shared" ref="L4:L38" si="4">R4/O4</f>
        <v>0.15652173913043479</v>
      </c>
      <c r="M4" s="1658">
        <v>23</v>
      </c>
      <c r="N4" s="1659">
        <v>23</v>
      </c>
      <c r="O4" s="230">
        <f t="shared" si="0"/>
        <v>46</v>
      </c>
      <c r="P4" s="1660">
        <v>3.6</v>
      </c>
      <c r="Q4" s="1661">
        <v>3.6</v>
      </c>
      <c r="R4" s="228">
        <f t="shared" si="1"/>
        <v>7.2</v>
      </c>
      <c r="S4" s="231">
        <f t="shared" si="2"/>
        <v>0.22539130434782609</v>
      </c>
      <c r="T4" s="232">
        <f t="shared" ref="T4:T38" si="5">MIN(4.63,4.48*S4^(-0.25))</f>
        <v>4.63</v>
      </c>
      <c r="U4" s="1662"/>
      <c r="V4" s="1662"/>
      <c r="W4" s="233">
        <f t="shared" ref="W4:W10" si="6">(U4*P4)</f>
        <v>0</v>
      </c>
      <c r="X4" s="233">
        <f t="shared" ref="X4:X38" si="7">W4/R4</f>
        <v>0</v>
      </c>
      <c r="Y4" s="233">
        <f t="shared" ref="Y4:Y38" si="8">X4/T4</f>
        <v>0</v>
      </c>
    </row>
    <row r="5" spans="1:25" s="234" customFormat="1" ht="12.75">
      <c r="A5" s="223" t="s">
        <v>28</v>
      </c>
      <c r="B5" s="224">
        <v>41610</v>
      </c>
      <c r="C5" s="225">
        <v>5</v>
      </c>
      <c r="D5" s="225">
        <v>28</v>
      </c>
      <c r="E5" s="223" t="s">
        <v>89</v>
      </c>
      <c r="F5" s="226" t="s">
        <v>91</v>
      </c>
      <c r="G5" s="226"/>
      <c r="H5" s="226">
        <v>36</v>
      </c>
      <c r="I5" s="227">
        <v>116</v>
      </c>
      <c r="J5" s="228">
        <f t="shared" si="3"/>
        <v>18.196078431372548</v>
      </c>
      <c r="K5" s="229">
        <v>9</v>
      </c>
      <c r="L5" s="227">
        <f t="shared" si="4"/>
        <v>0.15686274509803921</v>
      </c>
      <c r="M5" s="1658">
        <v>51</v>
      </c>
      <c r="N5" s="1659">
        <v>51</v>
      </c>
      <c r="O5" s="230">
        <f t="shared" si="0"/>
        <v>102</v>
      </c>
      <c r="P5" s="1660">
        <v>8</v>
      </c>
      <c r="Q5" s="1661">
        <v>8</v>
      </c>
      <c r="R5" s="228">
        <f t="shared" si="1"/>
        <v>16</v>
      </c>
      <c r="S5" s="231">
        <f t="shared" si="2"/>
        <v>0.34196078431372551</v>
      </c>
      <c r="T5" s="232">
        <f t="shared" si="5"/>
        <v>4.63</v>
      </c>
      <c r="U5" s="1662"/>
      <c r="V5" s="1662"/>
      <c r="W5" s="233">
        <f t="shared" si="6"/>
        <v>0</v>
      </c>
      <c r="X5" s="233">
        <f t="shared" si="7"/>
        <v>0</v>
      </c>
      <c r="Y5" s="233">
        <f t="shared" si="8"/>
        <v>0</v>
      </c>
    </row>
    <row r="6" spans="1:25" s="234" customFormat="1" ht="12.75">
      <c r="A6" s="223" t="s">
        <v>28</v>
      </c>
      <c r="B6" s="224">
        <v>41610</v>
      </c>
      <c r="C6" s="225">
        <v>7</v>
      </c>
      <c r="D6" s="225">
        <v>69</v>
      </c>
      <c r="E6" s="223" t="s">
        <v>92</v>
      </c>
      <c r="F6" s="226" t="s">
        <v>81</v>
      </c>
      <c r="G6" s="226"/>
      <c r="H6" s="226">
        <v>52</v>
      </c>
      <c r="I6" s="227">
        <v>140</v>
      </c>
      <c r="J6" s="228">
        <f t="shared" si="3"/>
        <v>20.851063829787233</v>
      </c>
      <c r="K6" s="229">
        <v>12</v>
      </c>
      <c r="L6" s="227">
        <f t="shared" si="4"/>
        <v>0.14893617021276595</v>
      </c>
      <c r="M6" s="1658">
        <v>47</v>
      </c>
      <c r="N6" s="1659">
        <v>47</v>
      </c>
      <c r="O6" s="230">
        <f t="shared" si="0"/>
        <v>94</v>
      </c>
      <c r="P6" s="1660">
        <v>7</v>
      </c>
      <c r="Q6" s="1661">
        <v>7</v>
      </c>
      <c r="R6" s="228">
        <f t="shared" si="1"/>
        <v>14</v>
      </c>
      <c r="S6" s="231">
        <f t="shared" si="2"/>
        <v>0.34851063829787238</v>
      </c>
      <c r="T6" s="232">
        <f t="shared" si="5"/>
        <v>4.63</v>
      </c>
      <c r="U6" s="1662"/>
      <c r="V6" s="1662"/>
      <c r="W6" s="233">
        <f t="shared" si="6"/>
        <v>0</v>
      </c>
      <c r="X6" s="233">
        <f t="shared" si="7"/>
        <v>0</v>
      </c>
      <c r="Y6" s="233">
        <f t="shared" si="8"/>
        <v>0</v>
      </c>
    </row>
    <row r="7" spans="1:25" s="234" customFormat="1" ht="12.75">
      <c r="A7" s="223" t="s">
        <v>28</v>
      </c>
      <c r="B7" s="224">
        <v>41610</v>
      </c>
      <c r="C7" s="225">
        <v>10</v>
      </c>
      <c r="D7" s="225">
        <v>60</v>
      </c>
      <c r="E7" s="223" t="s">
        <v>92</v>
      </c>
      <c r="F7" s="226" t="s">
        <v>90</v>
      </c>
      <c r="G7" s="226"/>
      <c r="H7" s="226">
        <v>23</v>
      </c>
      <c r="I7" s="227">
        <v>116</v>
      </c>
      <c r="J7" s="228">
        <f t="shared" si="3"/>
        <v>18.738461538461539</v>
      </c>
      <c r="K7" s="229">
        <v>5</v>
      </c>
      <c r="L7" s="227">
        <f t="shared" si="4"/>
        <v>0.16153846153846155</v>
      </c>
      <c r="M7" s="1658">
        <v>26</v>
      </c>
      <c r="N7" s="1659">
        <v>26</v>
      </c>
      <c r="O7" s="230">
        <f t="shared" si="0"/>
        <v>52</v>
      </c>
      <c r="P7" s="1660">
        <v>4.2</v>
      </c>
      <c r="Q7" s="1661">
        <v>4.2</v>
      </c>
      <c r="R7" s="228">
        <f t="shared" si="1"/>
        <v>8.4</v>
      </c>
      <c r="S7" s="231">
        <f t="shared" si="2"/>
        <v>0.27138461538461539</v>
      </c>
      <c r="T7" s="232">
        <f t="shared" si="5"/>
        <v>4.63</v>
      </c>
      <c r="U7" s="1662"/>
      <c r="V7" s="1662"/>
      <c r="W7" s="233">
        <f t="shared" si="6"/>
        <v>0</v>
      </c>
      <c r="X7" s="233">
        <f t="shared" si="7"/>
        <v>0</v>
      </c>
      <c r="Y7" s="233">
        <f t="shared" si="8"/>
        <v>0</v>
      </c>
    </row>
    <row r="8" spans="1:25" s="234" customFormat="1" ht="13.5" thickBot="1">
      <c r="A8" s="235" t="s">
        <v>28</v>
      </c>
      <c r="B8" s="236">
        <v>41610</v>
      </c>
      <c r="C8" s="225">
        <v>8</v>
      </c>
      <c r="D8" s="225">
        <v>62</v>
      </c>
      <c r="E8" s="235" t="s">
        <v>92</v>
      </c>
      <c r="F8" s="237" t="s">
        <v>91</v>
      </c>
      <c r="G8" s="237"/>
      <c r="H8" s="237">
        <v>35</v>
      </c>
      <c r="I8" s="238">
        <v>169</v>
      </c>
      <c r="J8" s="239">
        <f t="shared" si="3"/>
        <v>26.725581395348836</v>
      </c>
      <c r="K8" s="240">
        <v>8</v>
      </c>
      <c r="L8" s="238">
        <f t="shared" si="4"/>
        <v>0.15813953488372093</v>
      </c>
      <c r="M8" s="1663">
        <v>43</v>
      </c>
      <c r="N8" s="1663">
        <v>43</v>
      </c>
      <c r="O8" s="241">
        <f t="shared" si="0"/>
        <v>86</v>
      </c>
      <c r="P8" s="1664">
        <v>6.8</v>
      </c>
      <c r="Q8" s="1665">
        <v>6.8</v>
      </c>
      <c r="R8" s="239">
        <f t="shared" si="1"/>
        <v>13.6</v>
      </c>
      <c r="S8" s="242">
        <f t="shared" si="2"/>
        <v>0.40325581395348836</v>
      </c>
      <c r="T8" s="243">
        <f t="shared" si="5"/>
        <v>4.63</v>
      </c>
      <c r="U8" s="1666"/>
      <c r="V8" s="1666"/>
      <c r="W8" s="244">
        <f t="shared" si="6"/>
        <v>0</v>
      </c>
      <c r="X8" s="244">
        <f t="shared" si="7"/>
        <v>0</v>
      </c>
      <c r="Y8" s="244">
        <f t="shared" si="8"/>
        <v>0</v>
      </c>
    </row>
    <row r="9" spans="1:25" s="51" customFormat="1" ht="13.5" thickTop="1">
      <c r="A9" s="177" t="s">
        <v>34</v>
      </c>
      <c r="B9" s="245">
        <v>41695</v>
      </c>
      <c r="C9" s="31">
        <v>10</v>
      </c>
      <c r="D9" s="31">
        <v>16</v>
      </c>
      <c r="E9" s="177" t="s">
        <v>93</v>
      </c>
      <c r="F9" s="246" t="s">
        <v>81</v>
      </c>
      <c r="G9" s="247"/>
      <c r="H9" s="179">
        <v>36</v>
      </c>
      <c r="I9" s="32">
        <v>340</v>
      </c>
      <c r="J9" s="221">
        <f t="shared" si="3"/>
        <v>52.133333333333326</v>
      </c>
      <c r="K9" s="248">
        <v>9</v>
      </c>
      <c r="L9" s="32">
        <f t="shared" si="4"/>
        <v>0.15333333333333332</v>
      </c>
      <c r="M9" s="1667">
        <v>75</v>
      </c>
      <c r="N9" s="1667"/>
      <c r="O9" s="249">
        <v>75</v>
      </c>
      <c r="P9" s="1668">
        <v>11.5</v>
      </c>
      <c r="Q9" s="1669"/>
      <c r="R9" s="250">
        <v>11.5</v>
      </c>
      <c r="S9" s="184">
        <f t="shared" si="2"/>
        <v>0.63633333333333331</v>
      </c>
      <c r="T9" s="251">
        <f t="shared" si="5"/>
        <v>4.63</v>
      </c>
      <c r="U9" s="1670">
        <v>4.069</v>
      </c>
      <c r="V9" s="1671"/>
      <c r="W9" s="185">
        <f>(U9*P9)</f>
        <v>46.793500000000002</v>
      </c>
      <c r="X9" s="185">
        <f t="shared" si="7"/>
        <v>4.069</v>
      </c>
      <c r="Y9" s="185">
        <f>X9/T9</f>
        <v>0.87883369330453565</v>
      </c>
    </row>
    <row r="10" spans="1:25" s="51" customFormat="1" ht="12.75">
      <c r="A10" s="17" t="s">
        <v>34</v>
      </c>
      <c r="B10" s="245">
        <v>41695</v>
      </c>
      <c r="C10" s="34">
        <v>8</v>
      </c>
      <c r="D10" s="34">
        <v>26</v>
      </c>
      <c r="E10" s="17" t="s">
        <v>93</v>
      </c>
      <c r="F10" s="246" t="s">
        <v>90</v>
      </c>
      <c r="G10" s="247"/>
      <c r="H10" s="19">
        <v>24</v>
      </c>
      <c r="I10" s="35">
        <v>240</v>
      </c>
      <c r="J10" s="157">
        <f t="shared" si="3"/>
        <v>43.199999999999996</v>
      </c>
      <c r="K10" s="252">
        <v>7</v>
      </c>
      <c r="L10" s="35">
        <f t="shared" si="4"/>
        <v>0.18</v>
      </c>
      <c r="M10" s="1672">
        <v>50</v>
      </c>
      <c r="N10" s="1672">
        <v>50</v>
      </c>
      <c r="O10" s="249">
        <v>50</v>
      </c>
      <c r="P10" s="1673">
        <v>9</v>
      </c>
      <c r="Q10" s="1673">
        <v>9</v>
      </c>
      <c r="R10" s="250">
        <v>9</v>
      </c>
      <c r="S10" s="160">
        <f t="shared" si="2"/>
        <v>0.52199999999999991</v>
      </c>
      <c r="T10" s="251">
        <f t="shared" si="5"/>
        <v>4.63</v>
      </c>
      <c r="U10" s="1674">
        <v>2.9245000000000001</v>
      </c>
      <c r="V10" s="1674">
        <v>2.9245000000000001</v>
      </c>
      <c r="W10" s="162">
        <f t="shared" si="6"/>
        <v>26.320500000000003</v>
      </c>
      <c r="X10" s="162">
        <f t="shared" si="7"/>
        <v>2.9245000000000001</v>
      </c>
      <c r="Y10" s="162">
        <f t="shared" si="8"/>
        <v>0.63164146868250548</v>
      </c>
    </row>
    <row r="11" spans="1:25" s="51" customFormat="1" ht="12.75">
      <c r="A11" s="17" t="s">
        <v>34</v>
      </c>
      <c r="B11" s="245">
        <v>41695</v>
      </c>
      <c r="C11" s="34">
        <v>12</v>
      </c>
      <c r="D11" s="34">
        <v>11</v>
      </c>
      <c r="E11" s="17" t="s">
        <v>93</v>
      </c>
      <c r="F11" s="246" t="s">
        <v>91</v>
      </c>
      <c r="G11" s="247"/>
      <c r="H11" s="19">
        <v>25</v>
      </c>
      <c r="I11" s="35">
        <v>315</v>
      </c>
      <c r="J11" s="157">
        <f t="shared" si="3"/>
        <v>52.667999999999999</v>
      </c>
      <c r="K11" s="252">
        <v>6</v>
      </c>
      <c r="L11" s="35">
        <f t="shared" si="4"/>
        <v>0.16719999999999999</v>
      </c>
      <c r="M11" s="1672">
        <v>125</v>
      </c>
      <c r="N11" s="1672">
        <v>125</v>
      </c>
      <c r="O11" s="249">
        <v>125</v>
      </c>
      <c r="P11" s="1673">
        <v>20.9</v>
      </c>
      <c r="Q11" s="1673">
        <v>20.9</v>
      </c>
      <c r="R11" s="250">
        <v>20.9</v>
      </c>
      <c r="S11" s="160">
        <f t="shared" si="2"/>
        <v>0.73568</v>
      </c>
      <c r="T11" s="251">
        <f t="shared" si="5"/>
        <v>4.63</v>
      </c>
      <c r="U11" s="1674">
        <v>3.2746</v>
      </c>
      <c r="V11" s="1674">
        <v>3.2746</v>
      </c>
      <c r="W11" s="162">
        <f>(U11*P11)</f>
        <v>68.439139999999995</v>
      </c>
      <c r="X11" s="162">
        <f>W11/R11</f>
        <v>3.2746</v>
      </c>
      <c r="Y11" s="162">
        <f t="shared" si="8"/>
        <v>0.70725701943844488</v>
      </c>
    </row>
    <row r="12" spans="1:25" s="51" customFormat="1" ht="12.75">
      <c r="A12" s="17" t="s">
        <v>34</v>
      </c>
      <c r="B12" s="245">
        <v>41695</v>
      </c>
      <c r="C12" s="34">
        <v>1</v>
      </c>
      <c r="D12" s="34">
        <v>84</v>
      </c>
      <c r="E12" s="17" t="s">
        <v>94</v>
      </c>
      <c r="F12" s="246" t="s">
        <v>81</v>
      </c>
      <c r="G12" s="247"/>
      <c r="H12" s="19">
        <v>40</v>
      </c>
      <c r="I12" s="35">
        <v>270</v>
      </c>
      <c r="J12" s="157">
        <f t="shared" si="3"/>
        <v>45.771428571428572</v>
      </c>
      <c r="K12" s="252">
        <v>11</v>
      </c>
      <c r="L12" s="35">
        <f t="shared" si="4"/>
        <v>0.16952380952380952</v>
      </c>
      <c r="M12" s="1672">
        <v>105</v>
      </c>
      <c r="N12" s="1672">
        <v>105</v>
      </c>
      <c r="O12" s="249">
        <v>105</v>
      </c>
      <c r="P12" s="1673">
        <v>17.8</v>
      </c>
      <c r="Q12" s="1673">
        <v>17.8</v>
      </c>
      <c r="R12" s="250">
        <v>17.8</v>
      </c>
      <c r="S12" s="160">
        <f t="shared" si="2"/>
        <v>0.63571428571428568</v>
      </c>
      <c r="T12" s="251">
        <f t="shared" si="5"/>
        <v>4.63</v>
      </c>
      <c r="U12" s="1674">
        <v>3.1625000000000001</v>
      </c>
      <c r="V12" s="1674">
        <v>3.1625000000000001</v>
      </c>
      <c r="W12" s="162">
        <f t="shared" ref="W12:W14" si="9">(U12*P12)</f>
        <v>56.292500000000004</v>
      </c>
      <c r="X12" s="162">
        <f t="shared" si="7"/>
        <v>3.1625000000000001</v>
      </c>
      <c r="Y12" s="162">
        <f t="shared" si="8"/>
        <v>0.68304535637149033</v>
      </c>
    </row>
    <row r="13" spans="1:25" s="51" customFormat="1" ht="12.75">
      <c r="A13" s="17" t="s">
        <v>34</v>
      </c>
      <c r="B13" s="245">
        <v>41695</v>
      </c>
      <c r="C13" s="34">
        <v>4</v>
      </c>
      <c r="D13" s="34">
        <v>71</v>
      </c>
      <c r="E13" s="17" t="s">
        <v>94</v>
      </c>
      <c r="F13" s="246" t="s">
        <v>90</v>
      </c>
      <c r="G13" s="247"/>
      <c r="H13" s="19">
        <v>30</v>
      </c>
      <c r="I13" s="35">
        <v>410</v>
      </c>
      <c r="J13" s="157">
        <f t="shared" si="3"/>
        <v>67.757894736842104</v>
      </c>
      <c r="K13" s="252">
        <v>7</v>
      </c>
      <c r="L13" s="35">
        <f t="shared" si="4"/>
        <v>0.16526315789473683</v>
      </c>
      <c r="M13" s="1672">
        <v>95</v>
      </c>
      <c r="N13" s="1672">
        <v>95</v>
      </c>
      <c r="O13" s="249">
        <v>95</v>
      </c>
      <c r="P13" s="1673">
        <v>15.7</v>
      </c>
      <c r="Q13" s="1673">
        <v>15.7</v>
      </c>
      <c r="R13" s="250">
        <v>15.7</v>
      </c>
      <c r="S13" s="160">
        <f t="shared" si="2"/>
        <v>0.83457894736842109</v>
      </c>
      <c r="T13" s="251">
        <f t="shared" si="5"/>
        <v>4.63</v>
      </c>
      <c r="U13" s="1674">
        <v>3.1970999999999998</v>
      </c>
      <c r="V13" s="1674">
        <v>3.1970999999999998</v>
      </c>
      <c r="W13" s="162">
        <f t="shared" si="9"/>
        <v>50.194469999999995</v>
      </c>
      <c r="X13" s="162">
        <f t="shared" si="7"/>
        <v>3.1970999999999998</v>
      </c>
      <c r="Y13" s="162">
        <f t="shared" si="8"/>
        <v>0.69051835853131749</v>
      </c>
    </row>
    <row r="14" spans="1:25" s="47" customFormat="1" ht="13.5" thickBot="1">
      <c r="A14" s="194" t="s">
        <v>34</v>
      </c>
      <c r="B14" s="253">
        <v>41695</v>
      </c>
      <c r="C14" s="45">
        <v>3</v>
      </c>
      <c r="D14" s="45">
        <v>66</v>
      </c>
      <c r="E14" s="194" t="s">
        <v>94</v>
      </c>
      <c r="F14" s="254" t="s">
        <v>91</v>
      </c>
      <c r="G14" s="255"/>
      <c r="H14" s="196">
        <v>28</v>
      </c>
      <c r="I14" s="198">
        <v>195</v>
      </c>
      <c r="J14" s="217">
        <f t="shared" si="3"/>
        <v>35.49</v>
      </c>
      <c r="K14" s="256">
        <v>7</v>
      </c>
      <c r="L14" s="198">
        <f t="shared" si="4"/>
        <v>0.182</v>
      </c>
      <c r="M14" s="1676">
        <v>50</v>
      </c>
      <c r="N14" s="1676">
        <v>50</v>
      </c>
      <c r="O14" s="257">
        <v>50</v>
      </c>
      <c r="P14" s="1677">
        <v>9.1</v>
      </c>
      <c r="Q14" s="1677">
        <v>9.1</v>
      </c>
      <c r="R14" s="258">
        <v>9.1</v>
      </c>
      <c r="S14" s="199">
        <f t="shared" si="2"/>
        <v>0.44590000000000002</v>
      </c>
      <c r="T14" s="259">
        <f t="shared" si="5"/>
        <v>4.63</v>
      </c>
      <c r="U14" s="1678">
        <v>3.0160999999999998</v>
      </c>
      <c r="V14" s="1678">
        <v>3.0160999999999998</v>
      </c>
      <c r="W14" s="176">
        <f t="shared" si="9"/>
        <v>27.446509999999996</v>
      </c>
      <c r="X14" s="176">
        <f t="shared" si="7"/>
        <v>3.0160999999999998</v>
      </c>
      <c r="Y14" s="176">
        <f t="shared" si="8"/>
        <v>0.65142548596112304</v>
      </c>
    </row>
    <row r="15" spans="1:25" s="769" customFormat="1" ht="13.5" thickTop="1">
      <c r="A15" s="881" t="s">
        <v>35</v>
      </c>
      <c r="B15" s="900">
        <v>41747</v>
      </c>
      <c r="C15" s="882">
        <v>2</v>
      </c>
      <c r="D15" s="882">
        <v>8</v>
      </c>
      <c r="E15" s="881" t="s">
        <v>95</v>
      </c>
      <c r="F15" s="881" t="s">
        <v>81</v>
      </c>
      <c r="G15" s="884"/>
      <c r="H15" s="884">
        <v>30</v>
      </c>
      <c r="I15" s="884">
        <v>1272</v>
      </c>
      <c r="J15" s="886">
        <f t="shared" si="3"/>
        <v>241.24137931034483</v>
      </c>
      <c r="K15" s="901">
        <v>7</v>
      </c>
      <c r="L15" s="871">
        <f t="shared" si="4"/>
        <v>0.18965517241379309</v>
      </c>
      <c r="M15" s="902">
        <v>127</v>
      </c>
      <c r="N15" s="901">
        <v>221</v>
      </c>
      <c r="O15" s="889">
        <f t="shared" ref="O15:O38" si="10">M15+N15</f>
        <v>348</v>
      </c>
      <c r="P15" s="903">
        <v>21</v>
      </c>
      <c r="Q15" s="901">
        <v>45</v>
      </c>
      <c r="R15" s="886">
        <f t="shared" ref="R15:R38" si="11">P15+Q15</f>
        <v>66</v>
      </c>
      <c r="S15" s="890">
        <f t="shared" si="2"/>
        <v>3.0724137931034483</v>
      </c>
      <c r="T15" s="891">
        <f t="shared" si="5"/>
        <v>3.3838265018959932</v>
      </c>
      <c r="U15" s="1679">
        <v>2.3435000000000001</v>
      </c>
      <c r="V15" s="1680"/>
      <c r="W15" s="894">
        <f>U15*R15</f>
        <v>154.67100000000002</v>
      </c>
      <c r="X15" s="894">
        <f>W15/R15</f>
        <v>2.3435000000000001</v>
      </c>
      <c r="Y15" s="894">
        <f>X15/T15</f>
        <v>0.69255914825624565</v>
      </c>
    </row>
    <row r="16" spans="1:25" s="769" customFormat="1" ht="12.75">
      <c r="A16" s="867" t="s">
        <v>35</v>
      </c>
      <c r="B16" s="904">
        <v>41747</v>
      </c>
      <c r="C16" s="869">
        <v>6</v>
      </c>
      <c r="D16" s="869">
        <v>20</v>
      </c>
      <c r="E16" s="867" t="s">
        <v>95</v>
      </c>
      <c r="F16" s="867" t="s">
        <v>90</v>
      </c>
      <c r="G16" s="870"/>
      <c r="H16" s="870">
        <v>30</v>
      </c>
      <c r="I16" s="870">
        <v>1481</v>
      </c>
      <c r="J16" s="895">
        <f t="shared" si="3"/>
        <v>271.67694805194805</v>
      </c>
      <c r="K16" s="905">
        <v>7</v>
      </c>
      <c r="L16" s="875">
        <f t="shared" si="4"/>
        <v>0.18344155844155843</v>
      </c>
      <c r="M16" s="906">
        <v>213</v>
      </c>
      <c r="N16" s="905">
        <v>403</v>
      </c>
      <c r="O16" s="876">
        <f t="shared" si="10"/>
        <v>616</v>
      </c>
      <c r="P16" s="907">
        <v>36</v>
      </c>
      <c r="Q16" s="905">
        <v>77</v>
      </c>
      <c r="R16" s="895">
        <f t="shared" si="11"/>
        <v>113</v>
      </c>
      <c r="S16" s="878">
        <f t="shared" si="2"/>
        <v>3.8467694805194803</v>
      </c>
      <c r="T16" s="896">
        <f t="shared" si="5"/>
        <v>3.1989243779297256</v>
      </c>
      <c r="U16" s="1675">
        <v>2.3267000000000002</v>
      </c>
      <c r="V16" s="1675"/>
      <c r="W16" s="894">
        <f t="shared" ref="W16:W38" si="12">U16*R16</f>
        <v>262.9171</v>
      </c>
      <c r="X16" s="879">
        <f t="shared" si="7"/>
        <v>2.3267000000000002</v>
      </c>
      <c r="Y16" s="879">
        <f t="shared" si="8"/>
        <v>0.72733823157951294</v>
      </c>
    </row>
    <row r="17" spans="1:26" s="769" customFormat="1" ht="12.75">
      <c r="A17" s="867" t="s">
        <v>35</v>
      </c>
      <c r="B17" s="904">
        <v>41747</v>
      </c>
      <c r="C17" s="869">
        <v>5</v>
      </c>
      <c r="D17" s="869">
        <v>28</v>
      </c>
      <c r="E17" s="867" t="s">
        <v>95</v>
      </c>
      <c r="F17" s="867" t="s">
        <v>91</v>
      </c>
      <c r="G17" s="870"/>
      <c r="H17" s="870">
        <v>36</v>
      </c>
      <c r="I17" s="870">
        <v>1719</v>
      </c>
      <c r="J17" s="895">
        <f t="shared" si="3"/>
        <v>316.95847176079729</v>
      </c>
      <c r="K17" s="905">
        <v>9</v>
      </c>
      <c r="L17" s="875">
        <f t="shared" si="4"/>
        <v>0.18438538205980065</v>
      </c>
      <c r="M17" s="906">
        <v>205</v>
      </c>
      <c r="N17" s="905">
        <v>397</v>
      </c>
      <c r="O17" s="876">
        <f t="shared" si="10"/>
        <v>602</v>
      </c>
      <c r="P17" s="907">
        <v>35</v>
      </c>
      <c r="Q17" s="905">
        <v>76</v>
      </c>
      <c r="R17" s="895">
        <f t="shared" si="11"/>
        <v>111</v>
      </c>
      <c r="S17" s="878">
        <f t="shared" si="2"/>
        <v>4.2795847176079729</v>
      </c>
      <c r="T17" s="896">
        <f t="shared" si="5"/>
        <v>3.1147816465116311</v>
      </c>
      <c r="U17" s="1675">
        <v>2.6309999999999998</v>
      </c>
      <c r="V17" s="1675"/>
      <c r="W17" s="894">
        <f t="shared" si="12"/>
        <v>292.041</v>
      </c>
      <c r="X17" s="879">
        <f t="shared" si="7"/>
        <v>2.6309999999999998</v>
      </c>
      <c r="Y17" s="879">
        <f t="shared" si="8"/>
        <v>0.8446820029733263</v>
      </c>
    </row>
    <row r="18" spans="1:26" s="761" customFormat="1" ht="12.75">
      <c r="A18" s="1213" t="s">
        <v>35</v>
      </c>
      <c r="B18" s="1256">
        <v>41747</v>
      </c>
      <c r="C18" s="1214">
        <v>10</v>
      </c>
      <c r="D18" s="1214">
        <v>16</v>
      </c>
      <c r="E18" s="1213" t="s">
        <v>96</v>
      </c>
      <c r="F18" s="1213" t="s">
        <v>81</v>
      </c>
      <c r="G18" s="1215"/>
      <c r="H18" s="1215">
        <v>47</v>
      </c>
      <c r="I18" s="1215">
        <v>1727</v>
      </c>
      <c r="J18" s="1246">
        <f t="shared" si="3"/>
        <v>315.2911184210526</v>
      </c>
      <c r="K18" s="1257">
        <v>11</v>
      </c>
      <c r="L18" s="1219">
        <f t="shared" si="4"/>
        <v>0.18256578947368421</v>
      </c>
      <c r="M18" s="1258">
        <v>186</v>
      </c>
      <c r="N18" s="1257">
        <v>422</v>
      </c>
      <c r="O18" s="1220">
        <f t="shared" si="10"/>
        <v>608</v>
      </c>
      <c r="P18" s="1259">
        <v>32</v>
      </c>
      <c r="Q18" s="1257">
        <v>79</v>
      </c>
      <c r="R18" s="1246">
        <f t="shared" si="11"/>
        <v>111</v>
      </c>
      <c r="S18" s="1222">
        <f t="shared" si="2"/>
        <v>4.2629111842105258</v>
      </c>
      <c r="T18" s="1248">
        <f t="shared" si="5"/>
        <v>3.1178229023990207</v>
      </c>
      <c r="U18" s="1681">
        <v>3.1629</v>
      </c>
      <c r="V18" s="1681"/>
      <c r="W18" s="1212">
        <f t="shared" si="12"/>
        <v>351.08190000000002</v>
      </c>
      <c r="X18" s="1223">
        <f t="shared" si="7"/>
        <v>3.1629</v>
      </c>
      <c r="Y18" s="1223">
        <f t="shared" si="8"/>
        <v>1.0144578762207099</v>
      </c>
    </row>
    <row r="19" spans="1:26" s="761" customFormat="1" ht="12.75">
      <c r="A19" s="1213" t="s">
        <v>35</v>
      </c>
      <c r="B19" s="1256">
        <v>41747</v>
      </c>
      <c r="C19" s="1214">
        <v>8</v>
      </c>
      <c r="D19" s="1214">
        <v>26</v>
      </c>
      <c r="E19" s="1213" t="s">
        <v>96</v>
      </c>
      <c r="F19" s="1213" t="s">
        <v>90</v>
      </c>
      <c r="G19" s="1215"/>
      <c r="H19" s="1215">
        <v>27</v>
      </c>
      <c r="I19" s="1215">
        <v>2315</v>
      </c>
      <c r="J19" s="1246">
        <f t="shared" si="3"/>
        <v>371.30404463040446</v>
      </c>
      <c r="K19" s="1257">
        <v>6</v>
      </c>
      <c r="L19" s="1219">
        <f t="shared" si="4"/>
        <v>0.16039051603905161</v>
      </c>
      <c r="M19" s="1258">
        <v>288</v>
      </c>
      <c r="N19" s="1257">
        <v>429</v>
      </c>
      <c r="O19" s="1220">
        <f t="shared" si="10"/>
        <v>717</v>
      </c>
      <c r="P19" s="1259">
        <v>43</v>
      </c>
      <c r="Q19" s="1257">
        <v>72</v>
      </c>
      <c r="R19" s="1246">
        <f t="shared" si="11"/>
        <v>115</v>
      </c>
      <c r="S19" s="1222">
        <f t="shared" si="2"/>
        <v>4.8630404463040442</v>
      </c>
      <c r="T19" s="1248">
        <f t="shared" si="5"/>
        <v>3.0168314271661449</v>
      </c>
      <c r="U19" s="1681">
        <v>3.3448000000000002</v>
      </c>
      <c r="V19" s="1681"/>
      <c r="W19" s="1212">
        <f t="shared" si="12"/>
        <v>384.65200000000004</v>
      </c>
      <c r="X19" s="1223">
        <f t="shared" si="7"/>
        <v>3.3448000000000002</v>
      </c>
      <c r="Y19" s="1223">
        <f t="shared" si="8"/>
        <v>1.1087129263771731</v>
      </c>
    </row>
    <row r="20" spans="1:26" s="761" customFormat="1" ht="12.75">
      <c r="A20" s="1213" t="s">
        <v>35</v>
      </c>
      <c r="B20" s="1256">
        <v>41747</v>
      </c>
      <c r="C20" s="1214">
        <v>12</v>
      </c>
      <c r="D20" s="1214">
        <v>11</v>
      </c>
      <c r="E20" s="1213" t="s">
        <v>96</v>
      </c>
      <c r="F20" s="1213" t="s">
        <v>91</v>
      </c>
      <c r="G20" s="1260"/>
      <c r="H20" s="1215">
        <v>30</v>
      </c>
      <c r="I20" s="1215">
        <v>2020</v>
      </c>
      <c r="J20" s="1246">
        <f t="shared" si="3"/>
        <v>344.79871175523351</v>
      </c>
      <c r="K20" s="1257">
        <v>7</v>
      </c>
      <c r="L20" s="1219">
        <f t="shared" si="4"/>
        <v>0.17069243156199679</v>
      </c>
      <c r="M20" s="1258">
        <v>208</v>
      </c>
      <c r="N20" s="1257">
        <v>413</v>
      </c>
      <c r="O20" s="1220">
        <f t="shared" si="10"/>
        <v>621</v>
      </c>
      <c r="P20" s="1259">
        <v>32</v>
      </c>
      <c r="Q20" s="1257">
        <v>74</v>
      </c>
      <c r="R20" s="1246">
        <f t="shared" si="11"/>
        <v>106</v>
      </c>
      <c r="S20" s="1222">
        <f t="shared" si="2"/>
        <v>4.5079871175523349</v>
      </c>
      <c r="T20" s="1248">
        <f t="shared" si="5"/>
        <v>3.0745555732998739</v>
      </c>
      <c r="U20" s="1681">
        <v>3.4116</v>
      </c>
      <c r="V20" s="1681"/>
      <c r="W20" s="1212">
        <f t="shared" si="12"/>
        <v>361.62959999999998</v>
      </c>
      <c r="X20" s="1223">
        <f t="shared" si="7"/>
        <v>3.4116</v>
      </c>
      <c r="Y20" s="1223">
        <f t="shared" si="8"/>
        <v>1.1096237874595909</v>
      </c>
    </row>
    <row r="21" spans="1:26" s="1265" customFormat="1">
      <c r="A21" s="1213" t="s">
        <v>35</v>
      </c>
      <c r="B21" s="1256">
        <v>41747</v>
      </c>
      <c r="C21" s="1214">
        <v>1</v>
      </c>
      <c r="D21" s="1214">
        <v>84</v>
      </c>
      <c r="E21" s="1213" t="s">
        <v>97</v>
      </c>
      <c r="F21" s="1261" t="s">
        <v>81</v>
      </c>
      <c r="G21" s="1262"/>
      <c r="H21" s="1263">
        <v>37</v>
      </c>
      <c r="I21" s="1215">
        <v>1048</v>
      </c>
      <c r="J21" s="1246">
        <f t="shared" si="3"/>
        <v>190.54545454545456</v>
      </c>
      <c r="K21" s="1257">
        <v>9</v>
      </c>
      <c r="L21" s="1264">
        <f t="shared" si="4"/>
        <v>0.18181818181818182</v>
      </c>
      <c r="M21" s="1258">
        <v>290</v>
      </c>
      <c r="N21" s="1257">
        <v>425</v>
      </c>
      <c r="O21" s="1220">
        <f t="shared" si="10"/>
        <v>715</v>
      </c>
      <c r="P21" s="1259">
        <v>47</v>
      </c>
      <c r="Q21" s="1257">
        <v>83</v>
      </c>
      <c r="R21" s="1217">
        <f t="shared" si="11"/>
        <v>130</v>
      </c>
      <c r="S21" s="1222">
        <f t="shared" si="2"/>
        <v>3.2054545454545456</v>
      </c>
      <c r="T21" s="1248">
        <f t="shared" si="5"/>
        <v>3.3481554102567253</v>
      </c>
      <c r="U21" s="1681">
        <v>3.4392</v>
      </c>
      <c r="V21" s="1681"/>
      <c r="W21" s="1212">
        <f t="shared" si="12"/>
        <v>447.096</v>
      </c>
      <c r="X21" s="1223">
        <f t="shared" si="7"/>
        <v>3.4392</v>
      </c>
      <c r="Y21" s="1223">
        <f t="shared" si="8"/>
        <v>1.0271924622926312</v>
      </c>
    </row>
    <row r="22" spans="1:26" s="1265" customFormat="1">
      <c r="A22" s="1213" t="s">
        <v>35</v>
      </c>
      <c r="B22" s="1256">
        <v>41747</v>
      </c>
      <c r="C22" s="1214">
        <v>4</v>
      </c>
      <c r="D22" s="1214">
        <v>71</v>
      </c>
      <c r="E22" s="1213" t="s">
        <v>97</v>
      </c>
      <c r="F22" s="1261" t="s">
        <v>90</v>
      </c>
      <c r="G22" s="1262"/>
      <c r="H22" s="1263">
        <v>27</v>
      </c>
      <c r="I22" s="1215">
        <v>1887</v>
      </c>
      <c r="J22" s="1246">
        <f t="shared" si="3"/>
        <v>308.45192307692309</v>
      </c>
      <c r="K22" s="1257">
        <v>6</v>
      </c>
      <c r="L22" s="1264">
        <f t="shared" si="4"/>
        <v>0.16346153846153846</v>
      </c>
      <c r="M22" s="1258">
        <v>283</v>
      </c>
      <c r="N22" s="1257">
        <v>549</v>
      </c>
      <c r="O22" s="1220">
        <f t="shared" si="10"/>
        <v>832</v>
      </c>
      <c r="P22" s="1259">
        <v>45</v>
      </c>
      <c r="Q22" s="1257">
        <v>91</v>
      </c>
      <c r="R22" s="1217">
        <f t="shared" si="11"/>
        <v>136</v>
      </c>
      <c r="S22" s="1222">
        <f t="shared" si="2"/>
        <v>4.4445192307692309</v>
      </c>
      <c r="T22" s="1248">
        <f t="shared" si="5"/>
        <v>3.0854734702386839</v>
      </c>
      <c r="U22" s="1681">
        <v>3.1667000000000001</v>
      </c>
      <c r="V22" s="1681"/>
      <c r="W22" s="1212">
        <f t="shared" si="12"/>
        <v>430.6712</v>
      </c>
      <c r="X22" s="1223">
        <f>W22/R22</f>
        <v>3.1667000000000001</v>
      </c>
      <c r="Y22" s="1223">
        <f t="shared" si="8"/>
        <v>1.0263254669161141</v>
      </c>
    </row>
    <row r="23" spans="1:26" s="1265" customFormat="1">
      <c r="A23" s="1213" t="s">
        <v>35</v>
      </c>
      <c r="B23" s="1256">
        <v>41747</v>
      </c>
      <c r="C23" s="1214">
        <v>3</v>
      </c>
      <c r="D23" s="1214">
        <v>66</v>
      </c>
      <c r="E23" s="1213" t="s">
        <v>97</v>
      </c>
      <c r="F23" s="1261" t="s">
        <v>91</v>
      </c>
      <c r="G23" s="1262"/>
      <c r="H23" s="1263">
        <v>40</v>
      </c>
      <c r="I23" s="1215">
        <v>1477</v>
      </c>
      <c r="J23" s="1246">
        <f t="shared" si="3"/>
        <v>235.463768115942</v>
      </c>
      <c r="K23" s="1266">
        <v>10</v>
      </c>
      <c r="L23" s="1264">
        <f t="shared" si="4"/>
        <v>0.15942028985507245</v>
      </c>
      <c r="M23" s="1258">
        <v>245</v>
      </c>
      <c r="N23" s="1266">
        <v>307</v>
      </c>
      <c r="O23" s="1220">
        <f t="shared" si="10"/>
        <v>552</v>
      </c>
      <c r="P23" s="1259">
        <v>39</v>
      </c>
      <c r="Q23" s="1266">
        <v>49</v>
      </c>
      <c r="R23" s="1217">
        <f t="shared" si="11"/>
        <v>88</v>
      </c>
      <c r="S23" s="1222">
        <f t="shared" si="2"/>
        <v>3.2346376811594202</v>
      </c>
      <c r="T23" s="1248">
        <f t="shared" si="5"/>
        <v>3.3405778998109166</v>
      </c>
      <c r="U23" s="1681">
        <v>3.4432999999999998</v>
      </c>
      <c r="V23" s="1681"/>
      <c r="W23" s="1212">
        <f>U23*R23</f>
        <v>303.0104</v>
      </c>
      <c r="X23" s="1223">
        <f t="shared" si="7"/>
        <v>3.4433000000000002</v>
      </c>
      <c r="Y23" s="1223">
        <f t="shared" si="8"/>
        <v>1.0307497993670192</v>
      </c>
    </row>
    <row r="24" spans="1:26" s="913" customFormat="1">
      <c r="A24" s="867" t="s">
        <v>35</v>
      </c>
      <c r="B24" s="904">
        <v>41747</v>
      </c>
      <c r="C24" s="869">
        <v>7</v>
      </c>
      <c r="D24" s="869">
        <v>69</v>
      </c>
      <c r="E24" s="867" t="s">
        <v>98</v>
      </c>
      <c r="F24" s="908" t="s">
        <v>81</v>
      </c>
      <c r="G24" s="909"/>
      <c r="H24" s="910">
        <v>56</v>
      </c>
      <c r="I24" s="870">
        <v>1025</v>
      </c>
      <c r="J24" s="895">
        <f t="shared" si="3"/>
        <v>207.59493670886076</v>
      </c>
      <c r="K24" s="911">
        <v>13</v>
      </c>
      <c r="L24" s="912">
        <f t="shared" si="4"/>
        <v>0.20253164556962025</v>
      </c>
      <c r="M24" s="906">
        <v>122</v>
      </c>
      <c r="N24" s="911">
        <v>273</v>
      </c>
      <c r="O24" s="876">
        <f t="shared" si="10"/>
        <v>395</v>
      </c>
      <c r="P24" s="907">
        <v>20</v>
      </c>
      <c r="Q24" s="911">
        <v>60</v>
      </c>
      <c r="R24" s="873">
        <f t="shared" si="11"/>
        <v>80</v>
      </c>
      <c r="S24" s="878">
        <f t="shared" si="2"/>
        <v>2.8759493670886074</v>
      </c>
      <c r="T24" s="896">
        <f t="shared" si="5"/>
        <v>3.4401921859446034</v>
      </c>
      <c r="U24" s="1675">
        <v>2.2281</v>
      </c>
      <c r="V24" s="1675"/>
      <c r="W24" s="894">
        <f t="shared" si="12"/>
        <v>178.24799999999999</v>
      </c>
      <c r="X24" s="879">
        <f t="shared" si="7"/>
        <v>2.2281</v>
      </c>
      <c r="Y24" s="879">
        <f t="shared" si="8"/>
        <v>0.64766730449049348</v>
      </c>
    </row>
    <row r="25" spans="1:26" s="913" customFormat="1">
      <c r="A25" s="914" t="s">
        <v>35</v>
      </c>
      <c r="B25" s="915">
        <v>41747</v>
      </c>
      <c r="C25" s="916">
        <v>10</v>
      </c>
      <c r="D25" s="916">
        <v>60</v>
      </c>
      <c r="E25" s="914" t="s">
        <v>98</v>
      </c>
      <c r="F25" s="917" t="s">
        <v>90</v>
      </c>
      <c r="G25" s="918"/>
      <c r="H25" s="919">
        <v>36</v>
      </c>
      <c r="I25" s="920">
        <v>1744</v>
      </c>
      <c r="J25" s="921">
        <f t="shared" si="3"/>
        <v>327</v>
      </c>
      <c r="K25" s="922">
        <v>8</v>
      </c>
      <c r="L25" s="923">
        <f t="shared" si="4"/>
        <v>0.1875</v>
      </c>
      <c r="M25" s="924">
        <v>146</v>
      </c>
      <c r="N25" s="922">
        <v>302</v>
      </c>
      <c r="O25" s="925">
        <f t="shared" si="10"/>
        <v>448</v>
      </c>
      <c r="P25" s="926">
        <v>25</v>
      </c>
      <c r="Q25" s="922">
        <v>59</v>
      </c>
      <c r="R25" s="927">
        <f t="shared" si="11"/>
        <v>84</v>
      </c>
      <c r="S25" s="928">
        <f t="shared" si="2"/>
        <v>4.1100000000000003</v>
      </c>
      <c r="T25" s="896">
        <f t="shared" si="5"/>
        <v>3.1464262636276668</v>
      </c>
      <c r="U25" s="1682">
        <v>2.0425</v>
      </c>
      <c r="V25" s="1682"/>
      <c r="W25" s="894">
        <f>U25*R25</f>
        <v>171.57</v>
      </c>
      <c r="X25" s="929">
        <f t="shared" si="7"/>
        <v>2.0425</v>
      </c>
      <c r="Y25" s="929">
        <f t="shared" si="8"/>
        <v>0.64914917079452006</v>
      </c>
    </row>
    <row r="26" spans="1:26" s="933" customFormat="1" ht="15.75" thickBot="1">
      <c r="A26" s="930" t="s">
        <v>35</v>
      </c>
      <c r="B26" s="931">
        <v>41747</v>
      </c>
      <c r="C26" s="932">
        <v>8</v>
      </c>
      <c r="D26" s="932">
        <v>62</v>
      </c>
      <c r="E26" s="930" t="s">
        <v>98</v>
      </c>
      <c r="F26" s="930" t="s">
        <v>91</v>
      </c>
      <c r="H26" s="934">
        <v>39</v>
      </c>
      <c r="I26" s="934">
        <v>1079</v>
      </c>
      <c r="J26" s="935">
        <f t="shared" si="3"/>
        <v>209.95320197044336</v>
      </c>
      <c r="K26" s="936">
        <v>9</v>
      </c>
      <c r="L26" s="934">
        <f t="shared" si="4"/>
        <v>0.19458128078817735</v>
      </c>
      <c r="M26" s="937">
        <v>140</v>
      </c>
      <c r="N26" s="936">
        <v>266</v>
      </c>
      <c r="O26" s="934">
        <f t="shared" si="10"/>
        <v>406</v>
      </c>
      <c r="P26" s="938">
        <v>24</v>
      </c>
      <c r="Q26" s="936">
        <v>55</v>
      </c>
      <c r="R26" s="939">
        <f t="shared" si="11"/>
        <v>79</v>
      </c>
      <c r="S26" s="940">
        <f>(R26+J26)/100</f>
        <v>2.8895320197044341</v>
      </c>
      <c r="T26" s="941">
        <f t="shared" si="5"/>
        <v>3.4361422628846796</v>
      </c>
      <c r="U26" s="1683">
        <v>1.9094</v>
      </c>
      <c r="V26" s="1683"/>
      <c r="W26" s="942">
        <f t="shared" si="12"/>
        <v>150.8426</v>
      </c>
      <c r="X26" s="942">
        <f t="shared" si="7"/>
        <v>1.9094</v>
      </c>
      <c r="Y26" s="942">
        <f t="shared" si="8"/>
        <v>0.55568130010922112</v>
      </c>
    </row>
    <row r="27" spans="1:26" ht="15.75" thickTop="1">
      <c r="A27" s="263" t="s">
        <v>38</v>
      </c>
      <c r="B27" s="264">
        <v>41808</v>
      </c>
      <c r="C27" s="248">
        <v>2</v>
      </c>
      <c r="D27" s="265">
        <v>8</v>
      </c>
      <c r="E27" s="263" t="s">
        <v>99</v>
      </c>
      <c r="F27" s="248" t="s">
        <v>81</v>
      </c>
      <c r="G27" s="266"/>
      <c r="H27" s="179">
        <v>33</v>
      </c>
      <c r="I27" s="179">
        <v>1158</v>
      </c>
      <c r="J27" s="182">
        <f t="shared" si="3"/>
        <v>304.73684210526312</v>
      </c>
      <c r="K27" s="252">
        <v>8</v>
      </c>
      <c r="L27" s="182">
        <f t="shared" si="4"/>
        <v>0.26315789473684209</v>
      </c>
      <c r="M27" s="252">
        <v>5</v>
      </c>
      <c r="N27" s="252">
        <v>280</v>
      </c>
      <c r="O27" s="182">
        <f t="shared" si="10"/>
        <v>285</v>
      </c>
      <c r="P27" s="249">
        <v>1</v>
      </c>
      <c r="Q27" s="252">
        <v>74</v>
      </c>
      <c r="R27" s="182">
        <f t="shared" si="11"/>
        <v>75</v>
      </c>
      <c r="S27" s="183">
        <f t="shared" si="2"/>
        <v>3.7973684210526311</v>
      </c>
      <c r="T27" s="267">
        <f t="shared" si="5"/>
        <v>3.2092779364202335</v>
      </c>
      <c r="U27" s="1684">
        <v>0.53859999999999997</v>
      </c>
      <c r="V27" s="1671"/>
      <c r="W27" s="162">
        <f>U27*R27</f>
        <v>40.394999999999996</v>
      </c>
      <c r="X27" s="185">
        <f>W27/R27</f>
        <v>0.53859999999999997</v>
      </c>
      <c r="Y27" s="268">
        <f t="shared" si="8"/>
        <v>0.16782591307774905</v>
      </c>
      <c r="Z27" t="s">
        <v>100</v>
      </c>
    </row>
    <row r="28" spans="1:26">
      <c r="A28" s="269" t="s">
        <v>38</v>
      </c>
      <c r="B28" s="270">
        <v>41808</v>
      </c>
      <c r="C28" s="252">
        <v>6</v>
      </c>
      <c r="D28" s="271">
        <v>20</v>
      </c>
      <c r="E28" s="269" t="s">
        <v>99</v>
      </c>
      <c r="F28" s="252" t="s">
        <v>90</v>
      </c>
      <c r="G28" s="36"/>
      <c r="H28" s="179">
        <v>34</v>
      </c>
      <c r="I28" s="179">
        <v>17445</v>
      </c>
      <c r="J28" s="159">
        <f t="shared" si="3"/>
        <v>4603.541666666667</v>
      </c>
      <c r="K28" s="252">
        <v>8</v>
      </c>
      <c r="L28" s="159">
        <f t="shared" si="4"/>
        <v>0.2638888888888889</v>
      </c>
      <c r="M28" s="252">
        <v>0</v>
      </c>
      <c r="N28" s="252">
        <v>432</v>
      </c>
      <c r="O28" s="159">
        <f t="shared" si="10"/>
        <v>432</v>
      </c>
      <c r="P28" s="249">
        <v>0</v>
      </c>
      <c r="Q28" s="252">
        <v>114</v>
      </c>
      <c r="R28" s="159">
        <f t="shared" si="11"/>
        <v>114</v>
      </c>
      <c r="S28" s="188">
        <f t="shared" si="2"/>
        <v>47.175416666666671</v>
      </c>
      <c r="T28" s="251">
        <f t="shared" si="5"/>
        <v>1.7094211689693386</v>
      </c>
      <c r="U28" s="1674">
        <v>0.51060000000000005</v>
      </c>
      <c r="V28" s="1674"/>
      <c r="W28" s="162">
        <f t="shared" si="12"/>
        <v>58.208400000000005</v>
      </c>
      <c r="X28" s="162">
        <f t="shared" si="7"/>
        <v>0.51060000000000005</v>
      </c>
      <c r="Y28" s="272">
        <f t="shared" si="8"/>
        <v>0.29869759967220727</v>
      </c>
    </row>
    <row r="29" spans="1:26">
      <c r="A29" s="269" t="s">
        <v>38</v>
      </c>
      <c r="B29" s="270">
        <v>41808</v>
      </c>
      <c r="C29" s="252">
        <v>5</v>
      </c>
      <c r="D29" s="271">
        <v>28</v>
      </c>
      <c r="E29" s="269" t="s">
        <v>99</v>
      </c>
      <c r="F29" s="252" t="s">
        <v>91</v>
      </c>
      <c r="G29" s="36"/>
      <c r="H29" s="179">
        <v>22</v>
      </c>
      <c r="I29" s="179">
        <v>1492</v>
      </c>
      <c r="J29" s="159">
        <f t="shared" si="3"/>
        <v>376.32047477744806</v>
      </c>
      <c r="K29" s="252">
        <v>6</v>
      </c>
      <c r="L29" s="159">
        <f t="shared" si="4"/>
        <v>0.25222551928783382</v>
      </c>
      <c r="M29" s="252">
        <v>0</v>
      </c>
      <c r="N29" s="252">
        <v>337</v>
      </c>
      <c r="O29" s="159">
        <f t="shared" si="10"/>
        <v>337</v>
      </c>
      <c r="P29" s="249">
        <v>0</v>
      </c>
      <c r="Q29" s="252">
        <v>85</v>
      </c>
      <c r="R29" s="159">
        <f t="shared" si="11"/>
        <v>85</v>
      </c>
      <c r="S29" s="188">
        <f t="shared" si="2"/>
        <v>4.6132047477744802</v>
      </c>
      <c r="T29" s="251">
        <f t="shared" si="5"/>
        <v>3.0568725452699175</v>
      </c>
      <c r="U29" s="1674">
        <v>0.45579999999999998</v>
      </c>
      <c r="V29" s="1674"/>
      <c r="W29" s="162">
        <f t="shared" si="12"/>
        <v>38.742999999999995</v>
      </c>
      <c r="X29" s="162">
        <f t="shared" si="7"/>
        <v>0.45579999999999993</v>
      </c>
      <c r="Y29" s="272">
        <f t="shared" si="8"/>
        <v>0.14910664191913617</v>
      </c>
    </row>
    <row r="30" spans="1:26">
      <c r="A30" s="269" t="s">
        <v>38</v>
      </c>
      <c r="B30" s="270">
        <v>41808</v>
      </c>
      <c r="C30" s="252">
        <v>1</v>
      </c>
      <c r="D30" s="271">
        <v>16</v>
      </c>
      <c r="E30" s="269" t="s">
        <v>101</v>
      </c>
      <c r="F30" s="252" t="s">
        <v>81</v>
      </c>
      <c r="G30" s="36"/>
      <c r="H30" s="179">
        <v>24</v>
      </c>
      <c r="I30" s="179">
        <v>1353</v>
      </c>
      <c r="J30" s="159">
        <f t="shared" si="3"/>
        <v>318.07368421052632</v>
      </c>
      <c r="K30" s="252">
        <v>6</v>
      </c>
      <c r="L30" s="159">
        <f t="shared" si="4"/>
        <v>0.23508771929824562</v>
      </c>
      <c r="M30" s="252">
        <v>8</v>
      </c>
      <c r="N30" s="252">
        <v>277</v>
      </c>
      <c r="O30" s="159">
        <f t="shared" si="10"/>
        <v>285</v>
      </c>
      <c r="P30" s="249">
        <v>1</v>
      </c>
      <c r="Q30" s="252">
        <v>66</v>
      </c>
      <c r="R30" s="159">
        <f t="shared" si="11"/>
        <v>67</v>
      </c>
      <c r="S30" s="188">
        <f t="shared" si="2"/>
        <v>3.8507368421052632</v>
      </c>
      <c r="T30" s="251">
        <f t="shared" si="5"/>
        <v>3.1981001073721762</v>
      </c>
      <c r="U30" s="1674">
        <v>0.77929999999999999</v>
      </c>
      <c r="V30" s="1674"/>
      <c r="W30" s="162">
        <f t="shared" si="12"/>
        <v>52.213099999999997</v>
      </c>
      <c r="X30" s="162">
        <f t="shared" si="7"/>
        <v>0.77929999999999999</v>
      </c>
      <c r="Y30" s="272">
        <f t="shared" si="8"/>
        <v>0.24367592440386032</v>
      </c>
    </row>
    <row r="31" spans="1:26">
      <c r="A31" s="269" t="s">
        <v>38</v>
      </c>
      <c r="B31" s="270">
        <v>41808</v>
      </c>
      <c r="C31" s="252">
        <v>8</v>
      </c>
      <c r="D31" s="271">
        <v>26</v>
      </c>
      <c r="E31" s="269" t="s">
        <v>101</v>
      </c>
      <c r="F31" s="252" t="s">
        <v>90</v>
      </c>
      <c r="G31" s="36"/>
      <c r="H31" s="179">
        <v>45</v>
      </c>
      <c r="I31" s="179">
        <v>2999</v>
      </c>
      <c r="J31" s="159">
        <f t="shared" si="3"/>
        <v>671.06336633663364</v>
      </c>
      <c r="K31" s="252">
        <v>11</v>
      </c>
      <c r="L31" s="159">
        <f t="shared" si="4"/>
        <v>0.22376237623762377</v>
      </c>
      <c r="M31" s="252">
        <v>9</v>
      </c>
      <c r="N31" s="252">
        <v>496</v>
      </c>
      <c r="O31" s="159">
        <f t="shared" si="10"/>
        <v>505</v>
      </c>
      <c r="P31" s="249">
        <v>1</v>
      </c>
      <c r="Q31" s="252">
        <v>112</v>
      </c>
      <c r="R31" s="159">
        <f t="shared" si="11"/>
        <v>113</v>
      </c>
      <c r="S31" s="188">
        <f t="shared" si="2"/>
        <v>7.8406336633663365</v>
      </c>
      <c r="T31" s="251">
        <f t="shared" si="5"/>
        <v>2.6772579895999291</v>
      </c>
      <c r="U31" s="1674">
        <v>0.66020000000000001</v>
      </c>
      <c r="V31" s="1674"/>
      <c r="W31" s="162">
        <f t="shared" si="12"/>
        <v>74.602599999999995</v>
      </c>
      <c r="X31" s="162">
        <f t="shared" si="7"/>
        <v>0.66020000000000001</v>
      </c>
      <c r="Y31" s="272">
        <f t="shared" si="8"/>
        <v>0.24659558494721523</v>
      </c>
    </row>
    <row r="32" spans="1:26">
      <c r="A32" s="269" t="s">
        <v>38</v>
      </c>
      <c r="B32" s="270">
        <v>41808</v>
      </c>
      <c r="C32" s="252">
        <v>1</v>
      </c>
      <c r="D32" s="271">
        <v>11</v>
      </c>
      <c r="E32" s="269" t="s">
        <v>101</v>
      </c>
      <c r="F32" s="252" t="s">
        <v>91</v>
      </c>
      <c r="G32" s="36"/>
      <c r="H32" s="179">
        <v>21</v>
      </c>
      <c r="I32" s="179">
        <v>2948</v>
      </c>
      <c r="J32" s="159">
        <f t="shared" si="3"/>
        <v>672.91304347826087</v>
      </c>
      <c r="K32" s="252">
        <v>5</v>
      </c>
      <c r="L32" s="159">
        <f t="shared" si="4"/>
        <v>0.22826086956521738</v>
      </c>
      <c r="M32" s="252">
        <v>17</v>
      </c>
      <c r="N32" s="252">
        <v>443</v>
      </c>
      <c r="O32" s="159">
        <f t="shared" si="10"/>
        <v>460</v>
      </c>
      <c r="P32" s="249">
        <v>3</v>
      </c>
      <c r="Q32" s="252">
        <v>102</v>
      </c>
      <c r="R32" s="159">
        <f t="shared" si="11"/>
        <v>105</v>
      </c>
      <c r="S32" s="188">
        <f t="shared" si="2"/>
        <v>7.7791304347826085</v>
      </c>
      <c r="T32" s="251">
        <f t="shared" si="5"/>
        <v>2.6825340954497054</v>
      </c>
      <c r="U32" s="1674">
        <v>0.82140000000000002</v>
      </c>
      <c r="V32" s="1674"/>
      <c r="W32" s="162">
        <f t="shared" si="12"/>
        <v>86.247</v>
      </c>
      <c r="X32" s="162">
        <f t="shared" si="7"/>
        <v>0.82140000000000002</v>
      </c>
      <c r="Y32" s="272">
        <f t="shared" si="8"/>
        <v>0.30620300461168931</v>
      </c>
    </row>
    <row r="33" spans="1:25">
      <c r="A33" s="269" t="s">
        <v>38</v>
      </c>
      <c r="B33" s="270">
        <v>41808</v>
      </c>
      <c r="C33" s="252">
        <v>1</v>
      </c>
      <c r="D33" s="271">
        <v>84</v>
      </c>
      <c r="E33" s="269" t="s">
        <v>102</v>
      </c>
      <c r="F33" s="252" t="s">
        <v>81</v>
      </c>
      <c r="G33" s="36"/>
      <c r="H33" s="179">
        <v>30</v>
      </c>
      <c r="I33" s="179">
        <v>2464</v>
      </c>
      <c r="J33" s="159">
        <f t="shared" si="3"/>
        <v>520.17777777777781</v>
      </c>
      <c r="K33" s="252">
        <v>7</v>
      </c>
      <c r="L33" s="159">
        <f t="shared" si="4"/>
        <v>0.21111111111111111</v>
      </c>
      <c r="M33" s="252">
        <v>52</v>
      </c>
      <c r="N33" s="252">
        <v>308</v>
      </c>
      <c r="O33" s="159">
        <f t="shared" si="10"/>
        <v>360</v>
      </c>
      <c r="P33" s="249">
        <v>10</v>
      </c>
      <c r="Q33" s="252">
        <v>66</v>
      </c>
      <c r="R33" s="159">
        <f t="shared" si="11"/>
        <v>76</v>
      </c>
      <c r="S33" s="188">
        <f t="shared" si="2"/>
        <v>5.9617777777777778</v>
      </c>
      <c r="T33" s="251">
        <f t="shared" si="5"/>
        <v>2.8670420854616321</v>
      </c>
      <c r="U33" s="1674">
        <v>0.97399999999999998</v>
      </c>
      <c r="V33" s="1674"/>
      <c r="W33" s="162">
        <f t="shared" si="12"/>
        <v>74.024000000000001</v>
      </c>
      <c r="X33" s="162">
        <f t="shared" si="7"/>
        <v>0.97399999999999998</v>
      </c>
      <c r="Y33" s="272">
        <f t="shared" si="8"/>
        <v>0.33972295172750244</v>
      </c>
    </row>
    <row r="34" spans="1:25">
      <c r="A34" s="269" t="s">
        <v>38</v>
      </c>
      <c r="B34" s="270">
        <v>41808</v>
      </c>
      <c r="C34" s="252">
        <v>4</v>
      </c>
      <c r="D34" s="271">
        <v>71</v>
      </c>
      <c r="E34" s="269" t="s">
        <v>102</v>
      </c>
      <c r="F34" s="252" t="s">
        <v>90</v>
      </c>
      <c r="G34" s="36"/>
      <c r="H34" s="179">
        <v>30</v>
      </c>
      <c r="I34" s="179">
        <v>2297</v>
      </c>
      <c r="J34" s="159">
        <f t="shared" si="3"/>
        <v>495.64037122969836</v>
      </c>
      <c r="K34" s="252">
        <v>7</v>
      </c>
      <c r="L34" s="159">
        <f t="shared" si="4"/>
        <v>0.21577726218097448</v>
      </c>
      <c r="M34" s="252">
        <v>27</v>
      </c>
      <c r="N34" s="252">
        <v>404</v>
      </c>
      <c r="O34" s="159">
        <f t="shared" si="10"/>
        <v>431</v>
      </c>
      <c r="P34" s="249">
        <v>4</v>
      </c>
      <c r="Q34" s="252">
        <v>89</v>
      </c>
      <c r="R34" s="159">
        <f t="shared" si="11"/>
        <v>93</v>
      </c>
      <c r="S34" s="188">
        <f t="shared" si="2"/>
        <v>5.8864037122969828</v>
      </c>
      <c r="T34" s="251">
        <f t="shared" si="5"/>
        <v>2.8761762971912668</v>
      </c>
      <c r="U34" s="1674">
        <v>0.93640000000000001</v>
      </c>
      <c r="V34" s="1674"/>
      <c r="W34" s="162">
        <f t="shared" si="12"/>
        <v>87.0852</v>
      </c>
      <c r="X34" s="162">
        <f t="shared" si="7"/>
        <v>0.93640000000000001</v>
      </c>
      <c r="Y34" s="272">
        <f t="shared" si="8"/>
        <v>0.32557114141940552</v>
      </c>
    </row>
    <row r="35" spans="1:25">
      <c r="A35" s="269" t="s">
        <v>38</v>
      </c>
      <c r="B35" s="270">
        <v>41808</v>
      </c>
      <c r="C35" s="252">
        <v>3</v>
      </c>
      <c r="D35" s="271">
        <v>66</v>
      </c>
      <c r="E35" s="269" t="s">
        <v>102</v>
      </c>
      <c r="F35" s="251" t="s">
        <v>91</v>
      </c>
      <c r="G35" s="36"/>
      <c r="H35" s="179">
        <v>39</v>
      </c>
      <c r="I35" s="179">
        <v>2871</v>
      </c>
      <c r="J35" s="159">
        <f t="shared" si="3"/>
        <v>656.2285714285714</v>
      </c>
      <c r="K35" s="252">
        <v>8</v>
      </c>
      <c r="L35" s="159">
        <f t="shared" si="4"/>
        <v>0.22857142857142856</v>
      </c>
      <c r="M35" s="252">
        <v>16</v>
      </c>
      <c r="N35" s="251">
        <v>439</v>
      </c>
      <c r="O35" s="159">
        <f t="shared" si="10"/>
        <v>455</v>
      </c>
      <c r="P35" s="249">
        <v>2</v>
      </c>
      <c r="Q35" s="251">
        <v>102</v>
      </c>
      <c r="R35" s="159">
        <f t="shared" si="11"/>
        <v>104</v>
      </c>
      <c r="S35" s="188">
        <f t="shared" si="2"/>
        <v>7.6022857142857143</v>
      </c>
      <c r="T35" s="251">
        <f t="shared" si="5"/>
        <v>2.6980001353115264</v>
      </c>
      <c r="U35" s="1674">
        <v>0.7863</v>
      </c>
      <c r="V35" s="1674"/>
      <c r="W35" s="162">
        <f t="shared" si="12"/>
        <v>81.775199999999998</v>
      </c>
      <c r="X35" s="162">
        <f t="shared" si="7"/>
        <v>0.7863</v>
      </c>
      <c r="Y35" s="272">
        <f t="shared" si="8"/>
        <v>0.29143808768164103</v>
      </c>
    </row>
    <row r="36" spans="1:25">
      <c r="A36" s="269" t="s">
        <v>38</v>
      </c>
      <c r="B36" s="270">
        <v>41808</v>
      </c>
      <c r="C36" s="252">
        <v>7</v>
      </c>
      <c r="D36" s="271">
        <v>69</v>
      </c>
      <c r="E36" s="269" t="s">
        <v>103</v>
      </c>
      <c r="F36" s="251" t="s">
        <v>81</v>
      </c>
      <c r="G36" s="36"/>
      <c r="H36" s="179">
        <v>48</v>
      </c>
      <c r="I36" s="179">
        <v>1216</v>
      </c>
      <c r="J36" s="159">
        <f t="shared" si="3"/>
        <v>307.11262798634812</v>
      </c>
      <c r="K36" s="252">
        <v>12</v>
      </c>
      <c r="L36" s="159">
        <f t="shared" si="4"/>
        <v>0.25255972696245732</v>
      </c>
      <c r="M36" s="252">
        <v>0</v>
      </c>
      <c r="N36" s="251">
        <v>293</v>
      </c>
      <c r="O36" s="159">
        <f t="shared" si="10"/>
        <v>293</v>
      </c>
      <c r="P36" s="249">
        <v>0</v>
      </c>
      <c r="Q36" s="251">
        <v>74</v>
      </c>
      <c r="R36" s="159">
        <f t="shared" si="11"/>
        <v>74</v>
      </c>
      <c r="S36" s="188">
        <f t="shared" si="2"/>
        <v>3.8111262798634811</v>
      </c>
      <c r="T36" s="251">
        <f t="shared" si="5"/>
        <v>3.206377698657584</v>
      </c>
      <c r="U36" s="1674">
        <v>0.47810000000000002</v>
      </c>
      <c r="V36" s="1674"/>
      <c r="W36" s="162">
        <f t="shared" si="12"/>
        <v>35.379400000000004</v>
      </c>
      <c r="X36" s="162">
        <f t="shared" si="7"/>
        <v>0.47810000000000008</v>
      </c>
      <c r="Y36" s="272">
        <f t="shared" si="8"/>
        <v>0.14910907102434204</v>
      </c>
    </row>
    <row r="37" spans="1:25">
      <c r="A37" s="269" t="s">
        <v>38</v>
      </c>
      <c r="B37" s="270">
        <v>41808</v>
      </c>
      <c r="C37" s="252">
        <v>1</v>
      </c>
      <c r="D37" s="271">
        <v>60</v>
      </c>
      <c r="E37" s="269" t="s">
        <v>103</v>
      </c>
      <c r="F37" s="251" t="s">
        <v>90</v>
      </c>
      <c r="G37" s="36"/>
      <c r="H37" s="179">
        <v>42</v>
      </c>
      <c r="I37" s="179">
        <v>2276</v>
      </c>
      <c r="J37" s="159">
        <f t="shared" si="3"/>
        <v>514.80952380952385</v>
      </c>
      <c r="K37" s="252">
        <v>10</v>
      </c>
      <c r="L37" s="159">
        <f t="shared" si="4"/>
        <v>0.22619047619047619</v>
      </c>
      <c r="M37" s="252">
        <v>0</v>
      </c>
      <c r="N37" s="251">
        <v>336</v>
      </c>
      <c r="O37" s="159">
        <f t="shared" si="10"/>
        <v>336</v>
      </c>
      <c r="P37" s="249">
        <v>0</v>
      </c>
      <c r="Q37" s="251">
        <v>76</v>
      </c>
      <c r="R37" s="159">
        <f t="shared" si="11"/>
        <v>76</v>
      </c>
      <c r="S37" s="188">
        <f t="shared" si="2"/>
        <v>5.908095238095239</v>
      </c>
      <c r="T37" s="251">
        <f t="shared" si="5"/>
        <v>2.8735326899219134</v>
      </c>
      <c r="U37" s="1674">
        <v>0.5444</v>
      </c>
      <c r="V37" s="1674"/>
      <c r="W37" s="162">
        <f t="shared" si="12"/>
        <v>41.374400000000001</v>
      </c>
      <c r="X37" s="162">
        <f t="shared" si="7"/>
        <v>0.5444</v>
      </c>
      <c r="Y37" s="272">
        <f t="shared" si="8"/>
        <v>0.18945321273334592</v>
      </c>
    </row>
    <row r="38" spans="1:25">
      <c r="A38" s="269" t="s">
        <v>38</v>
      </c>
      <c r="B38" s="270">
        <v>41808</v>
      </c>
      <c r="C38" s="252">
        <v>8</v>
      </c>
      <c r="D38" s="271">
        <v>62</v>
      </c>
      <c r="E38" s="269" t="s">
        <v>103</v>
      </c>
      <c r="F38" s="273" t="s">
        <v>91</v>
      </c>
      <c r="G38" s="36"/>
      <c r="H38" s="179">
        <v>36</v>
      </c>
      <c r="I38" s="179">
        <v>1846</v>
      </c>
      <c r="J38" s="159">
        <f t="shared" si="3"/>
        <v>314.09552238805969</v>
      </c>
      <c r="K38" s="252">
        <v>8</v>
      </c>
      <c r="L38" s="159">
        <f t="shared" si="4"/>
        <v>0.17014925373134329</v>
      </c>
      <c r="M38" s="252">
        <v>0</v>
      </c>
      <c r="N38" s="251">
        <v>335</v>
      </c>
      <c r="O38" s="159">
        <f t="shared" si="10"/>
        <v>335</v>
      </c>
      <c r="P38" s="249">
        <v>0</v>
      </c>
      <c r="Q38" s="251">
        <v>57</v>
      </c>
      <c r="R38" s="159">
        <f t="shared" si="11"/>
        <v>57</v>
      </c>
      <c r="S38" s="188">
        <f t="shared" si="2"/>
        <v>3.710955223880597</v>
      </c>
      <c r="T38" s="251">
        <f t="shared" si="5"/>
        <v>3.2277997635686728</v>
      </c>
      <c r="U38" s="1674">
        <v>0.52190000000000003</v>
      </c>
      <c r="V38" s="1674"/>
      <c r="W38" s="162">
        <f t="shared" si="12"/>
        <v>29.7483</v>
      </c>
      <c r="X38" s="162">
        <f t="shared" si="7"/>
        <v>0.52190000000000003</v>
      </c>
      <c r="Y38" s="272">
        <f t="shared" si="8"/>
        <v>0.16168908799441281</v>
      </c>
    </row>
    <row r="39" spans="1:25">
      <c r="A39" s="274"/>
      <c r="B39" s="275"/>
      <c r="C39" s="1"/>
      <c r="D39" s="1"/>
      <c r="E39" s="1"/>
      <c r="F39" s="1"/>
      <c r="G39" s="1"/>
      <c r="H39" s="1"/>
      <c r="I39" s="1"/>
      <c r="J39" s="1"/>
    </row>
    <row r="40" spans="1:25">
      <c r="B40" s="1"/>
      <c r="C40" s="1"/>
      <c r="D40" s="1"/>
      <c r="E40" s="1"/>
      <c r="F40" s="1"/>
      <c r="G40" s="1"/>
      <c r="H40" s="1"/>
      <c r="I40" s="1"/>
      <c r="J40" s="1"/>
    </row>
    <row r="41" spans="1:25">
      <c r="A41" s="55" t="s">
        <v>39</v>
      </c>
      <c r="B41" s="1"/>
      <c r="C41" s="1"/>
      <c r="D41" s="1"/>
      <c r="E41" s="1"/>
      <c r="F41" s="1"/>
      <c r="G41" s="1"/>
      <c r="H41" s="1"/>
      <c r="I41" s="1"/>
      <c r="J41" s="750" t="s">
        <v>390</v>
      </c>
      <c r="K41" s="751"/>
      <c r="L41" s="751"/>
    </row>
    <row r="42" spans="1:25">
      <c r="A42" s="56" t="s">
        <v>40</v>
      </c>
      <c r="B42" s="1"/>
      <c r="C42" s="1"/>
      <c r="D42" s="1"/>
      <c r="E42" s="1"/>
      <c r="F42" s="1"/>
      <c r="G42" s="1"/>
      <c r="H42" s="1"/>
      <c r="I42" s="1"/>
      <c r="J42" s="36"/>
      <c r="K42" s="752" t="s">
        <v>63</v>
      </c>
      <c r="L42" s="753" t="s">
        <v>64</v>
      </c>
    </row>
    <row r="43" spans="1:25">
      <c r="A43" s="56" t="s">
        <v>41</v>
      </c>
      <c r="B43" s="1"/>
      <c r="C43" s="1"/>
      <c r="D43" s="1"/>
      <c r="E43" s="1"/>
      <c r="F43" s="1"/>
      <c r="G43" s="1"/>
      <c r="H43" s="1"/>
      <c r="I43" s="1"/>
      <c r="J43" s="36" t="s">
        <v>391</v>
      </c>
      <c r="K43" s="774">
        <f>AVERAGE(Y15:Y17,Y24:Y26)</f>
        <v>0.68617952636721979</v>
      </c>
      <c r="L43" s="774">
        <f>AVERAGE(Y18:Y23)</f>
        <v>1.0528437197722065</v>
      </c>
    </row>
    <row r="44" spans="1:25">
      <c r="A44" s="56" t="s">
        <v>42</v>
      </c>
      <c r="B44" s="1"/>
      <c r="C44" s="1"/>
      <c r="D44" s="1"/>
      <c r="E44" s="1"/>
      <c r="F44" s="1"/>
      <c r="G44" s="1"/>
      <c r="H44" s="1"/>
      <c r="I44" s="1"/>
      <c r="J44" s="36" t="s">
        <v>25</v>
      </c>
      <c r="K44" s="774">
        <f>AVERAGE(W15:W17,W24:W26)</f>
        <v>201.71495000000002</v>
      </c>
      <c r="L44" s="774">
        <f>AVERAGE(W18:W23)</f>
        <v>379.69018333333332</v>
      </c>
    </row>
    <row r="45" spans="1:25">
      <c r="A45" s="55" t="s">
        <v>87</v>
      </c>
      <c r="B45" s="1"/>
      <c r="C45" s="1"/>
      <c r="D45" s="1"/>
      <c r="E45" s="1"/>
      <c r="F45" s="1"/>
      <c r="G45" s="1"/>
      <c r="H45" s="1"/>
      <c r="I45" s="1"/>
      <c r="J45" s="36" t="s">
        <v>392</v>
      </c>
      <c r="K45" s="774">
        <f>AVERAGE(X15:X17,X24:X26)</f>
        <v>2.2468666666666666</v>
      </c>
      <c r="L45" s="774">
        <f>AVERAGE(X18:X23)</f>
        <v>3.3280833333333333</v>
      </c>
    </row>
    <row r="46" spans="1:25">
      <c r="A46" s="55" t="s">
        <v>44</v>
      </c>
      <c r="B46" s="1"/>
      <c r="C46" s="1"/>
      <c r="D46" s="1"/>
      <c r="E46" s="1"/>
      <c r="F46" s="1"/>
      <c r="G46" s="1"/>
      <c r="H46" s="1"/>
      <c r="I46" s="1"/>
      <c r="J46" s="36" t="s">
        <v>393</v>
      </c>
      <c r="K46" s="774">
        <f>AVERAGE(S15:S17,S24:S26)</f>
        <v>3.5123748963373238</v>
      </c>
      <c r="L46" s="774">
        <f>AVERAGE(S18:S23)</f>
        <v>4.0864250342416844</v>
      </c>
    </row>
    <row r="47" spans="1:25">
      <c r="A47" s="55" t="s">
        <v>45</v>
      </c>
      <c r="B47" s="1"/>
      <c r="C47" s="1"/>
      <c r="D47" s="1"/>
      <c r="E47" s="1"/>
      <c r="F47" s="1"/>
      <c r="G47" s="1"/>
      <c r="H47" s="1"/>
      <c r="I47" s="1"/>
      <c r="J47" s="1"/>
    </row>
    <row r="48" spans="1:25">
      <c r="A48" s="56" t="s">
        <v>46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56" t="s">
        <v>47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56" t="s">
        <v>48</v>
      </c>
    </row>
    <row r="51" spans="1:10">
      <c r="A51" s="56" t="s">
        <v>49</v>
      </c>
    </row>
    <row r="52" spans="1:10">
      <c r="A52" s="1"/>
    </row>
    <row r="53" spans="1:10">
      <c r="A53" s="1" t="s">
        <v>50</v>
      </c>
    </row>
  </sheetData>
  <mergeCells count="64">
    <mergeCell ref="U36:V36"/>
    <mergeCell ref="U37:V37"/>
    <mergeCell ref="U38:V38"/>
    <mergeCell ref="U30:V30"/>
    <mergeCell ref="U31:V31"/>
    <mergeCell ref="U32:V32"/>
    <mergeCell ref="U33:V33"/>
    <mergeCell ref="U34:V34"/>
    <mergeCell ref="U35:V35"/>
    <mergeCell ref="U29:V29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U17:V17"/>
    <mergeCell ref="M12:N12"/>
    <mergeCell ref="P12:Q12"/>
    <mergeCell ref="U12:V12"/>
    <mergeCell ref="M13:N13"/>
    <mergeCell ref="P13:Q13"/>
    <mergeCell ref="U13:V13"/>
    <mergeCell ref="M14:N14"/>
    <mergeCell ref="P14:Q14"/>
    <mergeCell ref="U14:V14"/>
    <mergeCell ref="U15:V15"/>
    <mergeCell ref="U16:V16"/>
    <mergeCell ref="M10:N10"/>
    <mergeCell ref="P10:Q10"/>
    <mergeCell ref="U10:V10"/>
    <mergeCell ref="M11:N11"/>
    <mergeCell ref="P11:Q11"/>
    <mergeCell ref="U11:V11"/>
    <mergeCell ref="M8:N8"/>
    <mergeCell ref="P8:Q8"/>
    <mergeCell ref="U8:V8"/>
    <mergeCell ref="M9:N9"/>
    <mergeCell ref="P9:Q9"/>
    <mergeCell ref="U9:V9"/>
    <mergeCell ref="M6:N6"/>
    <mergeCell ref="P6:Q6"/>
    <mergeCell ref="U6:V6"/>
    <mergeCell ref="M7:N7"/>
    <mergeCell ref="P7:Q7"/>
    <mergeCell ref="U7:V7"/>
    <mergeCell ref="M4:N4"/>
    <mergeCell ref="P4:Q4"/>
    <mergeCell ref="U4:V4"/>
    <mergeCell ref="M5:N5"/>
    <mergeCell ref="P5:Q5"/>
    <mergeCell ref="U5:V5"/>
    <mergeCell ref="H1:J1"/>
    <mergeCell ref="K1:R1"/>
    <mergeCell ref="S1:T1"/>
    <mergeCell ref="U1:W1"/>
    <mergeCell ref="M3:N3"/>
    <mergeCell ref="P3:Q3"/>
    <mergeCell ref="U3:V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Y49"/>
  <sheetViews>
    <sheetView topLeftCell="E1" workbookViewId="0">
      <selection activeCell="V31" sqref="V31"/>
    </sheetView>
  </sheetViews>
  <sheetFormatPr baseColWidth="10" defaultRowHeight="15"/>
  <cols>
    <col min="6" max="6" width="20.42578125" bestFit="1" customWidth="1"/>
    <col min="16" max="16" width="14.42578125" bestFit="1" customWidth="1"/>
    <col min="24" max="24" width="15.85546875" bestFit="1" customWidth="1"/>
  </cols>
  <sheetData>
    <row r="1" spans="1:25" ht="15.75">
      <c r="A1" s="1"/>
      <c r="B1" s="1"/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  <c r="Y1" s="4"/>
    </row>
    <row r="2" spans="1:25">
      <c r="A2" s="5" t="s">
        <v>4</v>
      </c>
      <c r="B2" s="5" t="s">
        <v>5</v>
      </c>
      <c r="C2" s="5" t="s">
        <v>6</v>
      </c>
      <c r="D2" s="8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7" t="s">
        <v>11</v>
      </c>
      <c r="L2" s="5" t="s">
        <v>14</v>
      </c>
      <c r="M2" s="8" t="s">
        <v>15</v>
      </c>
      <c r="N2" s="8" t="s">
        <v>16</v>
      </c>
      <c r="O2" s="5" t="s">
        <v>17</v>
      </c>
      <c r="P2" s="8" t="s">
        <v>18</v>
      </c>
      <c r="Q2" s="8" t="s">
        <v>19</v>
      </c>
      <c r="R2" s="9" t="s">
        <v>20</v>
      </c>
      <c r="S2" s="10" t="s">
        <v>21</v>
      </c>
      <c r="T2" s="8" t="s">
        <v>22</v>
      </c>
      <c r="U2" s="11" t="s">
        <v>23</v>
      </c>
      <c r="V2" s="11" t="s">
        <v>24</v>
      </c>
      <c r="W2" s="12" t="s">
        <v>25</v>
      </c>
      <c r="X2" s="13" t="s">
        <v>26</v>
      </c>
      <c r="Y2" s="14" t="s">
        <v>27</v>
      </c>
    </row>
    <row r="3" spans="1:25" s="281" customFormat="1" ht="15" customHeight="1">
      <c r="A3" s="223" t="s">
        <v>28</v>
      </c>
      <c r="B3" s="276">
        <v>2014</v>
      </c>
      <c r="C3" s="277">
        <v>211</v>
      </c>
      <c r="D3" s="260"/>
      <c r="E3" s="278">
        <v>3</v>
      </c>
      <c r="F3" s="226" t="s">
        <v>81</v>
      </c>
      <c r="G3" s="226"/>
      <c r="H3" s="226">
        <v>37</v>
      </c>
      <c r="I3" s="227">
        <v>382</v>
      </c>
      <c r="J3" s="228">
        <f>I3*L3</f>
        <v>52.568807339449542</v>
      </c>
      <c r="K3" s="279">
        <v>6</v>
      </c>
      <c r="L3" s="227">
        <f>R3/O3</f>
        <v>0.13761467889908258</v>
      </c>
      <c r="M3" s="1685">
        <v>109</v>
      </c>
      <c r="N3" s="1686"/>
      <c r="O3" s="230">
        <v>109</v>
      </c>
      <c r="P3" s="1687">
        <v>15</v>
      </c>
      <c r="Q3" s="1688"/>
      <c r="R3" s="261">
        <v>15</v>
      </c>
      <c r="S3" s="231">
        <f>(R3+J3)/100</f>
        <v>0.67568807339449533</v>
      </c>
      <c r="T3" s="232">
        <f>MIN(4.63,4.48*S3^(-0.25))</f>
        <v>4.63</v>
      </c>
      <c r="U3" s="1689">
        <v>3.1095000000000002</v>
      </c>
      <c r="V3" s="1690"/>
      <c r="W3" s="280" t="s">
        <v>83</v>
      </c>
      <c r="X3" s="280" t="s">
        <v>83</v>
      </c>
      <c r="Y3" s="233">
        <f>U3/T3</f>
        <v>0.67159827213822898</v>
      </c>
    </row>
    <row r="4" spans="1:25" s="281" customFormat="1" ht="15" customHeight="1">
      <c r="A4" s="223" t="s">
        <v>28</v>
      </c>
      <c r="B4" s="276">
        <v>2014</v>
      </c>
      <c r="C4" s="277">
        <v>215</v>
      </c>
      <c r="D4" s="260"/>
      <c r="E4" s="278">
        <v>2</v>
      </c>
      <c r="F4" s="226" t="s">
        <v>104</v>
      </c>
      <c r="G4" s="226"/>
      <c r="H4" s="226">
        <v>44</v>
      </c>
      <c r="I4" s="227">
        <v>516</v>
      </c>
      <c r="J4" s="228">
        <f t="shared" ref="J4:J25" si="0">I4*L4</f>
        <v>67.476923076923086</v>
      </c>
      <c r="K4" s="279">
        <v>8</v>
      </c>
      <c r="L4" s="227">
        <f t="shared" ref="L4:L26" si="1">R4/O4</f>
        <v>0.13076923076923078</v>
      </c>
      <c r="M4" s="1685">
        <v>130</v>
      </c>
      <c r="N4" s="1686">
        <v>130</v>
      </c>
      <c r="O4" s="230">
        <v>130</v>
      </c>
      <c r="P4" s="1687">
        <v>17</v>
      </c>
      <c r="Q4" s="1688">
        <v>17</v>
      </c>
      <c r="R4" s="261">
        <v>17</v>
      </c>
      <c r="S4" s="231">
        <f t="shared" ref="S4:S34" si="2">(R4+J4)/100</f>
        <v>0.84476923076923083</v>
      </c>
      <c r="T4" s="232">
        <f t="shared" ref="T4:T34" si="3">MIN(4.63,4.48*S4^(-0.25))</f>
        <v>4.63</v>
      </c>
      <c r="U4" s="1689">
        <v>3.1137000000000001</v>
      </c>
      <c r="V4" s="1690"/>
      <c r="W4" s="280" t="s">
        <v>83</v>
      </c>
      <c r="X4" s="280" t="s">
        <v>83</v>
      </c>
      <c r="Y4" s="233">
        <f t="shared" ref="Y4:Y10" si="4">U4/T4</f>
        <v>0.67250539956803457</v>
      </c>
    </row>
    <row r="5" spans="1:25" s="281" customFormat="1" ht="15" customHeight="1">
      <c r="A5" s="223" t="s">
        <v>28</v>
      </c>
      <c r="B5" s="276">
        <v>2014</v>
      </c>
      <c r="C5" s="277">
        <v>216</v>
      </c>
      <c r="D5" s="260"/>
      <c r="E5" s="278">
        <v>3</v>
      </c>
      <c r="F5" s="226" t="s">
        <v>104</v>
      </c>
      <c r="G5" s="226"/>
      <c r="H5" s="226">
        <v>38</v>
      </c>
      <c r="I5" s="227">
        <v>548</v>
      </c>
      <c r="J5" s="228">
        <f t="shared" si="0"/>
        <v>80.588235294117652</v>
      </c>
      <c r="K5" s="279">
        <v>7</v>
      </c>
      <c r="L5" s="227">
        <f t="shared" si="1"/>
        <v>0.14705882352941177</v>
      </c>
      <c r="M5" s="1685">
        <v>136</v>
      </c>
      <c r="N5" s="1686">
        <v>136</v>
      </c>
      <c r="O5" s="230">
        <v>136</v>
      </c>
      <c r="P5" s="1687">
        <v>20</v>
      </c>
      <c r="Q5" s="1688">
        <v>20</v>
      </c>
      <c r="R5" s="261">
        <v>20</v>
      </c>
      <c r="S5" s="231">
        <f t="shared" si="2"/>
        <v>1.0058823529411764</v>
      </c>
      <c r="T5" s="232">
        <f t="shared" si="3"/>
        <v>4.4734358798080009</v>
      </c>
      <c r="U5" s="1689">
        <v>3.2242999999999999</v>
      </c>
      <c r="V5" s="1690"/>
      <c r="W5" s="280" t="s">
        <v>83</v>
      </c>
      <c r="X5" s="280" t="s">
        <v>83</v>
      </c>
      <c r="Y5" s="233">
        <f t="shared" si="4"/>
        <v>0.72076589150494008</v>
      </c>
    </row>
    <row r="6" spans="1:25" s="281" customFormat="1" ht="15" customHeight="1">
      <c r="A6" s="223" t="s">
        <v>28</v>
      </c>
      <c r="B6" s="276">
        <v>2014</v>
      </c>
      <c r="C6" s="277">
        <v>215</v>
      </c>
      <c r="D6" s="260"/>
      <c r="E6" s="278">
        <v>1</v>
      </c>
      <c r="F6" s="226" t="s">
        <v>104</v>
      </c>
      <c r="G6" s="226"/>
      <c r="H6" s="226">
        <v>36</v>
      </c>
      <c r="I6" s="227">
        <v>566</v>
      </c>
      <c r="J6" s="228">
        <f t="shared" si="0"/>
        <v>87.39705882352942</v>
      </c>
      <c r="K6" s="279">
        <v>6</v>
      </c>
      <c r="L6" s="227">
        <f t="shared" si="1"/>
        <v>0.15441176470588236</v>
      </c>
      <c r="M6" s="1685">
        <v>136</v>
      </c>
      <c r="N6" s="1686">
        <v>136</v>
      </c>
      <c r="O6" s="230">
        <v>136</v>
      </c>
      <c r="P6" s="1687">
        <v>21</v>
      </c>
      <c r="Q6" s="1688">
        <v>21</v>
      </c>
      <c r="R6" s="261">
        <v>21</v>
      </c>
      <c r="S6" s="231">
        <f t="shared" si="2"/>
        <v>1.0839705882352941</v>
      </c>
      <c r="T6" s="232">
        <f t="shared" si="3"/>
        <v>4.3905976374755715</v>
      </c>
      <c r="U6" s="1689">
        <v>2.8527</v>
      </c>
      <c r="V6" s="1690"/>
      <c r="W6" s="280" t="s">
        <v>83</v>
      </c>
      <c r="X6" s="280" t="s">
        <v>83</v>
      </c>
      <c r="Y6" s="233">
        <f t="shared" si="4"/>
        <v>0.64972931603912476</v>
      </c>
    </row>
    <row r="7" spans="1:25" s="281" customFormat="1" ht="15" customHeight="1">
      <c r="A7" s="223" t="s">
        <v>28</v>
      </c>
      <c r="B7" s="276">
        <v>2014</v>
      </c>
      <c r="C7" s="277">
        <v>216</v>
      </c>
      <c r="D7" s="260"/>
      <c r="E7" s="278">
        <v>4</v>
      </c>
      <c r="F7" s="226" t="s">
        <v>104</v>
      </c>
      <c r="G7" s="226"/>
      <c r="H7" s="226">
        <v>38</v>
      </c>
      <c r="I7" s="227">
        <v>480</v>
      </c>
      <c r="J7" s="228">
        <f t="shared" si="0"/>
        <v>71.428571428571431</v>
      </c>
      <c r="K7" s="279">
        <v>8</v>
      </c>
      <c r="L7" s="227">
        <f t="shared" si="1"/>
        <v>0.14880952380952381</v>
      </c>
      <c r="M7" s="1685">
        <v>168</v>
      </c>
      <c r="N7" s="1686">
        <v>168</v>
      </c>
      <c r="O7" s="230">
        <v>168</v>
      </c>
      <c r="P7" s="1687">
        <v>25</v>
      </c>
      <c r="Q7" s="1688">
        <v>25</v>
      </c>
      <c r="R7" s="261">
        <v>25</v>
      </c>
      <c r="S7" s="231">
        <f t="shared" si="2"/>
        <v>0.9642857142857143</v>
      </c>
      <c r="T7" s="232">
        <f t="shared" si="3"/>
        <v>4.5209174886924028</v>
      </c>
      <c r="U7" s="1689">
        <v>2.9798</v>
      </c>
      <c r="V7" s="1690"/>
      <c r="W7" s="280" t="s">
        <v>83</v>
      </c>
      <c r="X7" s="280" t="s">
        <v>83</v>
      </c>
      <c r="Y7" s="233">
        <f t="shared" si="4"/>
        <v>0.65911399786724612</v>
      </c>
    </row>
    <row r="8" spans="1:25" s="281" customFormat="1" ht="15" customHeight="1">
      <c r="A8" s="223" t="s">
        <v>28</v>
      </c>
      <c r="B8" s="276">
        <v>2014</v>
      </c>
      <c r="C8" s="277">
        <v>211</v>
      </c>
      <c r="D8" s="260"/>
      <c r="E8" s="278">
        <v>1</v>
      </c>
      <c r="F8" s="226" t="s">
        <v>81</v>
      </c>
      <c r="G8" s="226"/>
      <c r="H8" s="226">
        <v>26</v>
      </c>
      <c r="I8" s="227">
        <v>450</v>
      </c>
      <c r="J8" s="228">
        <f t="shared" si="0"/>
        <v>59.790209790209786</v>
      </c>
      <c r="K8" s="279">
        <v>5</v>
      </c>
      <c r="L8" s="227">
        <f t="shared" si="1"/>
        <v>0.13286713286713286</v>
      </c>
      <c r="M8" s="1685">
        <v>143</v>
      </c>
      <c r="N8" s="1686">
        <v>143</v>
      </c>
      <c r="O8" s="230">
        <v>143</v>
      </c>
      <c r="P8" s="1687">
        <v>19</v>
      </c>
      <c r="Q8" s="1688">
        <v>19</v>
      </c>
      <c r="R8" s="261">
        <v>19</v>
      </c>
      <c r="S8" s="231">
        <f t="shared" si="2"/>
        <v>0.78790209790209786</v>
      </c>
      <c r="T8" s="232">
        <f t="shared" si="3"/>
        <v>4.63</v>
      </c>
      <c r="U8" s="1689">
        <v>3.4028</v>
      </c>
      <c r="V8" s="1690"/>
      <c r="W8" s="280" t="s">
        <v>83</v>
      </c>
      <c r="X8" s="280" t="s">
        <v>83</v>
      </c>
      <c r="Y8" s="233">
        <f t="shared" si="4"/>
        <v>0.7349460043196544</v>
      </c>
    </row>
    <row r="9" spans="1:25" s="281" customFormat="1" ht="15" customHeight="1">
      <c r="A9" s="223" t="s">
        <v>28</v>
      </c>
      <c r="B9" s="276">
        <v>2014</v>
      </c>
      <c r="C9" s="277">
        <v>211</v>
      </c>
      <c r="D9" s="260"/>
      <c r="E9" s="278">
        <v>2</v>
      </c>
      <c r="F9" s="226" t="s">
        <v>81</v>
      </c>
      <c r="G9" s="226"/>
      <c r="H9" s="226">
        <v>33</v>
      </c>
      <c r="I9" s="227">
        <v>343</v>
      </c>
      <c r="J9" s="228">
        <f t="shared" si="0"/>
        <v>53.59375</v>
      </c>
      <c r="K9" s="279">
        <v>6</v>
      </c>
      <c r="L9" s="227">
        <f t="shared" si="1"/>
        <v>0.15625</v>
      </c>
      <c r="M9" s="1685">
        <v>96</v>
      </c>
      <c r="N9" s="1686">
        <v>96</v>
      </c>
      <c r="O9" s="230">
        <v>96</v>
      </c>
      <c r="P9" s="1687">
        <v>15</v>
      </c>
      <c r="Q9" s="1688">
        <v>15</v>
      </c>
      <c r="R9" s="261">
        <v>15</v>
      </c>
      <c r="S9" s="231">
        <f t="shared" si="2"/>
        <v>0.68593749999999998</v>
      </c>
      <c r="T9" s="232">
        <f t="shared" si="3"/>
        <v>4.63</v>
      </c>
      <c r="U9" s="1689">
        <v>3.2265999999999999</v>
      </c>
      <c r="V9" s="1690"/>
      <c r="W9" s="280" t="s">
        <v>83</v>
      </c>
      <c r="X9" s="280" t="s">
        <v>83</v>
      </c>
      <c r="Y9" s="233">
        <f t="shared" si="4"/>
        <v>0.69688984881209504</v>
      </c>
    </row>
    <row r="10" spans="1:25" s="289" customFormat="1" ht="15" customHeight="1" thickBot="1">
      <c r="A10" s="235" t="s">
        <v>28</v>
      </c>
      <c r="B10" s="282">
        <v>2014</v>
      </c>
      <c r="C10" s="283">
        <v>211</v>
      </c>
      <c r="D10" s="262"/>
      <c r="E10" s="284">
        <v>4</v>
      </c>
      <c r="F10" s="237" t="s">
        <v>81</v>
      </c>
      <c r="G10" s="237"/>
      <c r="H10" s="237">
        <v>22</v>
      </c>
      <c r="I10" s="238">
        <v>208</v>
      </c>
      <c r="J10" s="239">
        <f t="shared" si="0"/>
        <v>28.939130434782609</v>
      </c>
      <c r="K10" s="285">
        <v>5</v>
      </c>
      <c r="L10" s="238">
        <f t="shared" si="1"/>
        <v>0.1391304347826087</v>
      </c>
      <c r="M10" s="1664">
        <v>115</v>
      </c>
      <c r="N10" s="1692">
        <v>115</v>
      </c>
      <c r="O10" s="241">
        <v>115</v>
      </c>
      <c r="P10" s="1693">
        <v>16</v>
      </c>
      <c r="Q10" s="1694">
        <v>16</v>
      </c>
      <c r="R10" s="286">
        <v>16</v>
      </c>
      <c r="S10" s="242">
        <f t="shared" si="2"/>
        <v>0.44939130434782615</v>
      </c>
      <c r="T10" s="287">
        <f t="shared" si="3"/>
        <v>4.63</v>
      </c>
      <c r="U10" s="1695">
        <v>3.2645</v>
      </c>
      <c r="V10" s="1696"/>
      <c r="W10" s="288" t="s">
        <v>83</v>
      </c>
      <c r="X10" s="288" t="s">
        <v>83</v>
      </c>
      <c r="Y10" s="244">
        <f t="shared" si="4"/>
        <v>0.70507559395248376</v>
      </c>
    </row>
    <row r="11" spans="1:25" ht="15" customHeight="1" thickTop="1">
      <c r="A11" s="177" t="s">
        <v>34</v>
      </c>
      <c r="B11" s="290">
        <v>2014</v>
      </c>
      <c r="C11" s="291">
        <v>211</v>
      </c>
      <c r="D11" s="266"/>
      <c r="E11" s="292">
        <v>3</v>
      </c>
      <c r="F11" s="179" t="s">
        <v>81</v>
      </c>
      <c r="G11" s="179"/>
      <c r="H11" s="179">
        <v>20</v>
      </c>
      <c r="I11" s="32">
        <v>594</v>
      </c>
      <c r="J11" s="221">
        <f t="shared" si="0"/>
        <v>90.63187066974595</v>
      </c>
      <c r="K11" s="181">
        <v>4</v>
      </c>
      <c r="L11" s="32">
        <f t="shared" si="1"/>
        <v>0.15257890685142417</v>
      </c>
      <c r="M11" s="32"/>
      <c r="N11" s="182"/>
      <c r="O11" s="182">
        <v>129.9</v>
      </c>
      <c r="P11" s="179"/>
      <c r="Q11" s="179"/>
      <c r="R11" s="221">
        <v>19.82</v>
      </c>
      <c r="S11" s="184">
        <f t="shared" si="2"/>
        <v>1.1045187066974593</v>
      </c>
      <c r="T11" s="293">
        <f t="shared" si="3"/>
        <v>4.3700332872266339</v>
      </c>
      <c r="U11" s="1697">
        <v>3.7214</v>
      </c>
      <c r="V11" s="1697"/>
      <c r="W11" s="294" t="s">
        <v>83</v>
      </c>
      <c r="X11" s="294" t="s">
        <v>83</v>
      </c>
      <c r="Y11" s="185">
        <f>U11/T11</f>
        <v>0.8515724607584676</v>
      </c>
    </row>
    <row r="12" spans="1:25" ht="15" customHeight="1">
      <c r="A12" s="177" t="s">
        <v>34</v>
      </c>
      <c r="B12" s="290">
        <v>2014</v>
      </c>
      <c r="C12" s="295">
        <v>215</v>
      </c>
      <c r="D12" s="296"/>
      <c r="E12" s="297">
        <v>2</v>
      </c>
      <c r="F12" s="19" t="s">
        <v>104</v>
      </c>
      <c r="G12" s="19"/>
      <c r="H12" s="19">
        <v>29</v>
      </c>
      <c r="I12" s="35">
        <v>609</v>
      </c>
      <c r="J12" s="221">
        <f t="shared" si="0"/>
        <v>114.79075471698113</v>
      </c>
      <c r="K12" s="187">
        <v>6</v>
      </c>
      <c r="L12" s="32">
        <f t="shared" si="1"/>
        <v>0.18849056603773584</v>
      </c>
      <c r="M12" s="19"/>
      <c r="N12" s="179"/>
      <c r="O12" s="159">
        <v>212</v>
      </c>
      <c r="P12" s="19"/>
      <c r="Q12" s="19"/>
      <c r="R12" s="157">
        <v>39.96</v>
      </c>
      <c r="S12" s="184">
        <f t="shared" si="2"/>
        <v>1.5475075471698114</v>
      </c>
      <c r="T12" s="298">
        <f t="shared" si="3"/>
        <v>4.0167039194753515</v>
      </c>
      <c r="U12" s="1691">
        <v>3.4901</v>
      </c>
      <c r="V12" s="1691"/>
      <c r="W12" s="294" t="s">
        <v>83</v>
      </c>
      <c r="X12" s="294" t="s">
        <v>83</v>
      </c>
      <c r="Y12" s="185">
        <f t="shared" ref="Y12:Y18" si="5">U12/T12</f>
        <v>0.86889650568415933</v>
      </c>
    </row>
    <row r="13" spans="1:25" ht="15" customHeight="1">
      <c r="A13" s="177" t="s">
        <v>34</v>
      </c>
      <c r="B13" s="290">
        <v>2014</v>
      </c>
      <c r="C13" s="295">
        <v>216</v>
      </c>
      <c r="D13" s="296"/>
      <c r="E13" s="297">
        <v>3</v>
      </c>
      <c r="F13" s="19" t="s">
        <v>104</v>
      </c>
      <c r="G13" s="19"/>
      <c r="H13" s="19">
        <v>28</v>
      </c>
      <c r="I13" s="35">
        <v>604</v>
      </c>
      <c r="J13" s="221">
        <f t="shared" si="0"/>
        <v>105.82403804582793</v>
      </c>
      <c r="K13" s="187">
        <v>6</v>
      </c>
      <c r="L13" s="32">
        <f t="shared" si="1"/>
        <v>0.17520536100302639</v>
      </c>
      <c r="M13" s="19"/>
      <c r="N13" s="19"/>
      <c r="O13" s="159">
        <v>185.04</v>
      </c>
      <c r="P13" s="19"/>
      <c r="Q13" s="19"/>
      <c r="R13" s="157">
        <v>32.42</v>
      </c>
      <c r="S13" s="184">
        <f t="shared" si="2"/>
        <v>1.3824403804582794</v>
      </c>
      <c r="T13" s="298">
        <f t="shared" si="3"/>
        <v>4.131582329250918</v>
      </c>
      <c r="U13" s="1691">
        <v>3.9378000000000002</v>
      </c>
      <c r="V13" s="1691"/>
      <c r="W13" s="294" t="s">
        <v>83</v>
      </c>
      <c r="X13" s="294" t="s">
        <v>83</v>
      </c>
      <c r="Y13" s="185">
        <f t="shared" si="5"/>
        <v>0.9530973090191206</v>
      </c>
    </row>
    <row r="14" spans="1:25" ht="15" customHeight="1">
      <c r="A14" s="177" t="s">
        <v>34</v>
      </c>
      <c r="B14" s="290">
        <v>2014</v>
      </c>
      <c r="C14" s="295">
        <v>215</v>
      </c>
      <c r="D14" s="296"/>
      <c r="E14" s="297">
        <v>1</v>
      </c>
      <c r="F14" s="19" t="s">
        <v>104</v>
      </c>
      <c r="G14" s="19"/>
      <c r="H14" s="19">
        <v>44</v>
      </c>
      <c r="I14" s="35">
        <v>747</v>
      </c>
      <c r="J14" s="221">
        <f t="shared" si="0"/>
        <v>134.30697811509833</v>
      </c>
      <c r="K14" s="187">
        <v>9</v>
      </c>
      <c r="L14" s="32">
        <f t="shared" si="1"/>
        <v>0.17979515142583447</v>
      </c>
      <c r="M14" s="19"/>
      <c r="N14" s="19"/>
      <c r="O14" s="159">
        <v>271.42</v>
      </c>
      <c r="P14" s="19"/>
      <c r="Q14" s="19"/>
      <c r="R14" s="157">
        <v>48.8</v>
      </c>
      <c r="S14" s="184">
        <f t="shared" si="2"/>
        <v>1.8310697811509835</v>
      </c>
      <c r="T14" s="298">
        <f t="shared" si="3"/>
        <v>3.8512506990747326</v>
      </c>
      <c r="U14" s="1691">
        <v>3.4925999999999999</v>
      </c>
      <c r="V14" s="1691"/>
      <c r="W14" s="294" t="s">
        <v>83</v>
      </c>
      <c r="X14" s="294" t="s">
        <v>83</v>
      </c>
      <c r="Y14" s="185">
        <f t="shared" si="5"/>
        <v>0.90687422681652508</v>
      </c>
    </row>
    <row r="15" spans="1:25" ht="15" customHeight="1">
      <c r="A15" s="177" t="s">
        <v>34</v>
      </c>
      <c r="B15" s="290">
        <v>2014</v>
      </c>
      <c r="C15" s="295">
        <v>216</v>
      </c>
      <c r="D15" s="296"/>
      <c r="E15" s="297">
        <v>4</v>
      </c>
      <c r="F15" s="19" t="s">
        <v>104</v>
      </c>
      <c r="G15" s="19"/>
      <c r="H15" s="19">
        <v>32</v>
      </c>
      <c r="I15" s="35">
        <v>585</v>
      </c>
      <c r="J15" s="221">
        <f t="shared" si="0"/>
        <v>105.83343465045594</v>
      </c>
      <c r="K15" s="187">
        <v>7</v>
      </c>
      <c r="L15" s="32">
        <f t="shared" si="1"/>
        <v>0.18091185410334348</v>
      </c>
      <c r="M15" s="19"/>
      <c r="N15" s="19"/>
      <c r="O15" s="159">
        <v>164.5</v>
      </c>
      <c r="P15" s="19"/>
      <c r="Q15" s="19"/>
      <c r="R15" s="157">
        <v>29.76</v>
      </c>
      <c r="S15" s="184">
        <f t="shared" si="2"/>
        <v>1.3559343465045595</v>
      </c>
      <c r="T15" s="298">
        <f t="shared" si="3"/>
        <v>4.1516271992524514</v>
      </c>
      <c r="U15" s="1691">
        <v>3.6309</v>
      </c>
      <c r="V15" s="1691"/>
      <c r="W15" s="294" t="s">
        <v>83</v>
      </c>
      <c r="X15" s="294" t="s">
        <v>83</v>
      </c>
      <c r="Y15" s="185">
        <f t="shared" si="5"/>
        <v>0.87457274599554258</v>
      </c>
    </row>
    <row r="16" spans="1:25" ht="15" customHeight="1">
      <c r="A16" s="177" t="s">
        <v>34</v>
      </c>
      <c r="B16" s="290">
        <v>2014</v>
      </c>
      <c r="C16" s="295">
        <v>211</v>
      </c>
      <c r="D16" s="296"/>
      <c r="E16" s="297">
        <v>1</v>
      </c>
      <c r="F16" s="19" t="s">
        <v>81</v>
      </c>
      <c r="G16" s="19"/>
      <c r="H16" s="19">
        <v>40</v>
      </c>
      <c r="I16" s="35">
        <v>429</v>
      </c>
      <c r="J16" s="221">
        <f t="shared" si="0"/>
        <v>67.556274256144889</v>
      </c>
      <c r="K16" s="187">
        <v>8</v>
      </c>
      <c r="L16" s="32">
        <f t="shared" si="1"/>
        <v>0.15747383276490651</v>
      </c>
      <c r="M16" s="19"/>
      <c r="N16" s="19"/>
      <c r="O16" s="159">
        <v>85.03</v>
      </c>
      <c r="P16" s="19"/>
      <c r="Q16" s="19"/>
      <c r="R16" s="157">
        <v>13.39</v>
      </c>
      <c r="S16" s="184">
        <f t="shared" si="2"/>
        <v>0.8094627425614489</v>
      </c>
      <c r="T16" s="298">
        <f t="shared" si="3"/>
        <v>4.63</v>
      </c>
      <c r="U16" s="1691">
        <v>3.8411</v>
      </c>
      <c r="V16" s="1691"/>
      <c r="W16" s="294" t="s">
        <v>83</v>
      </c>
      <c r="X16" s="294" t="s">
        <v>83</v>
      </c>
      <c r="Y16" s="185">
        <f t="shared" si="5"/>
        <v>0.82961123110151191</v>
      </c>
    </row>
    <row r="17" spans="1:25" ht="15" customHeight="1">
      <c r="A17" s="177" t="s">
        <v>34</v>
      </c>
      <c r="B17" s="290">
        <v>2014</v>
      </c>
      <c r="C17" s="295">
        <v>211</v>
      </c>
      <c r="D17" s="296"/>
      <c r="E17" s="297">
        <v>2</v>
      </c>
      <c r="F17" s="19" t="s">
        <v>81</v>
      </c>
      <c r="G17" s="19"/>
      <c r="H17" s="19">
        <v>31</v>
      </c>
      <c r="I17" s="19">
        <v>503</v>
      </c>
      <c r="J17" s="221">
        <f t="shared" si="0"/>
        <v>76.854991872700822</v>
      </c>
      <c r="K17" s="187">
        <v>6</v>
      </c>
      <c r="L17" s="32">
        <f t="shared" si="1"/>
        <v>0.15279322439900761</v>
      </c>
      <c r="M17" s="19"/>
      <c r="N17" s="19"/>
      <c r="O17" s="159">
        <v>116.89</v>
      </c>
      <c r="P17" s="19"/>
      <c r="Q17" s="19"/>
      <c r="R17" s="157">
        <v>17.86</v>
      </c>
      <c r="S17" s="184">
        <f t="shared" si="2"/>
        <v>0.94714991872700827</v>
      </c>
      <c r="T17" s="298">
        <f t="shared" si="3"/>
        <v>4.541228266435887</v>
      </c>
      <c r="U17" s="1691">
        <v>4.0110999999999999</v>
      </c>
      <c r="V17" s="1691"/>
      <c r="W17" s="294" t="s">
        <v>83</v>
      </c>
      <c r="X17" s="294" t="s">
        <v>83</v>
      </c>
      <c r="Y17" s="185">
        <f t="shared" si="5"/>
        <v>0.88326324171941484</v>
      </c>
    </row>
    <row r="18" spans="1:25" s="310" customFormat="1" ht="15" customHeight="1" thickBot="1">
      <c r="A18" s="299" t="s">
        <v>34</v>
      </c>
      <c r="B18" s="300">
        <v>2014</v>
      </c>
      <c r="C18" s="301">
        <v>211</v>
      </c>
      <c r="D18" s="302"/>
      <c r="E18" s="303">
        <v>4</v>
      </c>
      <c r="F18" s="196" t="s">
        <v>81</v>
      </c>
      <c r="G18" s="196"/>
      <c r="H18" s="196">
        <v>25</v>
      </c>
      <c r="I18" s="196">
        <v>564</v>
      </c>
      <c r="J18" s="304">
        <f t="shared" si="0"/>
        <v>86.527479440974261</v>
      </c>
      <c r="K18" s="197">
        <v>5</v>
      </c>
      <c r="L18" s="305">
        <f t="shared" si="1"/>
        <v>0.15341751673931606</v>
      </c>
      <c r="M18" s="196"/>
      <c r="N18" s="196"/>
      <c r="O18" s="172">
        <v>222.53</v>
      </c>
      <c r="P18" s="196"/>
      <c r="Q18" s="196"/>
      <c r="R18" s="217">
        <v>34.14</v>
      </c>
      <c r="S18" s="306">
        <f t="shared" si="2"/>
        <v>1.2066747944097427</v>
      </c>
      <c r="T18" s="307">
        <f t="shared" si="3"/>
        <v>4.2744520905241501</v>
      </c>
      <c r="U18" s="1698">
        <v>4.1353</v>
      </c>
      <c r="V18" s="1698"/>
      <c r="W18" s="308" t="s">
        <v>83</v>
      </c>
      <c r="X18" s="308" t="s">
        <v>83</v>
      </c>
      <c r="Y18" s="309">
        <f t="shared" si="5"/>
        <v>0.96744563102423575</v>
      </c>
    </row>
    <row r="19" spans="1:25" s="866" customFormat="1" ht="15" customHeight="1" thickTop="1">
      <c r="A19" s="881" t="s">
        <v>35</v>
      </c>
      <c r="B19" s="943">
        <v>2014</v>
      </c>
      <c r="C19" s="944">
        <v>207</v>
      </c>
      <c r="D19" s="945"/>
      <c r="E19" s="946">
        <v>4</v>
      </c>
      <c r="F19" s="884" t="s">
        <v>81</v>
      </c>
      <c r="G19" s="945"/>
      <c r="H19" s="884">
        <v>33</v>
      </c>
      <c r="I19" s="884">
        <v>1925</v>
      </c>
      <c r="J19" s="945">
        <f t="shared" si="0"/>
        <v>215.76563066707584</v>
      </c>
      <c r="K19" s="947">
        <v>8</v>
      </c>
      <c r="L19" s="945">
        <f t="shared" si="1"/>
        <v>0.11208604190497447</v>
      </c>
      <c r="M19" s="945">
        <v>250</v>
      </c>
      <c r="N19" s="945">
        <v>466.86</v>
      </c>
      <c r="O19" s="945">
        <f>M19+N19</f>
        <v>716.86</v>
      </c>
      <c r="P19" s="889">
        <v>32.979999999999997</v>
      </c>
      <c r="Q19" s="889">
        <v>47.37</v>
      </c>
      <c r="R19" s="889">
        <f>P19+Q19</f>
        <v>80.349999999999994</v>
      </c>
      <c r="S19" s="948">
        <f t="shared" si="2"/>
        <v>2.9611563066707585</v>
      </c>
      <c r="T19" s="945">
        <f t="shared" si="3"/>
        <v>3.4151727840903567</v>
      </c>
      <c r="U19" s="945">
        <v>4.0583999999999998</v>
      </c>
      <c r="V19" s="945">
        <v>2.2749000000000001</v>
      </c>
      <c r="W19" s="945">
        <f>(U19*P19)+(V19*Q19)</f>
        <v>241.60804499999998</v>
      </c>
      <c r="X19" s="945">
        <f>W19/R19</f>
        <v>3.0069451773490976</v>
      </c>
      <c r="Y19" s="945">
        <f>X19/T19</f>
        <v>0.88046648513861592</v>
      </c>
    </row>
    <row r="20" spans="1:25" s="844" customFormat="1" ht="15" customHeight="1">
      <c r="A20" s="1201" t="s">
        <v>35</v>
      </c>
      <c r="B20" s="1267">
        <v>2014</v>
      </c>
      <c r="C20" s="1268">
        <v>215</v>
      </c>
      <c r="D20" s="1262"/>
      <c r="E20" s="1269">
        <v>3</v>
      </c>
      <c r="F20" s="1215" t="s">
        <v>104</v>
      </c>
      <c r="G20" s="1262"/>
      <c r="H20" s="1215">
        <v>21</v>
      </c>
      <c r="I20" s="1215">
        <v>3346</v>
      </c>
      <c r="J20" s="1270">
        <f t="shared" si="0"/>
        <v>402.07000675523523</v>
      </c>
      <c r="K20" s="1218">
        <v>5</v>
      </c>
      <c r="L20" s="1270">
        <f t="shared" si="1"/>
        <v>0.12016437739247915</v>
      </c>
      <c r="M20" s="1262">
        <v>437</v>
      </c>
      <c r="N20" s="1262">
        <v>451.2</v>
      </c>
      <c r="O20" s="1262">
        <f t="shared" ref="O20:O26" si="6">M20+N20</f>
        <v>888.2</v>
      </c>
      <c r="P20" s="1220">
        <v>57.44</v>
      </c>
      <c r="Q20" s="1220">
        <v>49.29</v>
      </c>
      <c r="R20" s="1220">
        <f t="shared" ref="R20:R26" si="7">P20+Q20</f>
        <v>106.72999999999999</v>
      </c>
      <c r="S20" s="1271">
        <f t="shared" si="2"/>
        <v>5.0880000675523522</v>
      </c>
      <c r="T20" s="1262">
        <f t="shared" si="3"/>
        <v>2.9829174647106034</v>
      </c>
      <c r="U20" s="1262">
        <v>4.0674999999999999</v>
      </c>
      <c r="V20" s="1262">
        <v>2.64</v>
      </c>
      <c r="W20" s="1270">
        <f t="shared" ref="W20:W26" si="8">(U20*P20)+(V20*Q20)</f>
        <v>363.76279999999997</v>
      </c>
      <c r="X20" s="1270">
        <f t="shared" ref="X20:X26" si="9">W20/R20</f>
        <v>3.4082526000187388</v>
      </c>
      <c r="Y20" s="1270">
        <f t="shared" ref="Y20:Y26" si="10">X20/T20</f>
        <v>1.1425903131213189</v>
      </c>
    </row>
    <row r="21" spans="1:25" s="844" customFormat="1" ht="15" customHeight="1">
      <c r="A21" s="1201" t="s">
        <v>35</v>
      </c>
      <c r="B21" s="1267">
        <v>2014</v>
      </c>
      <c r="C21" s="1268">
        <v>207</v>
      </c>
      <c r="D21" s="1262"/>
      <c r="E21" s="1269">
        <v>3</v>
      </c>
      <c r="F21" s="1215" t="s">
        <v>81</v>
      </c>
      <c r="G21" s="1262"/>
      <c r="H21" s="1215">
        <v>15</v>
      </c>
      <c r="I21" s="1215">
        <v>1918</v>
      </c>
      <c r="J21" s="1270">
        <f t="shared" si="0"/>
        <v>219.82221614227089</v>
      </c>
      <c r="K21" s="1218">
        <v>4</v>
      </c>
      <c r="L21" s="1270">
        <f t="shared" si="1"/>
        <v>0.11461012311901506</v>
      </c>
      <c r="M21" s="1262">
        <v>369</v>
      </c>
      <c r="N21" s="1262">
        <v>362</v>
      </c>
      <c r="O21" s="1262">
        <f t="shared" si="6"/>
        <v>731</v>
      </c>
      <c r="P21" s="1220">
        <v>47.86</v>
      </c>
      <c r="Q21" s="1220">
        <v>35.92</v>
      </c>
      <c r="R21" s="1220">
        <f t="shared" si="7"/>
        <v>83.78</v>
      </c>
      <c r="S21" s="1271">
        <f t="shared" si="2"/>
        <v>3.036022161422709</v>
      </c>
      <c r="T21" s="1262">
        <f t="shared" si="3"/>
        <v>3.3939213953665379</v>
      </c>
      <c r="U21" s="1262">
        <v>4.2873999999999999</v>
      </c>
      <c r="V21" s="1262">
        <v>3.0697000000000001</v>
      </c>
      <c r="W21" s="1270">
        <f t="shared" si="8"/>
        <v>315.45858800000002</v>
      </c>
      <c r="X21" s="1270">
        <f t="shared" si="9"/>
        <v>3.7653209357841968</v>
      </c>
      <c r="Y21" s="1270">
        <f t="shared" si="10"/>
        <v>1.1094308020582628</v>
      </c>
    </row>
    <row r="22" spans="1:25" s="866" customFormat="1" ht="15" customHeight="1">
      <c r="A22" s="881" t="s">
        <v>35</v>
      </c>
      <c r="B22" s="943">
        <v>2014</v>
      </c>
      <c r="C22" s="949">
        <v>215</v>
      </c>
      <c r="D22" s="909"/>
      <c r="E22" s="950">
        <v>4</v>
      </c>
      <c r="F22" s="870" t="s">
        <v>104</v>
      </c>
      <c r="G22" s="909"/>
      <c r="H22" s="870">
        <v>21</v>
      </c>
      <c r="I22" s="870">
        <v>1863</v>
      </c>
      <c r="J22" s="945">
        <f t="shared" si="0"/>
        <v>236.3720755273639</v>
      </c>
      <c r="K22" s="874">
        <v>6</v>
      </c>
      <c r="L22" s="945">
        <f t="shared" si="1"/>
        <v>0.12687712051925062</v>
      </c>
      <c r="M22" s="909">
        <v>270.5</v>
      </c>
      <c r="N22" s="909">
        <v>407.4</v>
      </c>
      <c r="O22" s="909">
        <f t="shared" si="6"/>
        <v>677.9</v>
      </c>
      <c r="P22" s="876">
        <v>38.78</v>
      </c>
      <c r="Q22" s="876">
        <v>47.23</v>
      </c>
      <c r="R22" s="876">
        <f t="shared" si="7"/>
        <v>86.009999999999991</v>
      </c>
      <c r="S22" s="951">
        <f t="shared" si="2"/>
        <v>3.2238207552736391</v>
      </c>
      <c r="T22" s="909">
        <f t="shared" si="3"/>
        <v>3.3433765515330593</v>
      </c>
      <c r="U22" s="909">
        <v>3.1171000000000002</v>
      </c>
      <c r="V22" s="909">
        <v>2.0167999999999999</v>
      </c>
      <c r="W22" s="945">
        <f t="shared" si="8"/>
        <v>216.134602</v>
      </c>
      <c r="X22" s="945">
        <f t="shared" si="9"/>
        <v>2.5129008487385192</v>
      </c>
      <c r="Y22" s="945">
        <f t="shared" si="10"/>
        <v>0.7516056926301834</v>
      </c>
    </row>
    <row r="23" spans="1:25" s="866" customFormat="1" ht="15" customHeight="1">
      <c r="A23" s="881" t="s">
        <v>35</v>
      </c>
      <c r="B23" s="943">
        <v>2014</v>
      </c>
      <c r="C23" s="949">
        <v>207</v>
      </c>
      <c r="D23" s="909"/>
      <c r="E23" s="950">
        <v>1</v>
      </c>
      <c r="F23" s="870" t="s">
        <v>81</v>
      </c>
      <c r="G23" s="909"/>
      <c r="H23" s="870">
        <v>39</v>
      </c>
      <c r="I23" s="870">
        <v>1787</v>
      </c>
      <c r="J23" s="945">
        <f t="shared" si="0"/>
        <v>230.69496098829649</v>
      </c>
      <c r="K23" s="874">
        <v>10</v>
      </c>
      <c r="L23" s="945">
        <f t="shared" si="1"/>
        <v>0.1290962288686606</v>
      </c>
      <c r="M23" s="909">
        <v>196.9</v>
      </c>
      <c r="N23" s="909">
        <v>418.3</v>
      </c>
      <c r="O23" s="909">
        <f t="shared" si="6"/>
        <v>615.20000000000005</v>
      </c>
      <c r="P23" s="876">
        <v>28.34</v>
      </c>
      <c r="Q23" s="876">
        <v>51.08</v>
      </c>
      <c r="R23" s="876">
        <f t="shared" si="7"/>
        <v>79.42</v>
      </c>
      <c r="S23" s="951">
        <f t="shared" si="2"/>
        <v>3.101149609882965</v>
      </c>
      <c r="T23" s="909">
        <f t="shared" si="3"/>
        <v>3.3759603272777827</v>
      </c>
      <c r="U23" s="909">
        <v>3.5023</v>
      </c>
      <c r="V23" s="909">
        <v>2.5238999999999998</v>
      </c>
      <c r="W23" s="945">
        <f t="shared" si="8"/>
        <v>228.175994</v>
      </c>
      <c r="X23" s="945">
        <f t="shared" si="9"/>
        <v>2.8730293880634599</v>
      </c>
      <c r="Y23" s="945">
        <f t="shared" si="10"/>
        <v>0.85102581474354499</v>
      </c>
    </row>
    <row r="24" spans="1:25" s="844" customFormat="1" ht="15" customHeight="1">
      <c r="A24" s="1201" t="s">
        <v>35</v>
      </c>
      <c r="B24" s="1267">
        <v>2014</v>
      </c>
      <c r="C24" s="1268">
        <v>216</v>
      </c>
      <c r="D24" s="1262"/>
      <c r="E24" s="1269">
        <v>2</v>
      </c>
      <c r="F24" s="1215" t="s">
        <v>104</v>
      </c>
      <c r="G24" s="1262"/>
      <c r="H24" s="1215">
        <v>14</v>
      </c>
      <c r="I24" s="1215">
        <v>1437</v>
      </c>
      <c r="J24" s="1270">
        <f t="shared" si="0"/>
        <v>179.10643544506817</v>
      </c>
      <c r="K24" s="1218">
        <v>4</v>
      </c>
      <c r="L24" s="1270">
        <f t="shared" si="1"/>
        <v>0.12463913392141139</v>
      </c>
      <c r="M24" s="1262">
        <v>197.2</v>
      </c>
      <c r="N24" s="1262">
        <v>301.60000000000002</v>
      </c>
      <c r="O24" s="1262">
        <f t="shared" si="6"/>
        <v>498.8</v>
      </c>
      <c r="P24" s="1220">
        <v>33.15</v>
      </c>
      <c r="Q24" s="1220">
        <v>29.02</v>
      </c>
      <c r="R24" s="1220">
        <f t="shared" si="7"/>
        <v>62.17</v>
      </c>
      <c r="S24" s="1271">
        <f t="shared" si="2"/>
        <v>2.4127643544506814</v>
      </c>
      <c r="T24" s="1262">
        <f t="shared" si="3"/>
        <v>3.5945893808143294</v>
      </c>
      <c r="U24" s="1262">
        <v>4.0450999999999997</v>
      </c>
      <c r="V24" s="1262">
        <v>3.5041000000000002</v>
      </c>
      <c r="W24" s="1270">
        <f t="shared" si="8"/>
        <v>235.78404699999999</v>
      </c>
      <c r="X24" s="1270">
        <f t="shared" si="9"/>
        <v>3.7925695190606397</v>
      </c>
      <c r="Y24" s="1270">
        <f t="shared" si="10"/>
        <v>1.0550772612034645</v>
      </c>
    </row>
    <row r="25" spans="1:25" s="844" customFormat="1" ht="15" customHeight="1">
      <c r="A25" s="1201" t="s">
        <v>35</v>
      </c>
      <c r="B25" s="1267">
        <v>2014</v>
      </c>
      <c r="C25" s="1268">
        <v>207</v>
      </c>
      <c r="D25" s="1262"/>
      <c r="E25" s="1269">
        <v>2</v>
      </c>
      <c r="F25" s="1215" t="s">
        <v>81</v>
      </c>
      <c r="G25" s="1262"/>
      <c r="H25" s="1215">
        <v>25</v>
      </c>
      <c r="I25" s="1215">
        <v>1830</v>
      </c>
      <c r="J25" s="1270">
        <f t="shared" si="0"/>
        <v>203.59688917692804</v>
      </c>
      <c r="K25" s="1218">
        <v>6</v>
      </c>
      <c r="L25" s="1270">
        <f t="shared" si="1"/>
        <v>0.11125513069777489</v>
      </c>
      <c r="M25" s="1262">
        <v>214.48</v>
      </c>
      <c r="N25" s="1262">
        <v>341</v>
      </c>
      <c r="O25" s="1262">
        <f t="shared" si="6"/>
        <v>555.48</v>
      </c>
      <c r="P25" s="1220">
        <v>28.37</v>
      </c>
      <c r="Q25" s="1220">
        <v>33.43</v>
      </c>
      <c r="R25" s="1220">
        <f t="shared" si="7"/>
        <v>61.8</v>
      </c>
      <c r="S25" s="1271">
        <f t="shared" si="2"/>
        <v>2.6539688917692801</v>
      </c>
      <c r="T25" s="1262">
        <f t="shared" si="3"/>
        <v>3.5099752732056047</v>
      </c>
      <c r="U25" s="1262">
        <v>4.6898999999999997</v>
      </c>
      <c r="V25" s="1262">
        <v>3.6371000000000002</v>
      </c>
      <c r="W25" s="1270">
        <f t="shared" si="8"/>
        <v>254.640716</v>
      </c>
      <c r="X25" s="1270">
        <f t="shared" si="9"/>
        <v>4.1203999352750813</v>
      </c>
      <c r="Y25" s="1270">
        <f t="shared" si="10"/>
        <v>1.1739113852822061</v>
      </c>
    </row>
    <row r="26" spans="1:25" s="958" customFormat="1" ht="15" customHeight="1" thickBot="1">
      <c r="A26" s="952" t="s">
        <v>35</v>
      </c>
      <c r="B26" s="953">
        <v>2014</v>
      </c>
      <c r="C26" s="954">
        <v>216</v>
      </c>
      <c r="D26" s="933"/>
      <c r="E26" s="955">
        <v>1</v>
      </c>
      <c r="F26" s="899" t="s">
        <v>104</v>
      </c>
      <c r="G26" s="933"/>
      <c r="H26" s="899">
        <v>19</v>
      </c>
      <c r="I26" s="899">
        <v>1453</v>
      </c>
      <c r="J26" s="956">
        <f>I26*L26</f>
        <v>164.56188094047022</v>
      </c>
      <c r="K26" s="957">
        <v>5</v>
      </c>
      <c r="L26" s="956">
        <f t="shared" si="1"/>
        <v>0.11325662831415707</v>
      </c>
      <c r="M26" s="958">
        <v>186</v>
      </c>
      <c r="N26" s="958">
        <v>213.8</v>
      </c>
      <c r="O26" s="933">
        <f t="shared" si="6"/>
        <v>399.8</v>
      </c>
      <c r="P26" s="934">
        <v>25.13</v>
      </c>
      <c r="Q26" s="934">
        <v>20.149999999999999</v>
      </c>
      <c r="R26" s="934">
        <f t="shared" si="7"/>
        <v>45.28</v>
      </c>
      <c r="S26" s="959">
        <f t="shared" si="2"/>
        <v>2.098418809404702</v>
      </c>
      <c r="T26" s="933">
        <f t="shared" si="3"/>
        <v>3.722245138627676</v>
      </c>
      <c r="U26" s="958">
        <v>3.3090999999999999</v>
      </c>
      <c r="V26" s="958">
        <v>2.6738</v>
      </c>
      <c r="W26" s="956">
        <f t="shared" si="8"/>
        <v>137.03475299999999</v>
      </c>
      <c r="X26" s="956">
        <f t="shared" si="9"/>
        <v>3.0263858878091869</v>
      </c>
      <c r="Y26" s="956">
        <f t="shared" si="10"/>
        <v>0.81305388954714586</v>
      </c>
    </row>
    <row r="27" spans="1:25" ht="12" customHeight="1" thickTop="1">
      <c r="A27" s="263" t="s">
        <v>38</v>
      </c>
      <c r="B27" s="290">
        <v>2014</v>
      </c>
      <c r="C27" s="179">
        <v>207</v>
      </c>
      <c r="D27" s="179"/>
      <c r="E27" s="179">
        <v>4</v>
      </c>
      <c r="F27" s="179" t="s">
        <v>105</v>
      </c>
      <c r="G27" s="179"/>
      <c r="H27" s="179">
        <v>26</v>
      </c>
      <c r="I27" s="179">
        <v>3430</v>
      </c>
      <c r="J27" s="266">
        <f>I27*L27</f>
        <v>1666</v>
      </c>
      <c r="K27" s="311">
        <v>5</v>
      </c>
      <c r="L27" s="266">
        <f>R27/O27</f>
        <v>0.48571428571428571</v>
      </c>
      <c r="M27" s="266"/>
      <c r="N27" s="266"/>
      <c r="O27" s="266">
        <v>700</v>
      </c>
      <c r="P27" s="266"/>
      <c r="Q27" s="266"/>
      <c r="R27" s="312">
        <v>340</v>
      </c>
      <c r="S27" s="313">
        <f t="shared" si="2"/>
        <v>20.059999999999999</v>
      </c>
      <c r="T27" s="313">
        <f t="shared" si="3"/>
        <v>2.1168753306634103</v>
      </c>
      <c r="U27" s="266"/>
      <c r="V27" s="266"/>
      <c r="W27" s="266"/>
      <c r="X27" s="266" t="s">
        <v>106</v>
      </c>
      <c r="Y27" s="266"/>
    </row>
    <row r="28" spans="1:25" ht="12" customHeight="1">
      <c r="A28" s="269" t="s">
        <v>38</v>
      </c>
      <c r="B28" s="290">
        <v>2014</v>
      </c>
      <c r="C28" s="19">
        <v>216</v>
      </c>
      <c r="D28" s="19"/>
      <c r="E28" s="19">
        <v>2</v>
      </c>
      <c r="F28" s="19" t="s">
        <v>107</v>
      </c>
      <c r="G28" s="19"/>
      <c r="H28" s="19">
        <v>24</v>
      </c>
      <c r="I28" s="19">
        <v>4200</v>
      </c>
      <c r="J28" s="266">
        <f t="shared" ref="J28:J34" si="11">I28*L28</f>
        <v>1400</v>
      </c>
      <c r="K28" s="314">
        <v>5</v>
      </c>
      <c r="L28" s="296">
        <f t="shared" ref="L28:L34" si="12">R28/O28</f>
        <v>0.33333333333333331</v>
      </c>
      <c r="M28" s="296"/>
      <c r="N28" s="296"/>
      <c r="O28" s="296">
        <v>1860</v>
      </c>
      <c r="R28" s="315">
        <v>620</v>
      </c>
      <c r="S28" s="316">
        <f t="shared" si="2"/>
        <v>20.2</v>
      </c>
      <c r="T28" s="316">
        <f t="shared" si="3"/>
        <v>2.113197905855932</v>
      </c>
      <c r="W28" s="296"/>
      <c r="X28" s="266" t="s">
        <v>106</v>
      </c>
      <c r="Y28" s="296"/>
    </row>
    <row r="29" spans="1:25" ht="12" customHeight="1">
      <c r="A29" s="269" t="s">
        <v>38</v>
      </c>
      <c r="B29" s="290">
        <v>2014</v>
      </c>
      <c r="C29" s="19">
        <v>207</v>
      </c>
      <c r="D29" s="19"/>
      <c r="E29" s="19">
        <v>2</v>
      </c>
      <c r="F29" s="19" t="s">
        <v>108</v>
      </c>
      <c r="G29" s="19"/>
      <c r="H29" s="19">
        <v>27</v>
      </c>
      <c r="I29" s="19">
        <v>4270</v>
      </c>
      <c r="J29" s="266">
        <f t="shared" si="11"/>
        <v>1601.25</v>
      </c>
      <c r="K29" s="314">
        <v>6</v>
      </c>
      <c r="L29" s="296">
        <f t="shared" si="12"/>
        <v>0.375</v>
      </c>
      <c r="M29" s="296"/>
      <c r="N29" s="296"/>
      <c r="O29" s="296">
        <v>1600</v>
      </c>
      <c r="P29" s="296"/>
      <c r="Q29" s="296"/>
      <c r="R29" s="315">
        <v>600</v>
      </c>
      <c r="S29" s="316">
        <f t="shared" si="2"/>
        <v>22.012499999999999</v>
      </c>
      <c r="T29" s="316">
        <f t="shared" si="3"/>
        <v>2.0682863785275183</v>
      </c>
      <c r="U29" s="296"/>
      <c r="V29" s="296"/>
      <c r="W29" s="296"/>
      <c r="X29" s="266" t="s">
        <v>106</v>
      </c>
      <c r="Y29" s="296"/>
    </row>
    <row r="30" spans="1:25" ht="12" customHeight="1">
      <c r="A30" s="269" t="s">
        <v>38</v>
      </c>
      <c r="B30" s="290">
        <v>2014</v>
      </c>
      <c r="C30" s="19">
        <v>207</v>
      </c>
      <c r="D30" s="19"/>
      <c r="E30" s="19">
        <v>3</v>
      </c>
      <c r="F30" s="19" t="s">
        <v>109</v>
      </c>
      <c r="G30" s="19"/>
      <c r="H30" s="19">
        <v>15</v>
      </c>
      <c r="I30" s="19">
        <v>2980</v>
      </c>
      <c r="J30" s="266">
        <f t="shared" si="11"/>
        <v>1083.6363636363637</v>
      </c>
      <c r="K30" s="314">
        <v>4</v>
      </c>
      <c r="L30" s="296">
        <f t="shared" si="12"/>
        <v>0.36363636363636365</v>
      </c>
      <c r="M30" s="296"/>
      <c r="N30" s="296"/>
      <c r="O30" s="296">
        <v>1650</v>
      </c>
      <c r="P30" s="296"/>
      <c r="Q30" s="296"/>
      <c r="R30">
        <v>600</v>
      </c>
      <c r="S30" s="316">
        <f t="shared" si="2"/>
        <v>16.836363636363636</v>
      </c>
      <c r="T30" s="316">
        <f t="shared" si="3"/>
        <v>2.2116476573791548</v>
      </c>
      <c r="U30" s="296"/>
      <c r="V30" s="296"/>
      <c r="W30" s="296"/>
      <c r="X30" s="266" t="s">
        <v>106</v>
      </c>
      <c r="Y30" s="296"/>
    </row>
    <row r="31" spans="1:25" ht="12" customHeight="1">
      <c r="A31" s="269" t="s">
        <v>38</v>
      </c>
      <c r="B31" s="290">
        <v>2014</v>
      </c>
      <c r="C31" s="19">
        <v>215</v>
      </c>
      <c r="D31" s="19"/>
      <c r="E31" s="19">
        <v>4</v>
      </c>
      <c r="F31" s="19" t="s">
        <v>110</v>
      </c>
      <c r="G31" s="19"/>
      <c r="H31" s="19">
        <v>25</v>
      </c>
      <c r="I31" s="19">
        <v>4800</v>
      </c>
      <c r="J31" s="266">
        <f t="shared" si="11"/>
        <v>2518.032786885246</v>
      </c>
      <c r="K31" s="314">
        <v>5</v>
      </c>
      <c r="L31" s="296">
        <f t="shared" si="12"/>
        <v>0.52459016393442626</v>
      </c>
      <c r="M31" s="296"/>
      <c r="N31" s="296"/>
      <c r="O31" s="296">
        <v>610</v>
      </c>
      <c r="R31">
        <v>320</v>
      </c>
      <c r="S31" s="316">
        <f t="shared" si="2"/>
        <v>28.380327868852461</v>
      </c>
      <c r="T31" s="316">
        <f t="shared" si="3"/>
        <v>1.9409916267775782</v>
      </c>
      <c r="W31" s="296"/>
      <c r="X31" s="266" t="s">
        <v>106</v>
      </c>
      <c r="Y31" s="296"/>
    </row>
    <row r="32" spans="1:25" ht="12" customHeight="1">
      <c r="A32" s="269" t="s">
        <v>38</v>
      </c>
      <c r="B32" s="290">
        <v>2014</v>
      </c>
      <c r="C32" s="19">
        <v>207</v>
      </c>
      <c r="D32" s="19"/>
      <c r="E32" s="19">
        <v>1</v>
      </c>
      <c r="F32" s="19" t="s">
        <v>111</v>
      </c>
      <c r="G32" s="19"/>
      <c r="H32" s="19">
        <v>45</v>
      </c>
      <c r="I32" s="19">
        <v>3510</v>
      </c>
      <c r="J32" s="266">
        <f t="shared" si="11"/>
        <v>1485</v>
      </c>
      <c r="K32" s="314">
        <v>9</v>
      </c>
      <c r="L32" s="296">
        <f t="shared" si="12"/>
        <v>0.42307692307692307</v>
      </c>
      <c r="M32" s="296"/>
      <c r="N32" s="296"/>
      <c r="O32" s="296">
        <v>1040</v>
      </c>
      <c r="P32" s="296"/>
      <c r="Q32" s="296"/>
      <c r="R32">
        <v>440</v>
      </c>
      <c r="S32" s="316">
        <f t="shared" si="2"/>
        <v>19.25</v>
      </c>
      <c r="T32" s="316">
        <f t="shared" si="3"/>
        <v>2.1388007638747082</v>
      </c>
      <c r="U32" s="296"/>
      <c r="V32" s="296"/>
      <c r="W32" s="296"/>
      <c r="X32" s="266" t="s">
        <v>106</v>
      </c>
      <c r="Y32" s="296"/>
    </row>
    <row r="33" spans="1:25" ht="12" customHeight="1">
      <c r="A33" s="269" t="s">
        <v>38</v>
      </c>
      <c r="B33" s="290">
        <v>2014</v>
      </c>
      <c r="C33" s="19">
        <v>216</v>
      </c>
      <c r="D33" s="19"/>
      <c r="E33" s="19">
        <v>1</v>
      </c>
      <c r="F33" s="19" t="s">
        <v>112</v>
      </c>
      <c r="G33" s="19"/>
      <c r="H33" s="19">
        <v>29</v>
      </c>
      <c r="I33" s="19">
        <v>3750</v>
      </c>
      <c r="J33" s="266">
        <f t="shared" si="11"/>
        <v>1510.4166666666667</v>
      </c>
      <c r="K33" s="314">
        <v>5</v>
      </c>
      <c r="L33" s="296">
        <f t="shared" si="12"/>
        <v>0.40277777777777779</v>
      </c>
      <c r="M33" s="296"/>
      <c r="N33" s="296"/>
      <c r="O33" s="296">
        <v>1440</v>
      </c>
      <c r="P33" s="296"/>
      <c r="Q33" s="296"/>
      <c r="R33">
        <v>580</v>
      </c>
      <c r="S33" s="316">
        <f t="shared" si="2"/>
        <v>20.904166666666669</v>
      </c>
      <c r="T33" s="316">
        <f t="shared" si="3"/>
        <v>2.0951725675792465</v>
      </c>
      <c r="U33" s="296"/>
      <c r="V33" s="296"/>
      <c r="W33" s="296"/>
      <c r="X33" s="266" t="s">
        <v>106</v>
      </c>
      <c r="Y33" s="296"/>
    </row>
    <row r="34" spans="1:25" s="310" customFormat="1" ht="15" customHeight="1" thickBot="1">
      <c r="A34" s="299" t="s">
        <v>38</v>
      </c>
      <c r="B34" s="300">
        <v>2014</v>
      </c>
      <c r="C34" s="301">
        <v>215</v>
      </c>
      <c r="D34" s="302"/>
      <c r="E34" s="303">
        <v>3</v>
      </c>
      <c r="F34" s="196" t="s">
        <v>113</v>
      </c>
      <c r="G34" s="302"/>
      <c r="H34" s="196">
        <v>17</v>
      </c>
      <c r="I34" s="196">
        <v>4100</v>
      </c>
      <c r="J34" s="317">
        <f t="shared" si="11"/>
        <v>1782.6086956521738</v>
      </c>
      <c r="K34" s="318">
        <v>3</v>
      </c>
      <c r="L34" s="302">
        <f t="shared" si="12"/>
        <v>0.43478260869565216</v>
      </c>
      <c r="O34" s="302">
        <v>920</v>
      </c>
      <c r="P34" s="172"/>
      <c r="Q34" s="172"/>
      <c r="R34" s="310">
        <v>400</v>
      </c>
      <c r="S34" s="319">
        <f t="shared" si="2"/>
        <v>21.826086956521738</v>
      </c>
      <c r="T34" s="319">
        <f t="shared" si="3"/>
        <v>2.0726885282705125</v>
      </c>
      <c r="U34" s="302"/>
      <c r="V34" s="302"/>
      <c r="W34" s="317"/>
      <c r="X34" s="266" t="s">
        <v>106</v>
      </c>
      <c r="Y34" s="317"/>
    </row>
    <row r="35" spans="1:25" ht="12" customHeight="1" thickTop="1">
      <c r="C35" s="320"/>
      <c r="D35" s="320"/>
      <c r="E35" s="320"/>
      <c r="F35" s="320"/>
      <c r="G35" s="320"/>
    </row>
    <row r="36" spans="1:25" ht="12" customHeight="1">
      <c r="C36" s="320"/>
      <c r="D36" s="320"/>
      <c r="E36" s="320"/>
      <c r="F36" s="320"/>
      <c r="G36" s="320"/>
    </row>
    <row r="37" spans="1:25" ht="12" customHeight="1">
      <c r="I37" s="750" t="s">
        <v>390</v>
      </c>
      <c r="J37" s="751"/>
      <c r="K37" s="751"/>
    </row>
    <row r="38" spans="1:25" ht="12" customHeight="1">
      <c r="I38" s="36"/>
      <c r="J38" s="752" t="s">
        <v>63</v>
      </c>
      <c r="K38" s="753" t="s">
        <v>64</v>
      </c>
    </row>
    <row r="39" spans="1:25" ht="12" customHeight="1">
      <c r="I39" s="36" t="s">
        <v>391</v>
      </c>
      <c r="J39" s="774">
        <f>AVERAGE(Y19,Y22,Y23,Y26)</f>
        <v>0.82403797051487249</v>
      </c>
      <c r="K39" s="774">
        <f>AVERAGE(Y20,Y21,Y25,Y24)</f>
        <v>1.120252440416313</v>
      </c>
    </row>
    <row r="40" spans="1:25" ht="12" customHeight="1">
      <c r="I40" s="36" t="s">
        <v>25</v>
      </c>
      <c r="J40" s="774">
        <f>AVERAGE(W19,W22,W23,W26)</f>
        <v>205.7383485</v>
      </c>
      <c r="K40" s="774">
        <f>AVERAGE(W20,W21,W24,W25)</f>
        <v>292.41153774999998</v>
      </c>
    </row>
    <row r="41" spans="1:25" ht="12" customHeight="1">
      <c r="I41" s="36" t="s">
        <v>392</v>
      </c>
      <c r="J41" s="774">
        <f>AVERAGE(X19,X22,X23,X26)</f>
        <v>2.8548153254900659</v>
      </c>
      <c r="K41" s="774">
        <f>AVERAGE(X20,X21,X24,X25)</f>
        <v>3.7716357475346642</v>
      </c>
    </row>
    <row r="42" spans="1:25" ht="12" customHeight="1">
      <c r="I42" s="36" t="s">
        <v>393</v>
      </c>
      <c r="J42" s="774">
        <f>AVERAGE(S19,S22,S23,S26)</f>
        <v>2.8461363703080163</v>
      </c>
      <c r="K42" s="774">
        <f>AVERAGE(S20,S21,S24,S25)</f>
        <v>3.2976888687987556</v>
      </c>
    </row>
    <row r="43" spans="1:25" ht="12" customHeight="1"/>
    <row r="44" spans="1:25" ht="12" customHeight="1"/>
    <row r="45" spans="1:25" ht="12" customHeight="1"/>
    <row r="46" spans="1:25" ht="12" customHeight="1"/>
    <row r="47" spans="1:25" ht="12" customHeight="1"/>
    <row r="48" spans="1:25" ht="12" customHeight="1"/>
    <row r="49" ht="12" customHeight="1"/>
  </sheetData>
  <mergeCells count="36">
    <mergeCell ref="U14:V14"/>
    <mergeCell ref="U15:V15"/>
    <mergeCell ref="U16:V16"/>
    <mergeCell ref="U17:V17"/>
    <mergeCell ref="U18:V18"/>
    <mergeCell ref="U13:V13"/>
    <mergeCell ref="M8:N8"/>
    <mergeCell ref="P8:Q8"/>
    <mergeCell ref="U8:V8"/>
    <mergeCell ref="M9:N9"/>
    <mergeCell ref="P9:Q9"/>
    <mergeCell ref="U9:V9"/>
    <mergeCell ref="M10:N10"/>
    <mergeCell ref="P10:Q10"/>
    <mergeCell ref="U10:V10"/>
    <mergeCell ref="U11:V11"/>
    <mergeCell ref="U12:V12"/>
    <mergeCell ref="M6:N6"/>
    <mergeCell ref="P6:Q6"/>
    <mergeCell ref="U6:V6"/>
    <mergeCell ref="M7:N7"/>
    <mergeCell ref="P7:Q7"/>
    <mergeCell ref="U7:V7"/>
    <mergeCell ref="M4:N4"/>
    <mergeCell ref="P4:Q4"/>
    <mergeCell ref="U4:V4"/>
    <mergeCell ref="M5:N5"/>
    <mergeCell ref="P5:Q5"/>
    <mergeCell ref="U5:V5"/>
    <mergeCell ref="H1:J1"/>
    <mergeCell ref="K1:R1"/>
    <mergeCell ref="S1:T1"/>
    <mergeCell ref="U1:W1"/>
    <mergeCell ref="M3:N3"/>
    <mergeCell ref="P3:Q3"/>
    <mergeCell ref="U3:V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</sheetPr>
  <dimension ref="A1:Y63"/>
  <sheetViews>
    <sheetView topLeftCell="A14" workbookViewId="0">
      <selection activeCell="P43" sqref="P43"/>
    </sheetView>
  </sheetViews>
  <sheetFormatPr baseColWidth="10" defaultRowHeight="12.75"/>
  <cols>
    <col min="1" max="1" width="12.28515625" style="1" customWidth="1"/>
    <col min="2" max="2" width="9.28515625" style="1" bestFit="1" customWidth="1"/>
    <col min="3" max="3" width="8.5703125" style="1" bestFit="1" customWidth="1"/>
    <col min="4" max="5" width="8.85546875" style="1" bestFit="1" customWidth="1"/>
    <col min="6" max="6" width="9.7109375" style="1" bestFit="1" customWidth="1"/>
    <col min="7" max="7" width="6.28515625" style="1" bestFit="1" customWidth="1"/>
    <col min="8" max="8" width="4.140625" style="1" bestFit="1" customWidth="1"/>
    <col min="9" max="9" width="14.28515625" style="1" bestFit="1" customWidth="1"/>
    <col min="10" max="10" width="11.140625" style="1" bestFit="1" customWidth="1"/>
    <col min="11" max="11" width="4.140625" style="1" bestFit="1" customWidth="1"/>
    <col min="12" max="12" width="11.140625" style="1" bestFit="1" customWidth="1"/>
    <col min="13" max="13" width="14.28515625" style="1" bestFit="1" customWidth="1"/>
    <col min="14" max="14" width="11.140625" style="1" bestFit="1" customWidth="1"/>
    <col min="15" max="15" width="7.42578125" style="1" bestFit="1" customWidth="1"/>
    <col min="16" max="16" width="14.42578125" style="1" bestFit="1" customWidth="1"/>
    <col min="17" max="17" width="11.28515625" style="1" bestFit="1" customWidth="1"/>
    <col min="18" max="18" width="10.42578125" style="1" bestFit="1" customWidth="1"/>
    <col min="19" max="19" width="12.42578125" style="4" bestFit="1" customWidth="1"/>
    <col min="20" max="20" width="11.140625" style="4" bestFit="1" customWidth="1"/>
    <col min="21" max="21" width="8.140625" style="1" bestFit="1" customWidth="1"/>
    <col min="22" max="22" width="6.140625" style="1" bestFit="1" customWidth="1"/>
    <col min="23" max="23" width="11.140625" style="4" bestFit="1" customWidth="1"/>
    <col min="24" max="24" width="15.85546875" style="4" bestFit="1" customWidth="1"/>
    <col min="25" max="25" width="6.42578125" style="4" bestFit="1" customWidth="1"/>
    <col min="26" max="16384" width="11.42578125" style="4"/>
  </cols>
  <sheetData>
    <row r="1" spans="1:25" ht="16.5" thickBot="1">
      <c r="A1"/>
      <c r="B1"/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4.2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ht="13.5" thickTop="1">
      <c r="A3" s="337" t="s">
        <v>114</v>
      </c>
      <c r="B3" s="338">
        <v>41983</v>
      </c>
      <c r="C3" s="339" t="s">
        <v>115</v>
      </c>
      <c r="D3" s="339" t="s">
        <v>116</v>
      </c>
      <c r="E3" s="337" t="s">
        <v>117</v>
      </c>
      <c r="F3" s="337" t="s">
        <v>33</v>
      </c>
      <c r="G3" s="1705" t="s">
        <v>118</v>
      </c>
      <c r="H3" s="340">
        <v>16</v>
      </c>
      <c r="I3" s="1707">
        <v>230</v>
      </c>
      <c r="J3" s="1708"/>
      <c r="K3" s="341">
        <v>5</v>
      </c>
      <c r="L3" s="342"/>
      <c r="M3" s="1709">
        <v>66</v>
      </c>
      <c r="N3" s="1710"/>
      <c r="O3" s="343"/>
      <c r="P3" s="1709">
        <v>12</v>
      </c>
      <c r="Q3" s="1710"/>
      <c r="R3" s="344"/>
      <c r="S3" s="345"/>
      <c r="T3" s="345"/>
      <c r="U3" s="1709">
        <v>2.6179999999999999</v>
      </c>
      <c r="V3" s="1710"/>
      <c r="W3" s="346"/>
      <c r="X3" s="346"/>
      <c r="Y3" s="347"/>
    </row>
    <row r="4" spans="1:25">
      <c r="A4" s="348" t="s">
        <v>114</v>
      </c>
      <c r="B4" s="349">
        <v>41983</v>
      </c>
      <c r="C4" s="350" t="s">
        <v>115</v>
      </c>
      <c r="D4" s="350" t="s">
        <v>119</v>
      </c>
      <c r="E4" s="348" t="s">
        <v>117</v>
      </c>
      <c r="F4" s="348" t="s">
        <v>76</v>
      </c>
      <c r="G4" s="1705"/>
      <c r="H4" s="351">
        <v>11</v>
      </c>
      <c r="I4" s="1711">
        <v>392</v>
      </c>
      <c r="J4" s="1712"/>
      <c r="K4" s="352">
        <v>3</v>
      </c>
      <c r="L4" s="353"/>
      <c r="M4" s="1711">
        <v>94</v>
      </c>
      <c r="N4" s="1712"/>
      <c r="O4" s="354"/>
      <c r="P4" s="1711">
        <v>18</v>
      </c>
      <c r="Q4" s="1712"/>
      <c r="R4" s="355"/>
      <c r="S4" s="356"/>
      <c r="T4" s="356"/>
      <c r="U4" s="1711">
        <v>2.4649999999999999</v>
      </c>
      <c r="V4" s="1712"/>
      <c r="W4" s="357"/>
      <c r="X4" s="357"/>
      <c r="Y4" s="358"/>
    </row>
    <row r="5" spans="1:25">
      <c r="A5" s="348" t="s">
        <v>114</v>
      </c>
      <c r="B5" s="349">
        <v>41983</v>
      </c>
      <c r="C5" s="350" t="s">
        <v>120</v>
      </c>
      <c r="D5" s="350" t="s">
        <v>121</v>
      </c>
      <c r="E5" s="348" t="s">
        <v>117</v>
      </c>
      <c r="F5" s="348" t="s">
        <v>30</v>
      </c>
      <c r="G5" s="1705"/>
      <c r="H5" s="351">
        <v>12</v>
      </c>
      <c r="I5" s="1711">
        <v>260</v>
      </c>
      <c r="J5" s="1712"/>
      <c r="K5" s="352">
        <v>4</v>
      </c>
      <c r="L5" s="359"/>
      <c r="M5" s="1713">
        <v>84</v>
      </c>
      <c r="N5" s="1714"/>
      <c r="O5" s="360"/>
      <c r="P5" s="1713">
        <v>14</v>
      </c>
      <c r="Q5" s="1714"/>
      <c r="R5" s="361"/>
      <c r="S5" s="362"/>
      <c r="T5" s="362"/>
      <c r="U5" s="1713">
        <v>2.7869000000000002</v>
      </c>
      <c r="V5" s="1714"/>
      <c r="W5" s="363"/>
      <c r="X5" s="363"/>
      <c r="Y5" s="364"/>
    </row>
    <row r="6" spans="1:25">
      <c r="A6" s="348" t="s">
        <v>114</v>
      </c>
      <c r="B6" s="349">
        <v>41983</v>
      </c>
      <c r="C6" s="350" t="s">
        <v>116</v>
      </c>
      <c r="D6" s="350" t="s">
        <v>122</v>
      </c>
      <c r="E6" s="348" t="s">
        <v>117</v>
      </c>
      <c r="F6" s="348" t="s">
        <v>33</v>
      </c>
      <c r="G6" s="1705"/>
      <c r="H6" s="365">
        <v>19</v>
      </c>
      <c r="I6" s="1711">
        <v>740</v>
      </c>
      <c r="J6" s="1712"/>
      <c r="K6" s="352">
        <v>4</v>
      </c>
      <c r="L6" s="354"/>
      <c r="M6" s="1715">
        <v>138</v>
      </c>
      <c r="N6" s="1716"/>
      <c r="O6" s="354"/>
      <c r="P6" s="1715">
        <v>28</v>
      </c>
      <c r="Q6" s="1716"/>
      <c r="R6" s="366"/>
      <c r="S6" s="367"/>
      <c r="T6" s="367"/>
      <c r="U6" s="1715">
        <v>2.2023000000000001</v>
      </c>
      <c r="V6" s="1716"/>
      <c r="W6" s="357"/>
      <c r="X6" s="357"/>
      <c r="Y6" s="358"/>
    </row>
    <row r="7" spans="1:25">
      <c r="A7" s="348" t="s">
        <v>114</v>
      </c>
      <c r="B7" s="349">
        <v>41983</v>
      </c>
      <c r="C7" s="350" t="s">
        <v>116</v>
      </c>
      <c r="D7" s="350" t="s">
        <v>123</v>
      </c>
      <c r="E7" s="348" t="s">
        <v>117</v>
      </c>
      <c r="F7" s="348" t="s">
        <v>76</v>
      </c>
      <c r="G7" s="1705"/>
      <c r="H7" s="351">
        <v>11</v>
      </c>
      <c r="I7" s="1711">
        <v>544</v>
      </c>
      <c r="J7" s="1712"/>
      <c r="K7" s="352">
        <v>3</v>
      </c>
      <c r="L7" s="354"/>
      <c r="M7" s="1715">
        <v>150</v>
      </c>
      <c r="N7" s="1716"/>
      <c r="O7" s="354"/>
      <c r="P7" s="1715">
        <v>26</v>
      </c>
      <c r="Q7" s="1716"/>
      <c r="R7" s="366"/>
      <c r="S7" s="367"/>
      <c r="T7" s="367"/>
      <c r="U7" s="1715">
        <v>2.5222000000000002</v>
      </c>
      <c r="V7" s="1716"/>
      <c r="W7" s="357"/>
      <c r="X7" s="357"/>
      <c r="Y7" s="358"/>
    </row>
    <row r="8" spans="1:25" ht="13.5" thickBot="1">
      <c r="A8" s="368" t="s">
        <v>114</v>
      </c>
      <c r="B8" s="369">
        <v>41983</v>
      </c>
      <c r="C8" s="370" t="s">
        <v>124</v>
      </c>
      <c r="D8" s="370" t="s">
        <v>125</v>
      </c>
      <c r="E8" s="368" t="s">
        <v>117</v>
      </c>
      <c r="F8" s="368" t="s">
        <v>30</v>
      </c>
      <c r="G8" s="1706"/>
      <c r="H8" s="371">
        <v>16</v>
      </c>
      <c r="I8" s="1717">
        <v>356</v>
      </c>
      <c r="J8" s="1718"/>
      <c r="K8" s="372">
        <v>4</v>
      </c>
      <c r="L8" s="373"/>
      <c r="M8" s="1719">
        <v>324</v>
      </c>
      <c r="N8" s="1720"/>
      <c r="O8" s="373"/>
      <c r="P8" s="1719">
        <v>56</v>
      </c>
      <c r="Q8" s="1720"/>
      <c r="R8" s="374"/>
      <c r="S8" s="375"/>
      <c r="T8" s="375"/>
      <c r="U8" s="1719">
        <v>2.4864999999999999</v>
      </c>
      <c r="V8" s="1720"/>
      <c r="W8" s="376"/>
      <c r="X8" s="376"/>
      <c r="Y8" s="377"/>
    </row>
    <row r="9" spans="1:25" ht="13.5" thickTop="1">
      <c r="A9" s="337" t="s">
        <v>126</v>
      </c>
      <c r="B9" s="338">
        <v>42032</v>
      </c>
      <c r="C9" s="339" t="s">
        <v>127</v>
      </c>
      <c r="D9" s="339" t="s">
        <v>128</v>
      </c>
      <c r="E9" s="337" t="s">
        <v>129</v>
      </c>
      <c r="F9" s="337" t="s">
        <v>76</v>
      </c>
      <c r="G9" s="1726" t="s">
        <v>130</v>
      </c>
      <c r="H9" s="340">
        <v>16</v>
      </c>
      <c r="I9" s="1709">
        <v>1090</v>
      </c>
      <c r="J9" s="1710"/>
      <c r="K9" s="341">
        <v>4</v>
      </c>
      <c r="L9" s="378"/>
      <c r="M9" s="1721">
        <v>102</v>
      </c>
      <c r="N9" s="1722"/>
      <c r="O9" s="378"/>
      <c r="P9" s="1721">
        <v>18</v>
      </c>
      <c r="Q9" s="1722"/>
      <c r="R9" s="379"/>
      <c r="S9" s="380"/>
      <c r="T9" s="380"/>
      <c r="U9" s="1721">
        <v>4.2712000000000003</v>
      </c>
      <c r="V9" s="1722"/>
      <c r="W9" s="381"/>
      <c r="X9" s="381"/>
      <c r="Y9" s="382"/>
    </row>
    <row r="10" spans="1:25">
      <c r="A10" s="348" t="s">
        <v>126</v>
      </c>
      <c r="B10" s="349">
        <v>42032</v>
      </c>
      <c r="C10" s="350" t="s">
        <v>131</v>
      </c>
      <c r="D10" s="350" t="s">
        <v>132</v>
      </c>
      <c r="E10" s="348" t="s">
        <v>129</v>
      </c>
      <c r="F10" s="348" t="s">
        <v>33</v>
      </c>
      <c r="G10" s="1705"/>
      <c r="H10" s="351">
        <v>17</v>
      </c>
      <c r="I10" s="1711">
        <v>258</v>
      </c>
      <c r="J10" s="1712"/>
      <c r="K10" s="352">
        <v>5</v>
      </c>
      <c r="L10" s="354"/>
      <c r="M10" s="1715">
        <v>30</v>
      </c>
      <c r="N10" s="1716"/>
      <c r="O10" s="354"/>
      <c r="P10" s="1715">
        <v>6</v>
      </c>
      <c r="Q10" s="1716"/>
      <c r="R10" s="366"/>
      <c r="S10" s="367"/>
      <c r="T10" s="383"/>
      <c r="U10" s="1715">
        <v>3.831</v>
      </c>
      <c r="V10" s="1716"/>
      <c r="W10" s="357"/>
      <c r="X10" s="357"/>
      <c r="Y10" s="358"/>
    </row>
    <row r="11" spans="1:25">
      <c r="A11" s="348" t="s">
        <v>126</v>
      </c>
      <c r="B11" s="349">
        <v>42032</v>
      </c>
      <c r="C11" s="350" t="s">
        <v>133</v>
      </c>
      <c r="D11" s="350" t="s">
        <v>134</v>
      </c>
      <c r="E11" s="348" t="s">
        <v>129</v>
      </c>
      <c r="F11" s="348" t="s">
        <v>30</v>
      </c>
      <c r="G11" s="1705"/>
      <c r="H11" s="351">
        <v>23</v>
      </c>
      <c r="I11" s="1711">
        <v>458</v>
      </c>
      <c r="J11" s="1712"/>
      <c r="K11" s="352">
        <v>6</v>
      </c>
      <c r="L11" s="354"/>
      <c r="M11" s="1715">
        <v>140</v>
      </c>
      <c r="N11" s="1716"/>
      <c r="O11" s="354"/>
      <c r="P11" s="1715">
        <v>26</v>
      </c>
      <c r="Q11" s="1716"/>
      <c r="R11" s="366"/>
      <c r="S11" s="367"/>
      <c r="T11" s="383"/>
      <c r="U11" s="1715">
        <v>3.6978</v>
      </c>
      <c r="V11" s="1716"/>
      <c r="W11" s="357"/>
      <c r="X11" s="357"/>
      <c r="Y11" s="358"/>
    </row>
    <row r="12" spans="1:25">
      <c r="A12" s="348" t="s">
        <v>126</v>
      </c>
      <c r="B12" s="349">
        <v>42032</v>
      </c>
      <c r="C12" s="350" t="s">
        <v>135</v>
      </c>
      <c r="D12" s="350" t="s">
        <v>124</v>
      </c>
      <c r="E12" s="348" t="s">
        <v>129</v>
      </c>
      <c r="F12" s="348" t="s">
        <v>76</v>
      </c>
      <c r="G12" s="1705"/>
      <c r="H12" s="351">
        <v>22</v>
      </c>
      <c r="I12" s="1711">
        <v>330</v>
      </c>
      <c r="J12" s="1712"/>
      <c r="K12" s="352">
        <v>6</v>
      </c>
      <c r="L12" s="354"/>
      <c r="M12" s="1715">
        <v>62</v>
      </c>
      <c r="N12" s="1716"/>
      <c r="O12" s="354"/>
      <c r="P12" s="1715">
        <v>12</v>
      </c>
      <c r="Q12" s="1716"/>
      <c r="R12" s="366"/>
      <c r="S12" s="367"/>
      <c r="T12" s="367"/>
      <c r="U12" s="1715">
        <v>4.3880999999999997</v>
      </c>
      <c r="V12" s="1716"/>
      <c r="W12" s="357"/>
      <c r="X12" s="357"/>
      <c r="Y12" s="358"/>
    </row>
    <row r="13" spans="1:25">
      <c r="A13" s="348" t="s">
        <v>126</v>
      </c>
      <c r="B13" s="349">
        <v>42032</v>
      </c>
      <c r="C13" s="350" t="s">
        <v>136</v>
      </c>
      <c r="D13" s="350" t="s">
        <v>137</v>
      </c>
      <c r="E13" s="348" t="s">
        <v>129</v>
      </c>
      <c r="F13" s="348" t="s">
        <v>33</v>
      </c>
      <c r="G13" s="1705"/>
      <c r="H13" s="351">
        <v>21</v>
      </c>
      <c r="I13" s="1711">
        <v>298</v>
      </c>
      <c r="J13" s="1712"/>
      <c r="K13" s="352">
        <v>6</v>
      </c>
      <c r="L13" s="354"/>
      <c r="M13" s="1715">
        <v>94</v>
      </c>
      <c r="N13" s="1716"/>
      <c r="O13" s="354"/>
      <c r="P13" s="1715">
        <v>18</v>
      </c>
      <c r="Q13" s="1716"/>
      <c r="R13" s="366"/>
      <c r="S13" s="367"/>
      <c r="T13" s="367"/>
      <c r="U13" s="1715">
        <v>3.7726999999999999</v>
      </c>
      <c r="V13" s="1716"/>
      <c r="W13" s="357"/>
      <c r="X13" s="357"/>
      <c r="Y13" s="358"/>
    </row>
    <row r="14" spans="1:25" ht="13.5" thickBot="1">
      <c r="A14" s="368" t="s">
        <v>126</v>
      </c>
      <c r="B14" s="369">
        <v>42032</v>
      </c>
      <c r="C14" s="370" t="s">
        <v>138</v>
      </c>
      <c r="D14" s="370" t="s">
        <v>137</v>
      </c>
      <c r="E14" s="368" t="s">
        <v>129</v>
      </c>
      <c r="F14" s="368" t="s">
        <v>30</v>
      </c>
      <c r="G14" s="1706"/>
      <c r="H14" s="384">
        <v>22</v>
      </c>
      <c r="I14" s="1717">
        <v>434</v>
      </c>
      <c r="J14" s="1718"/>
      <c r="K14" s="385">
        <v>6</v>
      </c>
      <c r="L14" s="373"/>
      <c r="M14" s="1719">
        <v>168</v>
      </c>
      <c r="N14" s="1720"/>
      <c r="O14" s="373"/>
      <c r="P14" s="1719">
        <v>32</v>
      </c>
      <c r="Q14" s="1720"/>
      <c r="R14" s="374"/>
      <c r="S14" s="375"/>
      <c r="T14" s="375"/>
      <c r="U14" s="1719">
        <v>3.9009</v>
      </c>
      <c r="V14" s="1720"/>
      <c r="W14" s="376"/>
      <c r="X14" s="376"/>
      <c r="Y14" s="377"/>
    </row>
    <row r="15" spans="1:25" s="773" customFormat="1" ht="13.5" thickTop="1">
      <c r="A15" s="1272" t="s">
        <v>139</v>
      </c>
      <c r="B15" s="1273">
        <v>42086</v>
      </c>
      <c r="C15" s="1274" t="s">
        <v>127</v>
      </c>
      <c r="D15" s="1274" t="s">
        <v>128</v>
      </c>
      <c r="E15" s="1275" t="s">
        <v>129</v>
      </c>
      <c r="F15" s="1276" t="s">
        <v>76</v>
      </c>
      <c r="G15" s="1726" t="s">
        <v>140</v>
      </c>
      <c r="H15" s="1277">
        <v>19</v>
      </c>
      <c r="I15" s="1278">
        <v>1176</v>
      </c>
      <c r="J15" s="1279">
        <v>1362</v>
      </c>
      <c r="K15" s="1280">
        <v>4</v>
      </c>
      <c r="L15" s="1304">
        <f>R15/O15</f>
        <v>9.634551495016612E-2</v>
      </c>
      <c r="M15" s="1281">
        <v>294</v>
      </c>
      <c r="N15" s="1282">
        <v>308</v>
      </c>
      <c r="O15" s="1304">
        <f>M15+N15</f>
        <v>602</v>
      </c>
      <c r="P15" s="1281">
        <v>30</v>
      </c>
      <c r="Q15" s="1282">
        <v>28</v>
      </c>
      <c r="R15" s="1308">
        <f>P15+Q15</f>
        <v>58</v>
      </c>
      <c r="S15" s="1312">
        <f>(R15+((I15+J15)*L15))/100</f>
        <v>3.0252491694352157</v>
      </c>
      <c r="T15" s="1312">
        <f>MIN(4.63,4.48*S15^(-0.25))</f>
        <v>3.3969388297883096</v>
      </c>
      <c r="U15" s="1281">
        <v>4.9722999999999997</v>
      </c>
      <c r="V15" s="1282">
        <v>3.5891000000000002</v>
      </c>
      <c r="W15" s="1316">
        <f>(U15*P15)+(Q15*V15)</f>
        <v>249.66379999999998</v>
      </c>
      <c r="X15" s="1316">
        <f>W15/R15</f>
        <v>4.3045482758620688</v>
      </c>
      <c r="Y15" s="1320">
        <f>X15/T15</f>
        <v>1.2671845127485912</v>
      </c>
    </row>
    <row r="16" spans="1:25" s="773" customFormat="1">
      <c r="A16" s="1274" t="s">
        <v>139</v>
      </c>
      <c r="B16" s="1283">
        <v>42086</v>
      </c>
      <c r="C16" s="1274" t="s">
        <v>131</v>
      </c>
      <c r="D16" s="1274" t="s">
        <v>132</v>
      </c>
      <c r="E16" s="1284" t="s">
        <v>129</v>
      </c>
      <c r="F16" s="1285" t="s">
        <v>33</v>
      </c>
      <c r="G16" s="1705"/>
      <c r="H16" s="1286">
        <v>17</v>
      </c>
      <c r="I16" s="1287">
        <v>1242</v>
      </c>
      <c r="J16" s="1288">
        <v>944</v>
      </c>
      <c r="K16" s="1289">
        <v>4</v>
      </c>
      <c r="L16" s="1305">
        <f t="shared" ref="L16:L26" si="0">R16/O16</f>
        <v>0.10112359550561797</v>
      </c>
      <c r="M16" s="1291">
        <v>104</v>
      </c>
      <c r="N16" s="1288">
        <v>74</v>
      </c>
      <c r="O16" s="1305">
        <f t="shared" ref="O16:O26" si="1">M16+N16</f>
        <v>178</v>
      </c>
      <c r="P16" s="1291">
        <v>10</v>
      </c>
      <c r="Q16" s="1288">
        <v>8</v>
      </c>
      <c r="R16" s="1309">
        <f t="shared" ref="R16:R26" si="2">P16+Q16</f>
        <v>18</v>
      </c>
      <c r="S16" s="1313">
        <f t="shared" ref="S16:S26" si="3">(R16+((I16+J16)*L16))/100</f>
        <v>2.3905617977528091</v>
      </c>
      <c r="T16" s="1313">
        <f t="shared" ref="T16:T26" si="4">MIN(4.63,4.48*S16^(-0.25))</f>
        <v>3.6029067362025624</v>
      </c>
      <c r="U16" s="1291">
        <v>4.79</v>
      </c>
      <c r="V16" s="1288">
        <v>4.4234999999999998</v>
      </c>
      <c r="W16" s="1317">
        <f t="shared" ref="W16:W26" si="5">(U16*P16)+(Q16*V16)</f>
        <v>83.287999999999997</v>
      </c>
      <c r="X16" s="1317">
        <f t="shared" ref="X16:X26" si="6">W16/R16</f>
        <v>4.6271111111111107</v>
      </c>
      <c r="Y16" s="1321">
        <f t="shared" ref="Y16:Y26" si="7">X16/T16</f>
        <v>1.2842716866959627</v>
      </c>
    </row>
    <row r="17" spans="1:25" s="771" customFormat="1">
      <c r="A17" s="960" t="s">
        <v>139</v>
      </c>
      <c r="B17" s="961">
        <v>42086</v>
      </c>
      <c r="C17" s="960" t="s">
        <v>115</v>
      </c>
      <c r="D17" s="960" t="s">
        <v>116</v>
      </c>
      <c r="E17" s="962" t="s">
        <v>117</v>
      </c>
      <c r="F17" s="963" t="s">
        <v>33</v>
      </c>
      <c r="G17" s="1705"/>
      <c r="H17" s="964">
        <v>16</v>
      </c>
      <c r="I17" s="965">
        <v>600</v>
      </c>
      <c r="J17" s="966">
        <v>460</v>
      </c>
      <c r="K17" s="967">
        <v>3</v>
      </c>
      <c r="L17" s="1306">
        <f t="shared" si="0"/>
        <v>0.13157894736842105</v>
      </c>
      <c r="M17" s="969">
        <v>66</v>
      </c>
      <c r="N17" s="966">
        <v>86</v>
      </c>
      <c r="O17" s="1306">
        <f t="shared" si="1"/>
        <v>152</v>
      </c>
      <c r="P17" s="969">
        <v>8</v>
      </c>
      <c r="Q17" s="966">
        <v>12</v>
      </c>
      <c r="R17" s="1310">
        <f t="shared" si="2"/>
        <v>20</v>
      </c>
      <c r="S17" s="1314">
        <f t="shared" si="3"/>
        <v>1.594736842105263</v>
      </c>
      <c r="T17" s="1314">
        <f t="shared" si="4"/>
        <v>3.9866284077482992</v>
      </c>
      <c r="U17" s="969">
        <v>3.0669</v>
      </c>
      <c r="V17" s="966">
        <v>2.3898000000000001</v>
      </c>
      <c r="W17" s="1318">
        <f t="shared" si="5"/>
        <v>53.212800000000001</v>
      </c>
      <c r="X17" s="1318">
        <f t="shared" si="6"/>
        <v>2.6606399999999999</v>
      </c>
      <c r="Y17" s="1322">
        <f t="shared" si="7"/>
        <v>0.66739102014846796</v>
      </c>
    </row>
    <row r="18" spans="1:25" s="771" customFormat="1">
      <c r="A18" s="960" t="s">
        <v>139</v>
      </c>
      <c r="B18" s="961">
        <v>42086</v>
      </c>
      <c r="C18" s="960" t="s">
        <v>115</v>
      </c>
      <c r="D18" s="960" t="s">
        <v>119</v>
      </c>
      <c r="E18" s="962" t="s">
        <v>117</v>
      </c>
      <c r="F18" s="963" t="s">
        <v>76</v>
      </c>
      <c r="G18" s="1705"/>
      <c r="H18" s="964">
        <v>16</v>
      </c>
      <c r="I18" s="965">
        <v>370</v>
      </c>
      <c r="J18" s="966">
        <v>324</v>
      </c>
      <c r="K18" s="967">
        <v>3</v>
      </c>
      <c r="L18" s="1306">
        <f t="shared" si="0"/>
        <v>0.12698412698412698</v>
      </c>
      <c r="M18" s="969">
        <v>132</v>
      </c>
      <c r="N18" s="966">
        <v>120</v>
      </c>
      <c r="O18" s="1306">
        <f t="shared" si="1"/>
        <v>252</v>
      </c>
      <c r="P18" s="969">
        <v>18</v>
      </c>
      <c r="Q18" s="966">
        <v>14</v>
      </c>
      <c r="R18" s="1310">
        <f t="shared" si="2"/>
        <v>32</v>
      </c>
      <c r="S18" s="1314">
        <f t="shared" si="3"/>
        <v>1.2012698412698413</v>
      </c>
      <c r="T18" s="1314">
        <f t="shared" si="4"/>
        <v>4.2792520807654268</v>
      </c>
      <c r="U18" s="969">
        <v>4.1074999999999999</v>
      </c>
      <c r="V18" s="966">
        <v>3.8719999999999999</v>
      </c>
      <c r="W18" s="1318">
        <f t="shared" si="5"/>
        <v>128.143</v>
      </c>
      <c r="X18" s="1318">
        <f t="shared" si="6"/>
        <v>4.00446875</v>
      </c>
      <c r="Y18" s="1322">
        <f t="shared" si="7"/>
        <v>0.9357870661556642</v>
      </c>
    </row>
    <row r="19" spans="1:25" s="771" customFormat="1">
      <c r="A19" s="960" t="s">
        <v>139</v>
      </c>
      <c r="B19" s="961">
        <v>42086</v>
      </c>
      <c r="C19" s="960" t="s">
        <v>120</v>
      </c>
      <c r="D19" s="960" t="s">
        <v>121</v>
      </c>
      <c r="E19" s="962" t="s">
        <v>117</v>
      </c>
      <c r="F19" s="963" t="s">
        <v>30</v>
      </c>
      <c r="G19" s="1705"/>
      <c r="H19" s="964">
        <v>25</v>
      </c>
      <c r="I19" s="965">
        <v>334</v>
      </c>
      <c r="J19" s="966">
        <v>120</v>
      </c>
      <c r="K19" s="967">
        <v>6</v>
      </c>
      <c r="L19" s="1306">
        <f t="shared" si="0"/>
        <v>0.1773049645390071</v>
      </c>
      <c r="M19" s="969">
        <v>172</v>
      </c>
      <c r="N19" s="966">
        <v>110</v>
      </c>
      <c r="O19" s="1306">
        <f t="shared" si="1"/>
        <v>282</v>
      </c>
      <c r="P19" s="969">
        <v>36</v>
      </c>
      <c r="Q19" s="966">
        <v>14</v>
      </c>
      <c r="R19" s="1310">
        <f t="shared" si="2"/>
        <v>50</v>
      </c>
      <c r="S19" s="1314">
        <f t="shared" si="3"/>
        <v>1.3049645390070923</v>
      </c>
      <c r="T19" s="1314">
        <f t="shared" si="4"/>
        <v>4.191585568348307</v>
      </c>
      <c r="U19" s="969">
        <v>3.6497000000000002</v>
      </c>
      <c r="V19" s="966">
        <v>3.2997000000000001</v>
      </c>
      <c r="W19" s="1318">
        <f t="shared" si="5"/>
        <v>177.58500000000001</v>
      </c>
      <c r="X19" s="1318">
        <f t="shared" si="6"/>
        <v>3.5517000000000003</v>
      </c>
      <c r="Y19" s="1322">
        <f t="shared" si="7"/>
        <v>0.84734044959496002</v>
      </c>
    </row>
    <row r="20" spans="1:25" s="773" customFormat="1">
      <c r="A20" s="1274" t="s">
        <v>139</v>
      </c>
      <c r="B20" s="1283">
        <v>42086</v>
      </c>
      <c r="C20" s="1274" t="s">
        <v>133</v>
      </c>
      <c r="D20" s="1274" t="s">
        <v>134</v>
      </c>
      <c r="E20" s="1284" t="s">
        <v>129</v>
      </c>
      <c r="F20" s="1285" t="s">
        <v>30</v>
      </c>
      <c r="G20" s="1705"/>
      <c r="H20" s="1286">
        <v>22</v>
      </c>
      <c r="I20" s="1287">
        <v>1258</v>
      </c>
      <c r="J20" s="1288">
        <v>486</v>
      </c>
      <c r="K20" s="1289">
        <v>5</v>
      </c>
      <c r="L20" s="1305">
        <f t="shared" si="0"/>
        <v>0.13297872340425532</v>
      </c>
      <c r="M20" s="1291">
        <v>258</v>
      </c>
      <c r="N20" s="1288">
        <v>118</v>
      </c>
      <c r="O20" s="1305">
        <f t="shared" si="1"/>
        <v>376</v>
      </c>
      <c r="P20" s="1291">
        <v>38</v>
      </c>
      <c r="Q20" s="1288">
        <v>12</v>
      </c>
      <c r="R20" s="1309">
        <f t="shared" si="2"/>
        <v>50</v>
      </c>
      <c r="S20" s="1313">
        <f t="shared" si="3"/>
        <v>2.8191489361702127</v>
      </c>
      <c r="T20" s="1313">
        <f t="shared" si="4"/>
        <v>3.4573910937189569</v>
      </c>
      <c r="U20" s="1291">
        <v>4.1052</v>
      </c>
      <c r="V20" s="1288">
        <v>4.1261999999999999</v>
      </c>
      <c r="W20" s="1317">
        <f t="shared" si="5"/>
        <v>205.512</v>
      </c>
      <c r="X20" s="1317">
        <f t="shared" si="6"/>
        <v>4.1102400000000001</v>
      </c>
      <c r="Y20" s="1321">
        <f t="shared" si="7"/>
        <v>1.1888270341955454</v>
      </c>
    </row>
    <row r="21" spans="1:25" s="771" customFormat="1">
      <c r="A21" s="960" t="s">
        <v>139</v>
      </c>
      <c r="B21" s="961">
        <v>42086</v>
      </c>
      <c r="C21" s="960" t="s">
        <v>116</v>
      </c>
      <c r="D21" s="960" t="s">
        <v>122</v>
      </c>
      <c r="E21" s="962" t="s">
        <v>117</v>
      </c>
      <c r="F21" s="963" t="s">
        <v>33</v>
      </c>
      <c r="G21" s="1705"/>
      <c r="H21" s="964">
        <v>20</v>
      </c>
      <c r="I21" s="965">
        <v>878</v>
      </c>
      <c r="J21" s="966">
        <v>736</v>
      </c>
      <c r="K21" s="967">
        <v>5</v>
      </c>
      <c r="L21" s="1306">
        <f t="shared" si="0"/>
        <v>0.13875598086124402</v>
      </c>
      <c r="M21" s="969">
        <v>228</v>
      </c>
      <c r="N21" s="974">
        <v>190</v>
      </c>
      <c r="O21" s="1306">
        <f t="shared" si="1"/>
        <v>418</v>
      </c>
      <c r="P21" s="969">
        <v>32</v>
      </c>
      <c r="Q21" s="966">
        <v>26</v>
      </c>
      <c r="R21" s="1310">
        <f t="shared" si="2"/>
        <v>58</v>
      </c>
      <c r="S21" s="1314">
        <f t="shared" si="3"/>
        <v>2.8195215311004787</v>
      </c>
      <c r="T21" s="1314">
        <f t="shared" si="4"/>
        <v>3.4572768659836814</v>
      </c>
      <c r="U21" s="969">
        <v>2.9321999999999999</v>
      </c>
      <c r="V21" s="966">
        <v>2.4653999999999998</v>
      </c>
      <c r="W21" s="1318">
        <f t="shared" si="5"/>
        <v>157.93079999999998</v>
      </c>
      <c r="X21" s="1318">
        <f t="shared" si="6"/>
        <v>2.7229448275862067</v>
      </c>
      <c r="Y21" s="1322">
        <f t="shared" si="7"/>
        <v>0.78759813955815805</v>
      </c>
    </row>
    <row r="22" spans="1:25" s="771" customFormat="1">
      <c r="A22" s="960" t="s">
        <v>139</v>
      </c>
      <c r="B22" s="961">
        <v>42086</v>
      </c>
      <c r="C22" s="960" t="s">
        <v>116</v>
      </c>
      <c r="D22" s="960" t="s">
        <v>123</v>
      </c>
      <c r="E22" s="962" t="s">
        <v>117</v>
      </c>
      <c r="F22" s="963" t="s">
        <v>76</v>
      </c>
      <c r="G22" s="1705"/>
      <c r="H22" s="964">
        <v>19</v>
      </c>
      <c r="I22" s="965">
        <v>1002</v>
      </c>
      <c r="J22" s="966">
        <v>1318</v>
      </c>
      <c r="K22" s="967">
        <v>5</v>
      </c>
      <c r="L22" s="1306">
        <f t="shared" si="0"/>
        <v>0.10833333333333334</v>
      </c>
      <c r="M22" s="969">
        <v>110</v>
      </c>
      <c r="N22" s="966">
        <v>130</v>
      </c>
      <c r="O22" s="1306">
        <f t="shared" si="1"/>
        <v>240</v>
      </c>
      <c r="P22" s="969">
        <v>12</v>
      </c>
      <c r="Q22" s="966">
        <v>14</v>
      </c>
      <c r="R22" s="1310">
        <f t="shared" si="2"/>
        <v>26</v>
      </c>
      <c r="S22" s="1314">
        <f t="shared" si="3"/>
        <v>2.7733333333333339</v>
      </c>
      <c r="T22" s="1314">
        <f t="shared" si="4"/>
        <v>3.4715825451782183</v>
      </c>
      <c r="U22" s="969">
        <v>3.9592000000000001</v>
      </c>
      <c r="V22" s="966">
        <v>3.6583000000000001</v>
      </c>
      <c r="W22" s="1318">
        <f t="shared" si="5"/>
        <v>98.726600000000005</v>
      </c>
      <c r="X22" s="1318">
        <f t="shared" si="6"/>
        <v>3.7971769230769232</v>
      </c>
      <c r="Y22" s="1322">
        <f t="shared" si="7"/>
        <v>1.0937884592002378</v>
      </c>
    </row>
    <row r="23" spans="1:25" s="773" customFormat="1">
      <c r="A23" s="1274" t="s">
        <v>139</v>
      </c>
      <c r="B23" s="1283">
        <v>42086</v>
      </c>
      <c r="C23" s="1274" t="s">
        <v>135</v>
      </c>
      <c r="D23" s="1274" t="s">
        <v>124</v>
      </c>
      <c r="E23" s="1284" t="s">
        <v>129</v>
      </c>
      <c r="F23" s="1285" t="s">
        <v>76</v>
      </c>
      <c r="G23" s="1705"/>
      <c r="H23" s="1286">
        <v>22</v>
      </c>
      <c r="I23" s="1287">
        <v>994</v>
      </c>
      <c r="J23" s="1288">
        <v>942</v>
      </c>
      <c r="K23" s="1289">
        <v>5</v>
      </c>
      <c r="L23" s="1305">
        <f t="shared" si="0"/>
        <v>0.10062893081761007</v>
      </c>
      <c r="M23" s="1291">
        <v>358</v>
      </c>
      <c r="N23" s="1288">
        <v>278</v>
      </c>
      <c r="O23" s="1305">
        <f t="shared" si="1"/>
        <v>636</v>
      </c>
      <c r="P23" s="1291">
        <v>38</v>
      </c>
      <c r="Q23" s="1288">
        <v>26</v>
      </c>
      <c r="R23" s="1309">
        <f t="shared" si="2"/>
        <v>64</v>
      </c>
      <c r="S23" s="1313">
        <f t="shared" si="3"/>
        <v>2.5881761006289308</v>
      </c>
      <c r="T23" s="1313">
        <f t="shared" si="4"/>
        <v>3.5320720847511784</v>
      </c>
      <c r="U23" s="1291">
        <v>4.9980000000000002</v>
      </c>
      <c r="V23" s="1288">
        <v>3.6236999999999999</v>
      </c>
      <c r="W23" s="1317">
        <f t="shared" si="5"/>
        <v>284.14019999999999</v>
      </c>
      <c r="X23" s="1317">
        <f t="shared" si="6"/>
        <v>4.4396906249999999</v>
      </c>
      <c r="Y23" s="1321">
        <f t="shared" si="7"/>
        <v>1.2569648972248424</v>
      </c>
    </row>
    <row r="24" spans="1:25" s="771" customFormat="1">
      <c r="A24" s="960" t="s">
        <v>139</v>
      </c>
      <c r="B24" s="961">
        <v>42086</v>
      </c>
      <c r="C24" s="960" t="s">
        <v>124</v>
      </c>
      <c r="D24" s="960" t="s">
        <v>125</v>
      </c>
      <c r="E24" s="962" t="s">
        <v>117</v>
      </c>
      <c r="F24" s="963" t="s">
        <v>30</v>
      </c>
      <c r="G24" s="1705"/>
      <c r="H24" s="964">
        <v>23</v>
      </c>
      <c r="I24" s="965">
        <v>676</v>
      </c>
      <c r="J24" s="966">
        <v>1116</v>
      </c>
      <c r="K24" s="967">
        <v>6</v>
      </c>
      <c r="L24" s="1306">
        <f t="shared" si="0"/>
        <v>0.13636363636363635</v>
      </c>
      <c r="M24" s="969">
        <v>324</v>
      </c>
      <c r="N24" s="966">
        <v>204</v>
      </c>
      <c r="O24" s="1306">
        <f t="shared" si="1"/>
        <v>528</v>
      </c>
      <c r="P24" s="969">
        <v>46</v>
      </c>
      <c r="Q24" s="966">
        <v>26</v>
      </c>
      <c r="R24" s="1310">
        <f t="shared" si="2"/>
        <v>72</v>
      </c>
      <c r="S24" s="1314">
        <f t="shared" si="3"/>
        <v>3.1636363636363636</v>
      </c>
      <c r="T24" s="1314">
        <f t="shared" si="4"/>
        <v>3.3591652913915486</v>
      </c>
      <c r="U24" s="969">
        <v>2.7494000000000001</v>
      </c>
      <c r="V24" s="966">
        <v>4.2736999999999998</v>
      </c>
      <c r="W24" s="1318">
        <f t="shared" si="5"/>
        <v>237.58859999999999</v>
      </c>
      <c r="X24" s="1318">
        <f t="shared" si="6"/>
        <v>3.2998416666666666</v>
      </c>
      <c r="Y24" s="1322">
        <f t="shared" si="7"/>
        <v>0.98233977206274747</v>
      </c>
    </row>
    <row r="25" spans="1:25" s="773" customFormat="1">
      <c r="A25" s="1274" t="s">
        <v>139</v>
      </c>
      <c r="B25" s="1283">
        <v>42086</v>
      </c>
      <c r="C25" s="1274" t="s">
        <v>136</v>
      </c>
      <c r="D25" s="1274" t="s">
        <v>137</v>
      </c>
      <c r="E25" s="1284" t="s">
        <v>129</v>
      </c>
      <c r="F25" s="1285" t="s">
        <v>33</v>
      </c>
      <c r="G25" s="1705"/>
      <c r="H25" s="1286">
        <v>17</v>
      </c>
      <c r="I25" s="1287">
        <v>976</v>
      </c>
      <c r="J25" s="1288">
        <v>738</v>
      </c>
      <c r="K25" s="1289">
        <v>4</v>
      </c>
      <c r="L25" s="1305">
        <f t="shared" si="0"/>
        <v>0.12012012012012012</v>
      </c>
      <c r="M25" s="1291">
        <v>356</v>
      </c>
      <c r="N25" s="1288">
        <v>310</v>
      </c>
      <c r="O25" s="1305">
        <f t="shared" si="1"/>
        <v>666</v>
      </c>
      <c r="P25" s="1291">
        <v>42</v>
      </c>
      <c r="Q25" s="1288">
        <v>38</v>
      </c>
      <c r="R25" s="1309">
        <f t="shared" si="2"/>
        <v>80</v>
      </c>
      <c r="S25" s="1313">
        <f t="shared" si="3"/>
        <v>2.8588588588588588</v>
      </c>
      <c r="T25" s="1313">
        <f t="shared" si="4"/>
        <v>3.4453221423990259</v>
      </c>
      <c r="U25" s="1291">
        <v>3.9352</v>
      </c>
      <c r="V25" s="1288">
        <v>2.8372000000000002</v>
      </c>
      <c r="W25" s="1317">
        <f t="shared" si="5"/>
        <v>273.09199999999998</v>
      </c>
      <c r="X25" s="1317">
        <f t="shared" si="6"/>
        <v>3.4136499999999996</v>
      </c>
      <c r="Y25" s="1321">
        <f t="shared" si="7"/>
        <v>0.99080720435129688</v>
      </c>
    </row>
    <row r="26" spans="1:25" s="773" customFormat="1" ht="13.5" thickBot="1">
      <c r="A26" s="1293" t="s">
        <v>139</v>
      </c>
      <c r="B26" s="1294">
        <v>42086</v>
      </c>
      <c r="C26" s="1293" t="s">
        <v>138</v>
      </c>
      <c r="D26" s="1293" t="s">
        <v>137</v>
      </c>
      <c r="E26" s="1295" t="s">
        <v>129</v>
      </c>
      <c r="F26" s="1296" t="s">
        <v>30</v>
      </c>
      <c r="G26" s="1706"/>
      <c r="H26" s="1297">
        <v>20</v>
      </c>
      <c r="I26" s="1298">
        <v>956</v>
      </c>
      <c r="J26" s="1299">
        <v>418</v>
      </c>
      <c r="K26" s="1300">
        <v>5</v>
      </c>
      <c r="L26" s="1307">
        <f t="shared" si="0"/>
        <v>0.1222707423580786</v>
      </c>
      <c r="M26" s="1302">
        <v>360</v>
      </c>
      <c r="N26" s="1299">
        <v>98</v>
      </c>
      <c r="O26" s="1307">
        <f t="shared" si="1"/>
        <v>458</v>
      </c>
      <c r="P26" s="1302">
        <v>44</v>
      </c>
      <c r="Q26" s="1299">
        <v>12</v>
      </c>
      <c r="R26" s="1311">
        <f t="shared" si="2"/>
        <v>56</v>
      </c>
      <c r="S26" s="1315">
        <f t="shared" si="3"/>
        <v>2.2400000000000002</v>
      </c>
      <c r="T26" s="1315">
        <f t="shared" si="4"/>
        <v>3.6619803486908293</v>
      </c>
      <c r="U26" s="1302">
        <v>4.4771999999999998</v>
      </c>
      <c r="V26" s="1299">
        <v>3.8643000000000001</v>
      </c>
      <c r="W26" s="1319">
        <f t="shared" si="5"/>
        <v>243.36840000000001</v>
      </c>
      <c r="X26" s="1319">
        <f t="shared" si="6"/>
        <v>4.3458642857142857</v>
      </c>
      <c r="Y26" s="1323">
        <f t="shared" si="7"/>
        <v>1.1867524868799328</v>
      </c>
    </row>
    <row r="27" spans="1:25" ht="15.75" thickTop="1">
      <c r="A27" s="339" t="s">
        <v>141</v>
      </c>
      <c r="B27" s="338">
        <v>42114</v>
      </c>
      <c r="C27" s="339" t="s">
        <v>131</v>
      </c>
      <c r="D27" s="339" t="s">
        <v>142</v>
      </c>
      <c r="E27" s="337" t="s">
        <v>143</v>
      </c>
      <c r="F27" s="337" t="s">
        <v>30</v>
      </c>
      <c r="G27" s="1723" t="s">
        <v>144</v>
      </c>
      <c r="H27" s="386">
        <v>14</v>
      </c>
      <c r="I27" s="387">
        <v>1700</v>
      </c>
      <c r="J27" s="388">
        <v>3640</v>
      </c>
      <c r="K27" s="389">
        <v>4</v>
      </c>
      <c r="L27" s="399"/>
      <c r="M27" s="390">
        <v>402</v>
      </c>
      <c r="N27" s="391">
        <v>756</v>
      </c>
      <c r="O27" s="399"/>
      <c r="P27" s="390">
        <v>40</v>
      </c>
      <c r="Q27" s="391">
        <v>106</v>
      </c>
      <c r="R27" s="400"/>
      <c r="S27" s="399"/>
      <c r="T27" s="399"/>
      <c r="U27" s="390">
        <v>3.8285</v>
      </c>
      <c r="V27" s="391">
        <v>1.4775</v>
      </c>
      <c r="W27" s="399"/>
      <c r="X27" s="399"/>
      <c r="Y27" s="400"/>
    </row>
    <row r="28" spans="1:25" ht="15">
      <c r="A28" s="350" t="s">
        <v>141</v>
      </c>
      <c r="B28" s="349">
        <v>42114</v>
      </c>
      <c r="C28" s="350" t="s">
        <v>131</v>
      </c>
      <c r="D28" s="350" t="s">
        <v>145</v>
      </c>
      <c r="E28" s="348" t="s">
        <v>143</v>
      </c>
      <c r="F28" s="348" t="s">
        <v>76</v>
      </c>
      <c r="G28" s="1724"/>
      <c r="H28" s="351">
        <v>8</v>
      </c>
      <c r="I28" s="352">
        <v>1042</v>
      </c>
      <c r="J28" s="392">
        <v>3244</v>
      </c>
      <c r="K28" s="393">
        <v>3</v>
      </c>
      <c r="L28" s="401"/>
      <c r="M28" s="394">
        <v>350</v>
      </c>
      <c r="N28" s="392">
        <v>1050</v>
      </c>
      <c r="O28" s="401"/>
      <c r="P28" s="394">
        <v>36</v>
      </c>
      <c r="Q28" s="392">
        <v>160</v>
      </c>
      <c r="R28" s="402"/>
      <c r="S28" s="401"/>
      <c r="T28" s="401"/>
      <c r="U28" s="394">
        <v>3.9889000000000001</v>
      </c>
      <c r="V28" s="392">
        <v>1.9696</v>
      </c>
      <c r="W28" s="401"/>
      <c r="X28" s="401"/>
      <c r="Y28" s="402"/>
    </row>
    <row r="29" spans="1:25" ht="15" customHeight="1">
      <c r="A29" s="350" t="s">
        <v>141</v>
      </c>
      <c r="B29" s="349">
        <v>42114</v>
      </c>
      <c r="C29" s="350" t="s">
        <v>131</v>
      </c>
      <c r="D29" s="350" t="s">
        <v>146</v>
      </c>
      <c r="E29" s="348" t="s">
        <v>147</v>
      </c>
      <c r="F29" s="348" t="s">
        <v>30</v>
      </c>
      <c r="G29" s="1724"/>
      <c r="H29" s="351">
        <v>10</v>
      </c>
      <c r="I29" s="352">
        <v>198</v>
      </c>
      <c r="J29" s="392">
        <v>792</v>
      </c>
      <c r="K29" s="393">
        <v>3</v>
      </c>
      <c r="L29" s="401"/>
      <c r="M29" s="394">
        <v>204</v>
      </c>
      <c r="N29" s="392">
        <v>520</v>
      </c>
      <c r="O29" s="401"/>
      <c r="P29" s="394">
        <v>30</v>
      </c>
      <c r="Q29" s="392">
        <v>92</v>
      </c>
      <c r="R29" s="402"/>
      <c r="S29" s="401"/>
      <c r="T29" s="401"/>
      <c r="U29" s="394">
        <v>2.2721</v>
      </c>
      <c r="V29" s="392">
        <v>1.3355999999999999</v>
      </c>
      <c r="W29" s="401"/>
      <c r="X29" s="401"/>
      <c r="Y29" s="402"/>
    </row>
    <row r="30" spans="1:25" ht="15" customHeight="1">
      <c r="A30" s="350" t="s">
        <v>141</v>
      </c>
      <c r="B30" s="349">
        <v>42114</v>
      </c>
      <c r="C30" s="350" t="s">
        <v>115</v>
      </c>
      <c r="D30" s="350" t="s">
        <v>148</v>
      </c>
      <c r="E30" s="348" t="s">
        <v>147</v>
      </c>
      <c r="F30" s="348" t="s">
        <v>76</v>
      </c>
      <c r="G30" s="1724"/>
      <c r="H30" s="351">
        <v>12</v>
      </c>
      <c r="I30" s="352">
        <v>148</v>
      </c>
      <c r="J30" s="392">
        <v>910</v>
      </c>
      <c r="K30" s="393">
        <v>4</v>
      </c>
      <c r="L30" s="401"/>
      <c r="M30" s="394">
        <v>68</v>
      </c>
      <c r="N30" s="392">
        <v>394</v>
      </c>
      <c r="O30" s="401"/>
      <c r="P30" s="394">
        <v>8</v>
      </c>
      <c r="Q30" s="392">
        <v>68</v>
      </c>
      <c r="R30" s="402"/>
      <c r="S30" s="401"/>
      <c r="T30" s="401"/>
      <c r="U30" s="394">
        <v>3.0537999999999998</v>
      </c>
      <c r="V30" s="392">
        <v>1.4519</v>
      </c>
      <c r="W30" s="401"/>
      <c r="X30" s="401"/>
      <c r="Y30" s="402"/>
    </row>
    <row r="31" spans="1:25" ht="15">
      <c r="A31" s="350" t="s">
        <v>141</v>
      </c>
      <c r="B31" s="349">
        <v>42114</v>
      </c>
      <c r="C31" s="350" t="s">
        <v>149</v>
      </c>
      <c r="D31" s="350" t="s">
        <v>150</v>
      </c>
      <c r="E31" s="348" t="s">
        <v>143</v>
      </c>
      <c r="F31" s="348" t="s">
        <v>33</v>
      </c>
      <c r="G31" s="1724"/>
      <c r="H31" s="351">
        <v>16</v>
      </c>
      <c r="I31" s="352">
        <v>822</v>
      </c>
      <c r="J31" s="392">
        <v>1932</v>
      </c>
      <c r="K31" s="393">
        <v>5</v>
      </c>
      <c r="L31" s="401"/>
      <c r="M31" s="394">
        <v>490</v>
      </c>
      <c r="N31" s="392">
        <v>1054</v>
      </c>
      <c r="O31" s="401"/>
      <c r="P31" s="394">
        <v>44</v>
      </c>
      <c r="Q31" s="392">
        <v>174</v>
      </c>
      <c r="R31" s="402"/>
      <c r="S31" s="401"/>
      <c r="T31" s="401"/>
      <c r="U31" s="394">
        <v>3.8155000000000001</v>
      </c>
      <c r="V31" s="392">
        <v>2.1232000000000002</v>
      </c>
      <c r="W31" s="401"/>
      <c r="X31" s="401"/>
      <c r="Y31" s="402"/>
    </row>
    <row r="32" spans="1:25" ht="15">
      <c r="A32" s="350" t="s">
        <v>141</v>
      </c>
      <c r="B32" s="349">
        <v>42114</v>
      </c>
      <c r="C32" s="350" t="s">
        <v>120</v>
      </c>
      <c r="D32" s="350" t="s">
        <v>151</v>
      </c>
      <c r="E32" s="348" t="s">
        <v>147</v>
      </c>
      <c r="F32" s="348" t="s">
        <v>33</v>
      </c>
      <c r="G32" s="1724"/>
      <c r="H32" s="351">
        <v>8</v>
      </c>
      <c r="I32" s="352">
        <v>528</v>
      </c>
      <c r="J32" s="392">
        <v>2410</v>
      </c>
      <c r="K32" s="393">
        <v>2</v>
      </c>
      <c r="L32" s="401"/>
      <c r="M32" s="394">
        <v>222</v>
      </c>
      <c r="N32" s="392">
        <v>846</v>
      </c>
      <c r="O32" s="401"/>
      <c r="P32" s="394">
        <v>26</v>
      </c>
      <c r="Q32" s="392">
        <v>154</v>
      </c>
      <c r="R32" s="402"/>
      <c r="S32" s="401"/>
      <c r="T32" s="401"/>
      <c r="U32" s="394">
        <v>3.3677000000000001</v>
      </c>
      <c r="V32" s="392">
        <v>1.6791</v>
      </c>
      <c r="W32" s="401"/>
      <c r="X32" s="401"/>
      <c r="Y32" s="402"/>
    </row>
    <row r="33" spans="1:25" ht="15">
      <c r="A33" s="350" t="s">
        <v>141</v>
      </c>
      <c r="B33" s="349">
        <v>42114</v>
      </c>
      <c r="C33" s="350" t="s">
        <v>152</v>
      </c>
      <c r="D33" s="350" t="s">
        <v>153</v>
      </c>
      <c r="E33" s="348" t="s">
        <v>147</v>
      </c>
      <c r="F33" s="348" t="s">
        <v>30</v>
      </c>
      <c r="G33" s="1724"/>
      <c r="H33" s="351">
        <v>16</v>
      </c>
      <c r="I33" s="352">
        <v>2340</v>
      </c>
      <c r="J33" s="392">
        <v>660</v>
      </c>
      <c r="K33" s="393">
        <v>4</v>
      </c>
      <c r="L33" s="401"/>
      <c r="M33" s="394">
        <v>186</v>
      </c>
      <c r="N33" s="395">
        <v>650</v>
      </c>
      <c r="O33" s="401"/>
      <c r="P33" s="394">
        <v>22</v>
      </c>
      <c r="Q33" s="392">
        <v>108</v>
      </c>
      <c r="R33" s="403"/>
      <c r="S33" s="404"/>
      <c r="T33" s="404"/>
      <c r="U33" s="394">
        <v>3.1154999999999999</v>
      </c>
      <c r="V33" s="392">
        <v>1.5859000000000001</v>
      </c>
      <c r="W33" s="404"/>
      <c r="X33" s="404"/>
      <c r="Y33" s="405"/>
    </row>
    <row r="34" spans="1:25" ht="15">
      <c r="A34" s="350" t="s">
        <v>141</v>
      </c>
      <c r="B34" s="349">
        <v>42114</v>
      </c>
      <c r="C34" s="350" t="s">
        <v>116</v>
      </c>
      <c r="D34" s="350" t="s">
        <v>154</v>
      </c>
      <c r="E34" s="348" t="s">
        <v>147</v>
      </c>
      <c r="F34" s="348" t="s">
        <v>76</v>
      </c>
      <c r="G34" s="1724"/>
      <c r="H34" s="351">
        <v>12</v>
      </c>
      <c r="I34" s="352">
        <v>430</v>
      </c>
      <c r="J34" s="392">
        <v>1884</v>
      </c>
      <c r="K34" s="393">
        <v>4</v>
      </c>
      <c r="L34" s="401"/>
      <c r="M34" s="394">
        <v>134</v>
      </c>
      <c r="N34" s="392">
        <v>654</v>
      </c>
      <c r="O34" s="401"/>
      <c r="P34" s="394">
        <v>16</v>
      </c>
      <c r="Q34" s="392">
        <v>126</v>
      </c>
      <c r="R34" s="403"/>
      <c r="S34" s="404"/>
      <c r="T34" s="404"/>
      <c r="U34" s="394">
        <v>2.9275000000000002</v>
      </c>
      <c r="V34" s="392">
        <v>1.5036</v>
      </c>
      <c r="W34" s="404"/>
      <c r="X34" s="404"/>
      <c r="Y34" s="405"/>
    </row>
    <row r="35" spans="1:25" ht="15">
      <c r="A35" s="350" t="s">
        <v>141</v>
      </c>
      <c r="B35" s="349">
        <v>42114</v>
      </c>
      <c r="C35" s="350" t="s">
        <v>124</v>
      </c>
      <c r="D35" s="350" t="s">
        <v>151</v>
      </c>
      <c r="E35" s="348" t="s">
        <v>143</v>
      </c>
      <c r="F35" s="348" t="s">
        <v>76</v>
      </c>
      <c r="G35" s="1724"/>
      <c r="H35" s="351">
        <v>13</v>
      </c>
      <c r="I35" s="352">
        <v>538</v>
      </c>
      <c r="J35" s="392">
        <v>2018</v>
      </c>
      <c r="K35" s="393">
        <v>4</v>
      </c>
      <c r="L35" s="401"/>
      <c r="M35" s="394">
        <v>140</v>
      </c>
      <c r="N35" s="392">
        <v>688</v>
      </c>
      <c r="O35" s="401"/>
      <c r="P35" s="394">
        <v>16</v>
      </c>
      <c r="Q35" s="392">
        <v>130</v>
      </c>
      <c r="R35" s="403"/>
      <c r="S35" s="404"/>
      <c r="T35" s="404"/>
      <c r="U35" s="394">
        <v>3.2812999999999999</v>
      </c>
      <c r="V35" s="392">
        <v>1.5879000000000001</v>
      </c>
      <c r="W35" s="404"/>
      <c r="X35" s="404"/>
      <c r="Y35" s="405"/>
    </row>
    <row r="36" spans="1:25" ht="15">
      <c r="A36" s="350" t="s">
        <v>141</v>
      </c>
      <c r="B36" s="349">
        <v>42114</v>
      </c>
      <c r="C36" s="350" t="s">
        <v>155</v>
      </c>
      <c r="D36" s="350" t="s">
        <v>156</v>
      </c>
      <c r="E36" s="348" t="s">
        <v>147</v>
      </c>
      <c r="F36" s="348" t="s">
        <v>33</v>
      </c>
      <c r="G36" s="1724"/>
      <c r="H36" s="351">
        <v>13</v>
      </c>
      <c r="I36" s="352">
        <v>358</v>
      </c>
      <c r="J36" s="392">
        <v>1942</v>
      </c>
      <c r="K36" s="393">
        <v>4</v>
      </c>
      <c r="L36" s="401"/>
      <c r="M36" s="394">
        <v>114</v>
      </c>
      <c r="N36" s="392">
        <v>448</v>
      </c>
      <c r="O36" s="401"/>
      <c r="P36" s="394">
        <v>16</v>
      </c>
      <c r="Q36" s="392">
        <v>94</v>
      </c>
      <c r="R36" s="403"/>
      <c r="S36" s="404"/>
      <c r="T36" s="404"/>
      <c r="U36" s="394">
        <v>2.8696999999999999</v>
      </c>
      <c r="V36" s="392">
        <v>1.2386999999999999</v>
      </c>
      <c r="W36" s="404"/>
      <c r="X36" s="404"/>
      <c r="Y36" s="405"/>
    </row>
    <row r="37" spans="1:25" ht="15">
      <c r="A37" s="350" t="s">
        <v>141</v>
      </c>
      <c r="B37" s="349">
        <v>42114</v>
      </c>
      <c r="C37" s="350" t="s">
        <v>136</v>
      </c>
      <c r="D37" s="350" t="s">
        <v>155</v>
      </c>
      <c r="E37" s="348" t="s">
        <v>143</v>
      </c>
      <c r="F37" s="348" t="s">
        <v>33</v>
      </c>
      <c r="G37" s="1724"/>
      <c r="H37" s="351">
        <v>12</v>
      </c>
      <c r="I37" s="352">
        <v>1056</v>
      </c>
      <c r="J37" s="392">
        <v>2596</v>
      </c>
      <c r="K37" s="393">
        <v>3</v>
      </c>
      <c r="L37" s="401"/>
      <c r="M37" s="394">
        <v>216</v>
      </c>
      <c r="N37" s="392">
        <v>576</v>
      </c>
      <c r="O37" s="401"/>
      <c r="P37" s="394">
        <v>24</v>
      </c>
      <c r="Q37" s="392">
        <v>98</v>
      </c>
      <c r="R37" s="403"/>
      <c r="S37" s="404"/>
      <c r="T37" s="404"/>
      <c r="U37" s="394">
        <v>3.7797999999999998</v>
      </c>
      <c r="V37" s="392">
        <v>1.7982</v>
      </c>
      <c r="W37" s="404"/>
      <c r="X37" s="404"/>
      <c r="Y37" s="405"/>
    </row>
    <row r="38" spans="1:25" ht="15.75" thickBot="1">
      <c r="A38" s="370" t="s">
        <v>141</v>
      </c>
      <c r="B38" s="369">
        <v>42114</v>
      </c>
      <c r="C38" s="370" t="s">
        <v>138</v>
      </c>
      <c r="D38" s="370" t="s">
        <v>157</v>
      </c>
      <c r="E38" s="368" t="s">
        <v>143</v>
      </c>
      <c r="F38" s="368" t="s">
        <v>30</v>
      </c>
      <c r="G38" s="1725"/>
      <c r="H38" s="371">
        <v>5</v>
      </c>
      <c r="I38" s="372">
        <v>316</v>
      </c>
      <c r="J38" s="396">
        <v>1140</v>
      </c>
      <c r="K38" s="397">
        <v>2</v>
      </c>
      <c r="L38" s="406"/>
      <c r="M38" s="368">
        <v>252</v>
      </c>
      <c r="N38" s="396">
        <v>536</v>
      </c>
      <c r="O38" s="407"/>
      <c r="P38" s="408">
        <v>44</v>
      </c>
      <c r="Q38" s="409">
        <v>96</v>
      </c>
      <c r="R38" s="410"/>
      <c r="S38" s="411"/>
      <c r="T38" s="411"/>
      <c r="U38" s="398">
        <v>3.1078999999999999</v>
      </c>
      <c r="V38" s="396">
        <v>1.3819999999999999</v>
      </c>
      <c r="W38" s="411"/>
      <c r="X38" s="411"/>
      <c r="Y38" s="412"/>
    </row>
    <row r="39" spans="1:25" ht="13.5" thickTop="1"/>
    <row r="40" spans="1:25" ht="15">
      <c r="B40"/>
      <c r="G40"/>
      <c r="H40"/>
      <c r="I40"/>
      <c r="J40"/>
      <c r="K40"/>
      <c r="L40"/>
      <c r="M40"/>
      <c r="N40"/>
      <c r="O40"/>
      <c r="P40"/>
      <c r="Q40"/>
    </row>
    <row r="41" spans="1:25">
      <c r="A41" s="55" t="s">
        <v>39</v>
      </c>
      <c r="L41" s="750" t="s">
        <v>390</v>
      </c>
      <c r="M41" s="751"/>
      <c r="N41" s="751"/>
    </row>
    <row r="42" spans="1:25">
      <c r="A42" s="56" t="s">
        <v>40</v>
      </c>
      <c r="L42" s="36"/>
      <c r="M42" s="752" t="s">
        <v>63</v>
      </c>
      <c r="N42" s="753" t="s">
        <v>64</v>
      </c>
    </row>
    <row r="43" spans="1:25">
      <c r="A43" s="56" t="s">
        <v>41</v>
      </c>
      <c r="L43" s="36" t="s">
        <v>391</v>
      </c>
      <c r="M43" s="774">
        <f>AVERAGE(Y17:Y19,Y21:Y22,Y24)</f>
        <v>0.88570748445337255</v>
      </c>
      <c r="N43" s="774">
        <f>AVERAGE(Y15:Y16,Y20,Y23,Y25:Y26)</f>
        <v>1.1958013036826953</v>
      </c>
    </row>
    <row r="44" spans="1:25">
      <c r="A44" s="56" t="s">
        <v>42</v>
      </c>
      <c r="L44" s="36" t="s">
        <v>25</v>
      </c>
      <c r="M44" s="774">
        <f>AVERAGE(W17:W19,W21:W22,W24)</f>
        <v>142.1978</v>
      </c>
      <c r="N44" s="774">
        <f>AVERAGE(W15:W16,W20,W23,W25:W26)</f>
        <v>223.17740000000001</v>
      </c>
    </row>
    <row r="45" spans="1:25">
      <c r="A45" s="55" t="s">
        <v>87</v>
      </c>
      <c r="L45" s="36" t="s">
        <v>392</v>
      </c>
      <c r="M45" s="774">
        <f>AVERAGE(X17:X19,X21:X22,X24)</f>
        <v>3.3394620278882989</v>
      </c>
      <c r="N45" s="774">
        <f>AVERAGE(X15:X16,X20,X23,X25:X26)</f>
        <v>4.2068507162812443</v>
      </c>
    </row>
    <row r="46" spans="1:25">
      <c r="A46" s="55" t="s">
        <v>44</v>
      </c>
      <c r="L46" s="36" t="s">
        <v>393</v>
      </c>
      <c r="M46" s="774">
        <f>AVERAGE(S17:S19,S21:S22,S24)</f>
        <v>2.1429104084087287</v>
      </c>
      <c r="N46" s="774">
        <f>AVERAGE(S15:S16,S20,S23,S25:S26)</f>
        <v>2.653665810474338</v>
      </c>
    </row>
    <row r="47" spans="1:25">
      <c r="A47" s="55" t="s">
        <v>45</v>
      </c>
    </row>
    <row r="48" spans="1:25">
      <c r="A48" s="56" t="s">
        <v>46</v>
      </c>
    </row>
    <row r="49" spans="1:15">
      <c r="A49" s="56" t="s">
        <v>47</v>
      </c>
    </row>
    <row r="50" spans="1:15">
      <c r="A50" s="56" t="s">
        <v>48</v>
      </c>
    </row>
    <row r="51" spans="1:15">
      <c r="A51" s="56" t="s">
        <v>49</v>
      </c>
      <c r="O51" s="4"/>
    </row>
    <row r="52" spans="1:15">
      <c r="O52" s="4"/>
    </row>
    <row r="53" spans="1:15">
      <c r="A53" s="1" t="s">
        <v>50</v>
      </c>
      <c r="O53" s="4"/>
    </row>
    <row r="54" spans="1:15">
      <c r="O54" s="4"/>
    </row>
    <row r="55" spans="1:15">
      <c r="O55" s="4"/>
    </row>
    <row r="56" spans="1:15">
      <c r="O56" s="4"/>
    </row>
    <row r="57" spans="1:15">
      <c r="O57" s="4"/>
    </row>
    <row r="58" spans="1:15">
      <c r="O58" s="4"/>
    </row>
    <row r="59" spans="1:15">
      <c r="O59" s="4"/>
    </row>
    <row r="60" spans="1:15">
      <c r="O60" s="4"/>
    </row>
    <row r="61" spans="1:15">
      <c r="O61" s="4"/>
    </row>
    <row r="62" spans="1:15">
      <c r="O62" s="4"/>
    </row>
    <row r="63" spans="1:15">
      <c r="O63" s="4"/>
    </row>
  </sheetData>
  <mergeCells count="56">
    <mergeCell ref="G15:G26"/>
    <mergeCell ref="G9:G14"/>
    <mergeCell ref="I9:J9"/>
    <mergeCell ref="M10:N10"/>
    <mergeCell ref="P10:Q10"/>
    <mergeCell ref="U10:V10"/>
    <mergeCell ref="G27:G38"/>
    <mergeCell ref="I12:J12"/>
    <mergeCell ref="M12:N12"/>
    <mergeCell ref="P12:Q12"/>
    <mergeCell ref="U12:V12"/>
    <mergeCell ref="I13:J13"/>
    <mergeCell ref="M13:N13"/>
    <mergeCell ref="P13:Q13"/>
    <mergeCell ref="U13:V13"/>
    <mergeCell ref="I14:J14"/>
    <mergeCell ref="M14:N14"/>
    <mergeCell ref="P14:Q14"/>
    <mergeCell ref="U14:V14"/>
    <mergeCell ref="I11:J11"/>
    <mergeCell ref="M11:N11"/>
    <mergeCell ref="P11:Q11"/>
    <mergeCell ref="U11:V11"/>
    <mergeCell ref="I7:J7"/>
    <mergeCell ref="M7:N7"/>
    <mergeCell ref="P7:Q7"/>
    <mergeCell ref="U7:V7"/>
    <mergeCell ref="I8:J8"/>
    <mergeCell ref="M8:N8"/>
    <mergeCell ref="P8:Q8"/>
    <mergeCell ref="U8:V8"/>
    <mergeCell ref="M9:N9"/>
    <mergeCell ref="P9:Q9"/>
    <mergeCell ref="U9:V9"/>
    <mergeCell ref="I10:J10"/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CC"/>
  </sheetPr>
  <dimension ref="A1:Z44"/>
  <sheetViews>
    <sheetView workbookViewId="0">
      <selection activeCell="Y32" sqref="Y32"/>
    </sheetView>
  </sheetViews>
  <sheetFormatPr baseColWidth="10" defaultRowHeight="12.75"/>
  <cols>
    <col min="1" max="1" width="11.7109375" style="1" customWidth="1"/>
    <col min="2" max="2" width="10.140625" style="1" bestFit="1" customWidth="1"/>
    <col min="3" max="4" width="3" style="1" bestFit="1" customWidth="1"/>
    <col min="5" max="5" width="6.5703125" style="1" customWidth="1"/>
    <col min="6" max="6" width="8.85546875" style="1" bestFit="1" customWidth="1"/>
    <col min="7" max="7" width="11.140625" style="1" bestFit="1" customWidth="1"/>
    <col min="8" max="8" width="6.28515625" style="1" bestFit="1" customWidth="1"/>
    <col min="9" max="9" width="4.140625" style="1" bestFit="1" customWidth="1"/>
    <col min="10" max="10" width="8.42578125" style="1" customWidth="1"/>
    <col min="11" max="11" width="12" style="1" bestFit="1" customWidth="1"/>
    <col min="12" max="12" width="4.140625" style="1" bestFit="1" customWidth="1"/>
    <col min="13" max="13" width="12" style="1" bestFit="1" customWidth="1"/>
    <col min="14" max="14" width="14.28515625" style="1" bestFit="1" customWidth="1"/>
    <col min="15" max="15" width="11.140625" style="1" bestFit="1" customWidth="1"/>
    <col min="16" max="16" width="7.42578125" style="1" bestFit="1" customWidth="1"/>
    <col min="17" max="17" width="14.42578125" style="1" bestFit="1" customWidth="1"/>
    <col min="18" max="18" width="11.28515625" style="1" bestFit="1" customWidth="1"/>
    <col min="19" max="19" width="10.42578125" style="1" bestFit="1" customWidth="1"/>
    <col min="20" max="20" width="13" style="4" bestFit="1" customWidth="1"/>
    <col min="21" max="21" width="11.42578125" style="4"/>
    <col min="22" max="22" width="12.42578125" style="1" customWidth="1"/>
    <col min="23" max="23" width="11.85546875" style="1" customWidth="1"/>
    <col min="24" max="24" width="11.42578125" style="4"/>
    <col min="25" max="25" width="15.85546875" style="4" bestFit="1" customWidth="1"/>
    <col min="26" max="16384" width="11.42578125" style="4"/>
  </cols>
  <sheetData>
    <row r="1" spans="1:26" ht="15.75">
      <c r="C1" s="2"/>
      <c r="D1" s="2"/>
      <c r="E1" s="2"/>
      <c r="F1" s="2"/>
      <c r="G1" s="2"/>
      <c r="H1" s="2"/>
      <c r="I1" s="1617" t="s">
        <v>0</v>
      </c>
      <c r="J1" s="1618"/>
      <c r="K1" s="1619"/>
      <c r="L1" s="1620" t="s">
        <v>1</v>
      </c>
      <c r="M1" s="1618"/>
      <c r="N1" s="1618"/>
      <c r="O1" s="1618"/>
      <c r="P1" s="1618"/>
      <c r="Q1" s="1618"/>
      <c r="R1" s="1618"/>
      <c r="S1" s="1619"/>
      <c r="T1" s="1621" t="s">
        <v>2</v>
      </c>
      <c r="U1" s="1622"/>
      <c r="V1" s="1623" t="s">
        <v>3</v>
      </c>
      <c r="W1" s="1623"/>
      <c r="X1" s="1624"/>
      <c r="Y1" s="3"/>
    </row>
    <row r="2" spans="1:26">
      <c r="A2" s="5" t="s">
        <v>4</v>
      </c>
      <c r="B2" s="5" t="s">
        <v>5</v>
      </c>
      <c r="C2" s="5" t="s">
        <v>6</v>
      </c>
      <c r="D2" s="5" t="s">
        <v>7</v>
      </c>
      <c r="E2" s="5" t="s">
        <v>401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6" t="s">
        <v>13</v>
      </c>
      <c r="L2" s="7" t="s">
        <v>11</v>
      </c>
      <c r="M2" s="5" t="s">
        <v>14</v>
      </c>
      <c r="N2" s="8" t="s">
        <v>15</v>
      </c>
      <c r="O2" s="8" t="s">
        <v>16</v>
      </c>
      <c r="P2" s="5" t="s">
        <v>17</v>
      </c>
      <c r="Q2" s="8" t="s">
        <v>18</v>
      </c>
      <c r="R2" s="8" t="s">
        <v>19</v>
      </c>
      <c r="S2" s="9" t="s">
        <v>20</v>
      </c>
      <c r="T2" s="10" t="s">
        <v>21</v>
      </c>
      <c r="U2" s="8" t="s">
        <v>22</v>
      </c>
      <c r="V2" s="11" t="s">
        <v>23</v>
      </c>
      <c r="W2" s="11" t="s">
        <v>24</v>
      </c>
      <c r="X2" s="12" t="s">
        <v>25</v>
      </c>
      <c r="Y2" s="13" t="s">
        <v>26</v>
      </c>
      <c r="Z2" s="14" t="s">
        <v>27</v>
      </c>
    </row>
    <row r="3" spans="1:26" s="773" customFormat="1">
      <c r="A3" s="1213" t="s">
        <v>35</v>
      </c>
      <c r="B3" s="1224">
        <v>42094</v>
      </c>
      <c r="C3" s="1214">
        <v>2</v>
      </c>
      <c r="D3" s="1214">
        <v>1</v>
      </c>
      <c r="E3" s="1214"/>
      <c r="F3" s="1213" t="s">
        <v>64</v>
      </c>
      <c r="G3" s="1215" t="s">
        <v>30</v>
      </c>
      <c r="H3" s="1215"/>
      <c r="I3" s="1215">
        <v>26</v>
      </c>
      <c r="J3" s="1219">
        <v>2608.6999999999998</v>
      </c>
      <c r="K3" s="1328">
        <f>J3*M3</f>
        <v>359.38846449820761</v>
      </c>
      <c r="L3" s="1218">
        <v>8</v>
      </c>
      <c r="M3" s="1330">
        <f>S3/P3</f>
        <v>0.13776534844873217</v>
      </c>
      <c r="N3" s="1219">
        <v>612.13</v>
      </c>
      <c r="O3" s="1220">
        <v>453.45</v>
      </c>
      <c r="P3" s="1332">
        <f>O3+N3</f>
        <v>1065.58</v>
      </c>
      <c r="Q3" s="1204">
        <v>60.6</v>
      </c>
      <c r="R3" s="1204">
        <v>86.2</v>
      </c>
      <c r="S3" s="1328">
        <f>R3+Q3</f>
        <v>146.80000000000001</v>
      </c>
      <c r="T3" s="1335">
        <f>(S3+K3)/100</f>
        <v>5.0618846449820758</v>
      </c>
      <c r="U3" s="1336">
        <f>4.48*T3^(-0.25)</f>
        <v>2.9867574320965304</v>
      </c>
      <c r="V3" s="1223">
        <v>2.5148000000000001</v>
      </c>
      <c r="W3" s="1223">
        <v>2.6924000000000001</v>
      </c>
      <c r="X3" s="1338">
        <f>(V3*Q3)+(W3*R3)</f>
        <v>384.48176000000001</v>
      </c>
      <c r="Y3" s="1338">
        <f>X3/S3</f>
        <v>2.6190855585831061</v>
      </c>
      <c r="Z3" s="1338">
        <f>Y3/U3</f>
        <v>0.87689931912035457</v>
      </c>
    </row>
    <row r="4" spans="1:26" s="773" customFormat="1">
      <c r="A4" s="1213" t="s">
        <v>35</v>
      </c>
      <c r="B4" s="1224">
        <v>42094</v>
      </c>
      <c r="C4" s="1214">
        <v>5</v>
      </c>
      <c r="D4" s="1214">
        <v>1</v>
      </c>
      <c r="E4" s="1214"/>
      <c r="F4" s="1213" t="s">
        <v>64</v>
      </c>
      <c r="G4" s="1215" t="s">
        <v>33</v>
      </c>
      <c r="H4" s="1215"/>
      <c r="I4" s="1215">
        <v>22</v>
      </c>
      <c r="J4" s="1219">
        <v>2615</v>
      </c>
      <c r="K4" s="1328">
        <f t="shared" ref="K4:K14" si="0">J4*M4</f>
        <v>362.77456647398839</v>
      </c>
      <c r="L4" s="1218">
        <v>6</v>
      </c>
      <c r="M4" s="1330">
        <f t="shared" ref="M4:M14" si="1">S4/P4</f>
        <v>0.13872832369942195</v>
      </c>
      <c r="N4" s="1219">
        <v>201.54</v>
      </c>
      <c r="O4" s="1220">
        <v>256.91000000000003</v>
      </c>
      <c r="P4" s="1332">
        <f t="shared" ref="P4:P14" si="2">O4+N4</f>
        <v>458.45000000000005</v>
      </c>
      <c r="Q4" s="1204">
        <v>36.4</v>
      </c>
      <c r="R4" s="1204">
        <v>27.2</v>
      </c>
      <c r="S4" s="1328">
        <f t="shared" ref="S4:S14" si="3">R4+Q4</f>
        <v>63.599999999999994</v>
      </c>
      <c r="T4" s="1335">
        <f t="shared" ref="T4:T14" si="4">(S4+K4)/100</f>
        <v>4.2637456647398837</v>
      </c>
      <c r="U4" s="1336">
        <f t="shared" ref="U4:U14" si="5">4.48*T4^(-0.25)</f>
        <v>3.1176703397414269</v>
      </c>
      <c r="V4" s="1223">
        <v>2.8410000000000002</v>
      </c>
      <c r="W4" s="1223">
        <v>2.3210999999999999</v>
      </c>
      <c r="X4" s="1338">
        <f t="shared" ref="X4:X14" si="6">(V4*Q4)+(W4*R4)</f>
        <v>166.54632000000001</v>
      </c>
      <c r="Y4" s="1338">
        <f t="shared" ref="Y4:Y14" si="7">X4/S4</f>
        <v>2.6186528301886796</v>
      </c>
      <c r="Z4" s="1338">
        <f t="shared" ref="Z4:Z14" si="8">Y4/U4</f>
        <v>0.83993897520475658</v>
      </c>
    </row>
    <row r="5" spans="1:26" s="771" customFormat="1">
      <c r="A5" s="867" t="s">
        <v>35</v>
      </c>
      <c r="B5" s="880">
        <v>42094</v>
      </c>
      <c r="C5" s="869">
        <v>8</v>
      </c>
      <c r="D5" s="869">
        <v>1</v>
      </c>
      <c r="E5" s="869"/>
      <c r="F5" s="867" t="s">
        <v>63</v>
      </c>
      <c r="G5" s="870" t="s">
        <v>30</v>
      </c>
      <c r="H5" s="870"/>
      <c r="I5" s="870">
        <v>19</v>
      </c>
      <c r="J5" s="875">
        <v>2660.5</v>
      </c>
      <c r="K5" s="1327">
        <f t="shared" si="0"/>
        <v>379.46772991020777</v>
      </c>
      <c r="L5" s="874">
        <v>7</v>
      </c>
      <c r="M5" s="1329">
        <f t="shared" si="1"/>
        <v>0.14263023112580633</v>
      </c>
      <c r="N5" s="875">
        <v>559.84</v>
      </c>
      <c r="O5" s="876">
        <v>365.63</v>
      </c>
      <c r="P5" s="1331">
        <f t="shared" si="2"/>
        <v>925.47</v>
      </c>
      <c r="Q5" s="884">
        <v>50.6</v>
      </c>
      <c r="R5" s="884">
        <v>81.400000000000006</v>
      </c>
      <c r="S5" s="1327">
        <f t="shared" si="3"/>
        <v>132</v>
      </c>
      <c r="T5" s="1333">
        <f t="shared" si="4"/>
        <v>5.1146772991020777</v>
      </c>
      <c r="U5" s="1334">
        <f t="shared" si="5"/>
        <v>2.9790202442350733</v>
      </c>
      <c r="V5" s="879">
        <v>2.4249000000000001</v>
      </c>
      <c r="W5" s="879">
        <v>2.7877000000000001</v>
      </c>
      <c r="X5" s="1337">
        <f t="shared" si="6"/>
        <v>349.61872000000005</v>
      </c>
      <c r="Y5" s="1337">
        <f t="shared" si="7"/>
        <v>2.6486266666666669</v>
      </c>
      <c r="Z5" s="1337">
        <f t="shared" si="8"/>
        <v>0.88909320834332162</v>
      </c>
    </row>
    <row r="6" spans="1:26" s="771" customFormat="1">
      <c r="A6" s="867" t="s">
        <v>35</v>
      </c>
      <c r="B6" s="880">
        <v>42094</v>
      </c>
      <c r="C6" s="869">
        <v>11</v>
      </c>
      <c r="D6" s="869">
        <v>1</v>
      </c>
      <c r="E6" s="869"/>
      <c r="F6" s="867" t="s">
        <v>63</v>
      </c>
      <c r="G6" s="870" t="s">
        <v>33</v>
      </c>
      <c r="H6" s="870"/>
      <c r="I6" s="870">
        <v>25</v>
      </c>
      <c r="J6" s="875">
        <v>2241.5</v>
      </c>
      <c r="K6" s="1327">
        <f t="shared" si="0"/>
        <v>344.98320026012505</v>
      </c>
      <c r="L6" s="874">
        <v>7</v>
      </c>
      <c r="M6" s="1329">
        <f t="shared" si="1"/>
        <v>0.15390729433866832</v>
      </c>
      <c r="N6" s="875">
        <v>239.25</v>
      </c>
      <c r="O6" s="876">
        <v>314.33</v>
      </c>
      <c r="P6" s="1331">
        <f t="shared" si="2"/>
        <v>553.57999999999993</v>
      </c>
      <c r="Q6" s="884">
        <v>49.3</v>
      </c>
      <c r="R6" s="884">
        <v>35.9</v>
      </c>
      <c r="S6" s="1327">
        <f t="shared" si="3"/>
        <v>85.199999999999989</v>
      </c>
      <c r="T6" s="1333">
        <f t="shared" si="4"/>
        <v>4.30183200260125</v>
      </c>
      <c r="U6" s="1334">
        <f t="shared" si="5"/>
        <v>3.1107467243270528</v>
      </c>
      <c r="V6" s="879">
        <v>2.1842000000000001</v>
      </c>
      <c r="W6" s="879">
        <v>1.1913</v>
      </c>
      <c r="X6" s="1337">
        <f t="shared" si="6"/>
        <v>150.44873000000001</v>
      </c>
      <c r="Y6" s="1337">
        <f t="shared" si="7"/>
        <v>1.7658301643192491</v>
      </c>
      <c r="Z6" s="1337">
        <f t="shared" si="8"/>
        <v>0.56765475328154558</v>
      </c>
    </row>
    <row r="7" spans="1:26" s="773" customFormat="1">
      <c r="A7" s="1213" t="s">
        <v>35</v>
      </c>
      <c r="B7" s="1224">
        <v>42094</v>
      </c>
      <c r="C7" s="1214">
        <v>14</v>
      </c>
      <c r="D7" s="1214">
        <v>1</v>
      </c>
      <c r="E7" s="1214"/>
      <c r="F7" s="1213" t="s">
        <v>64</v>
      </c>
      <c r="G7" s="1215" t="s">
        <v>30</v>
      </c>
      <c r="H7" s="1215"/>
      <c r="I7" s="1215">
        <v>35</v>
      </c>
      <c r="J7" s="1219">
        <v>3720</v>
      </c>
      <c r="K7" s="1328">
        <f t="shared" si="0"/>
        <v>571.77456916627852</v>
      </c>
      <c r="L7" s="1218">
        <v>10</v>
      </c>
      <c r="M7" s="1330">
        <f t="shared" si="1"/>
        <v>0.15370284117373079</v>
      </c>
      <c r="N7" s="1219">
        <v>469.37</v>
      </c>
      <c r="O7" s="1220">
        <v>325.02</v>
      </c>
      <c r="P7" s="1332">
        <f t="shared" si="2"/>
        <v>794.39</v>
      </c>
      <c r="Q7" s="1204">
        <v>61</v>
      </c>
      <c r="R7" s="1204">
        <v>61.1</v>
      </c>
      <c r="S7" s="1328">
        <f t="shared" si="3"/>
        <v>122.1</v>
      </c>
      <c r="T7" s="1335">
        <f t="shared" si="4"/>
        <v>6.9387456916627857</v>
      </c>
      <c r="U7" s="1336">
        <f t="shared" si="5"/>
        <v>2.760309444174263</v>
      </c>
      <c r="V7" s="1223">
        <v>2.8778000000000001</v>
      </c>
      <c r="W7" s="1223">
        <v>2.7624</v>
      </c>
      <c r="X7" s="1338">
        <f t="shared" si="6"/>
        <v>344.32844</v>
      </c>
      <c r="Y7" s="1338">
        <f t="shared" si="7"/>
        <v>2.8200527436527438</v>
      </c>
      <c r="Z7" s="1338">
        <f t="shared" si="8"/>
        <v>1.0216436963633087</v>
      </c>
    </row>
    <row r="8" spans="1:26" s="773" customFormat="1">
      <c r="A8" s="1213" t="s">
        <v>35</v>
      </c>
      <c r="B8" s="1224">
        <v>42094</v>
      </c>
      <c r="C8" s="1214">
        <v>17</v>
      </c>
      <c r="D8" s="1214">
        <v>1</v>
      </c>
      <c r="E8" s="1214"/>
      <c r="F8" s="1213" t="s">
        <v>64</v>
      </c>
      <c r="G8" s="1215" t="s">
        <v>33</v>
      </c>
      <c r="H8" s="1215"/>
      <c r="I8" s="1215">
        <v>35</v>
      </c>
      <c r="J8" s="1219">
        <v>2904.7</v>
      </c>
      <c r="K8" s="1328">
        <f t="shared" si="0"/>
        <v>419.41012629394339</v>
      </c>
      <c r="L8" s="1218">
        <v>9</v>
      </c>
      <c r="M8" s="1330">
        <f t="shared" si="1"/>
        <v>0.14439016982612435</v>
      </c>
      <c r="N8" s="1219">
        <v>362.28</v>
      </c>
      <c r="O8" s="1220">
        <v>427.94</v>
      </c>
      <c r="P8" s="1332">
        <f t="shared" si="2"/>
        <v>790.22</v>
      </c>
      <c r="Q8" s="1204">
        <v>64.5</v>
      </c>
      <c r="R8" s="1204">
        <v>49.6</v>
      </c>
      <c r="S8" s="1328">
        <f t="shared" si="3"/>
        <v>114.1</v>
      </c>
      <c r="T8" s="1335">
        <f t="shared" si="4"/>
        <v>5.3351012629394337</v>
      </c>
      <c r="U8" s="1336">
        <f t="shared" si="5"/>
        <v>2.9477615333640008</v>
      </c>
      <c r="V8" s="1223">
        <v>2.6404999999999998</v>
      </c>
      <c r="W8" s="1223">
        <v>2.2574000000000001</v>
      </c>
      <c r="X8" s="1338">
        <f t="shared" si="6"/>
        <v>282.27929</v>
      </c>
      <c r="Y8" s="1338">
        <f t="shared" si="7"/>
        <v>2.4739639789658194</v>
      </c>
      <c r="Z8" s="1338">
        <f t="shared" si="8"/>
        <v>0.83926869625119194</v>
      </c>
    </row>
    <row r="9" spans="1:26" s="771" customFormat="1">
      <c r="A9" s="867" t="s">
        <v>35</v>
      </c>
      <c r="B9" s="880">
        <v>42094</v>
      </c>
      <c r="C9" s="869">
        <v>2</v>
      </c>
      <c r="D9" s="869">
        <v>74</v>
      </c>
      <c r="E9" s="869"/>
      <c r="F9" s="867" t="s">
        <v>63</v>
      </c>
      <c r="G9" s="870" t="s">
        <v>30</v>
      </c>
      <c r="H9" s="870"/>
      <c r="I9" s="870">
        <v>35</v>
      </c>
      <c r="J9" s="875">
        <v>2557</v>
      </c>
      <c r="K9" s="1327">
        <f t="shared" si="0"/>
        <v>356.26086450128844</v>
      </c>
      <c r="L9" s="874">
        <v>10</v>
      </c>
      <c r="M9" s="1329">
        <f t="shared" si="1"/>
        <v>0.13932767481473932</v>
      </c>
      <c r="N9" s="875">
        <v>383.3</v>
      </c>
      <c r="O9" s="876">
        <v>303.57</v>
      </c>
      <c r="P9" s="1331">
        <f t="shared" si="2"/>
        <v>686.87</v>
      </c>
      <c r="Q9" s="884">
        <v>41</v>
      </c>
      <c r="R9" s="884">
        <v>54.7</v>
      </c>
      <c r="S9" s="1327">
        <f t="shared" si="3"/>
        <v>95.7</v>
      </c>
      <c r="T9" s="1333">
        <f t="shared" si="4"/>
        <v>4.5196086450128838</v>
      </c>
      <c r="U9" s="1334">
        <f t="shared" si="5"/>
        <v>3.0725772196099066</v>
      </c>
      <c r="V9" s="879">
        <v>2.4788999999999999</v>
      </c>
      <c r="W9" s="879">
        <v>2.3715000000000002</v>
      </c>
      <c r="X9" s="1337">
        <f t="shared" si="6"/>
        <v>231.35595000000001</v>
      </c>
      <c r="Y9" s="1337">
        <f t="shared" si="7"/>
        <v>2.417512539184953</v>
      </c>
      <c r="Z9" s="1337">
        <f t="shared" si="8"/>
        <v>0.78680285844593989</v>
      </c>
    </row>
    <row r="10" spans="1:26" s="771" customFormat="1">
      <c r="A10" s="867" t="s">
        <v>35</v>
      </c>
      <c r="B10" s="880">
        <v>42094</v>
      </c>
      <c r="C10" s="869">
        <v>5</v>
      </c>
      <c r="D10" s="869">
        <v>74</v>
      </c>
      <c r="E10" s="869"/>
      <c r="F10" s="867" t="s">
        <v>63</v>
      </c>
      <c r="G10" s="870" t="s">
        <v>33</v>
      </c>
      <c r="H10" s="870"/>
      <c r="I10" s="870">
        <v>38</v>
      </c>
      <c r="J10" s="875">
        <v>2992</v>
      </c>
      <c r="K10" s="1327">
        <f t="shared" si="0"/>
        <v>447.32436618570136</v>
      </c>
      <c r="L10" s="874">
        <v>10</v>
      </c>
      <c r="M10" s="1329">
        <f t="shared" si="1"/>
        <v>0.14950680688024778</v>
      </c>
      <c r="N10" s="875">
        <v>257.8</v>
      </c>
      <c r="O10" s="876">
        <v>355.55</v>
      </c>
      <c r="P10" s="1331">
        <f t="shared" si="2"/>
        <v>613.35</v>
      </c>
      <c r="Q10" s="884">
        <v>53.8</v>
      </c>
      <c r="R10" s="884">
        <v>37.9</v>
      </c>
      <c r="S10" s="1327">
        <f t="shared" si="3"/>
        <v>91.699999999999989</v>
      </c>
      <c r="T10" s="1333">
        <f t="shared" si="4"/>
        <v>5.3902436618570144</v>
      </c>
      <c r="U10" s="1334">
        <f t="shared" si="5"/>
        <v>2.9401935099097072</v>
      </c>
      <c r="V10" s="879">
        <v>2.5964</v>
      </c>
      <c r="W10" s="879">
        <v>2.0135000000000001</v>
      </c>
      <c r="X10" s="1337">
        <f t="shared" si="6"/>
        <v>215.99797000000001</v>
      </c>
      <c r="Y10" s="1337">
        <f t="shared" si="7"/>
        <v>2.355484950926936</v>
      </c>
      <c r="Z10" s="1337">
        <f t="shared" si="8"/>
        <v>0.80113262715122191</v>
      </c>
    </row>
    <row r="11" spans="1:26" s="773" customFormat="1">
      <c r="A11" s="1213" t="s">
        <v>35</v>
      </c>
      <c r="B11" s="1224">
        <v>42094</v>
      </c>
      <c r="C11" s="1214">
        <v>8</v>
      </c>
      <c r="D11" s="1214">
        <v>74</v>
      </c>
      <c r="E11" s="1214"/>
      <c r="F11" s="1213" t="s">
        <v>64</v>
      </c>
      <c r="G11" s="1215" t="s">
        <v>30</v>
      </c>
      <c r="H11" s="1215"/>
      <c r="I11" s="1215">
        <v>30</v>
      </c>
      <c r="J11" s="1219">
        <v>3664</v>
      </c>
      <c r="K11" s="1328">
        <f t="shared" si="0"/>
        <v>468.95338798251947</v>
      </c>
      <c r="L11" s="1218">
        <v>10</v>
      </c>
      <c r="M11" s="1330">
        <f t="shared" si="1"/>
        <v>0.12798946178562212</v>
      </c>
      <c r="N11" s="1219">
        <v>704.46</v>
      </c>
      <c r="O11" s="1220">
        <v>419.07</v>
      </c>
      <c r="P11" s="1332">
        <f t="shared" si="2"/>
        <v>1123.53</v>
      </c>
      <c r="Q11" s="1204">
        <v>53.8</v>
      </c>
      <c r="R11" s="1204">
        <v>90</v>
      </c>
      <c r="S11" s="1328">
        <f t="shared" si="3"/>
        <v>143.80000000000001</v>
      </c>
      <c r="T11" s="1335">
        <f t="shared" si="4"/>
        <v>6.1275338798251946</v>
      </c>
      <c r="U11" s="1336">
        <f t="shared" si="5"/>
        <v>2.8474531268359637</v>
      </c>
      <c r="V11" s="1223">
        <v>2.58</v>
      </c>
      <c r="W11" s="1223">
        <v>2.6848000000000001</v>
      </c>
      <c r="X11" s="1338">
        <f t="shared" si="6"/>
        <v>380.43600000000004</v>
      </c>
      <c r="Y11" s="1338">
        <f t="shared" si="7"/>
        <v>2.6455910987482616</v>
      </c>
      <c r="Z11" s="1338">
        <f t="shared" si="8"/>
        <v>0.92910786618917673</v>
      </c>
    </row>
    <row r="12" spans="1:26" s="773" customFormat="1">
      <c r="A12" s="1213" t="s">
        <v>35</v>
      </c>
      <c r="B12" s="1224">
        <v>42094</v>
      </c>
      <c r="C12" s="1214">
        <v>11</v>
      </c>
      <c r="D12" s="1214">
        <v>74</v>
      </c>
      <c r="E12" s="1214"/>
      <c r="F12" s="1213" t="s">
        <v>64</v>
      </c>
      <c r="G12" s="1215" t="s">
        <v>33</v>
      </c>
      <c r="H12" s="1215"/>
      <c r="I12" s="1215">
        <v>38</v>
      </c>
      <c r="J12" s="1219">
        <v>3610</v>
      </c>
      <c r="K12" s="1328">
        <f t="shared" si="0"/>
        <v>510.24881926045384</v>
      </c>
      <c r="L12" s="1218">
        <v>10</v>
      </c>
      <c r="M12" s="1330">
        <f t="shared" si="1"/>
        <v>0.14134316323004262</v>
      </c>
      <c r="N12" s="1219">
        <v>372.38</v>
      </c>
      <c r="O12" s="1220">
        <v>495.72</v>
      </c>
      <c r="P12" s="1332">
        <f t="shared" si="2"/>
        <v>868.1</v>
      </c>
      <c r="Q12" s="1204">
        <v>72.900000000000006</v>
      </c>
      <c r="R12" s="1204">
        <v>49.8</v>
      </c>
      <c r="S12" s="1328">
        <f t="shared" si="3"/>
        <v>122.7</v>
      </c>
      <c r="T12" s="1335">
        <f t="shared" si="4"/>
        <v>6.329488192604539</v>
      </c>
      <c r="U12" s="1336">
        <f t="shared" si="5"/>
        <v>2.8244628410776222</v>
      </c>
      <c r="V12" s="1223">
        <v>2.6717</v>
      </c>
      <c r="W12" s="1223">
        <v>2.1314000000000002</v>
      </c>
      <c r="X12" s="1338">
        <f t="shared" si="6"/>
        <v>300.91065000000003</v>
      </c>
      <c r="Y12" s="1338">
        <f t="shared" si="7"/>
        <v>2.4524095354523228</v>
      </c>
      <c r="Z12" s="1338">
        <f t="shared" si="8"/>
        <v>0.86827466794240094</v>
      </c>
    </row>
    <row r="13" spans="1:26" s="771" customFormat="1">
      <c r="A13" s="867" t="s">
        <v>35</v>
      </c>
      <c r="B13" s="880">
        <v>42094</v>
      </c>
      <c r="C13" s="869">
        <v>14</v>
      </c>
      <c r="D13" s="869">
        <v>74</v>
      </c>
      <c r="E13" s="869"/>
      <c r="F13" s="867" t="s">
        <v>63</v>
      </c>
      <c r="G13" s="870" t="s">
        <v>30</v>
      </c>
      <c r="H13" s="870"/>
      <c r="I13" s="870">
        <v>29</v>
      </c>
      <c r="J13" s="875">
        <v>2972</v>
      </c>
      <c r="K13" s="1327">
        <f t="shared" si="0"/>
        <v>424.5621969515775</v>
      </c>
      <c r="L13" s="874">
        <v>9</v>
      </c>
      <c r="M13" s="1329">
        <f t="shared" si="1"/>
        <v>0.1428540366593464</v>
      </c>
      <c r="N13" s="875">
        <v>261.37</v>
      </c>
      <c r="O13" s="876">
        <v>198.54</v>
      </c>
      <c r="P13" s="1331">
        <f t="shared" si="2"/>
        <v>459.90999999999997</v>
      </c>
      <c r="Q13" s="884">
        <v>28</v>
      </c>
      <c r="R13" s="884">
        <v>37.700000000000003</v>
      </c>
      <c r="S13" s="1327">
        <f t="shared" si="3"/>
        <v>65.7</v>
      </c>
      <c r="T13" s="1333">
        <f t="shared" si="4"/>
        <v>4.9026219695157751</v>
      </c>
      <c r="U13" s="1334">
        <f t="shared" si="5"/>
        <v>3.0107237759174623</v>
      </c>
      <c r="V13" s="879">
        <v>2.5148000000000001</v>
      </c>
      <c r="W13" s="879">
        <v>2.3085</v>
      </c>
      <c r="X13" s="1337">
        <f t="shared" si="6"/>
        <v>157.44485</v>
      </c>
      <c r="Y13" s="1337">
        <f t="shared" si="7"/>
        <v>2.3964208523592085</v>
      </c>
      <c r="Z13" s="1337">
        <f t="shared" si="8"/>
        <v>0.79596171243871205</v>
      </c>
    </row>
    <row r="14" spans="1:26" s="771" customFormat="1">
      <c r="A14" s="867" t="s">
        <v>35</v>
      </c>
      <c r="B14" s="880">
        <v>42094</v>
      </c>
      <c r="C14" s="869">
        <v>17</v>
      </c>
      <c r="D14" s="869">
        <v>74</v>
      </c>
      <c r="E14" s="869"/>
      <c r="F14" s="867" t="s">
        <v>63</v>
      </c>
      <c r="G14" s="870" t="s">
        <v>33</v>
      </c>
      <c r="H14" s="870"/>
      <c r="I14" s="870">
        <v>36</v>
      </c>
      <c r="J14" s="875">
        <v>3036.4</v>
      </c>
      <c r="K14" s="1327">
        <f t="shared" si="0"/>
        <v>467.64408857358961</v>
      </c>
      <c r="L14" s="874">
        <v>9</v>
      </c>
      <c r="M14" s="1329">
        <f t="shared" si="1"/>
        <v>0.15401267572572441</v>
      </c>
      <c r="N14" s="875">
        <v>329.18</v>
      </c>
      <c r="O14" s="876">
        <v>437.64</v>
      </c>
      <c r="P14" s="1331">
        <f t="shared" si="2"/>
        <v>766.81999999999994</v>
      </c>
      <c r="Q14" s="884">
        <v>69.099999999999994</v>
      </c>
      <c r="R14" s="884">
        <v>49</v>
      </c>
      <c r="S14" s="1327">
        <f t="shared" si="3"/>
        <v>118.1</v>
      </c>
      <c r="T14" s="1333">
        <f t="shared" si="4"/>
        <v>5.8574408857358957</v>
      </c>
      <c r="U14" s="1334">
        <f t="shared" si="5"/>
        <v>2.879725124196737</v>
      </c>
      <c r="V14" s="879">
        <v>2.3433000000000002</v>
      </c>
      <c r="W14" s="879">
        <v>2.1002999999999998</v>
      </c>
      <c r="X14" s="1337">
        <f t="shared" si="6"/>
        <v>264.83672999999999</v>
      </c>
      <c r="Y14" s="1337">
        <f t="shared" si="7"/>
        <v>2.2424786621507198</v>
      </c>
      <c r="Z14" s="1337">
        <f t="shared" si="8"/>
        <v>0.77871274702867033</v>
      </c>
    </row>
    <row r="15" spans="1:26">
      <c r="A15" s="17" t="s">
        <v>35</v>
      </c>
      <c r="B15" s="156">
        <v>42094</v>
      </c>
      <c r="C15" s="34"/>
      <c r="D15" s="34"/>
      <c r="E15" s="34"/>
      <c r="F15" s="17"/>
      <c r="G15" s="19"/>
      <c r="H15" s="19"/>
      <c r="I15" s="19"/>
      <c r="J15" s="158"/>
      <c r="K15" s="157"/>
      <c r="L15" s="187"/>
      <c r="M15" s="158"/>
      <c r="N15" s="158"/>
      <c r="O15" s="159"/>
      <c r="P15" s="159"/>
      <c r="Q15" s="179"/>
      <c r="R15" s="179"/>
      <c r="S15" s="157"/>
      <c r="T15" s="160"/>
      <c r="U15" s="161"/>
      <c r="V15" s="645"/>
      <c r="W15" s="645"/>
      <c r="X15" s="645"/>
      <c r="Y15" s="645"/>
      <c r="Z15" s="645"/>
    </row>
    <row r="16" spans="1:26">
      <c r="A16" s="17" t="s">
        <v>35</v>
      </c>
      <c r="B16" s="156">
        <v>42094</v>
      </c>
      <c r="C16" s="34"/>
      <c r="D16" s="34"/>
      <c r="E16" s="34"/>
      <c r="F16" s="17"/>
      <c r="G16" s="19"/>
      <c r="H16" s="19"/>
      <c r="I16" s="19"/>
      <c r="J16" s="158"/>
      <c r="K16" s="157"/>
      <c r="L16" s="187"/>
      <c r="M16" s="158"/>
      <c r="N16" s="19"/>
      <c r="O16" s="179"/>
      <c r="P16" s="159"/>
      <c r="Q16" s="19"/>
      <c r="R16" s="19"/>
      <c r="S16" s="157"/>
      <c r="T16" s="160"/>
      <c r="U16" s="161"/>
      <c r="V16" s="645"/>
      <c r="W16" s="645"/>
      <c r="X16" s="645"/>
      <c r="Y16" s="645"/>
      <c r="Z16" s="645"/>
    </row>
    <row r="17" spans="1:26">
      <c r="A17" s="17" t="s">
        <v>35</v>
      </c>
      <c r="B17" s="156">
        <v>42094</v>
      </c>
      <c r="C17" s="34"/>
      <c r="D17" s="34"/>
      <c r="E17" s="34"/>
      <c r="F17" s="17"/>
      <c r="G17" s="19"/>
      <c r="H17" s="19"/>
      <c r="I17" s="19"/>
      <c r="J17" s="158"/>
      <c r="K17" s="157"/>
      <c r="L17" s="187"/>
      <c r="M17" s="158"/>
      <c r="N17" s="19"/>
      <c r="O17" s="19"/>
      <c r="P17" s="159"/>
      <c r="Q17" s="19"/>
      <c r="R17" s="19"/>
      <c r="S17" s="157"/>
      <c r="T17" s="160"/>
      <c r="U17" s="161"/>
      <c r="V17" s="645"/>
      <c r="W17" s="645"/>
      <c r="X17" s="645"/>
      <c r="Y17" s="645"/>
      <c r="Z17" s="645"/>
    </row>
    <row r="18" spans="1:26">
      <c r="A18" s="17" t="s">
        <v>35</v>
      </c>
      <c r="B18" s="156">
        <v>42094</v>
      </c>
      <c r="C18" s="34"/>
      <c r="D18" s="34"/>
      <c r="E18" s="34"/>
      <c r="F18" s="17"/>
      <c r="G18" s="19"/>
      <c r="H18" s="19"/>
      <c r="I18" s="19"/>
      <c r="J18" s="158"/>
      <c r="K18" s="157"/>
      <c r="L18" s="187"/>
      <c r="M18" s="158"/>
      <c r="N18" s="19"/>
      <c r="O18" s="19"/>
      <c r="P18" s="159"/>
      <c r="Q18" s="19"/>
      <c r="R18" s="19"/>
      <c r="S18" s="157"/>
      <c r="T18" s="160"/>
      <c r="U18" s="161"/>
      <c r="V18" s="645"/>
      <c r="W18" s="645"/>
      <c r="X18" s="645"/>
      <c r="Y18" s="645"/>
      <c r="Z18" s="645"/>
    </row>
    <row r="19" spans="1:26">
      <c r="A19" s="17" t="s">
        <v>35</v>
      </c>
      <c r="B19" s="156">
        <v>42094</v>
      </c>
      <c r="C19" s="34"/>
      <c r="D19" s="34"/>
      <c r="E19" s="34"/>
      <c r="F19" s="17"/>
      <c r="G19" s="19"/>
      <c r="H19" s="19"/>
      <c r="I19" s="19"/>
      <c r="J19" s="158"/>
      <c r="K19" s="157"/>
      <c r="L19" s="187"/>
      <c r="M19" s="158"/>
      <c r="N19" s="19"/>
      <c r="O19" s="19"/>
      <c r="P19" s="159"/>
      <c r="Q19" s="19"/>
      <c r="R19" s="19"/>
      <c r="S19" s="157"/>
      <c r="T19" s="160"/>
      <c r="U19" s="161"/>
      <c r="V19" s="645"/>
      <c r="W19" s="645"/>
      <c r="X19" s="645"/>
      <c r="Y19" s="645"/>
      <c r="Z19" s="645"/>
    </row>
    <row r="20" spans="1:26">
      <c r="A20" s="17" t="s">
        <v>35</v>
      </c>
      <c r="B20" s="156">
        <v>42094</v>
      </c>
      <c r="C20" s="34"/>
      <c r="D20" s="34"/>
      <c r="E20" s="34"/>
      <c r="F20" s="17"/>
      <c r="G20" s="19"/>
      <c r="H20" s="19"/>
      <c r="I20" s="19"/>
      <c r="J20" s="158"/>
      <c r="K20" s="157"/>
      <c r="L20" s="187"/>
      <c r="M20" s="158"/>
      <c r="N20" s="19"/>
      <c r="O20" s="19"/>
      <c r="P20" s="159"/>
      <c r="Q20" s="19"/>
      <c r="R20" s="19"/>
      <c r="S20" s="157"/>
      <c r="T20" s="160"/>
      <c r="U20" s="161"/>
      <c r="V20" s="645"/>
      <c r="W20" s="645"/>
      <c r="X20" s="645"/>
      <c r="Y20" s="645"/>
      <c r="Z20" s="645"/>
    </row>
    <row r="21" spans="1:26">
      <c r="A21" s="17" t="s">
        <v>35</v>
      </c>
      <c r="B21" s="156">
        <v>42094</v>
      </c>
      <c r="C21" s="34"/>
      <c r="D21" s="34"/>
      <c r="E21" s="34"/>
      <c r="F21" s="17"/>
      <c r="G21" s="19"/>
      <c r="H21" s="19"/>
      <c r="I21" s="19"/>
      <c r="J21" s="158"/>
      <c r="K21" s="157"/>
      <c r="L21" s="187"/>
      <c r="M21" s="158"/>
      <c r="N21" s="19"/>
      <c r="O21" s="19"/>
      <c r="P21" s="159"/>
      <c r="Q21" s="19"/>
      <c r="R21" s="19"/>
      <c r="S21" s="157"/>
      <c r="T21" s="160"/>
      <c r="U21" s="161"/>
      <c r="V21" s="193"/>
      <c r="W21" s="193"/>
      <c r="X21" s="645"/>
      <c r="Y21" s="645"/>
      <c r="Z21" s="645"/>
    </row>
    <row r="22" spans="1:26">
      <c r="A22" s="17" t="s">
        <v>35</v>
      </c>
      <c r="B22" s="156">
        <v>42094</v>
      </c>
      <c r="C22" s="34"/>
      <c r="D22" s="34"/>
      <c r="E22" s="34"/>
      <c r="F22" s="17"/>
      <c r="G22" s="19"/>
      <c r="H22" s="19"/>
      <c r="I22" s="19"/>
      <c r="J22" s="158"/>
      <c r="K22" s="157"/>
      <c r="L22" s="187"/>
      <c r="M22" s="158"/>
      <c r="N22" s="19"/>
      <c r="O22" s="19"/>
      <c r="P22" s="159"/>
      <c r="Q22" s="19"/>
      <c r="R22" s="19"/>
      <c r="S22" s="157"/>
      <c r="T22" s="160"/>
      <c r="U22" s="161"/>
      <c r="V22" s="645"/>
      <c r="W22" s="645"/>
      <c r="X22" s="645"/>
      <c r="Y22" s="645"/>
      <c r="Z22" s="645"/>
    </row>
    <row r="23" spans="1:26">
      <c r="A23" s="17" t="s">
        <v>35</v>
      </c>
      <c r="B23" s="156">
        <v>42094</v>
      </c>
      <c r="C23" s="34"/>
      <c r="D23" s="34"/>
      <c r="E23" s="34"/>
      <c r="F23" s="17"/>
      <c r="G23" s="19"/>
      <c r="H23" s="19"/>
      <c r="I23" s="19"/>
      <c r="J23" s="158"/>
      <c r="K23" s="157"/>
      <c r="L23" s="187"/>
      <c r="M23" s="158"/>
      <c r="N23" s="19"/>
      <c r="O23" s="19"/>
      <c r="P23" s="159"/>
      <c r="Q23" s="19"/>
      <c r="R23" s="19"/>
      <c r="S23" s="157"/>
      <c r="T23" s="160"/>
      <c r="U23" s="161"/>
      <c r="V23" s="645"/>
      <c r="W23" s="645"/>
      <c r="X23" s="645"/>
      <c r="Y23" s="645"/>
      <c r="Z23" s="645"/>
    </row>
    <row r="24" spans="1:26">
      <c r="A24" s="17" t="s">
        <v>35</v>
      </c>
      <c r="B24" s="156">
        <v>42094</v>
      </c>
      <c r="C24" s="34"/>
      <c r="D24" s="34"/>
      <c r="E24" s="34"/>
      <c r="F24" s="17"/>
      <c r="G24" s="19"/>
      <c r="H24" s="19"/>
      <c r="I24" s="19"/>
      <c r="J24" s="158"/>
      <c r="K24" s="157"/>
      <c r="L24" s="187"/>
      <c r="M24" s="158"/>
      <c r="N24" s="19"/>
      <c r="O24" s="19"/>
      <c r="P24" s="159"/>
      <c r="Q24" s="19"/>
      <c r="R24" s="19"/>
      <c r="S24" s="157"/>
      <c r="T24" s="160"/>
      <c r="U24" s="161"/>
      <c r="V24" s="645"/>
      <c r="W24" s="645"/>
      <c r="X24" s="645"/>
      <c r="Y24" s="645"/>
      <c r="Z24" s="645"/>
    </row>
    <row r="25" spans="1:26">
      <c r="A25" s="17" t="s">
        <v>35</v>
      </c>
      <c r="B25" s="156">
        <v>42094</v>
      </c>
      <c r="C25" s="34"/>
      <c r="D25" s="34"/>
      <c r="E25" s="34"/>
      <c r="F25" s="17"/>
      <c r="G25" s="19"/>
      <c r="H25" s="19"/>
      <c r="I25" s="19"/>
      <c r="J25" s="158"/>
      <c r="K25" s="157"/>
      <c r="L25" s="187"/>
      <c r="M25" s="158"/>
      <c r="N25" s="19"/>
      <c r="O25" s="19"/>
      <c r="P25" s="159"/>
      <c r="Q25" s="19"/>
      <c r="R25" s="19"/>
      <c r="S25" s="157"/>
      <c r="T25" s="160"/>
      <c r="U25" s="161"/>
      <c r="V25" s="645"/>
      <c r="W25" s="645"/>
      <c r="X25" s="645"/>
      <c r="Y25" s="645"/>
      <c r="Z25" s="645"/>
    </row>
    <row r="26" spans="1:26">
      <c r="A26" s="17" t="s">
        <v>35</v>
      </c>
      <c r="B26" s="156">
        <v>42094</v>
      </c>
      <c r="C26" s="34"/>
      <c r="D26" s="34"/>
      <c r="E26" s="34"/>
      <c r="F26" s="17"/>
      <c r="G26" s="19"/>
      <c r="H26" s="19"/>
      <c r="I26" s="19"/>
      <c r="J26" s="158"/>
      <c r="K26" s="157"/>
      <c r="L26" s="187"/>
      <c r="M26" s="158"/>
      <c r="N26" s="19"/>
      <c r="O26" s="19"/>
      <c r="P26" s="159"/>
      <c r="Q26" s="19"/>
      <c r="R26" s="19"/>
      <c r="S26" s="157"/>
      <c r="T26" s="160"/>
      <c r="U26" s="161"/>
      <c r="V26" s="645"/>
      <c r="W26" s="645"/>
      <c r="X26" s="645"/>
      <c r="Y26" s="645"/>
      <c r="Z26" s="645"/>
    </row>
    <row r="27" spans="1:26">
      <c r="A27" s="17" t="s">
        <v>35</v>
      </c>
      <c r="B27" s="156">
        <v>42094</v>
      </c>
      <c r="C27" s="34"/>
      <c r="D27" s="34"/>
      <c r="E27" s="34"/>
      <c r="F27" s="17"/>
      <c r="G27" s="19"/>
      <c r="H27" s="19"/>
      <c r="I27" s="19"/>
      <c r="J27" s="158"/>
      <c r="K27" s="157"/>
      <c r="L27" s="187"/>
      <c r="M27" s="158"/>
      <c r="N27" s="19"/>
      <c r="O27" s="19"/>
      <c r="P27" s="159"/>
      <c r="Q27" s="19"/>
      <c r="R27" s="19"/>
      <c r="S27" s="157"/>
      <c r="T27" s="160"/>
      <c r="U27" s="161"/>
      <c r="V27" s="645"/>
      <c r="W27" s="645"/>
      <c r="X27" s="645"/>
      <c r="Y27" s="645"/>
      <c r="Z27" s="645"/>
    </row>
    <row r="28" spans="1:26">
      <c r="A28" s="17" t="s">
        <v>35</v>
      </c>
      <c r="B28" s="156">
        <v>42094</v>
      </c>
      <c r="C28" s="34"/>
      <c r="D28" s="34"/>
      <c r="E28" s="34"/>
      <c r="F28" s="17"/>
      <c r="G28" s="19"/>
      <c r="H28" s="19"/>
      <c r="I28" s="19"/>
      <c r="J28" s="158"/>
      <c r="K28" s="157"/>
      <c r="L28" s="187"/>
      <c r="M28" s="158"/>
      <c r="N28" s="19"/>
      <c r="O28" s="19"/>
      <c r="P28" s="159"/>
      <c r="Q28" s="19"/>
      <c r="R28" s="19"/>
      <c r="S28" s="157"/>
      <c r="T28" s="160"/>
      <c r="U28" s="161"/>
      <c r="V28" s="645"/>
      <c r="W28" s="645"/>
      <c r="X28" s="645"/>
      <c r="Y28" s="645"/>
      <c r="Z28" s="645"/>
    </row>
    <row r="29" spans="1:26">
      <c r="A29" s="17" t="s">
        <v>35</v>
      </c>
      <c r="B29" s="156">
        <v>42094</v>
      </c>
      <c r="C29" s="34"/>
      <c r="D29" s="34"/>
      <c r="E29" s="34"/>
      <c r="F29" s="17"/>
      <c r="G29" s="19"/>
      <c r="H29" s="19"/>
      <c r="I29" s="19"/>
      <c r="J29" s="158"/>
      <c r="K29" s="157"/>
      <c r="L29" s="187"/>
      <c r="M29" s="158"/>
      <c r="N29" s="19"/>
      <c r="O29" s="19"/>
      <c r="P29" s="159"/>
      <c r="Q29" s="19"/>
      <c r="R29" s="19"/>
      <c r="S29" s="157"/>
      <c r="T29" s="160"/>
      <c r="U29" s="161"/>
      <c r="V29" s="193"/>
      <c r="W29" s="193"/>
      <c r="X29" s="645"/>
      <c r="Y29" s="645"/>
      <c r="Z29" s="645"/>
    </row>
    <row r="30" spans="1:26">
      <c r="A30" s="17" t="s">
        <v>35</v>
      </c>
      <c r="B30" s="156">
        <v>42094</v>
      </c>
      <c r="C30" s="34"/>
      <c r="D30" s="34"/>
      <c r="E30" s="34"/>
      <c r="F30" s="17"/>
      <c r="G30" s="19"/>
      <c r="H30" s="19"/>
      <c r="I30" s="19"/>
      <c r="J30" s="158"/>
      <c r="K30" s="157"/>
      <c r="L30" s="187"/>
      <c r="M30" s="158"/>
      <c r="N30" s="19"/>
      <c r="O30" s="19"/>
      <c r="P30" s="159"/>
      <c r="Q30" s="19"/>
      <c r="R30" s="19"/>
      <c r="S30" s="157"/>
      <c r="T30" s="160"/>
      <c r="U30" s="161"/>
      <c r="V30" s="645"/>
      <c r="W30" s="645"/>
      <c r="X30" s="645"/>
      <c r="Y30" s="645"/>
      <c r="Z30" s="645"/>
    </row>
    <row r="31" spans="1:26">
      <c r="Q31" s="54"/>
      <c r="R31" s="54"/>
    </row>
    <row r="32" spans="1:26">
      <c r="A32" s="55" t="s">
        <v>39</v>
      </c>
      <c r="Q32" s="54"/>
      <c r="R32" s="54"/>
    </row>
    <row r="33" spans="1:19">
      <c r="A33" s="56" t="s">
        <v>40</v>
      </c>
      <c r="M33" s="1727"/>
      <c r="N33" s="1727"/>
      <c r="O33" s="1727"/>
      <c r="P33" s="1727"/>
      <c r="Q33" s="54"/>
      <c r="R33" s="54"/>
    </row>
    <row r="34" spans="1:19">
      <c r="A34" s="56" t="s">
        <v>41</v>
      </c>
      <c r="M34" s="1727"/>
      <c r="N34" s="1727"/>
      <c r="O34" s="1727"/>
      <c r="P34" s="1727"/>
      <c r="Q34" s="750" t="s">
        <v>390</v>
      </c>
      <c r="R34" s="751"/>
      <c r="S34" s="751"/>
    </row>
    <row r="35" spans="1:19">
      <c r="A35" s="56" t="s">
        <v>42</v>
      </c>
      <c r="Q35" s="36"/>
      <c r="R35" s="752" t="s">
        <v>63</v>
      </c>
      <c r="S35" s="753" t="s">
        <v>64</v>
      </c>
    </row>
    <row r="36" spans="1:19">
      <c r="A36" s="55" t="s">
        <v>87</v>
      </c>
      <c r="Q36" s="36" t="s">
        <v>391</v>
      </c>
      <c r="R36" s="774">
        <f>AVERAGE(Z5:Z6,Z9:Z10,Z13:Z14)</f>
        <v>0.76989298444823528</v>
      </c>
      <c r="S36" s="774">
        <f>AVERAGE(Z3:Z4,Z7:Z8,Z11:Z12)</f>
        <v>0.89585553684519825</v>
      </c>
    </row>
    <row r="37" spans="1:19">
      <c r="A37" s="55" t="s">
        <v>44</v>
      </c>
      <c r="Q37" s="36" t="s">
        <v>25</v>
      </c>
      <c r="R37" s="774">
        <f>AVERAGE(X5:X6,X9:X10,X13:X14)</f>
        <v>228.28382500000001</v>
      </c>
      <c r="S37" s="774">
        <f>AVERAGE(X3:X4,X7:X8,X11:X12)</f>
        <v>309.83040999999997</v>
      </c>
    </row>
    <row r="38" spans="1:19">
      <c r="A38" s="55" t="s">
        <v>45</v>
      </c>
      <c r="Q38" s="36" t="s">
        <v>392</v>
      </c>
      <c r="R38" s="774">
        <f>AVERAGE(Y5:Y6,Y9:Y10,Y13:Y14)</f>
        <v>2.3043923059346221</v>
      </c>
      <c r="S38" s="774">
        <f>AVERAGE(Y3:Y4,Y7:Y8,Y11:Y12)</f>
        <v>2.6049592909318222</v>
      </c>
    </row>
    <row r="39" spans="1:19">
      <c r="A39" s="56" t="s">
        <v>46</v>
      </c>
      <c r="Q39" s="36" t="s">
        <v>393</v>
      </c>
      <c r="R39" s="774">
        <f>AVERAGE(T5:T6,T9:T10,T13:T14)</f>
        <v>5.0144040773041496</v>
      </c>
      <c r="S39" s="774">
        <f>AVERAGE(T3:T4,T7:T8,T11:T12)</f>
        <v>5.6760832227923181</v>
      </c>
    </row>
    <row r="40" spans="1:19">
      <c r="A40" s="56" t="s">
        <v>47</v>
      </c>
    </row>
    <row r="41" spans="1:19">
      <c r="A41" s="56" t="s">
        <v>48</v>
      </c>
    </row>
    <row r="42" spans="1:19">
      <c r="A42" s="56" t="s">
        <v>49</v>
      </c>
    </row>
    <row r="44" spans="1:19">
      <c r="A44" s="1" t="s">
        <v>50</v>
      </c>
    </row>
  </sheetData>
  <mergeCells count="5">
    <mergeCell ref="M33:P34"/>
    <mergeCell ref="I1:K1"/>
    <mergeCell ref="L1:S1"/>
    <mergeCell ref="T1:U1"/>
    <mergeCell ref="V1:X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40"/>
  <sheetViews>
    <sheetView workbookViewId="0">
      <selection activeCell="P30" sqref="P30:R35"/>
    </sheetView>
  </sheetViews>
  <sheetFormatPr baseColWidth="10" defaultRowHeight="12.75"/>
  <cols>
    <col min="1" max="1" width="11.7109375" style="1" customWidth="1"/>
    <col min="2" max="2" width="10.140625" style="1" bestFit="1" customWidth="1"/>
    <col min="3" max="4" width="3" style="1" bestFit="1" customWidth="1"/>
    <col min="5" max="5" width="8.85546875" style="1" bestFit="1" customWidth="1"/>
    <col min="6" max="6" width="11.140625" style="1" bestFit="1" customWidth="1"/>
    <col min="7" max="7" width="6.28515625" style="1" bestFit="1" customWidth="1"/>
    <col min="8" max="8" width="4.140625" style="1" bestFit="1" customWidth="1"/>
    <col min="9" max="9" width="6.5703125" style="1" bestFit="1" customWidth="1"/>
    <col min="10" max="10" width="12" style="1" bestFit="1" customWidth="1"/>
    <col min="11" max="11" width="4.140625" style="1" bestFit="1" customWidth="1"/>
    <col min="12" max="12" width="12" style="1" bestFit="1" customWidth="1"/>
    <col min="13" max="13" width="14.28515625" style="1" bestFit="1" customWidth="1"/>
    <col min="14" max="14" width="11.140625" style="1" bestFit="1" customWidth="1"/>
    <col min="15" max="15" width="7.42578125" style="1" bestFit="1" customWidth="1"/>
    <col min="16" max="16" width="14.42578125" style="1" bestFit="1" customWidth="1"/>
    <col min="17" max="17" width="11.28515625" style="1" bestFit="1" customWidth="1"/>
    <col min="18" max="18" width="10.42578125" style="1" bestFit="1" customWidth="1"/>
    <col min="19" max="19" width="13" style="4" bestFit="1" customWidth="1"/>
    <col min="20" max="20" width="11.42578125" style="4"/>
    <col min="21" max="21" width="12.42578125" style="1" customWidth="1"/>
    <col min="22" max="22" width="11.85546875" style="1" customWidth="1"/>
    <col min="23" max="23" width="11.42578125" style="4"/>
    <col min="24" max="24" width="15.85546875" style="4" bestFit="1" customWidth="1"/>
    <col min="25" max="16384" width="11.42578125" style="4"/>
  </cols>
  <sheetData>
    <row r="1" spans="1:25" ht="15.75"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</row>
    <row r="2" spans="1:25" s="423" customFormat="1">
      <c r="A2" s="413" t="s">
        <v>4</v>
      </c>
      <c r="B2" s="413" t="s">
        <v>5</v>
      </c>
      <c r="C2" s="413" t="s">
        <v>6</v>
      </c>
      <c r="D2" s="413" t="s">
        <v>7</v>
      </c>
      <c r="E2" s="413" t="s">
        <v>8</v>
      </c>
      <c r="F2" s="413" t="s">
        <v>9</v>
      </c>
      <c r="G2" s="413" t="s">
        <v>10</v>
      </c>
      <c r="H2" s="413" t="s">
        <v>11</v>
      </c>
      <c r="I2" s="413" t="s">
        <v>12</v>
      </c>
      <c r="J2" s="414" t="s">
        <v>13</v>
      </c>
      <c r="K2" s="415" t="s">
        <v>11</v>
      </c>
      <c r="L2" s="413" t="s">
        <v>14</v>
      </c>
      <c r="M2" s="416" t="s">
        <v>15</v>
      </c>
      <c r="N2" s="416" t="s">
        <v>16</v>
      </c>
      <c r="O2" s="413" t="s">
        <v>17</v>
      </c>
      <c r="P2" s="416" t="s">
        <v>18</v>
      </c>
      <c r="Q2" s="416" t="s">
        <v>19</v>
      </c>
      <c r="R2" s="417" t="s">
        <v>20</v>
      </c>
      <c r="S2" s="418" t="s">
        <v>21</v>
      </c>
      <c r="T2" s="416" t="s">
        <v>22</v>
      </c>
      <c r="U2" s="419" t="s">
        <v>23</v>
      </c>
      <c r="V2" s="419" t="s">
        <v>24</v>
      </c>
      <c r="W2" s="420" t="s">
        <v>25</v>
      </c>
      <c r="X2" s="421" t="s">
        <v>26</v>
      </c>
      <c r="Y2" s="422" t="s">
        <v>27</v>
      </c>
    </row>
    <row r="3" spans="1:25">
      <c r="A3" s="17" t="s">
        <v>28</v>
      </c>
      <c r="B3" s="156">
        <v>41982</v>
      </c>
      <c r="C3" s="34">
        <v>2</v>
      </c>
      <c r="D3" s="34">
        <v>42</v>
      </c>
      <c r="E3" s="17" t="s">
        <v>63</v>
      </c>
      <c r="F3" s="19" t="s">
        <v>158</v>
      </c>
      <c r="G3" s="19" t="s">
        <v>159</v>
      </c>
      <c r="H3" s="19">
        <v>28</v>
      </c>
      <c r="I3" s="35">
        <v>1775</v>
      </c>
      <c r="J3" s="157" t="s">
        <v>160</v>
      </c>
      <c r="K3" s="187">
        <v>8</v>
      </c>
      <c r="L3" s="35"/>
      <c r="M3" s="1636">
        <v>418</v>
      </c>
      <c r="N3" s="1654"/>
      <c r="O3" s="159"/>
      <c r="P3" s="1636">
        <v>60</v>
      </c>
      <c r="Q3" s="1637"/>
      <c r="R3" s="157"/>
      <c r="S3" s="160"/>
      <c r="T3" s="161"/>
      <c r="U3" s="1728">
        <v>3.45</v>
      </c>
      <c r="V3" s="1729"/>
      <c r="W3" s="162"/>
      <c r="X3" s="162"/>
      <c r="Y3" s="162"/>
    </row>
    <row r="4" spans="1:25">
      <c r="A4" s="17" t="s">
        <v>28</v>
      </c>
      <c r="B4" s="156">
        <v>41982</v>
      </c>
      <c r="C4" s="34">
        <v>3</v>
      </c>
      <c r="D4" s="34">
        <v>18</v>
      </c>
      <c r="E4" s="17" t="s">
        <v>63</v>
      </c>
      <c r="F4" s="19" t="s">
        <v>158</v>
      </c>
      <c r="G4" s="19" t="s">
        <v>159</v>
      </c>
      <c r="H4" s="19">
        <v>17</v>
      </c>
      <c r="I4" s="35">
        <v>1182</v>
      </c>
      <c r="J4" s="157" t="s">
        <v>160</v>
      </c>
      <c r="K4" s="187">
        <v>8</v>
      </c>
      <c r="L4" s="35"/>
      <c r="M4" s="1655">
        <v>233</v>
      </c>
      <c r="N4" s="1656"/>
      <c r="O4" s="159"/>
      <c r="P4" s="1636">
        <v>36</v>
      </c>
      <c r="Q4" s="1637"/>
      <c r="R4" s="157"/>
      <c r="S4" s="160"/>
      <c r="T4" s="161"/>
      <c r="U4" s="1728">
        <v>3.18</v>
      </c>
      <c r="V4" s="1729"/>
      <c r="W4" s="162"/>
      <c r="X4" s="162"/>
      <c r="Y4" s="162"/>
    </row>
    <row r="5" spans="1:25">
      <c r="A5" s="17" t="s">
        <v>28</v>
      </c>
      <c r="B5" s="156">
        <v>41982</v>
      </c>
      <c r="C5" s="34">
        <v>5</v>
      </c>
      <c r="D5" s="34">
        <v>16</v>
      </c>
      <c r="E5" s="17" t="s">
        <v>64</v>
      </c>
      <c r="F5" s="19" t="s">
        <v>158</v>
      </c>
      <c r="G5" s="19" t="s">
        <v>159</v>
      </c>
      <c r="H5" s="19">
        <v>20</v>
      </c>
      <c r="I5" s="35">
        <v>909</v>
      </c>
      <c r="J5" s="157" t="s">
        <v>160</v>
      </c>
      <c r="K5" s="187">
        <v>6</v>
      </c>
      <c r="L5" s="35"/>
      <c r="M5" s="1634">
        <v>228</v>
      </c>
      <c r="N5" s="1635"/>
      <c r="O5" s="159"/>
      <c r="P5" s="1636">
        <v>24</v>
      </c>
      <c r="Q5" s="1637"/>
      <c r="R5" s="157"/>
      <c r="S5" s="160"/>
      <c r="T5" s="161"/>
      <c r="U5" s="1728">
        <v>2.16</v>
      </c>
      <c r="V5" s="1729"/>
      <c r="W5" s="162"/>
      <c r="X5" s="162"/>
      <c r="Y5" s="162"/>
    </row>
    <row r="6" spans="1:25">
      <c r="A6" s="17" t="s">
        <v>28</v>
      </c>
      <c r="B6" s="156">
        <v>41982</v>
      </c>
      <c r="C6" s="34">
        <v>3</v>
      </c>
      <c r="D6" s="34">
        <v>26</v>
      </c>
      <c r="E6" s="17" t="s">
        <v>64</v>
      </c>
      <c r="F6" s="19" t="s">
        <v>158</v>
      </c>
      <c r="G6" s="19" t="s">
        <v>159</v>
      </c>
      <c r="H6" s="19">
        <v>40</v>
      </c>
      <c r="I6" s="35">
        <v>1177</v>
      </c>
      <c r="J6" s="157" t="s">
        <v>160</v>
      </c>
      <c r="K6" s="187">
        <v>8</v>
      </c>
      <c r="L6" s="35"/>
      <c r="M6" s="1634">
        <v>248</v>
      </c>
      <c r="N6" s="1635"/>
      <c r="O6" s="159"/>
      <c r="P6" s="1636">
        <v>41.4</v>
      </c>
      <c r="Q6" s="1637"/>
      <c r="R6" s="157"/>
      <c r="S6" s="160"/>
      <c r="T6" s="161"/>
      <c r="U6" s="1728">
        <v>2.58</v>
      </c>
      <c r="V6" s="1729"/>
      <c r="W6" s="162"/>
      <c r="X6" s="162"/>
      <c r="Y6" s="162"/>
    </row>
    <row r="7" spans="1:25">
      <c r="A7" s="17" t="s">
        <v>34</v>
      </c>
      <c r="B7" s="156">
        <v>42032</v>
      </c>
      <c r="C7" s="34">
        <v>2</v>
      </c>
      <c r="D7" s="34">
        <v>42</v>
      </c>
      <c r="E7" s="17" t="s">
        <v>63</v>
      </c>
      <c r="F7" s="19" t="s">
        <v>158</v>
      </c>
      <c r="G7" s="19" t="s">
        <v>130</v>
      </c>
      <c r="H7" s="19">
        <v>23</v>
      </c>
      <c r="I7" s="35">
        <v>1030</v>
      </c>
      <c r="J7" s="157" t="s">
        <v>160</v>
      </c>
      <c r="K7" s="187">
        <v>6</v>
      </c>
      <c r="L7" s="35"/>
      <c r="M7" s="1634">
        <v>237</v>
      </c>
      <c r="N7" s="1635"/>
      <c r="O7" s="159"/>
      <c r="P7" s="1636">
        <v>38.799999999999997</v>
      </c>
      <c r="Q7" s="1637"/>
      <c r="R7" s="157"/>
      <c r="S7" s="160"/>
      <c r="T7" s="161"/>
      <c r="U7" s="1728">
        <v>2.85</v>
      </c>
      <c r="V7" s="1729"/>
      <c r="W7" s="162"/>
      <c r="X7" s="162"/>
      <c r="Y7" s="162"/>
    </row>
    <row r="8" spans="1:25">
      <c r="A8" s="17" t="s">
        <v>34</v>
      </c>
      <c r="B8" s="156">
        <v>42032</v>
      </c>
      <c r="C8" s="34">
        <v>3</v>
      </c>
      <c r="D8" s="34">
        <v>18</v>
      </c>
      <c r="E8" s="17" t="s">
        <v>63</v>
      </c>
      <c r="F8" s="19" t="s">
        <v>158</v>
      </c>
      <c r="G8" s="19" t="s">
        <v>130</v>
      </c>
      <c r="H8" s="19">
        <v>23</v>
      </c>
      <c r="I8" s="35">
        <v>1085</v>
      </c>
      <c r="J8" s="157" t="s">
        <v>160</v>
      </c>
      <c r="K8" s="187">
        <v>6</v>
      </c>
      <c r="L8" s="35"/>
      <c r="M8" s="1634">
        <v>299</v>
      </c>
      <c r="N8" s="1635"/>
      <c r="O8" s="159"/>
      <c r="P8" s="1636">
        <v>50.1</v>
      </c>
      <c r="Q8" s="1637"/>
      <c r="R8" s="157"/>
      <c r="S8" s="160"/>
      <c r="T8" s="161"/>
      <c r="U8" s="1728">
        <v>2.61</v>
      </c>
      <c r="V8" s="1729"/>
      <c r="W8" s="162"/>
      <c r="X8" s="162"/>
      <c r="Y8" s="162"/>
    </row>
    <row r="9" spans="1:25">
      <c r="A9" s="17" t="s">
        <v>34</v>
      </c>
      <c r="B9" s="156">
        <v>42032</v>
      </c>
      <c r="C9" s="34">
        <v>5</v>
      </c>
      <c r="D9" s="34">
        <v>16</v>
      </c>
      <c r="E9" s="17" t="s">
        <v>64</v>
      </c>
      <c r="F9" s="19" t="s">
        <v>158</v>
      </c>
      <c r="G9" s="19" t="s">
        <v>130</v>
      </c>
      <c r="H9" s="19">
        <v>18</v>
      </c>
      <c r="I9" s="35">
        <v>781</v>
      </c>
      <c r="J9" s="157" t="s">
        <v>160</v>
      </c>
      <c r="K9" s="187">
        <v>4</v>
      </c>
      <c r="L9" s="35"/>
      <c r="M9" s="1634">
        <v>154</v>
      </c>
      <c r="N9" s="1635"/>
      <c r="O9" s="159"/>
      <c r="P9" s="1636">
        <v>24.4</v>
      </c>
      <c r="Q9" s="1637"/>
      <c r="R9" s="157"/>
      <c r="S9" s="160"/>
      <c r="T9" s="161"/>
      <c r="U9" s="1728">
        <v>2.44</v>
      </c>
      <c r="V9" s="1729"/>
      <c r="W9" s="162"/>
      <c r="X9" s="162"/>
      <c r="Y9" s="162"/>
    </row>
    <row r="10" spans="1:25">
      <c r="A10" s="17" t="s">
        <v>34</v>
      </c>
      <c r="B10" s="156">
        <v>42032</v>
      </c>
      <c r="C10" s="34">
        <v>3</v>
      </c>
      <c r="D10" s="34">
        <v>26</v>
      </c>
      <c r="E10" s="17" t="s">
        <v>64</v>
      </c>
      <c r="F10" s="19" t="s">
        <v>158</v>
      </c>
      <c r="G10" s="19" t="s">
        <v>130</v>
      </c>
      <c r="H10" s="19">
        <v>13</v>
      </c>
      <c r="I10" s="35">
        <v>634</v>
      </c>
      <c r="J10" s="157" t="s">
        <v>160</v>
      </c>
      <c r="K10" s="187">
        <v>4</v>
      </c>
      <c r="L10" s="35"/>
      <c r="M10" s="1639">
        <v>218</v>
      </c>
      <c r="N10" s="1640"/>
      <c r="O10" s="159"/>
      <c r="P10" s="1636">
        <v>39.700000000000003</v>
      </c>
      <c r="Q10" s="1637"/>
      <c r="R10" s="157"/>
      <c r="S10" s="160"/>
      <c r="T10" s="161"/>
      <c r="U10" s="1728">
        <v>2.57</v>
      </c>
      <c r="V10" s="1729"/>
      <c r="W10" s="162"/>
      <c r="X10" s="162"/>
      <c r="Y10" s="162"/>
    </row>
    <row r="11" spans="1:25" s="771" customFormat="1" ht="15">
      <c r="A11" s="867" t="s">
        <v>35</v>
      </c>
      <c r="B11" s="880">
        <v>42102</v>
      </c>
      <c r="C11" s="869">
        <v>2</v>
      </c>
      <c r="D11" s="869">
        <v>42</v>
      </c>
      <c r="E11" s="867" t="s">
        <v>63</v>
      </c>
      <c r="F11" s="870" t="s">
        <v>158</v>
      </c>
      <c r="G11" s="870" t="s">
        <v>140</v>
      </c>
      <c r="H11" s="975">
        <v>27</v>
      </c>
      <c r="I11" s="976">
        <v>2052</v>
      </c>
      <c r="J11" s="1327">
        <f>I11*L11</f>
        <v>293.79737650013959</v>
      </c>
      <c r="K11" s="975">
        <v>8</v>
      </c>
      <c r="L11" s="1329">
        <f>R11/O11</f>
        <v>0.14317610940552611</v>
      </c>
      <c r="M11" s="976">
        <v>356.4</v>
      </c>
      <c r="N11" s="976">
        <v>360.2</v>
      </c>
      <c r="O11" s="1331">
        <f>M11+N11</f>
        <v>716.59999999999991</v>
      </c>
      <c r="P11" s="976">
        <v>55.8</v>
      </c>
      <c r="Q11" s="976">
        <v>46.8</v>
      </c>
      <c r="R11" s="1327">
        <f>P11+Q11</f>
        <v>102.6</v>
      </c>
      <c r="S11" s="1333">
        <f>(R11+J11)/100</f>
        <v>3.9639737650013958</v>
      </c>
      <c r="T11" s="1334">
        <f>MIN(4.63,4.48*S11^(-0.25))</f>
        <v>3.175011634965661</v>
      </c>
      <c r="U11" s="977">
        <v>2.33</v>
      </c>
      <c r="V11" s="977">
        <v>2.56</v>
      </c>
      <c r="W11" s="1337">
        <f>(U11*P11)+(V11*Q11)</f>
        <v>249.822</v>
      </c>
      <c r="X11" s="1337">
        <f>W11/R11</f>
        <v>2.4349122807017545</v>
      </c>
      <c r="Y11" s="1337">
        <f>X11/T11</f>
        <v>0.76689869538953326</v>
      </c>
    </row>
    <row r="12" spans="1:25" s="771" customFormat="1" ht="15">
      <c r="A12" s="867" t="s">
        <v>35</v>
      </c>
      <c r="B12" s="880">
        <v>42102</v>
      </c>
      <c r="C12" s="869">
        <v>3</v>
      </c>
      <c r="D12" s="869">
        <v>18</v>
      </c>
      <c r="E12" s="867" t="s">
        <v>63</v>
      </c>
      <c r="F12" s="870" t="s">
        <v>158</v>
      </c>
      <c r="G12" s="870" t="s">
        <v>140</v>
      </c>
      <c r="H12" s="975">
        <v>27</v>
      </c>
      <c r="I12" s="976">
        <v>2711</v>
      </c>
      <c r="J12" s="1327">
        <f t="shared" ref="J12:J18" si="0">I12*L12</f>
        <v>376.71890862944161</v>
      </c>
      <c r="K12" s="975">
        <v>7</v>
      </c>
      <c r="L12" s="1329">
        <f t="shared" ref="L12:L18" si="1">R12/O12</f>
        <v>0.13895939086294415</v>
      </c>
      <c r="M12" s="976">
        <v>334.7</v>
      </c>
      <c r="N12" s="976">
        <v>295.7</v>
      </c>
      <c r="O12" s="1331">
        <f t="shared" ref="O12:O18" si="2">M12+N12</f>
        <v>630.4</v>
      </c>
      <c r="P12" s="976">
        <v>50.4</v>
      </c>
      <c r="Q12" s="976">
        <v>37.200000000000003</v>
      </c>
      <c r="R12" s="1327">
        <f t="shared" ref="R12:R18" si="3">P12+Q12</f>
        <v>87.6</v>
      </c>
      <c r="S12" s="1333">
        <f t="shared" ref="S12:S18" si="4">(R12+J12)/100</f>
        <v>4.6431890862944156</v>
      </c>
      <c r="T12" s="1334">
        <f t="shared" ref="T12:T18" si="5">MIN(4.63,4.48*S12^(-0.25))</f>
        <v>3.0519254548829484</v>
      </c>
      <c r="U12" s="977">
        <v>2.4700000000000002</v>
      </c>
      <c r="V12" s="977">
        <v>2.37</v>
      </c>
      <c r="W12" s="1337">
        <f t="shared" ref="W12:W18" si="6">(U12*P12)+(V12*Q12)</f>
        <v>212.65200000000002</v>
      </c>
      <c r="X12" s="1337">
        <f t="shared" ref="X12:X18" si="7">W12/R12</f>
        <v>2.4275342465753429</v>
      </c>
      <c r="Y12" s="1337">
        <f t="shared" ref="Y12:Y18" si="8">X12/T12</f>
        <v>0.79541072757573206</v>
      </c>
    </row>
    <row r="13" spans="1:25" s="771" customFormat="1" ht="15">
      <c r="A13" s="867" t="s">
        <v>35</v>
      </c>
      <c r="B13" s="880">
        <v>42102</v>
      </c>
      <c r="C13" s="869">
        <v>9</v>
      </c>
      <c r="D13" s="869">
        <v>23</v>
      </c>
      <c r="E13" s="867" t="s">
        <v>63</v>
      </c>
      <c r="F13" s="870" t="s">
        <v>158</v>
      </c>
      <c r="G13" s="870" t="s">
        <v>140</v>
      </c>
      <c r="H13" s="975">
        <v>32</v>
      </c>
      <c r="I13" s="976">
        <v>2495</v>
      </c>
      <c r="J13" s="1327">
        <f t="shared" si="0"/>
        <v>361.04686364737228</v>
      </c>
      <c r="K13" s="975">
        <v>9</v>
      </c>
      <c r="L13" s="1329">
        <f t="shared" si="1"/>
        <v>0.14470816178251394</v>
      </c>
      <c r="M13" s="976">
        <v>391.2</v>
      </c>
      <c r="N13" s="976">
        <v>434.6</v>
      </c>
      <c r="O13" s="1331">
        <f t="shared" si="2"/>
        <v>825.8</v>
      </c>
      <c r="P13" s="976">
        <v>65.8</v>
      </c>
      <c r="Q13" s="976">
        <v>53.7</v>
      </c>
      <c r="R13" s="1327">
        <f t="shared" si="3"/>
        <v>119.5</v>
      </c>
      <c r="S13" s="1333">
        <f t="shared" si="4"/>
        <v>4.8054686364737229</v>
      </c>
      <c r="T13" s="1334">
        <f t="shared" si="5"/>
        <v>3.0258268841427984</v>
      </c>
      <c r="U13" s="977">
        <v>2.48</v>
      </c>
      <c r="V13" s="977">
        <v>2.27</v>
      </c>
      <c r="W13" s="1337">
        <f t="shared" si="6"/>
        <v>285.08299999999997</v>
      </c>
      <c r="X13" s="1337">
        <f t="shared" si="7"/>
        <v>2.3856317991631797</v>
      </c>
      <c r="Y13" s="1337">
        <f t="shared" si="8"/>
        <v>0.78842309573801583</v>
      </c>
    </row>
    <row r="14" spans="1:25" s="771" customFormat="1" ht="15">
      <c r="A14" s="867" t="s">
        <v>35</v>
      </c>
      <c r="B14" s="880">
        <v>42102</v>
      </c>
      <c r="C14" s="869">
        <v>12</v>
      </c>
      <c r="D14" s="869">
        <v>45</v>
      </c>
      <c r="E14" s="867" t="s">
        <v>63</v>
      </c>
      <c r="F14" s="870" t="s">
        <v>158</v>
      </c>
      <c r="G14" s="870" t="s">
        <v>140</v>
      </c>
      <c r="H14" s="975">
        <v>37</v>
      </c>
      <c r="I14" s="976">
        <v>4089</v>
      </c>
      <c r="J14" s="1327">
        <f t="shared" si="0"/>
        <v>491.0141220357047</v>
      </c>
      <c r="K14" s="975">
        <v>10</v>
      </c>
      <c r="L14" s="1329">
        <f t="shared" si="1"/>
        <v>0.12008171240785148</v>
      </c>
      <c r="M14" s="976">
        <v>625.6</v>
      </c>
      <c r="N14" s="976">
        <v>500.3</v>
      </c>
      <c r="O14" s="1331">
        <f t="shared" si="2"/>
        <v>1125.9000000000001</v>
      </c>
      <c r="P14" s="976">
        <v>76.8</v>
      </c>
      <c r="Q14" s="976">
        <v>58.4</v>
      </c>
      <c r="R14" s="1327">
        <f t="shared" si="3"/>
        <v>135.19999999999999</v>
      </c>
      <c r="S14" s="1333">
        <f t="shared" si="4"/>
        <v>6.262141220357047</v>
      </c>
      <c r="T14" s="1334">
        <f t="shared" si="5"/>
        <v>2.8320264140274496</v>
      </c>
      <c r="U14" s="977">
        <v>3.29</v>
      </c>
      <c r="V14" s="977">
        <v>2.5499999999999998</v>
      </c>
      <c r="W14" s="1337">
        <f t="shared" si="6"/>
        <v>401.59199999999998</v>
      </c>
      <c r="X14" s="1337">
        <f t="shared" si="7"/>
        <v>2.9703550295857988</v>
      </c>
      <c r="Y14" s="1337">
        <f t="shared" si="8"/>
        <v>1.0488443945554982</v>
      </c>
    </row>
    <row r="15" spans="1:25" s="773" customFormat="1" ht="15">
      <c r="A15" s="1213" t="s">
        <v>35</v>
      </c>
      <c r="B15" s="1224">
        <v>42102</v>
      </c>
      <c r="C15" s="1214">
        <v>5</v>
      </c>
      <c r="D15" s="1214">
        <v>16</v>
      </c>
      <c r="E15" s="1213" t="s">
        <v>64</v>
      </c>
      <c r="F15" s="1215" t="s">
        <v>158</v>
      </c>
      <c r="G15" s="1215" t="s">
        <v>140</v>
      </c>
      <c r="H15" s="1324">
        <v>33</v>
      </c>
      <c r="I15" s="1325">
        <v>4159</v>
      </c>
      <c r="J15" s="1328">
        <f t="shared" si="0"/>
        <v>523.31788079470198</v>
      </c>
      <c r="K15" s="1324">
        <v>8</v>
      </c>
      <c r="L15" s="1330">
        <f t="shared" si="1"/>
        <v>0.12582781456953643</v>
      </c>
      <c r="M15" s="1325">
        <v>870.5</v>
      </c>
      <c r="N15" s="1325">
        <v>684.8</v>
      </c>
      <c r="O15" s="1332">
        <f t="shared" si="2"/>
        <v>1555.3</v>
      </c>
      <c r="P15" s="1325">
        <v>113.4</v>
      </c>
      <c r="Q15" s="1325">
        <v>82.3</v>
      </c>
      <c r="R15" s="1328">
        <f t="shared" si="3"/>
        <v>195.7</v>
      </c>
      <c r="S15" s="1335">
        <f t="shared" si="4"/>
        <v>7.1901788079470199</v>
      </c>
      <c r="T15" s="1336">
        <f t="shared" si="5"/>
        <v>2.7358550958828087</v>
      </c>
      <c r="U15" s="1326">
        <v>4.3600000000000003</v>
      </c>
      <c r="V15" s="1326">
        <v>2.98</v>
      </c>
      <c r="W15" s="1338">
        <f t="shared" si="6"/>
        <v>739.678</v>
      </c>
      <c r="X15" s="1338">
        <f t="shared" si="7"/>
        <v>3.7796525293817069</v>
      </c>
      <c r="Y15" s="1338">
        <f t="shared" si="8"/>
        <v>1.3815251162496545</v>
      </c>
    </row>
    <row r="16" spans="1:25" s="773" customFormat="1" ht="15">
      <c r="A16" s="1213" t="s">
        <v>35</v>
      </c>
      <c r="B16" s="1224">
        <v>42102</v>
      </c>
      <c r="C16" s="1214">
        <v>3</v>
      </c>
      <c r="D16" s="1214">
        <v>26</v>
      </c>
      <c r="E16" s="1213" t="s">
        <v>64</v>
      </c>
      <c r="F16" s="1215" t="s">
        <v>158</v>
      </c>
      <c r="G16" s="1215" t="s">
        <v>140</v>
      </c>
      <c r="H16" s="1324">
        <v>25</v>
      </c>
      <c r="I16" s="1325">
        <v>4523</v>
      </c>
      <c r="J16" s="1328">
        <f t="shared" si="0"/>
        <v>486.37865556458172</v>
      </c>
      <c r="K16" s="1324">
        <v>7</v>
      </c>
      <c r="L16" s="1330">
        <f t="shared" si="1"/>
        <v>0.1075345247766044</v>
      </c>
      <c r="M16" s="1325">
        <v>621</v>
      </c>
      <c r="N16" s="1325">
        <v>363.8</v>
      </c>
      <c r="O16" s="1332">
        <f t="shared" si="2"/>
        <v>984.8</v>
      </c>
      <c r="P16" s="1325">
        <v>68.2</v>
      </c>
      <c r="Q16" s="1325">
        <v>37.700000000000003</v>
      </c>
      <c r="R16" s="1328">
        <f t="shared" si="3"/>
        <v>105.9</v>
      </c>
      <c r="S16" s="1335">
        <f t="shared" si="4"/>
        <v>5.9227865556458177</v>
      </c>
      <c r="T16" s="1336">
        <f t="shared" si="5"/>
        <v>2.871749099287511</v>
      </c>
      <c r="U16" s="1326">
        <v>4.75</v>
      </c>
      <c r="V16" s="1326">
        <v>3.9</v>
      </c>
      <c r="W16" s="1338">
        <f t="shared" si="6"/>
        <v>470.98</v>
      </c>
      <c r="X16" s="1338">
        <f t="shared" si="7"/>
        <v>4.4474032105760148</v>
      </c>
      <c r="Y16" s="1338">
        <f t="shared" si="8"/>
        <v>1.5486740160132471</v>
      </c>
    </row>
    <row r="17" spans="1:25" s="773" customFormat="1" ht="15">
      <c r="A17" s="1213" t="s">
        <v>35</v>
      </c>
      <c r="B17" s="1224">
        <v>42102</v>
      </c>
      <c r="C17" s="1214">
        <v>11</v>
      </c>
      <c r="D17" s="1214">
        <v>53</v>
      </c>
      <c r="E17" s="1213" t="s">
        <v>64</v>
      </c>
      <c r="F17" s="1215" t="s">
        <v>158</v>
      </c>
      <c r="G17" s="1215" t="s">
        <v>140</v>
      </c>
      <c r="H17" s="1324">
        <v>23</v>
      </c>
      <c r="I17" s="1325">
        <v>3780</v>
      </c>
      <c r="J17" s="1328">
        <f t="shared" si="0"/>
        <v>433.27610583720463</v>
      </c>
      <c r="K17" s="1324">
        <v>5</v>
      </c>
      <c r="L17" s="1330">
        <f t="shared" si="1"/>
        <v>0.11462330842254091</v>
      </c>
      <c r="M17" s="1325">
        <v>700.8</v>
      </c>
      <c r="N17" s="1325">
        <v>289.39999999999998</v>
      </c>
      <c r="O17" s="1332">
        <f t="shared" si="2"/>
        <v>990.19999999999993</v>
      </c>
      <c r="P17" s="1325">
        <v>81</v>
      </c>
      <c r="Q17" s="1325">
        <v>32.5</v>
      </c>
      <c r="R17" s="1328">
        <f t="shared" si="3"/>
        <v>113.5</v>
      </c>
      <c r="S17" s="1335">
        <f t="shared" si="4"/>
        <v>5.4677610583720453</v>
      </c>
      <c r="T17" s="1336">
        <f t="shared" si="5"/>
        <v>2.9297167367966019</v>
      </c>
      <c r="U17" s="1326">
        <v>4.2</v>
      </c>
      <c r="V17" s="1326">
        <v>4.08</v>
      </c>
      <c r="W17" s="1338">
        <f t="shared" si="6"/>
        <v>472.79999999999995</v>
      </c>
      <c r="X17" s="1338">
        <f t="shared" si="7"/>
        <v>4.1656387665198231</v>
      </c>
      <c r="Y17" s="1338">
        <f t="shared" si="8"/>
        <v>1.4218571762246877</v>
      </c>
    </row>
    <row r="18" spans="1:25" s="773" customFormat="1" ht="15">
      <c r="A18" s="1213" t="s">
        <v>35</v>
      </c>
      <c r="B18" s="1224">
        <v>42102</v>
      </c>
      <c r="C18" s="1214">
        <v>7</v>
      </c>
      <c r="D18" s="1214">
        <v>68</v>
      </c>
      <c r="E18" s="1213" t="s">
        <v>64</v>
      </c>
      <c r="F18" s="1215" t="s">
        <v>158</v>
      </c>
      <c r="G18" s="1215" t="s">
        <v>140</v>
      </c>
      <c r="H18" s="1324">
        <v>32</v>
      </c>
      <c r="I18" s="1325">
        <v>3354</v>
      </c>
      <c r="J18" s="1328">
        <f t="shared" si="0"/>
        <v>396.03602401601074</v>
      </c>
      <c r="K18" s="1324">
        <v>7</v>
      </c>
      <c r="L18" s="1330">
        <f t="shared" si="1"/>
        <v>0.11807871914609741</v>
      </c>
      <c r="M18" s="1325">
        <v>898</v>
      </c>
      <c r="N18" s="1325">
        <v>451.1</v>
      </c>
      <c r="O18" s="1332">
        <f t="shared" si="2"/>
        <v>1349.1</v>
      </c>
      <c r="P18" s="1325">
        <v>110.8</v>
      </c>
      <c r="Q18" s="1325">
        <v>48.5</v>
      </c>
      <c r="R18" s="1328">
        <f t="shared" si="3"/>
        <v>159.30000000000001</v>
      </c>
      <c r="S18" s="1335">
        <f t="shared" si="4"/>
        <v>5.5533602401601065</v>
      </c>
      <c r="T18" s="1336">
        <f t="shared" si="5"/>
        <v>2.9183612649834529</v>
      </c>
      <c r="U18" s="1326">
        <v>4.3099999999999996</v>
      </c>
      <c r="V18" s="1326">
        <v>3.82</v>
      </c>
      <c r="W18" s="1338">
        <f t="shared" si="6"/>
        <v>662.81799999999998</v>
      </c>
      <c r="X18" s="1338">
        <f t="shared" si="7"/>
        <v>4.1608160703075949</v>
      </c>
      <c r="Y18" s="1338">
        <f t="shared" si="8"/>
        <v>1.425737149211781</v>
      </c>
    </row>
    <row r="19" spans="1:25">
      <c r="A19" s="17" t="s">
        <v>38</v>
      </c>
      <c r="B19" s="19" t="s">
        <v>32</v>
      </c>
      <c r="C19" s="34">
        <v>2</v>
      </c>
      <c r="D19" s="34">
        <v>42</v>
      </c>
      <c r="E19" s="17" t="s">
        <v>63</v>
      </c>
      <c r="F19" s="19" t="s">
        <v>158</v>
      </c>
      <c r="G19" s="19" t="s">
        <v>32</v>
      </c>
      <c r="H19" s="19" t="s">
        <v>32</v>
      </c>
      <c r="I19" s="19" t="s">
        <v>32</v>
      </c>
      <c r="J19" s="157" t="s">
        <v>160</v>
      </c>
      <c r="K19" s="19" t="s">
        <v>32</v>
      </c>
      <c r="L19" s="35" t="s">
        <v>32</v>
      </c>
      <c r="M19" s="19" t="s">
        <v>32</v>
      </c>
      <c r="N19" s="19" t="s">
        <v>32</v>
      </c>
      <c r="O19" s="159" t="s">
        <v>32</v>
      </c>
      <c r="P19" s="19" t="s">
        <v>32</v>
      </c>
      <c r="Q19" s="19" t="s">
        <v>32</v>
      </c>
      <c r="R19" s="157" t="s">
        <v>32</v>
      </c>
      <c r="S19" s="160" t="s">
        <v>32</v>
      </c>
      <c r="T19" s="161" t="s">
        <v>32</v>
      </c>
      <c r="U19" s="19" t="s">
        <v>32</v>
      </c>
      <c r="V19" s="19" t="s">
        <v>32</v>
      </c>
      <c r="W19" s="162" t="s">
        <v>32</v>
      </c>
      <c r="X19" s="162" t="s">
        <v>32</v>
      </c>
      <c r="Y19" s="162" t="s">
        <v>32</v>
      </c>
    </row>
    <row r="20" spans="1:25">
      <c r="A20" s="17" t="s">
        <v>38</v>
      </c>
      <c r="B20" s="19" t="s">
        <v>32</v>
      </c>
      <c r="C20" s="34">
        <v>3</v>
      </c>
      <c r="D20" s="34">
        <v>18</v>
      </c>
      <c r="E20" s="17" t="s">
        <v>63</v>
      </c>
      <c r="F20" s="19" t="s">
        <v>158</v>
      </c>
      <c r="G20" s="19" t="s">
        <v>32</v>
      </c>
      <c r="H20" s="19" t="s">
        <v>32</v>
      </c>
      <c r="I20" s="19" t="s">
        <v>32</v>
      </c>
      <c r="J20" s="157" t="s">
        <v>160</v>
      </c>
      <c r="K20" s="19" t="s">
        <v>32</v>
      </c>
      <c r="L20" s="35" t="s">
        <v>32</v>
      </c>
      <c r="M20" s="19" t="s">
        <v>32</v>
      </c>
      <c r="N20" s="19" t="s">
        <v>32</v>
      </c>
      <c r="O20" s="159" t="s">
        <v>32</v>
      </c>
      <c r="P20" s="19" t="s">
        <v>32</v>
      </c>
      <c r="Q20" s="19" t="s">
        <v>32</v>
      </c>
      <c r="R20" s="157" t="s">
        <v>32</v>
      </c>
      <c r="S20" s="160" t="s">
        <v>32</v>
      </c>
      <c r="T20" s="161" t="s">
        <v>32</v>
      </c>
      <c r="U20" s="19" t="s">
        <v>32</v>
      </c>
      <c r="V20" s="19" t="s">
        <v>32</v>
      </c>
      <c r="W20" s="162" t="s">
        <v>32</v>
      </c>
      <c r="X20" s="162" t="s">
        <v>32</v>
      </c>
      <c r="Y20" s="162" t="s">
        <v>32</v>
      </c>
    </row>
    <row r="21" spans="1:25">
      <c r="A21" s="17" t="s">
        <v>38</v>
      </c>
      <c r="B21" s="19" t="s">
        <v>32</v>
      </c>
      <c r="C21" s="34">
        <v>9</v>
      </c>
      <c r="D21" s="34">
        <v>23</v>
      </c>
      <c r="E21" s="17" t="s">
        <v>63</v>
      </c>
      <c r="F21" s="19" t="s">
        <v>158</v>
      </c>
      <c r="G21" s="19" t="s">
        <v>32</v>
      </c>
      <c r="H21" s="19" t="s">
        <v>32</v>
      </c>
      <c r="I21" s="19" t="s">
        <v>32</v>
      </c>
      <c r="J21" s="157" t="s">
        <v>160</v>
      </c>
      <c r="K21" s="19" t="s">
        <v>32</v>
      </c>
      <c r="L21" s="35" t="s">
        <v>32</v>
      </c>
      <c r="M21" s="19" t="s">
        <v>32</v>
      </c>
      <c r="N21" s="19" t="s">
        <v>32</v>
      </c>
      <c r="O21" s="159" t="s">
        <v>32</v>
      </c>
      <c r="P21" s="19" t="s">
        <v>32</v>
      </c>
      <c r="Q21" s="19" t="s">
        <v>32</v>
      </c>
      <c r="R21" s="157" t="s">
        <v>32</v>
      </c>
      <c r="S21" s="160" t="s">
        <v>32</v>
      </c>
      <c r="T21" s="161" t="s">
        <v>32</v>
      </c>
      <c r="U21" s="19" t="s">
        <v>32</v>
      </c>
      <c r="V21" s="19" t="s">
        <v>32</v>
      </c>
      <c r="W21" s="162" t="s">
        <v>32</v>
      </c>
      <c r="X21" s="162" t="s">
        <v>32</v>
      </c>
      <c r="Y21" s="162" t="s">
        <v>32</v>
      </c>
    </row>
    <row r="22" spans="1:25">
      <c r="A22" s="17" t="s">
        <v>38</v>
      </c>
      <c r="B22" s="19" t="s">
        <v>32</v>
      </c>
      <c r="C22" s="34">
        <v>12</v>
      </c>
      <c r="D22" s="34">
        <v>45</v>
      </c>
      <c r="E22" s="17" t="s">
        <v>63</v>
      </c>
      <c r="F22" s="19" t="s">
        <v>158</v>
      </c>
      <c r="G22" s="19" t="s">
        <v>32</v>
      </c>
      <c r="H22" s="19" t="s">
        <v>32</v>
      </c>
      <c r="I22" s="19" t="s">
        <v>32</v>
      </c>
      <c r="J22" s="157" t="s">
        <v>160</v>
      </c>
      <c r="K22" s="19" t="s">
        <v>32</v>
      </c>
      <c r="L22" s="35" t="s">
        <v>32</v>
      </c>
      <c r="M22" s="19" t="s">
        <v>32</v>
      </c>
      <c r="N22" s="19" t="s">
        <v>32</v>
      </c>
      <c r="O22" s="159" t="s">
        <v>32</v>
      </c>
      <c r="P22" s="19" t="s">
        <v>32</v>
      </c>
      <c r="Q22" s="19" t="s">
        <v>32</v>
      </c>
      <c r="R22" s="157" t="s">
        <v>32</v>
      </c>
      <c r="S22" s="160" t="s">
        <v>32</v>
      </c>
      <c r="T22" s="161" t="s">
        <v>32</v>
      </c>
      <c r="U22" s="19" t="s">
        <v>32</v>
      </c>
      <c r="V22" s="19" t="s">
        <v>32</v>
      </c>
      <c r="W22" s="162" t="s">
        <v>32</v>
      </c>
      <c r="X22" s="162" t="s">
        <v>32</v>
      </c>
      <c r="Y22" s="162" t="s">
        <v>32</v>
      </c>
    </row>
    <row r="23" spans="1:25">
      <c r="A23" s="17" t="s">
        <v>38</v>
      </c>
      <c r="B23" s="19" t="s">
        <v>32</v>
      </c>
      <c r="C23" s="34">
        <v>5</v>
      </c>
      <c r="D23" s="34">
        <v>16</v>
      </c>
      <c r="E23" s="17" t="s">
        <v>64</v>
      </c>
      <c r="F23" s="19" t="s">
        <v>158</v>
      </c>
      <c r="G23" s="19" t="s">
        <v>32</v>
      </c>
      <c r="H23" s="19" t="s">
        <v>32</v>
      </c>
      <c r="I23" s="19" t="s">
        <v>32</v>
      </c>
      <c r="J23" s="157" t="s">
        <v>160</v>
      </c>
      <c r="K23" s="19" t="s">
        <v>32</v>
      </c>
      <c r="L23" s="35" t="s">
        <v>32</v>
      </c>
      <c r="M23" s="19" t="s">
        <v>32</v>
      </c>
      <c r="N23" s="19" t="s">
        <v>32</v>
      </c>
      <c r="O23" s="159" t="s">
        <v>32</v>
      </c>
      <c r="P23" s="19" t="s">
        <v>32</v>
      </c>
      <c r="Q23" s="19" t="s">
        <v>32</v>
      </c>
      <c r="R23" s="157" t="s">
        <v>32</v>
      </c>
      <c r="S23" s="160" t="s">
        <v>32</v>
      </c>
      <c r="T23" s="161" t="s">
        <v>32</v>
      </c>
      <c r="U23" s="19" t="s">
        <v>32</v>
      </c>
      <c r="V23" s="19" t="s">
        <v>32</v>
      </c>
      <c r="W23" s="162" t="s">
        <v>32</v>
      </c>
      <c r="X23" s="162" t="s">
        <v>32</v>
      </c>
      <c r="Y23" s="162" t="s">
        <v>32</v>
      </c>
    </row>
    <row r="24" spans="1:25">
      <c r="A24" s="17" t="s">
        <v>38</v>
      </c>
      <c r="B24" s="19" t="s">
        <v>32</v>
      </c>
      <c r="C24" s="34">
        <v>3</v>
      </c>
      <c r="D24" s="34">
        <v>26</v>
      </c>
      <c r="E24" s="17" t="s">
        <v>64</v>
      </c>
      <c r="F24" s="19" t="s">
        <v>158</v>
      </c>
      <c r="G24" s="19" t="s">
        <v>32</v>
      </c>
      <c r="H24" s="19" t="s">
        <v>32</v>
      </c>
      <c r="I24" s="19" t="s">
        <v>32</v>
      </c>
      <c r="J24" s="157" t="s">
        <v>160</v>
      </c>
      <c r="K24" s="19" t="s">
        <v>32</v>
      </c>
      <c r="L24" s="35" t="s">
        <v>32</v>
      </c>
      <c r="M24" s="19" t="s">
        <v>32</v>
      </c>
      <c r="N24" s="19" t="s">
        <v>32</v>
      </c>
      <c r="O24" s="159" t="s">
        <v>32</v>
      </c>
      <c r="P24" s="19" t="s">
        <v>32</v>
      </c>
      <c r="Q24" s="19" t="s">
        <v>32</v>
      </c>
      <c r="R24" s="157" t="s">
        <v>32</v>
      </c>
      <c r="S24" s="160" t="s">
        <v>32</v>
      </c>
      <c r="T24" s="161" t="s">
        <v>32</v>
      </c>
      <c r="U24" s="19" t="s">
        <v>32</v>
      </c>
      <c r="V24" s="19" t="s">
        <v>32</v>
      </c>
      <c r="W24" s="162" t="s">
        <v>32</v>
      </c>
      <c r="X24" s="162" t="s">
        <v>32</v>
      </c>
      <c r="Y24" s="162" t="s">
        <v>32</v>
      </c>
    </row>
    <row r="25" spans="1:25">
      <c r="A25" s="17" t="s">
        <v>38</v>
      </c>
      <c r="B25" s="19" t="s">
        <v>32</v>
      </c>
      <c r="C25" s="34">
        <v>11</v>
      </c>
      <c r="D25" s="34">
        <v>53</v>
      </c>
      <c r="E25" s="17" t="s">
        <v>64</v>
      </c>
      <c r="F25" s="19" t="s">
        <v>158</v>
      </c>
      <c r="G25" s="19" t="s">
        <v>32</v>
      </c>
      <c r="H25" s="19" t="s">
        <v>32</v>
      </c>
      <c r="I25" s="19" t="s">
        <v>32</v>
      </c>
      <c r="J25" s="157" t="s">
        <v>160</v>
      </c>
      <c r="K25" s="19" t="s">
        <v>32</v>
      </c>
      <c r="L25" s="35" t="s">
        <v>32</v>
      </c>
      <c r="M25" s="19" t="s">
        <v>32</v>
      </c>
      <c r="N25" s="19" t="s">
        <v>32</v>
      </c>
      <c r="O25" s="159" t="s">
        <v>32</v>
      </c>
      <c r="P25" s="19" t="s">
        <v>32</v>
      </c>
      <c r="Q25" s="19" t="s">
        <v>32</v>
      </c>
      <c r="R25" s="157" t="s">
        <v>32</v>
      </c>
      <c r="S25" s="160" t="s">
        <v>32</v>
      </c>
      <c r="T25" s="161" t="s">
        <v>32</v>
      </c>
      <c r="U25" s="19" t="s">
        <v>32</v>
      </c>
      <c r="V25" s="19" t="s">
        <v>32</v>
      </c>
      <c r="W25" s="162" t="s">
        <v>32</v>
      </c>
      <c r="X25" s="162" t="s">
        <v>32</v>
      </c>
      <c r="Y25" s="162" t="s">
        <v>32</v>
      </c>
    </row>
    <row r="26" spans="1:25">
      <c r="A26" s="17" t="s">
        <v>38</v>
      </c>
      <c r="B26" s="19" t="s">
        <v>32</v>
      </c>
      <c r="C26" s="34">
        <v>7</v>
      </c>
      <c r="D26" s="34">
        <v>68</v>
      </c>
      <c r="E26" s="17" t="s">
        <v>64</v>
      </c>
      <c r="F26" s="19" t="s">
        <v>158</v>
      </c>
      <c r="G26" s="19" t="s">
        <v>32</v>
      </c>
      <c r="H26" s="19" t="s">
        <v>32</v>
      </c>
      <c r="I26" s="19" t="s">
        <v>32</v>
      </c>
      <c r="J26" s="157" t="s">
        <v>160</v>
      </c>
      <c r="K26" s="19" t="s">
        <v>32</v>
      </c>
      <c r="L26" s="35" t="s">
        <v>32</v>
      </c>
      <c r="M26" s="19" t="s">
        <v>32</v>
      </c>
      <c r="N26" s="19" t="s">
        <v>32</v>
      </c>
      <c r="O26" s="159" t="s">
        <v>32</v>
      </c>
      <c r="P26" s="19" t="s">
        <v>32</v>
      </c>
      <c r="Q26" s="19" t="s">
        <v>32</v>
      </c>
      <c r="R26" s="157" t="s">
        <v>32</v>
      </c>
      <c r="S26" s="160" t="s">
        <v>32</v>
      </c>
      <c r="T26" s="161" t="s">
        <v>32</v>
      </c>
      <c r="U26" s="19" t="s">
        <v>32</v>
      </c>
      <c r="V26" s="19" t="s">
        <v>32</v>
      </c>
      <c r="W26" s="162" t="s">
        <v>32</v>
      </c>
      <c r="X26" s="162" t="s">
        <v>32</v>
      </c>
      <c r="Y26" s="162" t="s">
        <v>32</v>
      </c>
    </row>
    <row r="27" spans="1:25">
      <c r="P27" s="54"/>
      <c r="Q27" s="54"/>
    </row>
    <row r="28" spans="1:25">
      <c r="A28" s="55" t="s">
        <v>39</v>
      </c>
      <c r="P28" s="54"/>
      <c r="Q28" s="54"/>
    </row>
    <row r="29" spans="1:25">
      <c r="A29" s="56" t="s">
        <v>40</v>
      </c>
      <c r="L29" s="1727" t="s">
        <v>161</v>
      </c>
      <c r="M29" s="1727"/>
      <c r="N29" s="1727"/>
      <c r="O29" s="1727"/>
      <c r="P29" s="54"/>
      <c r="Q29" s="54"/>
    </row>
    <row r="30" spans="1:25">
      <c r="A30" s="56" t="s">
        <v>41</v>
      </c>
      <c r="L30" s="1727"/>
      <c r="M30" s="1727"/>
      <c r="N30" s="1727"/>
      <c r="O30" s="1727"/>
      <c r="P30" s="750" t="s">
        <v>390</v>
      </c>
      <c r="Q30" s="751"/>
      <c r="R30" s="751"/>
    </row>
    <row r="31" spans="1:25">
      <c r="A31" s="56" t="s">
        <v>42</v>
      </c>
      <c r="P31" s="36"/>
      <c r="Q31" s="752" t="s">
        <v>63</v>
      </c>
      <c r="R31" s="753" t="s">
        <v>64</v>
      </c>
    </row>
    <row r="32" spans="1:25">
      <c r="A32" s="55" t="s">
        <v>87</v>
      </c>
      <c r="P32" s="36" t="s">
        <v>391</v>
      </c>
      <c r="Q32" s="774">
        <f>AVERAGE(Y11:Y14)</f>
        <v>0.84989422831469486</v>
      </c>
      <c r="R32" s="774">
        <f>AVERAGE(Y15:Y18)</f>
        <v>1.4444483644248427</v>
      </c>
    </row>
    <row r="33" spans="1:18">
      <c r="A33" s="55" t="s">
        <v>44</v>
      </c>
      <c r="P33" s="36" t="s">
        <v>25</v>
      </c>
      <c r="Q33" s="774">
        <f>AVERAGE(W11:W14)</f>
        <v>287.28724999999997</v>
      </c>
      <c r="R33" s="774">
        <f>AVERAGE(W15:W18)</f>
        <v>586.56899999999996</v>
      </c>
    </row>
    <row r="34" spans="1:18">
      <c r="A34" s="55" t="s">
        <v>45</v>
      </c>
      <c r="N34" s="1" t="s">
        <v>162</v>
      </c>
      <c r="P34" s="36" t="s">
        <v>392</v>
      </c>
      <c r="Q34" s="774">
        <f>AVERAGE(X11:X14)</f>
        <v>2.5546083390065188</v>
      </c>
      <c r="R34" s="774">
        <f>AVERAGE(X15:X18)</f>
        <v>4.138377644196285</v>
      </c>
    </row>
    <row r="35" spans="1:18">
      <c r="A35" s="56" t="s">
        <v>46</v>
      </c>
      <c r="P35" s="36" t="s">
        <v>393</v>
      </c>
      <c r="Q35" s="774">
        <f>AVERAGE(S11:S14)</f>
        <v>4.9186931770316455</v>
      </c>
      <c r="R35" s="774">
        <f>AVERAGE(S15:S18)</f>
        <v>6.0335216655312474</v>
      </c>
    </row>
    <row r="36" spans="1:18">
      <c r="A36" s="56" t="s">
        <v>47</v>
      </c>
    </row>
    <row r="37" spans="1:18">
      <c r="A37" s="56" t="s">
        <v>48</v>
      </c>
    </row>
    <row r="38" spans="1:18">
      <c r="A38" s="56" t="s">
        <v>49</v>
      </c>
    </row>
    <row r="40" spans="1:18">
      <c r="A40" s="1" t="s">
        <v>50</v>
      </c>
    </row>
  </sheetData>
  <mergeCells count="29">
    <mergeCell ref="M10:N10"/>
    <mergeCell ref="P10:Q10"/>
    <mergeCell ref="U10:V10"/>
    <mergeCell ref="L29:O30"/>
    <mergeCell ref="M8:N8"/>
    <mergeCell ref="P8:Q8"/>
    <mergeCell ref="U8:V8"/>
    <mergeCell ref="M9:N9"/>
    <mergeCell ref="P9:Q9"/>
    <mergeCell ref="U9:V9"/>
    <mergeCell ref="M6:N6"/>
    <mergeCell ref="P6:Q6"/>
    <mergeCell ref="U6:V6"/>
    <mergeCell ref="M7:N7"/>
    <mergeCell ref="P7:Q7"/>
    <mergeCell ref="U7:V7"/>
    <mergeCell ref="M4:N4"/>
    <mergeCell ref="P4:Q4"/>
    <mergeCell ref="U4:V4"/>
    <mergeCell ref="M5:N5"/>
    <mergeCell ref="P5:Q5"/>
    <mergeCell ref="U5:V5"/>
    <mergeCell ref="H1:J1"/>
    <mergeCell ref="K1:R1"/>
    <mergeCell ref="S1:T1"/>
    <mergeCell ref="U1:W1"/>
    <mergeCell ref="M3:N3"/>
    <mergeCell ref="P3:Q3"/>
    <mergeCell ref="U3:V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"/>
  <sheetViews>
    <sheetView workbookViewId="0">
      <selection sqref="A1:F1"/>
    </sheetView>
  </sheetViews>
  <sheetFormatPr baseColWidth="10" defaultRowHeight="15"/>
  <sheetData>
    <row r="1" spans="1:6" ht="23.25">
      <c r="A1" s="1657" t="s">
        <v>163</v>
      </c>
      <c r="B1" s="1657"/>
      <c r="C1" s="1657"/>
      <c r="D1" s="1657"/>
      <c r="E1" s="1657"/>
      <c r="F1" s="1657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9"/>
  <sheetViews>
    <sheetView zoomScale="80" zoomScaleNormal="80" workbookViewId="0">
      <selection activeCell="P38" sqref="P38"/>
    </sheetView>
  </sheetViews>
  <sheetFormatPr baseColWidth="10" defaultRowHeight="15"/>
  <cols>
    <col min="1" max="2" width="11.85546875" bestFit="1" customWidth="1"/>
    <col min="3" max="3" width="7.28515625" bestFit="1" customWidth="1"/>
    <col min="5" max="5" width="13" bestFit="1" customWidth="1"/>
    <col min="6" max="6" width="13.5703125" bestFit="1" customWidth="1"/>
    <col min="16" max="16" width="13.5703125" customWidth="1"/>
    <col min="24" max="24" width="16" bestFit="1" customWidth="1"/>
  </cols>
  <sheetData>
    <row r="1" spans="1:25" s="4" customFormat="1" ht="15.75">
      <c r="A1" s="55" t="s">
        <v>164</v>
      </c>
      <c r="B1" s="1"/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9"/>
      <c r="S1" s="1621" t="s">
        <v>2</v>
      </c>
      <c r="T1" s="1622"/>
      <c r="U1" s="1623" t="s">
        <v>3</v>
      </c>
      <c r="V1" s="1623"/>
      <c r="W1" s="1624"/>
      <c r="X1" s="3"/>
    </row>
    <row r="2" spans="1:25" s="4" customFormat="1" ht="12.7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7" t="s">
        <v>11</v>
      </c>
      <c r="L2" s="5" t="s">
        <v>14</v>
      </c>
      <c r="M2" s="8" t="s">
        <v>15</v>
      </c>
      <c r="N2" s="8" t="s">
        <v>16</v>
      </c>
      <c r="O2" s="5" t="s">
        <v>17</v>
      </c>
      <c r="P2" s="8" t="s">
        <v>18</v>
      </c>
      <c r="Q2" s="8" t="s">
        <v>19</v>
      </c>
      <c r="R2" s="9" t="s">
        <v>20</v>
      </c>
      <c r="S2" s="10" t="s">
        <v>21</v>
      </c>
      <c r="T2" s="8" t="s">
        <v>22</v>
      </c>
      <c r="U2" s="11" t="s">
        <v>23</v>
      </c>
      <c r="V2" s="11" t="s">
        <v>24</v>
      </c>
      <c r="W2" s="12" t="s">
        <v>25</v>
      </c>
      <c r="X2" s="13" t="s">
        <v>26</v>
      </c>
      <c r="Y2" s="14" t="s">
        <v>27</v>
      </c>
    </row>
    <row r="3" spans="1:25" s="426" customFormat="1" ht="12.75">
      <c r="A3" s="223" t="s">
        <v>28</v>
      </c>
      <c r="B3" s="425">
        <v>41970</v>
      </c>
      <c r="C3" s="225">
        <v>10</v>
      </c>
      <c r="D3" s="225">
        <v>7</v>
      </c>
      <c r="E3" s="223" t="s">
        <v>82</v>
      </c>
      <c r="F3" s="226" t="s">
        <v>158</v>
      </c>
      <c r="G3" s="226" t="s">
        <v>165</v>
      </c>
      <c r="H3" s="226">
        <v>40</v>
      </c>
      <c r="I3" s="227">
        <v>439</v>
      </c>
      <c r="J3" s="228"/>
      <c r="K3" s="229">
        <v>10</v>
      </c>
      <c r="L3" s="227"/>
      <c r="M3" s="227">
        <v>124</v>
      </c>
      <c r="N3" s="227"/>
      <c r="O3" s="227">
        <v>124</v>
      </c>
      <c r="P3" s="227">
        <v>18</v>
      </c>
      <c r="Q3" s="230"/>
      <c r="R3" s="228">
        <v>18</v>
      </c>
      <c r="S3" s="231"/>
      <c r="T3" s="232"/>
      <c r="U3" s="1662"/>
      <c r="V3" s="1662"/>
      <c r="W3" s="233"/>
      <c r="X3" s="233"/>
      <c r="Y3" s="233"/>
    </row>
    <row r="4" spans="1:25" s="426" customFormat="1" ht="12.75">
      <c r="A4" s="223" t="s">
        <v>28</v>
      </c>
      <c r="B4" s="425">
        <v>41970</v>
      </c>
      <c r="C4" s="225">
        <v>8</v>
      </c>
      <c r="D4" s="225">
        <v>7</v>
      </c>
      <c r="E4" s="223" t="s">
        <v>82</v>
      </c>
      <c r="F4" s="226" t="s">
        <v>166</v>
      </c>
      <c r="G4" s="226" t="s">
        <v>165</v>
      </c>
      <c r="H4" s="226">
        <v>41</v>
      </c>
      <c r="I4" s="227">
        <v>350</v>
      </c>
      <c r="J4" s="228"/>
      <c r="K4" s="229">
        <v>10</v>
      </c>
      <c r="L4" s="227"/>
      <c r="M4" s="227">
        <v>70</v>
      </c>
      <c r="N4" s="227"/>
      <c r="O4" s="227">
        <v>70</v>
      </c>
      <c r="P4" s="227">
        <v>12</v>
      </c>
      <c r="Q4" s="230"/>
      <c r="R4" s="228">
        <v>12</v>
      </c>
      <c r="S4" s="231"/>
      <c r="T4" s="232"/>
      <c r="U4" s="1662"/>
      <c r="V4" s="1662"/>
      <c r="W4" s="233"/>
      <c r="X4" s="233"/>
      <c r="Y4" s="233"/>
    </row>
    <row r="5" spans="1:25" s="426" customFormat="1" ht="12.75">
      <c r="A5" s="223" t="s">
        <v>28</v>
      </c>
      <c r="B5" s="425">
        <v>41970</v>
      </c>
      <c r="C5" s="225">
        <v>9</v>
      </c>
      <c r="D5" s="225">
        <v>7</v>
      </c>
      <c r="E5" s="223" t="s">
        <v>82</v>
      </c>
      <c r="F5" s="226" t="s">
        <v>81</v>
      </c>
      <c r="G5" s="226" t="s">
        <v>165</v>
      </c>
      <c r="H5" s="226">
        <v>58</v>
      </c>
      <c r="I5" s="227">
        <v>868</v>
      </c>
      <c r="J5" s="228"/>
      <c r="K5" s="229">
        <v>14</v>
      </c>
      <c r="L5" s="227"/>
      <c r="M5" s="227">
        <v>185</v>
      </c>
      <c r="N5" s="227"/>
      <c r="O5" s="227">
        <v>185</v>
      </c>
      <c r="P5" s="227">
        <v>21</v>
      </c>
      <c r="Q5" s="230"/>
      <c r="R5" s="228">
        <v>21</v>
      </c>
      <c r="S5" s="231"/>
      <c r="T5" s="232"/>
      <c r="U5" s="1662"/>
      <c r="V5" s="1662"/>
      <c r="W5" s="233"/>
      <c r="X5" s="233"/>
      <c r="Y5" s="233"/>
    </row>
    <row r="6" spans="1:25" s="426" customFormat="1" ht="12.75">
      <c r="A6" s="223" t="s">
        <v>28</v>
      </c>
      <c r="B6" s="425">
        <v>41970</v>
      </c>
      <c r="C6" s="225">
        <v>3</v>
      </c>
      <c r="D6" s="225">
        <v>133</v>
      </c>
      <c r="E6" s="223" t="s">
        <v>82</v>
      </c>
      <c r="F6" s="226" t="s">
        <v>158</v>
      </c>
      <c r="G6" s="226" t="s">
        <v>165</v>
      </c>
      <c r="H6" s="226">
        <v>33</v>
      </c>
      <c r="I6" s="227">
        <v>733</v>
      </c>
      <c r="J6" s="228"/>
      <c r="K6" s="229">
        <v>8</v>
      </c>
      <c r="L6" s="227"/>
      <c r="M6" s="227">
        <v>93</v>
      </c>
      <c r="N6" s="227"/>
      <c r="O6" s="227">
        <v>93</v>
      </c>
      <c r="P6" s="227">
        <v>12</v>
      </c>
      <c r="Q6" s="230"/>
      <c r="R6" s="228">
        <v>12</v>
      </c>
      <c r="S6" s="231"/>
      <c r="T6" s="232"/>
      <c r="U6" s="1662"/>
      <c r="V6" s="1662"/>
      <c r="W6" s="233"/>
      <c r="X6" s="233"/>
      <c r="Y6" s="233"/>
    </row>
    <row r="7" spans="1:25" s="426" customFormat="1" ht="12.75">
      <c r="A7" s="223" t="s">
        <v>28</v>
      </c>
      <c r="B7" s="425">
        <v>41970</v>
      </c>
      <c r="C7" s="225">
        <v>4</v>
      </c>
      <c r="D7" s="225">
        <v>133</v>
      </c>
      <c r="E7" s="223" t="s">
        <v>82</v>
      </c>
      <c r="F7" s="226" t="s">
        <v>166</v>
      </c>
      <c r="G7" s="226" t="s">
        <v>165</v>
      </c>
      <c r="H7" s="226">
        <v>22</v>
      </c>
      <c r="I7" s="227">
        <v>569</v>
      </c>
      <c r="J7" s="228"/>
      <c r="K7" s="229">
        <v>5</v>
      </c>
      <c r="L7" s="227"/>
      <c r="M7" s="227">
        <v>86</v>
      </c>
      <c r="N7" s="227"/>
      <c r="O7" s="227">
        <v>86</v>
      </c>
      <c r="P7" s="227">
        <v>10</v>
      </c>
      <c r="Q7" s="230"/>
      <c r="R7" s="228">
        <v>10</v>
      </c>
      <c r="S7" s="231"/>
      <c r="T7" s="232"/>
      <c r="U7" s="1662"/>
      <c r="V7" s="1662"/>
      <c r="W7" s="233"/>
      <c r="X7" s="233"/>
      <c r="Y7" s="233"/>
    </row>
    <row r="8" spans="1:25" s="426" customFormat="1" ht="13.5" thickBot="1">
      <c r="A8" s="427" t="s">
        <v>28</v>
      </c>
      <c r="B8" s="428">
        <v>41970</v>
      </c>
      <c r="C8" s="429">
        <v>2</v>
      </c>
      <c r="D8" s="429">
        <v>133</v>
      </c>
      <c r="E8" s="427" t="s">
        <v>82</v>
      </c>
      <c r="F8" s="430" t="s">
        <v>81</v>
      </c>
      <c r="G8" s="430" t="s">
        <v>165</v>
      </c>
      <c r="H8" s="430">
        <v>46</v>
      </c>
      <c r="I8" s="431">
        <v>621</v>
      </c>
      <c r="J8" s="432"/>
      <c r="K8" s="433">
        <v>12</v>
      </c>
      <c r="L8" s="431"/>
      <c r="M8" s="431">
        <v>101</v>
      </c>
      <c r="N8" s="431"/>
      <c r="O8" s="431">
        <v>101</v>
      </c>
      <c r="P8" s="434">
        <v>12</v>
      </c>
      <c r="Q8" s="241"/>
      <c r="R8" s="239">
        <v>12</v>
      </c>
      <c r="S8" s="242"/>
      <c r="T8" s="243"/>
      <c r="U8" s="1666"/>
      <c r="V8" s="1666"/>
      <c r="W8" s="244"/>
      <c r="X8" s="244"/>
      <c r="Y8" s="244"/>
    </row>
    <row r="9" spans="1:25" s="442" customFormat="1" ht="13.5" thickTop="1">
      <c r="A9" s="177" t="s">
        <v>34</v>
      </c>
      <c r="B9" s="435">
        <v>42054</v>
      </c>
      <c r="C9" s="31">
        <v>2</v>
      </c>
      <c r="D9" s="31">
        <v>7</v>
      </c>
      <c r="E9" s="177" t="s">
        <v>79</v>
      </c>
      <c r="F9" s="436" t="s">
        <v>158</v>
      </c>
      <c r="G9" s="437" t="s">
        <v>167</v>
      </c>
      <c r="H9" s="179">
        <v>39</v>
      </c>
      <c r="I9" s="32">
        <v>555</v>
      </c>
      <c r="J9" s="221"/>
      <c r="K9" s="248">
        <v>10</v>
      </c>
      <c r="L9" s="32"/>
      <c r="M9" s="32">
        <v>159</v>
      </c>
      <c r="N9" s="438"/>
      <c r="O9" s="32">
        <v>159</v>
      </c>
      <c r="P9" s="248">
        <v>29.4</v>
      </c>
      <c r="Q9" s="439"/>
      <c r="R9" s="440">
        <v>29.4</v>
      </c>
      <c r="S9" s="441"/>
      <c r="T9" s="251"/>
      <c r="U9" s="1670"/>
      <c r="V9" s="1671"/>
      <c r="W9" s="185"/>
      <c r="X9" s="185"/>
      <c r="Y9" s="185"/>
    </row>
    <row r="10" spans="1:25" s="442" customFormat="1" ht="12.75">
      <c r="A10" s="177" t="s">
        <v>34</v>
      </c>
      <c r="B10" s="443">
        <v>42054</v>
      </c>
      <c r="C10" s="34">
        <v>3</v>
      </c>
      <c r="D10" s="34">
        <v>7</v>
      </c>
      <c r="E10" s="177" t="s">
        <v>79</v>
      </c>
      <c r="F10" s="444" t="s">
        <v>166</v>
      </c>
      <c r="G10" s="445" t="s">
        <v>167</v>
      </c>
      <c r="H10" s="19">
        <v>16</v>
      </c>
      <c r="I10" s="35">
        <v>365</v>
      </c>
      <c r="J10" s="157"/>
      <c r="K10" s="252">
        <v>4</v>
      </c>
      <c r="L10" s="35"/>
      <c r="M10" s="35">
        <v>174</v>
      </c>
      <c r="N10" s="446"/>
      <c r="O10" s="35">
        <v>174</v>
      </c>
      <c r="P10" s="252">
        <v>28.5</v>
      </c>
      <c r="Q10" s="252"/>
      <c r="R10" s="440">
        <v>28.5</v>
      </c>
      <c r="S10" s="447"/>
      <c r="T10" s="251"/>
      <c r="U10" s="1674"/>
      <c r="V10" s="1674"/>
      <c r="W10" s="162"/>
      <c r="X10" s="162"/>
      <c r="Y10" s="162"/>
    </row>
    <row r="11" spans="1:25" s="442" customFormat="1" ht="12.75">
      <c r="A11" s="177" t="s">
        <v>34</v>
      </c>
      <c r="B11" s="443">
        <v>42054</v>
      </c>
      <c r="C11" s="34">
        <v>4</v>
      </c>
      <c r="D11" s="34">
        <v>7</v>
      </c>
      <c r="E11" s="177" t="s">
        <v>79</v>
      </c>
      <c r="F11" s="444" t="s">
        <v>81</v>
      </c>
      <c r="G11" s="445" t="s">
        <v>167</v>
      </c>
      <c r="H11" s="19">
        <v>43</v>
      </c>
      <c r="I11" s="35">
        <v>355</v>
      </c>
      <c r="J11" s="157"/>
      <c r="K11" s="252">
        <v>11</v>
      </c>
      <c r="L11" s="35"/>
      <c r="M11" s="35">
        <v>144</v>
      </c>
      <c r="N11" s="446"/>
      <c r="O11" s="35">
        <v>144</v>
      </c>
      <c r="P11" s="252">
        <v>23</v>
      </c>
      <c r="Q11" s="252"/>
      <c r="R11" s="440">
        <v>23</v>
      </c>
      <c r="S11" s="447"/>
      <c r="T11" s="251"/>
      <c r="U11" s="1674"/>
      <c r="V11" s="1674"/>
      <c r="W11" s="162"/>
      <c r="X11" s="162"/>
      <c r="Y11" s="162"/>
    </row>
    <row r="12" spans="1:25" s="442" customFormat="1" ht="12.75">
      <c r="A12" s="177" t="s">
        <v>34</v>
      </c>
      <c r="B12" s="443">
        <v>42054</v>
      </c>
      <c r="C12" s="34">
        <v>8</v>
      </c>
      <c r="D12" s="34">
        <v>7</v>
      </c>
      <c r="E12" s="17" t="s">
        <v>82</v>
      </c>
      <c r="F12" s="444" t="s">
        <v>166</v>
      </c>
      <c r="G12" s="445" t="s">
        <v>167</v>
      </c>
      <c r="H12" s="19">
        <v>47</v>
      </c>
      <c r="I12" s="35">
        <v>470</v>
      </c>
      <c r="J12" s="157"/>
      <c r="K12" s="252">
        <v>12</v>
      </c>
      <c r="L12" s="35"/>
      <c r="M12" s="35">
        <v>160</v>
      </c>
      <c r="N12" s="446"/>
      <c r="O12" s="35">
        <v>160</v>
      </c>
      <c r="P12" s="252">
        <v>26.1</v>
      </c>
      <c r="Q12" s="252"/>
      <c r="R12" s="440">
        <v>26.1</v>
      </c>
      <c r="S12" s="447"/>
      <c r="T12" s="251"/>
      <c r="U12" s="1674"/>
      <c r="V12" s="1674"/>
      <c r="W12" s="162"/>
      <c r="X12" s="162"/>
      <c r="Y12" s="162"/>
    </row>
    <row r="13" spans="1:25" s="442" customFormat="1" ht="12.75">
      <c r="A13" s="177" t="s">
        <v>34</v>
      </c>
      <c r="B13" s="443">
        <v>42054</v>
      </c>
      <c r="C13" s="34">
        <v>9</v>
      </c>
      <c r="D13" s="34">
        <v>7</v>
      </c>
      <c r="E13" s="17" t="s">
        <v>82</v>
      </c>
      <c r="F13" s="444" t="s">
        <v>81</v>
      </c>
      <c r="G13" s="445" t="s">
        <v>167</v>
      </c>
      <c r="H13" s="19">
        <v>40</v>
      </c>
      <c r="I13" s="35">
        <v>1090</v>
      </c>
      <c r="J13" s="157"/>
      <c r="K13" s="252">
        <v>9</v>
      </c>
      <c r="L13" s="35"/>
      <c r="M13" s="35">
        <v>299</v>
      </c>
      <c r="N13" s="446"/>
      <c r="O13" s="35">
        <v>299</v>
      </c>
      <c r="P13" s="252">
        <v>40.6</v>
      </c>
      <c r="Q13" s="252"/>
      <c r="R13" s="440">
        <v>40.6</v>
      </c>
      <c r="S13" s="447"/>
      <c r="T13" s="251"/>
      <c r="U13" s="1674"/>
      <c r="V13" s="1674"/>
      <c r="W13" s="162"/>
      <c r="X13" s="162"/>
      <c r="Y13" s="162"/>
    </row>
    <row r="14" spans="1:25" s="454" customFormat="1" ht="12.75">
      <c r="A14" s="177" t="s">
        <v>34</v>
      </c>
      <c r="B14" s="443">
        <v>42054</v>
      </c>
      <c r="C14" s="34">
        <v>10</v>
      </c>
      <c r="D14" s="34">
        <v>7</v>
      </c>
      <c r="E14" s="17" t="s">
        <v>82</v>
      </c>
      <c r="F14" s="448" t="s">
        <v>158</v>
      </c>
      <c r="G14" s="445" t="s">
        <v>167</v>
      </c>
      <c r="H14" s="19">
        <v>39</v>
      </c>
      <c r="I14" s="35">
        <v>440</v>
      </c>
      <c r="J14" s="157"/>
      <c r="K14" s="449">
        <v>9</v>
      </c>
      <c r="L14" s="35"/>
      <c r="M14" s="35">
        <v>157</v>
      </c>
      <c r="N14" s="450"/>
      <c r="O14" s="35">
        <v>157</v>
      </c>
      <c r="P14" s="252">
        <v>26.4</v>
      </c>
      <c r="Q14" s="252"/>
      <c r="R14" s="451">
        <v>26.4</v>
      </c>
      <c r="S14" s="447"/>
      <c r="T14" s="452"/>
      <c r="U14" s="1730"/>
      <c r="V14" s="1730"/>
      <c r="W14" s="453"/>
      <c r="X14" s="453"/>
      <c r="Y14" s="453"/>
    </row>
    <row r="15" spans="1:25" s="461" customFormat="1" ht="12.75">
      <c r="A15" s="177" t="s">
        <v>34</v>
      </c>
      <c r="B15" s="443">
        <v>42054</v>
      </c>
      <c r="C15" s="34">
        <v>2</v>
      </c>
      <c r="D15" s="34">
        <v>133</v>
      </c>
      <c r="E15" s="17" t="s">
        <v>82</v>
      </c>
      <c r="F15" s="455" t="s">
        <v>81</v>
      </c>
      <c r="G15" s="445" t="s">
        <v>167</v>
      </c>
      <c r="H15" s="19">
        <v>51</v>
      </c>
      <c r="I15" s="35">
        <v>350</v>
      </c>
      <c r="J15" s="157"/>
      <c r="K15" s="456">
        <v>12</v>
      </c>
      <c r="L15" s="35"/>
      <c r="M15" s="35">
        <v>92</v>
      </c>
      <c r="N15" s="457"/>
      <c r="O15" s="35">
        <v>92</v>
      </c>
      <c r="P15" s="252">
        <v>15.7</v>
      </c>
      <c r="Q15" s="252"/>
      <c r="R15" s="458">
        <v>15.7</v>
      </c>
      <c r="S15" s="447"/>
      <c r="T15" s="459"/>
      <c r="U15" s="1731"/>
      <c r="V15" s="1732"/>
      <c r="W15" s="460"/>
      <c r="X15" s="460"/>
      <c r="Y15" s="460"/>
    </row>
    <row r="16" spans="1:25" s="442" customFormat="1" ht="12.75">
      <c r="A16" s="177" t="s">
        <v>34</v>
      </c>
      <c r="B16" s="443">
        <v>42054</v>
      </c>
      <c r="C16" s="34">
        <v>3</v>
      </c>
      <c r="D16" s="34">
        <v>133</v>
      </c>
      <c r="E16" s="17" t="s">
        <v>82</v>
      </c>
      <c r="F16" s="444" t="s">
        <v>158</v>
      </c>
      <c r="G16" s="445" t="s">
        <v>167</v>
      </c>
      <c r="H16" s="19">
        <v>26</v>
      </c>
      <c r="I16" s="35">
        <v>505</v>
      </c>
      <c r="J16" s="157"/>
      <c r="K16" s="252">
        <v>6</v>
      </c>
      <c r="L16" s="35"/>
      <c r="M16" s="35">
        <v>135</v>
      </c>
      <c r="N16" s="446"/>
      <c r="O16" s="35">
        <v>135</v>
      </c>
      <c r="P16" s="252">
        <v>23.3</v>
      </c>
      <c r="Q16" s="252"/>
      <c r="R16" s="440">
        <v>23.3</v>
      </c>
      <c r="S16" s="447"/>
      <c r="T16" s="251"/>
      <c r="U16" s="1674"/>
      <c r="V16" s="1674"/>
      <c r="W16" s="162"/>
      <c r="X16" s="162"/>
      <c r="Y16" s="162"/>
    </row>
    <row r="17" spans="1:25" s="442" customFormat="1" ht="12.75">
      <c r="A17" s="177" t="s">
        <v>34</v>
      </c>
      <c r="B17" s="443">
        <v>42054</v>
      </c>
      <c r="C17" s="34">
        <v>4</v>
      </c>
      <c r="D17" s="34">
        <v>133</v>
      </c>
      <c r="E17" s="17" t="s">
        <v>82</v>
      </c>
      <c r="F17" s="444" t="s">
        <v>166</v>
      </c>
      <c r="G17" s="445" t="s">
        <v>167</v>
      </c>
      <c r="H17" s="19">
        <v>15</v>
      </c>
      <c r="I17" s="35">
        <v>495</v>
      </c>
      <c r="J17" s="157"/>
      <c r="K17" s="252">
        <v>3</v>
      </c>
      <c r="L17" s="35"/>
      <c r="M17" s="35">
        <v>108</v>
      </c>
      <c r="N17" s="446"/>
      <c r="O17" s="35">
        <v>108</v>
      </c>
      <c r="P17" s="252">
        <v>18</v>
      </c>
      <c r="Q17" s="252"/>
      <c r="R17" s="440">
        <v>18</v>
      </c>
      <c r="S17" s="447"/>
      <c r="T17" s="251"/>
      <c r="U17" s="1674"/>
      <c r="V17" s="1674"/>
      <c r="W17" s="162"/>
      <c r="X17" s="162"/>
      <c r="Y17" s="162"/>
    </row>
    <row r="18" spans="1:25" s="442" customFormat="1" ht="12.75">
      <c r="A18" s="177" t="s">
        <v>34</v>
      </c>
      <c r="B18" s="443">
        <v>42054</v>
      </c>
      <c r="C18" s="34">
        <v>8</v>
      </c>
      <c r="D18" s="34">
        <v>133</v>
      </c>
      <c r="E18" s="177" t="s">
        <v>79</v>
      </c>
      <c r="F18" s="444" t="s">
        <v>166</v>
      </c>
      <c r="G18" s="445" t="s">
        <v>167</v>
      </c>
      <c r="H18" s="19">
        <v>23</v>
      </c>
      <c r="I18" s="35">
        <v>580</v>
      </c>
      <c r="J18" s="157"/>
      <c r="K18" s="252">
        <v>6</v>
      </c>
      <c r="L18" s="35"/>
      <c r="M18" s="35">
        <v>138</v>
      </c>
      <c r="N18" s="446"/>
      <c r="O18" s="35">
        <v>138</v>
      </c>
      <c r="P18" s="252">
        <v>22.8</v>
      </c>
      <c r="Q18" s="252"/>
      <c r="R18" s="440">
        <v>22.8</v>
      </c>
      <c r="S18" s="447"/>
      <c r="T18" s="251"/>
      <c r="U18" s="1674"/>
      <c r="V18" s="1674"/>
      <c r="W18" s="162"/>
      <c r="X18" s="162"/>
      <c r="Y18" s="162"/>
    </row>
    <row r="19" spans="1:25" s="442" customFormat="1" ht="12.75">
      <c r="A19" s="177" t="s">
        <v>34</v>
      </c>
      <c r="B19" s="443">
        <v>42054</v>
      </c>
      <c r="C19" s="34">
        <v>9</v>
      </c>
      <c r="D19" s="34">
        <v>133</v>
      </c>
      <c r="E19" s="177" t="s">
        <v>79</v>
      </c>
      <c r="F19" s="444" t="s">
        <v>81</v>
      </c>
      <c r="G19" s="445" t="s">
        <v>167</v>
      </c>
      <c r="H19" s="19">
        <v>19</v>
      </c>
      <c r="I19" s="35">
        <v>615</v>
      </c>
      <c r="J19" s="157"/>
      <c r="K19" s="252">
        <v>4</v>
      </c>
      <c r="L19" s="35"/>
      <c r="M19" s="35">
        <v>121</v>
      </c>
      <c r="N19" s="446"/>
      <c r="O19" s="35">
        <v>121</v>
      </c>
      <c r="P19" s="252">
        <v>21</v>
      </c>
      <c r="Q19" s="252"/>
      <c r="R19" s="440">
        <v>21</v>
      </c>
      <c r="S19" s="447"/>
      <c r="T19" s="251"/>
      <c r="U19" s="1674"/>
      <c r="V19" s="1674"/>
      <c r="W19" s="162"/>
      <c r="X19" s="162"/>
      <c r="Y19" s="162"/>
    </row>
    <row r="20" spans="1:25" s="476" customFormat="1" ht="13.5" thickBot="1">
      <c r="A20" s="462" t="s">
        <v>34</v>
      </c>
      <c r="B20" s="463">
        <v>42054</v>
      </c>
      <c r="C20" s="464">
        <v>10</v>
      </c>
      <c r="D20" s="464">
        <v>133</v>
      </c>
      <c r="E20" s="462" t="s">
        <v>79</v>
      </c>
      <c r="F20" s="465" t="s">
        <v>158</v>
      </c>
      <c r="G20" s="466" t="s">
        <v>167</v>
      </c>
      <c r="H20" s="467">
        <v>34</v>
      </c>
      <c r="I20" s="468">
        <v>665</v>
      </c>
      <c r="J20" s="469"/>
      <c r="K20" s="470">
        <v>8</v>
      </c>
      <c r="L20" s="468"/>
      <c r="M20" s="468">
        <v>200</v>
      </c>
      <c r="N20" s="471"/>
      <c r="O20" s="468">
        <v>200</v>
      </c>
      <c r="P20" s="470">
        <v>33.799999999999997</v>
      </c>
      <c r="Q20" s="470"/>
      <c r="R20" s="472">
        <v>33.799999999999997</v>
      </c>
      <c r="S20" s="473"/>
      <c r="T20" s="474"/>
      <c r="U20" s="1734"/>
      <c r="V20" s="1734"/>
      <c r="W20" s="475"/>
      <c r="X20" s="475"/>
      <c r="Y20" s="475"/>
    </row>
    <row r="21" spans="1:25" s="981" customFormat="1" ht="13.5" thickTop="1">
      <c r="A21" s="881" t="s">
        <v>35</v>
      </c>
      <c r="B21" s="978">
        <v>42142</v>
      </c>
      <c r="C21" s="882">
        <v>2</v>
      </c>
      <c r="D21" s="882">
        <v>7</v>
      </c>
      <c r="E21" s="881" t="s">
        <v>79</v>
      </c>
      <c r="F21" s="881" t="s">
        <v>158</v>
      </c>
      <c r="G21" s="884" t="s">
        <v>168</v>
      </c>
      <c r="H21" s="884">
        <v>52</v>
      </c>
      <c r="I21" s="884">
        <v>3355</v>
      </c>
      <c r="J21" s="1345">
        <f>I21*L21</f>
        <v>609.23245033112573</v>
      </c>
      <c r="K21" s="901">
        <v>12</v>
      </c>
      <c r="L21" s="1348">
        <f>R21/O21</f>
        <v>0.18158940397350992</v>
      </c>
      <c r="M21" s="901">
        <v>95</v>
      </c>
      <c r="N21" s="901">
        <v>660</v>
      </c>
      <c r="O21" s="979">
        <f>SUM(M21:N21)</f>
        <v>755</v>
      </c>
      <c r="P21" s="901">
        <v>12.1</v>
      </c>
      <c r="Q21" s="901">
        <v>125</v>
      </c>
      <c r="R21" s="980">
        <f>SUM(P21:Q21)</f>
        <v>137.1</v>
      </c>
      <c r="S21" s="1353">
        <f>(R21+J21)/100</f>
        <v>7.4633245033112576</v>
      </c>
      <c r="T21" s="1354">
        <f>MIN(4.63,4.48*S21^(-0.25))</f>
        <v>2.7104720467665309</v>
      </c>
      <c r="U21" s="1735"/>
      <c r="V21" s="1736"/>
      <c r="W21" s="1355">
        <f>U21*R21</f>
        <v>0</v>
      </c>
      <c r="X21" s="1355">
        <f>W21/R21</f>
        <v>0</v>
      </c>
      <c r="Y21" s="1355">
        <f>X21/T21</f>
        <v>0</v>
      </c>
    </row>
    <row r="22" spans="1:25" s="981" customFormat="1" ht="12.75">
      <c r="A22" s="881" t="s">
        <v>35</v>
      </c>
      <c r="B22" s="978">
        <v>42142</v>
      </c>
      <c r="C22" s="869">
        <v>3</v>
      </c>
      <c r="D22" s="869">
        <v>7</v>
      </c>
      <c r="E22" s="867" t="s">
        <v>79</v>
      </c>
      <c r="F22" s="867" t="s">
        <v>166</v>
      </c>
      <c r="G22" s="884" t="s">
        <v>168</v>
      </c>
      <c r="H22" s="870">
        <v>41</v>
      </c>
      <c r="I22" s="870">
        <v>3350</v>
      </c>
      <c r="J22" s="1327">
        <f t="shared" ref="J22:J32" si="0">I22*L22</f>
        <v>642.45358090185675</v>
      </c>
      <c r="K22" s="905">
        <v>10</v>
      </c>
      <c r="L22" s="1329">
        <f t="shared" ref="L22:L32" si="1">R22/O22</f>
        <v>0.19177718832891247</v>
      </c>
      <c r="M22" s="905">
        <v>118</v>
      </c>
      <c r="N22" s="905">
        <v>636</v>
      </c>
      <c r="O22" s="979">
        <f t="shared" ref="O22:O32" si="2">SUM(M22:N22)</f>
        <v>754</v>
      </c>
      <c r="P22" s="905">
        <v>14.6</v>
      </c>
      <c r="Q22" s="905">
        <v>130</v>
      </c>
      <c r="R22" s="982">
        <f t="shared" ref="R22:R32" si="3">SUM(P22:Q22)</f>
        <v>144.6</v>
      </c>
      <c r="S22" s="1333">
        <f t="shared" ref="S22:S32" si="4">(R22+J22)/100</f>
        <v>7.870535809018568</v>
      </c>
      <c r="T22" s="1334">
        <f t="shared" ref="T22:T32" si="5">MIN(4.63,4.48*S22^(-0.25))</f>
        <v>2.6747114644736474</v>
      </c>
      <c r="U22" s="1737"/>
      <c r="V22" s="1737"/>
      <c r="W22" s="1355">
        <f t="shared" ref="W22:W32" si="6">U22*R22</f>
        <v>0</v>
      </c>
      <c r="X22" s="1337">
        <f t="shared" ref="X22:X32" si="7">W22/R22</f>
        <v>0</v>
      </c>
      <c r="Y22" s="1337">
        <f t="shared" ref="Y22:Y32" si="8">X22/T22</f>
        <v>0</v>
      </c>
    </row>
    <row r="23" spans="1:25" s="981" customFormat="1" ht="12.75">
      <c r="A23" s="881" t="s">
        <v>35</v>
      </c>
      <c r="B23" s="978">
        <v>42142</v>
      </c>
      <c r="C23" s="869">
        <v>4</v>
      </c>
      <c r="D23" s="869">
        <v>7</v>
      </c>
      <c r="E23" s="867" t="s">
        <v>79</v>
      </c>
      <c r="F23" s="867" t="s">
        <v>81</v>
      </c>
      <c r="G23" s="884" t="s">
        <v>168</v>
      </c>
      <c r="H23" s="870">
        <v>36</v>
      </c>
      <c r="I23" s="870">
        <v>3025</v>
      </c>
      <c r="J23" s="1327">
        <f t="shared" si="0"/>
        <v>575.79558998808102</v>
      </c>
      <c r="K23" s="905">
        <v>8</v>
      </c>
      <c r="L23" s="1329">
        <f t="shared" si="1"/>
        <v>0.1903456495828367</v>
      </c>
      <c r="M23" s="905">
        <v>79</v>
      </c>
      <c r="N23" s="905">
        <v>760</v>
      </c>
      <c r="O23" s="979">
        <f t="shared" si="2"/>
        <v>839</v>
      </c>
      <c r="P23" s="905">
        <v>9.6999999999999993</v>
      </c>
      <c r="Q23" s="905">
        <v>150</v>
      </c>
      <c r="R23" s="982">
        <f t="shared" si="3"/>
        <v>159.69999999999999</v>
      </c>
      <c r="S23" s="1333">
        <f t="shared" si="4"/>
        <v>7.3549558998808102</v>
      </c>
      <c r="T23" s="1334">
        <f t="shared" si="5"/>
        <v>2.7204014379576491</v>
      </c>
      <c r="U23" s="1737"/>
      <c r="V23" s="1737"/>
      <c r="W23" s="1355">
        <f t="shared" si="6"/>
        <v>0</v>
      </c>
      <c r="X23" s="1337">
        <f t="shared" si="7"/>
        <v>0</v>
      </c>
      <c r="Y23" s="1337">
        <f t="shared" si="8"/>
        <v>0</v>
      </c>
    </row>
    <row r="24" spans="1:25" s="1342" customFormat="1" ht="12.75">
      <c r="A24" s="1201" t="s">
        <v>35</v>
      </c>
      <c r="B24" s="1339">
        <v>42142</v>
      </c>
      <c r="C24" s="1214">
        <v>8</v>
      </c>
      <c r="D24" s="1214">
        <v>7</v>
      </c>
      <c r="E24" s="1213" t="s">
        <v>82</v>
      </c>
      <c r="F24" s="1213" t="s">
        <v>166</v>
      </c>
      <c r="G24" s="1204" t="s">
        <v>168</v>
      </c>
      <c r="H24" s="1215">
        <v>67</v>
      </c>
      <c r="I24" s="1215">
        <v>3300</v>
      </c>
      <c r="J24" s="1328">
        <f t="shared" si="0"/>
        <v>565.76626240352812</v>
      </c>
      <c r="K24" s="1257">
        <v>16</v>
      </c>
      <c r="L24" s="1330">
        <f t="shared" si="1"/>
        <v>0.17144432194046305</v>
      </c>
      <c r="M24" s="1257">
        <v>169</v>
      </c>
      <c r="N24" s="1257">
        <v>738</v>
      </c>
      <c r="O24" s="1340">
        <f t="shared" si="2"/>
        <v>907</v>
      </c>
      <c r="P24" s="1257">
        <v>20.5</v>
      </c>
      <c r="Q24" s="1257">
        <v>135</v>
      </c>
      <c r="R24" s="1341">
        <f t="shared" si="3"/>
        <v>155.5</v>
      </c>
      <c r="S24" s="1335">
        <f t="shared" si="4"/>
        <v>7.2126626240352811</v>
      </c>
      <c r="T24" s="1336">
        <f t="shared" si="5"/>
        <v>2.7337204992826258</v>
      </c>
      <c r="U24" s="1733"/>
      <c r="V24" s="1733"/>
      <c r="W24" s="1356">
        <f t="shared" si="6"/>
        <v>0</v>
      </c>
      <c r="X24" s="1338">
        <f t="shared" si="7"/>
        <v>0</v>
      </c>
      <c r="Y24" s="1338">
        <f t="shared" si="8"/>
        <v>0</v>
      </c>
    </row>
    <row r="25" spans="1:25" s="1342" customFormat="1" ht="12.75">
      <c r="A25" s="1201" t="s">
        <v>35</v>
      </c>
      <c r="B25" s="1339">
        <v>42142</v>
      </c>
      <c r="C25" s="1214">
        <v>9</v>
      </c>
      <c r="D25" s="1214">
        <v>7</v>
      </c>
      <c r="E25" s="1213" t="s">
        <v>82</v>
      </c>
      <c r="F25" s="1213" t="s">
        <v>81</v>
      </c>
      <c r="G25" s="1204" t="s">
        <v>168</v>
      </c>
      <c r="H25" s="1215">
        <v>40</v>
      </c>
      <c r="I25" s="1215">
        <v>3930</v>
      </c>
      <c r="J25" s="1328">
        <f t="shared" si="0"/>
        <v>681.45812807881771</v>
      </c>
      <c r="K25" s="1257">
        <v>10</v>
      </c>
      <c r="L25" s="1330">
        <f t="shared" si="1"/>
        <v>0.17339901477832512</v>
      </c>
      <c r="M25" s="1257">
        <v>137</v>
      </c>
      <c r="N25" s="1257">
        <v>878</v>
      </c>
      <c r="O25" s="1340">
        <f t="shared" si="2"/>
        <v>1015</v>
      </c>
      <c r="P25" s="1257">
        <v>16</v>
      </c>
      <c r="Q25" s="1257">
        <v>160</v>
      </c>
      <c r="R25" s="1341">
        <f t="shared" si="3"/>
        <v>176</v>
      </c>
      <c r="S25" s="1335">
        <f t="shared" si="4"/>
        <v>8.5745812807881769</v>
      </c>
      <c r="T25" s="1336">
        <f t="shared" si="5"/>
        <v>2.6180309934587664</v>
      </c>
      <c r="U25" s="1733"/>
      <c r="V25" s="1733"/>
      <c r="W25" s="1356">
        <f t="shared" si="6"/>
        <v>0</v>
      </c>
      <c r="X25" s="1338">
        <f t="shared" si="7"/>
        <v>0</v>
      </c>
      <c r="Y25" s="1338">
        <f t="shared" si="8"/>
        <v>0</v>
      </c>
    </row>
    <row r="26" spans="1:25" s="1342" customFormat="1" ht="12.75">
      <c r="A26" s="1201" t="s">
        <v>35</v>
      </c>
      <c r="B26" s="1339">
        <v>42142</v>
      </c>
      <c r="C26" s="1214">
        <v>10</v>
      </c>
      <c r="D26" s="1214">
        <v>7</v>
      </c>
      <c r="E26" s="1213" t="s">
        <v>82</v>
      </c>
      <c r="F26" s="1213" t="s">
        <v>158</v>
      </c>
      <c r="G26" s="1204" t="s">
        <v>168</v>
      </c>
      <c r="H26" s="1215">
        <v>28</v>
      </c>
      <c r="I26" s="1215">
        <v>4400</v>
      </c>
      <c r="J26" s="1328">
        <f t="shared" si="0"/>
        <v>711.70940170940173</v>
      </c>
      <c r="K26" s="1257">
        <v>6</v>
      </c>
      <c r="L26" s="1330">
        <f t="shared" si="1"/>
        <v>0.16175213675213676</v>
      </c>
      <c r="M26" s="1257">
        <v>221</v>
      </c>
      <c r="N26" s="1257">
        <v>715</v>
      </c>
      <c r="O26" s="1340">
        <f t="shared" si="2"/>
        <v>936</v>
      </c>
      <c r="P26" s="1257">
        <v>26.4</v>
      </c>
      <c r="Q26" s="1257">
        <v>125</v>
      </c>
      <c r="R26" s="1341">
        <f t="shared" si="3"/>
        <v>151.4</v>
      </c>
      <c r="S26" s="1335">
        <f t="shared" si="4"/>
        <v>8.6310940170940178</v>
      </c>
      <c r="T26" s="1336">
        <f t="shared" si="5"/>
        <v>2.6137349922379705</v>
      </c>
      <c r="U26" s="1733"/>
      <c r="V26" s="1733"/>
      <c r="W26" s="1356">
        <f t="shared" si="6"/>
        <v>0</v>
      </c>
      <c r="X26" s="1338">
        <f t="shared" si="7"/>
        <v>0</v>
      </c>
      <c r="Y26" s="1338">
        <f t="shared" si="8"/>
        <v>0</v>
      </c>
    </row>
    <row r="27" spans="1:25" s="1344" customFormat="1">
      <c r="A27" s="1201" t="s">
        <v>35</v>
      </c>
      <c r="B27" s="1339">
        <v>42142</v>
      </c>
      <c r="C27" s="1214">
        <v>2</v>
      </c>
      <c r="D27" s="1214">
        <v>133</v>
      </c>
      <c r="E27" s="1213" t="s">
        <v>82</v>
      </c>
      <c r="F27" s="1261" t="s">
        <v>81</v>
      </c>
      <c r="G27" s="1204" t="s">
        <v>168</v>
      </c>
      <c r="H27" s="1263">
        <v>27</v>
      </c>
      <c r="I27" s="1215">
        <v>3780</v>
      </c>
      <c r="J27" s="1328">
        <f t="shared" si="0"/>
        <v>668.32310469314086</v>
      </c>
      <c r="K27" s="1257">
        <v>6</v>
      </c>
      <c r="L27" s="1349">
        <f t="shared" si="1"/>
        <v>0.17680505415162456</v>
      </c>
      <c r="M27" s="1257">
        <v>176</v>
      </c>
      <c r="N27" s="1257">
        <v>932</v>
      </c>
      <c r="O27" s="1340">
        <f t="shared" si="2"/>
        <v>1108</v>
      </c>
      <c r="P27" s="1257">
        <v>20.9</v>
      </c>
      <c r="Q27" s="1257">
        <v>175</v>
      </c>
      <c r="R27" s="1343">
        <f t="shared" si="3"/>
        <v>195.9</v>
      </c>
      <c r="S27" s="1335">
        <f t="shared" si="4"/>
        <v>8.6422310469314088</v>
      </c>
      <c r="T27" s="1336">
        <f t="shared" si="5"/>
        <v>2.6128925210589906</v>
      </c>
      <c r="U27" s="1733"/>
      <c r="V27" s="1733"/>
      <c r="W27" s="1356">
        <f t="shared" si="6"/>
        <v>0</v>
      </c>
      <c r="X27" s="1338">
        <f t="shared" si="7"/>
        <v>0</v>
      </c>
      <c r="Y27" s="1338">
        <f t="shared" si="8"/>
        <v>0</v>
      </c>
    </row>
    <row r="28" spans="1:25" s="1344" customFormat="1">
      <c r="A28" s="1201" t="s">
        <v>35</v>
      </c>
      <c r="B28" s="1339">
        <v>42142</v>
      </c>
      <c r="C28" s="1214">
        <v>3</v>
      </c>
      <c r="D28" s="1214">
        <v>133</v>
      </c>
      <c r="E28" s="1213" t="s">
        <v>82</v>
      </c>
      <c r="F28" s="1261" t="s">
        <v>158</v>
      </c>
      <c r="G28" s="1204" t="s">
        <v>168</v>
      </c>
      <c r="H28" s="1263">
        <v>44</v>
      </c>
      <c r="I28" s="1215">
        <v>4575</v>
      </c>
      <c r="J28" s="1328">
        <f t="shared" si="0"/>
        <v>779.29748482220293</v>
      </c>
      <c r="K28" s="1257">
        <v>10</v>
      </c>
      <c r="L28" s="1349">
        <f t="shared" si="1"/>
        <v>0.17033824804856895</v>
      </c>
      <c r="M28" s="1257">
        <v>220</v>
      </c>
      <c r="N28" s="1257">
        <v>933</v>
      </c>
      <c r="O28" s="1340">
        <f t="shared" si="2"/>
        <v>1153</v>
      </c>
      <c r="P28" s="1257">
        <v>26.4</v>
      </c>
      <c r="Q28" s="1257">
        <v>170</v>
      </c>
      <c r="R28" s="1343">
        <f t="shared" si="3"/>
        <v>196.4</v>
      </c>
      <c r="S28" s="1335">
        <f t="shared" si="4"/>
        <v>9.7569748482220291</v>
      </c>
      <c r="T28" s="1336">
        <f t="shared" si="5"/>
        <v>2.5348322134158066</v>
      </c>
      <c r="U28" s="1733"/>
      <c r="V28" s="1733"/>
      <c r="W28" s="1356">
        <f t="shared" si="6"/>
        <v>0</v>
      </c>
      <c r="X28" s="1338">
        <f t="shared" si="7"/>
        <v>0</v>
      </c>
      <c r="Y28" s="1338">
        <f t="shared" si="8"/>
        <v>0</v>
      </c>
    </row>
    <row r="29" spans="1:25" s="1344" customFormat="1">
      <c r="A29" s="1201" t="s">
        <v>35</v>
      </c>
      <c r="B29" s="1339">
        <v>42142</v>
      </c>
      <c r="C29" s="1214">
        <v>4</v>
      </c>
      <c r="D29" s="1214">
        <v>133</v>
      </c>
      <c r="E29" s="1213" t="s">
        <v>82</v>
      </c>
      <c r="F29" s="1261" t="s">
        <v>166</v>
      </c>
      <c r="G29" s="1204" t="s">
        <v>168</v>
      </c>
      <c r="H29" s="1263">
        <v>16</v>
      </c>
      <c r="I29" s="1215">
        <v>3780</v>
      </c>
      <c r="J29" s="1328">
        <f t="shared" si="0"/>
        <v>701.34012219959254</v>
      </c>
      <c r="K29" s="1266">
        <v>3</v>
      </c>
      <c r="L29" s="1349">
        <f t="shared" si="1"/>
        <v>0.18553971486761708</v>
      </c>
      <c r="M29" s="1257">
        <v>92</v>
      </c>
      <c r="N29" s="1266">
        <v>399</v>
      </c>
      <c r="O29" s="1340">
        <f t="shared" si="2"/>
        <v>491</v>
      </c>
      <c r="P29" s="1257">
        <v>11.1</v>
      </c>
      <c r="Q29" s="1257">
        <v>80</v>
      </c>
      <c r="R29" s="1343">
        <f t="shared" si="3"/>
        <v>91.1</v>
      </c>
      <c r="S29" s="1335">
        <f t="shared" si="4"/>
        <v>7.9244012219959252</v>
      </c>
      <c r="T29" s="1336">
        <f t="shared" si="5"/>
        <v>2.6701545539080938</v>
      </c>
      <c r="U29" s="1733"/>
      <c r="V29" s="1733"/>
      <c r="W29" s="1356">
        <f t="shared" si="6"/>
        <v>0</v>
      </c>
      <c r="X29" s="1338">
        <f t="shared" si="7"/>
        <v>0</v>
      </c>
      <c r="Y29" s="1338">
        <f t="shared" si="8"/>
        <v>0</v>
      </c>
    </row>
    <row r="30" spans="1:25" s="984" customFormat="1">
      <c r="A30" s="881" t="s">
        <v>35</v>
      </c>
      <c r="B30" s="978">
        <v>42142</v>
      </c>
      <c r="C30" s="869">
        <v>8</v>
      </c>
      <c r="D30" s="869">
        <v>133</v>
      </c>
      <c r="E30" s="867" t="s">
        <v>79</v>
      </c>
      <c r="F30" s="908" t="s">
        <v>166</v>
      </c>
      <c r="G30" s="884" t="s">
        <v>168</v>
      </c>
      <c r="H30" s="910">
        <v>61</v>
      </c>
      <c r="I30" s="870">
        <v>3125</v>
      </c>
      <c r="J30" s="1327">
        <f t="shared" si="0"/>
        <v>577.48824451410655</v>
      </c>
      <c r="K30" s="911">
        <v>15</v>
      </c>
      <c r="L30" s="1350">
        <f t="shared" si="1"/>
        <v>0.1847962382445141</v>
      </c>
      <c r="M30" s="905">
        <v>96</v>
      </c>
      <c r="N30" s="911">
        <v>542</v>
      </c>
      <c r="O30" s="979">
        <f t="shared" si="2"/>
        <v>638</v>
      </c>
      <c r="P30" s="905">
        <v>12.9</v>
      </c>
      <c r="Q30" s="905">
        <v>105</v>
      </c>
      <c r="R30" s="983">
        <f t="shared" si="3"/>
        <v>117.9</v>
      </c>
      <c r="S30" s="1333">
        <f t="shared" si="4"/>
        <v>6.9538824451410655</v>
      </c>
      <c r="T30" s="1334">
        <f t="shared" si="5"/>
        <v>2.7588061015093177</v>
      </c>
      <c r="U30" s="1737"/>
      <c r="V30" s="1737"/>
      <c r="W30" s="1355">
        <f t="shared" si="6"/>
        <v>0</v>
      </c>
      <c r="X30" s="1337">
        <f t="shared" si="7"/>
        <v>0</v>
      </c>
      <c r="Y30" s="1337">
        <f t="shared" si="8"/>
        <v>0</v>
      </c>
    </row>
    <row r="31" spans="1:25" s="984" customFormat="1">
      <c r="A31" s="881" t="s">
        <v>35</v>
      </c>
      <c r="B31" s="978">
        <v>42142</v>
      </c>
      <c r="C31" s="916">
        <v>9</v>
      </c>
      <c r="D31" s="916">
        <v>133</v>
      </c>
      <c r="E31" s="914" t="s">
        <v>79</v>
      </c>
      <c r="F31" s="917" t="s">
        <v>81</v>
      </c>
      <c r="G31" s="884" t="s">
        <v>168</v>
      </c>
      <c r="H31" s="919">
        <v>44</v>
      </c>
      <c r="I31" s="920">
        <v>3125</v>
      </c>
      <c r="J31" s="1346">
        <f t="shared" si="0"/>
        <v>623.96179401993356</v>
      </c>
      <c r="K31" s="922">
        <v>11</v>
      </c>
      <c r="L31" s="1351">
        <f t="shared" si="1"/>
        <v>0.19966777408637873</v>
      </c>
      <c r="M31" s="985">
        <v>121</v>
      </c>
      <c r="N31" s="922">
        <v>1083</v>
      </c>
      <c r="O31" s="979">
        <f t="shared" si="2"/>
        <v>1204</v>
      </c>
      <c r="P31" s="985">
        <v>15.4</v>
      </c>
      <c r="Q31" s="985">
        <v>225</v>
      </c>
      <c r="R31" s="986">
        <f t="shared" si="3"/>
        <v>240.4</v>
      </c>
      <c r="S31" s="1357">
        <f t="shared" si="4"/>
        <v>8.643617940199336</v>
      </c>
      <c r="T31" s="1334">
        <f t="shared" si="5"/>
        <v>2.6127877032287614</v>
      </c>
      <c r="U31" s="1738"/>
      <c r="V31" s="1738"/>
      <c r="W31" s="1355">
        <f t="shared" si="6"/>
        <v>0</v>
      </c>
      <c r="X31" s="1358">
        <f t="shared" si="7"/>
        <v>0</v>
      </c>
      <c r="Y31" s="1358">
        <f t="shared" si="8"/>
        <v>0</v>
      </c>
    </row>
    <row r="32" spans="1:25" s="992" customFormat="1" ht="15.75" thickBot="1">
      <c r="A32" s="987" t="s">
        <v>35</v>
      </c>
      <c r="B32" s="988">
        <v>42142</v>
      </c>
      <c r="C32" s="932">
        <v>10</v>
      </c>
      <c r="D32" s="932">
        <v>133</v>
      </c>
      <c r="E32" s="930" t="s">
        <v>79</v>
      </c>
      <c r="F32" s="930" t="s">
        <v>158</v>
      </c>
      <c r="G32" s="989" t="s">
        <v>168</v>
      </c>
      <c r="H32" s="934">
        <v>55</v>
      </c>
      <c r="I32" s="934">
        <v>3230</v>
      </c>
      <c r="J32" s="1347">
        <f t="shared" si="0"/>
        <v>573.20481927710853</v>
      </c>
      <c r="K32" s="936">
        <v>13</v>
      </c>
      <c r="L32" s="1352">
        <f t="shared" si="1"/>
        <v>0.17746279234585402</v>
      </c>
      <c r="M32" s="990">
        <v>227</v>
      </c>
      <c r="N32" s="936">
        <v>1184</v>
      </c>
      <c r="O32" s="990">
        <f t="shared" si="2"/>
        <v>1411</v>
      </c>
      <c r="P32" s="990">
        <v>30.4</v>
      </c>
      <c r="Q32" s="990">
        <v>220</v>
      </c>
      <c r="R32" s="991">
        <f t="shared" si="3"/>
        <v>250.4</v>
      </c>
      <c r="S32" s="1359">
        <f t="shared" si="4"/>
        <v>8.2360481927710847</v>
      </c>
      <c r="T32" s="1360">
        <f t="shared" si="5"/>
        <v>2.6445287584233381</v>
      </c>
      <c r="U32" s="1739"/>
      <c r="V32" s="1739"/>
      <c r="W32" s="1361">
        <f t="shared" si="6"/>
        <v>0</v>
      </c>
      <c r="X32" s="1358">
        <f t="shared" si="7"/>
        <v>0</v>
      </c>
      <c r="Y32" s="1361">
        <f t="shared" si="8"/>
        <v>0</v>
      </c>
    </row>
    <row r="33" spans="1:25" s="478" customFormat="1" ht="15.75" thickTop="1">
      <c r="A33" s="263" t="s">
        <v>38</v>
      </c>
      <c r="B33" s="435">
        <v>42198</v>
      </c>
      <c r="C33" s="248">
        <v>2</v>
      </c>
      <c r="D33" s="265">
        <v>7</v>
      </c>
      <c r="E33" s="263" t="s">
        <v>79</v>
      </c>
      <c r="F33" s="248" t="s">
        <v>158</v>
      </c>
      <c r="G33" s="477" t="s">
        <v>169</v>
      </c>
      <c r="H33" s="179">
        <v>33</v>
      </c>
      <c r="I33" s="179">
        <v>1740</v>
      </c>
      <c r="J33" s="182"/>
      <c r="K33" s="252">
        <v>8</v>
      </c>
      <c r="L33" s="182"/>
      <c r="M33" s="252"/>
      <c r="N33" s="252"/>
      <c r="O33" s="182">
        <v>680</v>
      </c>
      <c r="P33" s="249"/>
      <c r="Q33" s="252"/>
      <c r="R33" s="182">
        <v>335</v>
      </c>
      <c r="S33" s="183"/>
      <c r="T33" s="267"/>
      <c r="U33" s="1684"/>
      <c r="V33" s="1671"/>
      <c r="W33" s="162"/>
      <c r="X33" s="185"/>
      <c r="Y33" s="268"/>
    </row>
    <row r="34" spans="1:25" s="478" customFormat="1">
      <c r="A34" s="263" t="s">
        <v>38</v>
      </c>
      <c r="B34" s="435">
        <v>42198</v>
      </c>
      <c r="C34" s="252">
        <v>3</v>
      </c>
      <c r="D34" s="271">
        <v>7</v>
      </c>
      <c r="E34" s="269" t="s">
        <v>79</v>
      </c>
      <c r="F34" s="252" t="s">
        <v>166</v>
      </c>
      <c r="G34" s="477" t="s">
        <v>169</v>
      </c>
      <c r="H34" s="179">
        <v>20</v>
      </c>
      <c r="I34" s="179">
        <v>1550</v>
      </c>
      <c r="J34" s="159"/>
      <c r="K34" s="252">
        <v>5</v>
      </c>
      <c r="L34" s="159"/>
      <c r="M34" s="252"/>
      <c r="N34" s="252"/>
      <c r="O34" s="159">
        <v>380</v>
      </c>
      <c r="P34" s="249"/>
      <c r="Q34" s="252"/>
      <c r="R34" s="159">
        <v>205</v>
      </c>
      <c r="S34" s="188"/>
      <c r="T34" s="251"/>
      <c r="U34" s="1674"/>
      <c r="V34" s="1674"/>
      <c r="W34" s="162"/>
      <c r="X34" s="162"/>
      <c r="Y34" s="272"/>
    </row>
    <row r="35" spans="1:25" s="478" customFormat="1">
      <c r="A35" s="263" t="s">
        <v>38</v>
      </c>
      <c r="B35" s="435">
        <v>42198</v>
      </c>
      <c r="C35" s="252">
        <v>4</v>
      </c>
      <c r="D35" s="271">
        <v>7</v>
      </c>
      <c r="E35" s="269" t="s">
        <v>79</v>
      </c>
      <c r="F35" s="252" t="s">
        <v>81</v>
      </c>
      <c r="G35" s="477" t="s">
        <v>169</v>
      </c>
      <c r="H35" s="179">
        <v>32</v>
      </c>
      <c r="I35" s="179">
        <v>1795</v>
      </c>
      <c r="J35" s="159"/>
      <c r="K35" s="252">
        <v>8</v>
      </c>
      <c r="L35" s="159"/>
      <c r="M35" s="252"/>
      <c r="N35" s="252"/>
      <c r="O35" s="159">
        <v>1065</v>
      </c>
      <c r="P35" s="249"/>
      <c r="Q35" s="252"/>
      <c r="R35" s="159">
        <v>510</v>
      </c>
      <c r="S35" s="188"/>
      <c r="T35" s="251"/>
      <c r="U35" s="1674"/>
      <c r="V35" s="1674"/>
      <c r="W35" s="162"/>
      <c r="X35" s="162"/>
      <c r="Y35" s="272"/>
    </row>
    <row r="36" spans="1:25" s="478" customFormat="1">
      <c r="A36" s="263" t="s">
        <v>38</v>
      </c>
      <c r="B36" s="435">
        <v>42198</v>
      </c>
      <c r="C36" s="252">
        <v>8</v>
      </c>
      <c r="D36" s="271">
        <v>7</v>
      </c>
      <c r="E36" s="269" t="s">
        <v>82</v>
      </c>
      <c r="F36" s="252" t="s">
        <v>166</v>
      </c>
      <c r="G36" s="477" t="s">
        <v>169</v>
      </c>
      <c r="H36" s="179">
        <v>47</v>
      </c>
      <c r="I36" s="179">
        <v>1950</v>
      </c>
      <c r="J36" s="159"/>
      <c r="K36" s="252">
        <v>11</v>
      </c>
      <c r="L36" s="159"/>
      <c r="M36" s="252"/>
      <c r="N36" s="252"/>
      <c r="O36" s="159">
        <v>845</v>
      </c>
      <c r="P36" s="249"/>
      <c r="Q36" s="252"/>
      <c r="R36" s="159">
        <v>420</v>
      </c>
      <c r="S36" s="188"/>
      <c r="T36" s="251"/>
      <c r="U36" s="1674"/>
      <c r="V36" s="1674"/>
      <c r="W36" s="162"/>
      <c r="X36" s="162"/>
      <c r="Y36" s="272"/>
    </row>
    <row r="37" spans="1:25" s="478" customFormat="1">
      <c r="A37" s="263" t="s">
        <v>38</v>
      </c>
      <c r="B37" s="435">
        <v>42198</v>
      </c>
      <c r="C37" s="252">
        <v>9</v>
      </c>
      <c r="D37" s="271">
        <v>7</v>
      </c>
      <c r="E37" s="269" t="s">
        <v>82</v>
      </c>
      <c r="F37" s="252" t="s">
        <v>81</v>
      </c>
      <c r="G37" s="477" t="s">
        <v>169</v>
      </c>
      <c r="H37" s="179">
        <v>38</v>
      </c>
      <c r="I37" s="179">
        <v>1980</v>
      </c>
      <c r="J37" s="159"/>
      <c r="K37" s="252">
        <v>10</v>
      </c>
      <c r="L37" s="159"/>
      <c r="M37" s="252"/>
      <c r="N37" s="252"/>
      <c r="O37" s="159">
        <v>1600</v>
      </c>
      <c r="P37" s="249"/>
      <c r="Q37" s="252"/>
      <c r="R37" s="159">
        <v>682</v>
      </c>
      <c r="S37" s="188"/>
      <c r="T37" s="251"/>
      <c r="U37" s="1674"/>
      <c r="V37" s="1674"/>
      <c r="W37" s="162"/>
      <c r="X37" s="162"/>
      <c r="Y37" s="272"/>
    </row>
    <row r="38" spans="1:25" s="478" customFormat="1">
      <c r="A38" s="263" t="s">
        <v>38</v>
      </c>
      <c r="B38" s="435">
        <v>42198</v>
      </c>
      <c r="C38" s="252">
        <v>10</v>
      </c>
      <c r="D38" s="271">
        <v>7</v>
      </c>
      <c r="E38" s="269" t="s">
        <v>82</v>
      </c>
      <c r="F38" s="252" t="s">
        <v>158</v>
      </c>
      <c r="G38" s="477" t="s">
        <v>169</v>
      </c>
      <c r="H38" s="179">
        <v>31</v>
      </c>
      <c r="I38" s="179">
        <v>2500</v>
      </c>
      <c r="J38" s="159"/>
      <c r="K38" s="252">
        <v>8</v>
      </c>
      <c r="L38" s="159"/>
      <c r="M38" s="252"/>
      <c r="N38" s="252"/>
      <c r="O38" s="159">
        <v>1340</v>
      </c>
      <c r="P38" s="249"/>
      <c r="Q38" s="252"/>
      <c r="R38" s="159">
        <v>493</v>
      </c>
      <c r="S38" s="188"/>
      <c r="T38" s="251"/>
      <c r="U38" s="1674"/>
      <c r="V38" s="1674"/>
      <c r="W38" s="162"/>
      <c r="X38" s="162"/>
      <c r="Y38" s="272"/>
    </row>
    <row r="39" spans="1:25" s="478" customFormat="1">
      <c r="A39" s="263" t="s">
        <v>38</v>
      </c>
      <c r="B39" s="435">
        <v>42198</v>
      </c>
      <c r="C39" s="252">
        <v>2</v>
      </c>
      <c r="D39" s="271">
        <v>133</v>
      </c>
      <c r="E39" s="269" t="s">
        <v>82</v>
      </c>
      <c r="F39" s="252" t="s">
        <v>81</v>
      </c>
      <c r="G39" s="477" t="s">
        <v>169</v>
      </c>
      <c r="H39" s="179">
        <v>28</v>
      </c>
      <c r="I39" s="179">
        <v>2190</v>
      </c>
      <c r="J39" s="159"/>
      <c r="K39" s="252">
        <v>8</v>
      </c>
      <c r="L39" s="159"/>
      <c r="M39" s="252"/>
      <c r="N39" s="252"/>
      <c r="O39" s="159">
        <v>1045</v>
      </c>
      <c r="P39" s="249"/>
      <c r="Q39" s="252"/>
      <c r="R39" s="159">
        <v>450</v>
      </c>
      <c r="S39" s="188"/>
      <c r="T39" s="251"/>
      <c r="U39" s="1674"/>
      <c r="V39" s="1674"/>
      <c r="W39" s="162"/>
      <c r="X39" s="162"/>
      <c r="Y39" s="272"/>
    </row>
    <row r="40" spans="1:25" s="478" customFormat="1">
      <c r="A40" s="263" t="s">
        <v>38</v>
      </c>
      <c r="B40" s="435">
        <v>42198</v>
      </c>
      <c r="C40" s="252">
        <v>3</v>
      </c>
      <c r="D40" s="271">
        <v>133</v>
      </c>
      <c r="E40" s="269" t="s">
        <v>82</v>
      </c>
      <c r="F40" s="252" t="s">
        <v>158</v>
      </c>
      <c r="G40" s="477" t="s">
        <v>169</v>
      </c>
      <c r="H40" s="179">
        <v>26</v>
      </c>
      <c r="I40" s="179">
        <v>2470</v>
      </c>
      <c r="J40" s="159"/>
      <c r="K40" s="252">
        <v>6</v>
      </c>
      <c r="L40" s="159"/>
      <c r="M40" s="252"/>
      <c r="N40" s="252"/>
      <c r="O40" s="159">
        <v>1325</v>
      </c>
      <c r="P40" s="249"/>
      <c r="Q40" s="252"/>
      <c r="R40" s="159">
        <v>485</v>
      </c>
      <c r="S40" s="188"/>
      <c r="T40" s="251"/>
      <c r="U40" s="1674"/>
      <c r="V40" s="1674"/>
      <c r="W40" s="162"/>
      <c r="X40" s="162"/>
      <c r="Y40" s="272"/>
    </row>
    <row r="41" spans="1:25" s="478" customFormat="1">
      <c r="A41" s="263" t="s">
        <v>38</v>
      </c>
      <c r="B41" s="435">
        <v>42198</v>
      </c>
      <c r="C41" s="252">
        <v>4</v>
      </c>
      <c r="D41" s="271">
        <v>133</v>
      </c>
      <c r="E41" s="269" t="s">
        <v>82</v>
      </c>
      <c r="F41" s="251" t="s">
        <v>166</v>
      </c>
      <c r="G41" s="477" t="s">
        <v>169</v>
      </c>
      <c r="H41" s="179">
        <v>12</v>
      </c>
      <c r="I41" s="179">
        <v>1250</v>
      </c>
      <c r="J41" s="159"/>
      <c r="K41" s="252">
        <v>4</v>
      </c>
      <c r="L41" s="159"/>
      <c r="M41" s="252"/>
      <c r="N41" s="251"/>
      <c r="O41" s="159">
        <v>1270</v>
      </c>
      <c r="P41" s="249"/>
      <c r="Q41" s="251"/>
      <c r="R41" s="159">
        <v>600</v>
      </c>
      <c r="S41" s="188"/>
      <c r="T41" s="251"/>
      <c r="U41" s="1674"/>
      <c r="V41" s="1674"/>
      <c r="W41" s="162"/>
      <c r="X41" s="162"/>
      <c r="Y41" s="272"/>
    </row>
    <row r="42" spans="1:25" s="478" customFormat="1">
      <c r="A42" s="263" t="s">
        <v>38</v>
      </c>
      <c r="B42" s="435">
        <v>42198</v>
      </c>
      <c r="C42" s="252">
        <v>8</v>
      </c>
      <c r="D42" s="271">
        <v>133</v>
      </c>
      <c r="E42" s="269" t="s">
        <v>79</v>
      </c>
      <c r="F42" s="251" t="s">
        <v>166</v>
      </c>
      <c r="G42" s="477" t="s">
        <v>169</v>
      </c>
      <c r="H42" s="179">
        <v>31</v>
      </c>
      <c r="I42" s="179">
        <v>1290</v>
      </c>
      <c r="J42" s="159"/>
      <c r="K42" s="252">
        <v>8</v>
      </c>
      <c r="L42" s="159"/>
      <c r="M42" s="252"/>
      <c r="N42" s="251"/>
      <c r="O42" s="159">
        <v>780</v>
      </c>
      <c r="P42" s="249"/>
      <c r="Q42" s="251"/>
      <c r="R42" s="159">
        <v>405</v>
      </c>
      <c r="S42" s="188"/>
      <c r="T42" s="251"/>
      <c r="U42" s="1674"/>
      <c r="V42" s="1674"/>
      <c r="W42" s="162"/>
      <c r="X42" s="162"/>
      <c r="Y42" s="272"/>
    </row>
    <row r="43" spans="1:25" s="478" customFormat="1">
      <c r="A43" s="263" t="s">
        <v>38</v>
      </c>
      <c r="B43" s="435">
        <v>42198</v>
      </c>
      <c r="C43" s="252">
        <v>9</v>
      </c>
      <c r="D43" s="271">
        <v>133</v>
      </c>
      <c r="E43" s="269" t="s">
        <v>79</v>
      </c>
      <c r="F43" s="251" t="s">
        <v>81</v>
      </c>
      <c r="G43" s="477" t="s">
        <v>169</v>
      </c>
      <c r="H43" s="179">
        <v>47</v>
      </c>
      <c r="I43" s="179">
        <v>1760</v>
      </c>
      <c r="J43" s="159"/>
      <c r="K43" s="252">
        <v>11</v>
      </c>
      <c r="L43" s="159"/>
      <c r="M43" s="252"/>
      <c r="N43" s="251"/>
      <c r="O43" s="159">
        <v>866</v>
      </c>
      <c r="P43" s="249"/>
      <c r="Q43" s="251"/>
      <c r="R43" s="159">
        <v>395</v>
      </c>
      <c r="S43" s="188"/>
      <c r="T43" s="251"/>
      <c r="U43" s="1674"/>
      <c r="V43" s="1674"/>
      <c r="W43" s="162"/>
      <c r="X43" s="162"/>
      <c r="Y43" s="272"/>
    </row>
    <row r="44" spans="1:25" s="478" customFormat="1">
      <c r="A44" s="263" t="s">
        <v>38</v>
      </c>
      <c r="B44" s="435">
        <v>42198</v>
      </c>
      <c r="C44" s="252">
        <v>10</v>
      </c>
      <c r="D44" s="271">
        <v>133</v>
      </c>
      <c r="E44" s="269" t="s">
        <v>79</v>
      </c>
      <c r="F44" s="273" t="s">
        <v>158</v>
      </c>
      <c r="G44" s="477" t="s">
        <v>169</v>
      </c>
      <c r="H44" s="179">
        <v>12</v>
      </c>
      <c r="I44" s="179">
        <v>1920</v>
      </c>
      <c r="J44" s="159"/>
      <c r="K44" s="252">
        <v>4</v>
      </c>
      <c r="L44" s="159"/>
      <c r="M44" s="252"/>
      <c r="N44" s="251"/>
      <c r="O44" s="159">
        <v>850</v>
      </c>
      <c r="P44" s="249"/>
      <c r="Q44" s="251"/>
      <c r="R44" s="159">
        <v>375</v>
      </c>
      <c r="S44" s="188"/>
      <c r="T44" s="251"/>
      <c r="U44" s="1674"/>
      <c r="V44" s="1674"/>
      <c r="W44" s="162"/>
      <c r="X44" s="162"/>
      <c r="Y44" s="272"/>
    </row>
    <row r="45" spans="1:25">
      <c r="A45" s="274"/>
      <c r="B45" s="275"/>
      <c r="C45" s="1"/>
      <c r="D45" s="1"/>
      <c r="E45" s="1"/>
      <c r="F45" s="1"/>
      <c r="G45" s="1"/>
      <c r="H45" s="1"/>
      <c r="I45" s="1"/>
      <c r="J45" s="1"/>
    </row>
    <row r="46" spans="1:25">
      <c r="B46" s="1"/>
      <c r="C46" s="1"/>
      <c r="D46" s="1"/>
      <c r="E46" s="1"/>
      <c r="F46" s="1"/>
      <c r="G46" s="1"/>
      <c r="H46" s="1"/>
      <c r="I46" s="1"/>
      <c r="J46" s="1727" t="s">
        <v>161</v>
      </c>
      <c r="K46" s="1727"/>
      <c r="L46" s="1727"/>
      <c r="M46" s="1727"/>
    </row>
    <row r="47" spans="1:25">
      <c r="A47" s="55" t="s">
        <v>39</v>
      </c>
      <c r="B47" s="1"/>
      <c r="C47" s="1"/>
      <c r="D47" s="1"/>
      <c r="E47" s="1"/>
      <c r="F47" s="1"/>
      <c r="G47" s="1"/>
      <c r="H47" s="1"/>
      <c r="I47" s="1"/>
      <c r="J47" s="1727"/>
      <c r="K47" s="1727"/>
      <c r="L47" s="1727"/>
      <c r="M47" s="1727"/>
    </row>
    <row r="48" spans="1:25">
      <c r="A48" s="56" t="s">
        <v>40</v>
      </c>
      <c r="B48" s="1"/>
      <c r="C48" s="1"/>
      <c r="D48" s="1"/>
      <c r="E48" s="1"/>
      <c r="F48" s="1"/>
      <c r="G48" s="1"/>
      <c r="H48" s="1"/>
      <c r="I48" s="1"/>
      <c r="J48" s="1"/>
    </row>
    <row r="49" spans="1:13">
      <c r="A49" s="56" t="s">
        <v>41</v>
      </c>
      <c r="B49" s="1"/>
      <c r="C49" s="1"/>
      <c r="D49" s="1"/>
      <c r="E49" s="1"/>
      <c r="F49" s="1"/>
      <c r="G49" s="1"/>
      <c r="H49" s="1"/>
      <c r="I49" s="1"/>
      <c r="J49" s="1"/>
      <c r="K49" s="750" t="s">
        <v>390</v>
      </c>
      <c r="L49" s="751"/>
      <c r="M49" s="751"/>
    </row>
    <row r="50" spans="1:13">
      <c r="A50" s="56" t="s">
        <v>42</v>
      </c>
      <c r="B50" s="1"/>
      <c r="C50" s="1"/>
      <c r="D50" s="1"/>
      <c r="E50" s="1"/>
      <c r="F50" s="1"/>
      <c r="G50" s="1"/>
      <c r="H50" s="1"/>
      <c r="I50" s="1"/>
      <c r="J50" s="1"/>
      <c r="K50" s="36"/>
      <c r="L50" s="752" t="s">
        <v>63</v>
      </c>
      <c r="M50" s="753" t="s">
        <v>64</v>
      </c>
    </row>
    <row r="51" spans="1:13">
      <c r="A51" s="55" t="s">
        <v>87</v>
      </c>
      <c r="B51" s="1"/>
      <c r="C51" s="1"/>
      <c r="D51" s="1"/>
      <c r="E51" s="1"/>
      <c r="F51" s="1"/>
      <c r="G51" s="1"/>
      <c r="H51" s="1"/>
      <c r="I51" s="1"/>
      <c r="J51" s="1"/>
      <c r="K51" s="36" t="s">
        <v>391</v>
      </c>
      <c r="L51" s="774">
        <f>AVERAGE(Y21:Y23,Y30:Y32)</f>
        <v>0</v>
      </c>
      <c r="M51" s="774">
        <f>AVERAGE(Y24:Y29)</f>
        <v>0</v>
      </c>
    </row>
    <row r="52" spans="1:13">
      <c r="A52" s="55" t="s">
        <v>44</v>
      </c>
      <c r="B52" s="1"/>
      <c r="C52" s="1"/>
      <c r="D52" s="1"/>
      <c r="E52" s="1"/>
      <c r="F52" s="1"/>
      <c r="G52" s="1"/>
      <c r="H52" s="1"/>
      <c r="I52" s="1"/>
      <c r="J52" s="1"/>
      <c r="K52" s="36" t="s">
        <v>25</v>
      </c>
      <c r="L52" s="774">
        <f>AVERAGE(W21:W23,W30:W32)</f>
        <v>0</v>
      </c>
      <c r="M52" s="774">
        <f>AVERAGE(W24:W29)</f>
        <v>0</v>
      </c>
    </row>
    <row r="53" spans="1:13">
      <c r="A53" s="55" t="s">
        <v>45</v>
      </c>
      <c r="B53" s="1"/>
      <c r="C53" s="1"/>
      <c r="D53" s="1"/>
      <c r="E53" s="1"/>
      <c r="F53" s="1"/>
      <c r="G53" s="1"/>
      <c r="H53" s="1"/>
      <c r="I53" s="1"/>
      <c r="J53" s="1"/>
      <c r="K53" s="36" t="s">
        <v>392</v>
      </c>
      <c r="L53" s="774">
        <f>AVERAGE(X21:X23,X30:X32)</f>
        <v>0</v>
      </c>
      <c r="M53" s="774">
        <f>AVERAGE(X24:X29)</f>
        <v>0</v>
      </c>
    </row>
    <row r="54" spans="1:13">
      <c r="A54" s="56" t="s">
        <v>46</v>
      </c>
      <c r="B54" s="1"/>
      <c r="C54" s="1"/>
      <c r="D54" s="1"/>
      <c r="E54" s="1"/>
      <c r="F54" s="1"/>
      <c r="G54" s="1"/>
      <c r="H54" s="1"/>
      <c r="I54" s="1"/>
      <c r="J54" s="1"/>
      <c r="K54" s="36" t="s">
        <v>393</v>
      </c>
      <c r="L54" s="774">
        <f>AVERAGE(S21:S23,S30:S32)</f>
        <v>7.7537274650536867</v>
      </c>
      <c r="M54" s="774">
        <f>AVERAGE(S24:S29)</f>
        <v>8.4569908398444724</v>
      </c>
    </row>
    <row r="55" spans="1:13">
      <c r="A55" s="56" t="s">
        <v>47</v>
      </c>
      <c r="B55" s="1"/>
      <c r="C55" s="1"/>
      <c r="D55" s="1"/>
      <c r="E55" s="1"/>
      <c r="F55" s="1"/>
      <c r="G55" s="1"/>
      <c r="H55" s="1"/>
      <c r="I55" s="1"/>
      <c r="J55" s="1"/>
    </row>
    <row r="56" spans="1:13">
      <c r="A56" s="56" t="s">
        <v>48</v>
      </c>
    </row>
    <row r="57" spans="1:13">
      <c r="A57" s="56" t="s">
        <v>49</v>
      </c>
    </row>
    <row r="58" spans="1:13">
      <c r="A58" s="1"/>
    </row>
    <row r="59" spans="1:13">
      <c r="A59" s="1" t="s">
        <v>50</v>
      </c>
    </row>
  </sheetData>
  <mergeCells count="47">
    <mergeCell ref="U41:V41"/>
    <mergeCell ref="U42:V42"/>
    <mergeCell ref="U43:V43"/>
    <mergeCell ref="U44:V44"/>
    <mergeCell ref="J46:M47"/>
    <mergeCell ref="U40:V40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  <mergeCell ref="U28:V28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16:V16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15:V15"/>
    <mergeCell ref="U4:V4"/>
    <mergeCell ref="H1:J1"/>
    <mergeCell ref="K1:R1"/>
    <mergeCell ref="S1:T1"/>
    <mergeCell ref="U1:W1"/>
    <mergeCell ref="U3:V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K52"/>
  <sheetViews>
    <sheetView zoomScale="70" zoomScaleNormal="70" workbookViewId="0">
      <selection activeCell="T40" sqref="T40"/>
    </sheetView>
  </sheetViews>
  <sheetFormatPr baseColWidth="10" defaultRowHeight="15"/>
  <cols>
    <col min="2" max="2" width="13.28515625" bestFit="1" customWidth="1"/>
    <col min="3" max="3" width="5.140625" bestFit="1" customWidth="1"/>
    <col min="4" max="4" width="3.85546875" bestFit="1" customWidth="1"/>
    <col min="5" max="5" width="7.7109375" bestFit="1" customWidth="1"/>
    <col min="6" max="6" width="7.42578125" bestFit="1" customWidth="1"/>
    <col min="7" max="7" width="10.5703125" bestFit="1" customWidth="1"/>
    <col min="8" max="8" width="6.28515625" bestFit="1" customWidth="1"/>
    <col min="9" max="9" width="6.85546875" customWidth="1"/>
    <col min="10" max="11" width="10.28515625" customWidth="1"/>
    <col min="12" max="12" width="7" customWidth="1"/>
    <col min="13" max="13" width="14.85546875" bestFit="1" customWidth="1"/>
    <col min="14" max="14" width="17.7109375" bestFit="1" customWidth="1"/>
    <col min="15" max="15" width="14" bestFit="1" customWidth="1"/>
    <col min="16" max="16" width="18.28515625" bestFit="1" customWidth="1"/>
    <col min="17" max="17" width="17.85546875" bestFit="1" customWidth="1"/>
    <col min="18" max="18" width="17.7109375" bestFit="1" customWidth="1"/>
    <col min="19" max="19" width="14" bestFit="1" customWidth="1"/>
    <col min="20" max="20" width="12.85546875" bestFit="1" customWidth="1"/>
    <col min="21" max="21" width="16.7109375" bestFit="1" customWidth="1"/>
    <col min="22" max="22" width="15.85546875" bestFit="1" customWidth="1"/>
    <col min="23" max="23" width="13.85546875" customWidth="1"/>
    <col min="24" max="24" width="15.85546875" bestFit="1" customWidth="1"/>
    <col min="25" max="25" width="15.85546875" customWidth="1"/>
    <col min="26" max="26" width="13.42578125" bestFit="1" customWidth="1"/>
    <col min="27" max="28" width="13.42578125" customWidth="1"/>
    <col min="29" max="29" width="11" customWidth="1"/>
    <col min="30" max="30" width="9" customWidth="1"/>
    <col min="31" max="31" width="12.85546875" bestFit="1" customWidth="1"/>
    <col min="32" max="32" width="12.85546875" customWidth="1"/>
    <col min="33" max="33" width="13.5703125" bestFit="1" customWidth="1"/>
    <col min="34" max="34" width="19.7109375" bestFit="1" customWidth="1"/>
    <col min="35" max="35" width="19.7109375" customWidth="1"/>
    <col min="36" max="37" width="13" customWidth="1"/>
  </cols>
  <sheetData>
    <row r="1" spans="1:37" ht="72" customHeight="1" thickBot="1">
      <c r="A1" s="1"/>
      <c r="B1" s="1"/>
      <c r="C1" s="2"/>
      <c r="D1" s="2"/>
      <c r="E1" s="2"/>
      <c r="F1" s="2"/>
      <c r="G1" s="2"/>
      <c r="H1" s="2"/>
      <c r="I1" s="1740" t="s">
        <v>170</v>
      </c>
      <c r="J1" s="1741"/>
      <c r="K1" s="1742"/>
      <c r="L1" s="1743" t="s">
        <v>171</v>
      </c>
      <c r="M1" s="1743"/>
      <c r="N1" s="1743"/>
      <c r="O1" s="1743"/>
      <c r="P1" s="1743"/>
      <c r="Q1" s="1743"/>
      <c r="R1" s="1743"/>
      <c r="S1" s="1743"/>
      <c r="T1" s="1743"/>
      <c r="U1" s="1744"/>
      <c r="V1" s="1745" t="s">
        <v>2</v>
      </c>
      <c r="W1" s="1745"/>
      <c r="X1" s="1745"/>
      <c r="Y1" s="1745"/>
      <c r="Z1" s="1745"/>
      <c r="AA1" s="479"/>
      <c r="AB1" s="479"/>
      <c r="AC1" s="1746" t="s">
        <v>3</v>
      </c>
      <c r="AD1" s="1747"/>
      <c r="AE1" s="1748"/>
      <c r="AF1" s="1748"/>
      <c r="AG1" s="1749"/>
      <c r="AH1" s="51"/>
      <c r="AI1" s="51"/>
      <c r="AJ1" s="51"/>
      <c r="AK1" s="51"/>
    </row>
    <row r="2" spans="1:37" ht="15.75" thickBot="1">
      <c r="A2" s="5" t="s">
        <v>4</v>
      </c>
      <c r="B2" s="5" t="s">
        <v>5</v>
      </c>
      <c r="C2" s="8" t="s">
        <v>7</v>
      </c>
      <c r="D2" s="5" t="s">
        <v>6</v>
      </c>
      <c r="E2" s="5" t="s">
        <v>172</v>
      </c>
      <c r="F2" s="5" t="s">
        <v>173</v>
      </c>
      <c r="G2" s="5" t="s">
        <v>174</v>
      </c>
      <c r="H2" s="480" t="s">
        <v>10</v>
      </c>
      <c r="I2" s="481" t="s">
        <v>11</v>
      </c>
      <c r="J2" s="12" t="s">
        <v>12</v>
      </c>
      <c r="K2" s="482" t="s">
        <v>175</v>
      </c>
      <c r="L2" s="483" t="s">
        <v>11</v>
      </c>
      <c r="M2" s="483" t="s">
        <v>176</v>
      </c>
      <c r="N2" s="483" t="s">
        <v>15</v>
      </c>
      <c r="O2" s="483" t="s">
        <v>16</v>
      </c>
      <c r="P2" s="483" t="s">
        <v>177</v>
      </c>
      <c r="Q2" s="483" t="s">
        <v>178</v>
      </c>
      <c r="R2" s="483" t="s">
        <v>18</v>
      </c>
      <c r="S2" s="483" t="s">
        <v>19</v>
      </c>
      <c r="T2" s="483" t="s">
        <v>20</v>
      </c>
      <c r="U2" s="484" t="s">
        <v>179</v>
      </c>
      <c r="V2" s="485" t="s">
        <v>180</v>
      </c>
      <c r="W2" s="486" t="s">
        <v>181</v>
      </c>
      <c r="X2" s="486" t="s">
        <v>21</v>
      </c>
      <c r="Y2" s="486" t="s">
        <v>21</v>
      </c>
      <c r="Z2" s="486" t="s">
        <v>182</v>
      </c>
      <c r="AA2" s="487" t="s">
        <v>22</v>
      </c>
      <c r="AB2" s="487" t="s">
        <v>22</v>
      </c>
      <c r="AC2" s="488" t="s">
        <v>23</v>
      </c>
      <c r="AD2" s="11" t="s">
        <v>24</v>
      </c>
      <c r="AE2" s="12" t="s">
        <v>183</v>
      </c>
      <c r="AF2" s="12"/>
      <c r="AG2" s="489" t="s">
        <v>25</v>
      </c>
      <c r="AH2" s="490" t="s">
        <v>26</v>
      </c>
      <c r="AI2" s="1383"/>
      <c r="AJ2" s="491" t="s">
        <v>27</v>
      </c>
      <c r="AK2" s="1391"/>
    </row>
    <row r="3" spans="1:37" ht="15.75">
      <c r="A3" s="492" t="s">
        <v>28</v>
      </c>
      <c r="B3" s="493">
        <v>41935</v>
      </c>
      <c r="C3" s="492">
        <v>277</v>
      </c>
      <c r="D3" s="492">
        <v>22</v>
      </c>
      <c r="E3" s="492" t="s">
        <v>63</v>
      </c>
      <c r="F3" s="492">
        <v>1</v>
      </c>
      <c r="G3" s="492" t="s">
        <v>81</v>
      </c>
      <c r="H3" s="494" t="s">
        <v>184</v>
      </c>
      <c r="I3" s="495">
        <v>38</v>
      </c>
      <c r="J3" s="496">
        <v>637</v>
      </c>
      <c r="K3" s="497">
        <f>J3*(M3/100)</f>
        <v>100.60440394836752</v>
      </c>
      <c r="L3" s="498">
        <v>8</v>
      </c>
      <c r="M3" s="499">
        <f>(T3+U3)/(P3+Q3)*100</f>
        <v>15.793470007593017</v>
      </c>
      <c r="N3" s="1750">
        <v>108</v>
      </c>
      <c r="O3" s="1750"/>
      <c r="P3" s="500">
        <v>108</v>
      </c>
      <c r="Q3" s="500">
        <v>23.7</v>
      </c>
      <c r="R3" s="1750">
        <v>15.65</v>
      </c>
      <c r="S3" s="1750"/>
      <c r="T3" s="500">
        <v>15.65</v>
      </c>
      <c r="U3" s="501">
        <v>5.15</v>
      </c>
      <c r="V3" s="502">
        <f t="shared" ref="V3:V10" si="0">(J3+P3+Q3)/100</f>
        <v>7.6870000000000003</v>
      </c>
      <c r="W3" s="503">
        <f>(P3+Q3)/100</f>
        <v>1.3169999999999999</v>
      </c>
      <c r="X3" s="503">
        <f>(K3+T3+U3)/100</f>
        <v>1.2140440394836753</v>
      </c>
      <c r="Y3" s="503"/>
      <c r="Z3" s="503">
        <f>(T3+U3)/100</f>
        <v>0.20800000000000002</v>
      </c>
      <c r="AA3" s="497">
        <f>MIN(4.63,4.48*X3^(-0.25))</f>
        <v>4.2679507941110089</v>
      </c>
      <c r="AB3" s="1379"/>
      <c r="AC3" s="1751">
        <v>2.8460000000000001</v>
      </c>
      <c r="AD3" s="1752"/>
      <c r="AE3" s="504">
        <v>1.7766</v>
      </c>
      <c r="AF3" s="505"/>
      <c r="AG3" s="505">
        <f>AC3*T3+AE3*U3</f>
        <v>53.689390000000003</v>
      </c>
      <c r="AH3" s="506">
        <f t="shared" ref="AH3:AH34" si="1">AG3/(SUM(T3:U3))</f>
        <v>2.5812206730769232</v>
      </c>
      <c r="AI3" s="1384"/>
      <c r="AJ3" s="507">
        <f t="shared" ref="AJ3:AJ34" si="2">AH3/AA3</f>
        <v>0.60479157272350359</v>
      </c>
      <c r="AK3" s="1392"/>
    </row>
    <row r="4" spans="1:37" ht="15.75">
      <c r="A4" s="492" t="s">
        <v>28</v>
      </c>
      <c r="B4" s="493">
        <v>41935</v>
      </c>
      <c r="C4" s="492">
        <v>278</v>
      </c>
      <c r="D4" s="492">
        <v>21</v>
      </c>
      <c r="E4" s="492" t="s">
        <v>63</v>
      </c>
      <c r="F4" s="492">
        <v>1</v>
      </c>
      <c r="G4" s="492" t="s">
        <v>158</v>
      </c>
      <c r="H4" s="494" t="s">
        <v>184</v>
      </c>
      <c r="I4" s="508">
        <v>23</v>
      </c>
      <c r="J4" s="509">
        <v>584</v>
      </c>
      <c r="K4" s="510">
        <f t="shared" ref="K4:K34" si="3">J4*(M4/100)</f>
        <v>100.50789743589742</v>
      </c>
      <c r="L4" s="511">
        <v>5</v>
      </c>
      <c r="M4" s="512">
        <f t="shared" ref="M4:M34" si="4">(T4+U4)/(P4+Q4)*100</f>
        <v>17.21025641025641</v>
      </c>
      <c r="N4" s="1753">
        <v>83.6</v>
      </c>
      <c r="O4" s="1753"/>
      <c r="P4" s="509">
        <v>83.6</v>
      </c>
      <c r="Q4" s="509">
        <v>13.9</v>
      </c>
      <c r="R4" s="1753">
        <v>13.57</v>
      </c>
      <c r="S4" s="1753"/>
      <c r="T4" s="509">
        <v>13.57</v>
      </c>
      <c r="U4" s="513">
        <v>3.21</v>
      </c>
      <c r="V4" s="514">
        <f t="shared" si="0"/>
        <v>6.8150000000000004</v>
      </c>
      <c r="W4" s="515">
        <f t="shared" ref="W4:W34" si="5">(P4+Q4)/100</f>
        <v>0.97499999999999998</v>
      </c>
      <c r="X4" s="515">
        <f t="shared" ref="X4:X34" si="6">(K4+T4+U4)/100</f>
        <v>1.1728789743589743</v>
      </c>
      <c r="Y4" s="515"/>
      <c r="Z4" s="515">
        <f t="shared" ref="Z4:Z34" si="7">(T4+U4)/100</f>
        <v>0.1678</v>
      </c>
      <c r="AA4" s="510">
        <f t="shared" ref="AA4:AB34" si="8">MIN(4.63,4.48*X4^(-0.25))</f>
        <v>4.3049163180762582</v>
      </c>
      <c r="AB4" s="1379"/>
      <c r="AC4" s="1751">
        <v>2.7042999999999999</v>
      </c>
      <c r="AD4" s="1752"/>
      <c r="AE4" s="504">
        <v>1.6762999999999999</v>
      </c>
      <c r="AF4" s="505"/>
      <c r="AG4" s="505">
        <f t="shared" ref="AG4:AG10" si="9">AC4*T4+AE4*U4</f>
        <v>42.078273999999993</v>
      </c>
      <c r="AH4" s="516">
        <f t="shared" si="1"/>
        <v>2.5076444576877228</v>
      </c>
      <c r="AI4" s="1385"/>
      <c r="AJ4" s="517">
        <f t="shared" si="2"/>
        <v>0.58250713194079373</v>
      </c>
      <c r="AK4" s="1392"/>
    </row>
    <row r="5" spans="1:37" ht="15.75">
      <c r="A5" s="492" t="s">
        <v>28</v>
      </c>
      <c r="B5" s="493">
        <v>41935</v>
      </c>
      <c r="C5" s="492">
        <v>278</v>
      </c>
      <c r="D5" s="492">
        <v>12</v>
      </c>
      <c r="E5" s="492" t="s">
        <v>64</v>
      </c>
      <c r="F5" s="492">
        <v>1</v>
      </c>
      <c r="G5" s="492" t="s">
        <v>81</v>
      </c>
      <c r="H5" s="494" t="s">
        <v>184</v>
      </c>
      <c r="I5" s="508">
        <v>25</v>
      </c>
      <c r="J5" s="509">
        <v>259</v>
      </c>
      <c r="K5" s="510">
        <f t="shared" si="3"/>
        <v>41.219298245614027</v>
      </c>
      <c r="L5" s="511">
        <v>5</v>
      </c>
      <c r="M5" s="512">
        <f t="shared" si="4"/>
        <v>15.914786967418543</v>
      </c>
      <c r="N5" s="1753">
        <v>65.900000000000006</v>
      </c>
      <c r="O5" s="1753"/>
      <c r="P5" s="509">
        <v>65.900000000000006</v>
      </c>
      <c r="Q5" s="509">
        <v>13.9</v>
      </c>
      <c r="R5" s="1753">
        <v>10</v>
      </c>
      <c r="S5" s="1753"/>
      <c r="T5" s="509">
        <v>10</v>
      </c>
      <c r="U5" s="513">
        <v>2.7</v>
      </c>
      <c r="V5" s="514">
        <f t="shared" si="0"/>
        <v>3.3879999999999995</v>
      </c>
      <c r="W5" s="515">
        <f t="shared" si="5"/>
        <v>0.79800000000000015</v>
      </c>
      <c r="X5" s="515">
        <f t="shared" si="6"/>
        <v>0.53919298245614034</v>
      </c>
      <c r="Y5" s="515"/>
      <c r="Z5" s="515">
        <f t="shared" si="7"/>
        <v>0.127</v>
      </c>
      <c r="AA5" s="510">
        <f t="shared" si="8"/>
        <v>4.63</v>
      </c>
      <c r="AB5" s="1379"/>
      <c r="AC5" s="1751">
        <v>2.6173999999999999</v>
      </c>
      <c r="AD5" s="1752"/>
      <c r="AE5" s="504">
        <v>1.9141999999999999</v>
      </c>
      <c r="AF5" s="505"/>
      <c r="AG5" s="505">
        <f t="shared" si="9"/>
        <v>31.34234</v>
      </c>
      <c r="AH5" s="516">
        <f t="shared" si="1"/>
        <v>2.4679007874015748</v>
      </c>
      <c r="AI5" s="1385"/>
      <c r="AJ5" s="517">
        <f t="shared" si="2"/>
        <v>0.53302392816448696</v>
      </c>
      <c r="AK5" s="1392"/>
    </row>
    <row r="6" spans="1:37" ht="15.75">
      <c r="A6" s="492" t="s">
        <v>28</v>
      </c>
      <c r="B6" s="493">
        <v>41935</v>
      </c>
      <c r="C6" s="492">
        <v>275</v>
      </c>
      <c r="D6" s="492">
        <v>12</v>
      </c>
      <c r="E6" s="492" t="s">
        <v>64</v>
      </c>
      <c r="F6" s="492">
        <v>1</v>
      </c>
      <c r="G6" s="492" t="s">
        <v>158</v>
      </c>
      <c r="H6" s="494" t="s">
        <v>184</v>
      </c>
      <c r="I6" s="508">
        <v>41</v>
      </c>
      <c r="J6" s="509">
        <v>303</v>
      </c>
      <c r="K6" s="510">
        <f t="shared" si="3"/>
        <v>51.426357969723959</v>
      </c>
      <c r="L6" s="511">
        <v>9</v>
      </c>
      <c r="M6" s="512">
        <f t="shared" si="4"/>
        <v>16.972395369545861</v>
      </c>
      <c r="N6" s="1753">
        <v>93</v>
      </c>
      <c r="O6" s="1753"/>
      <c r="P6" s="509">
        <v>93</v>
      </c>
      <c r="Q6" s="509">
        <v>19.3</v>
      </c>
      <c r="R6" s="1753">
        <v>14.83</v>
      </c>
      <c r="S6" s="1753"/>
      <c r="T6" s="509">
        <v>14.83</v>
      </c>
      <c r="U6" s="513">
        <v>4.2300000000000004</v>
      </c>
      <c r="V6" s="514">
        <f t="shared" si="0"/>
        <v>4.1530000000000005</v>
      </c>
      <c r="W6" s="515">
        <f t="shared" si="5"/>
        <v>1.123</v>
      </c>
      <c r="X6" s="515">
        <f t="shared" si="6"/>
        <v>0.70486357969723967</v>
      </c>
      <c r="Y6" s="515"/>
      <c r="Z6" s="515">
        <f t="shared" si="7"/>
        <v>0.19060000000000002</v>
      </c>
      <c r="AA6" s="510">
        <f t="shared" si="8"/>
        <v>4.63</v>
      </c>
      <c r="AB6" s="1379"/>
      <c r="AC6" s="1751">
        <v>2.7816999999999998</v>
      </c>
      <c r="AD6" s="1752"/>
      <c r="AE6" s="504">
        <v>1.8202</v>
      </c>
      <c r="AF6" s="505"/>
      <c r="AG6" s="505">
        <f t="shared" si="9"/>
        <v>48.952056999999996</v>
      </c>
      <c r="AH6" s="516">
        <f t="shared" si="1"/>
        <v>2.5683135886673658</v>
      </c>
      <c r="AI6" s="1385"/>
      <c r="AJ6" s="517">
        <f t="shared" si="2"/>
        <v>0.5547113582434916</v>
      </c>
      <c r="AK6" s="1392"/>
    </row>
    <row r="7" spans="1:37" ht="15.75">
      <c r="A7" s="492" t="s">
        <v>28</v>
      </c>
      <c r="B7" s="493">
        <v>41935</v>
      </c>
      <c r="C7" s="492">
        <v>300</v>
      </c>
      <c r="D7" s="492">
        <v>21</v>
      </c>
      <c r="E7" s="492" t="s">
        <v>64</v>
      </c>
      <c r="F7" s="492">
        <v>2</v>
      </c>
      <c r="G7" s="492" t="s">
        <v>81</v>
      </c>
      <c r="H7" s="494" t="s">
        <v>184</v>
      </c>
      <c r="I7" s="508">
        <v>16</v>
      </c>
      <c r="J7" s="509">
        <v>516</v>
      </c>
      <c r="K7" s="510">
        <f t="shared" si="3"/>
        <v>71.440760869565224</v>
      </c>
      <c r="L7" s="511">
        <v>2</v>
      </c>
      <c r="M7" s="512">
        <f t="shared" si="4"/>
        <v>13.845108695652176</v>
      </c>
      <c r="N7" s="1753">
        <v>64.3</v>
      </c>
      <c r="O7" s="1753"/>
      <c r="P7" s="509">
        <v>64.3</v>
      </c>
      <c r="Q7" s="509">
        <v>9.3000000000000007</v>
      </c>
      <c r="R7" s="1753">
        <v>8.25</v>
      </c>
      <c r="S7" s="1753"/>
      <c r="T7" s="509">
        <v>8.25</v>
      </c>
      <c r="U7" s="513">
        <v>1.94</v>
      </c>
      <c r="V7" s="514">
        <f t="shared" si="0"/>
        <v>5.895999999999999</v>
      </c>
      <c r="W7" s="515">
        <f t="shared" si="5"/>
        <v>0.73599999999999999</v>
      </c>
      <c r="X7" s="515">
        <f t="shared" si="6"/>
        <v>0.81630760869565222</v>
      </c>
      <c r="Y7" s="515"/>
      <c r="Z7" s="515">
        <f t="shared" si="7"/>
        <v>0.10189999999999999</v>
      </c>
      <c r="AA7" s="510">
        <f t="shared" si="8"/>
        <v>4.63</v>
      </c>
      <c r="AB7" s="1379"/>
      <c r="AC7" s="1751">
        <v>2.8481999999999998</v>
      </c>
      <c r="AD7" s="1752"/>
      <c r="AE7" s="504">
        <v>1.9238999999999999</v>
      </c>
      <c r="AF7" s="505"/>
      <c r="AG7" s="505">
        <f t="shared" si="9"/>
        <v>27.230015999999999</v>
      </c>
      <c r="AH7" s="516">
        <f t="shared" si="1"/>
        <v>2.6722292443572129</v>
      </c>
      <c r="AI7" s="1385"/>
      <c r="AJ7" s="517">
        <f t="shared" si="2"/>
        <v>0.57715534435360971</v>
      </c>
      <c r="AK7" s="1392"/>
    </row>
    <row r="8" spans="1:37" ht="15.75">
      <c r="A8" s="492" t="s">
        <v>28</v>
      </c>
      <c r="B8" s="493">
        <v>41935</v>
      </c>
      <c r="C8" s="492">
        <v>303</v>
      </c>
      <c r="D8" s="492">
        <v>22</v>
      </c>
      <c r="E8" s="492" t="s">
        <v>64</v>
      </c>
      <c r="F8" s="492">
        <v>2</v>
      </c>
      <c r="G8" s="492" t="s">
        <v>158</v>
      </c>
      <c r="H8" s="494" t="s">
        <v>184</v>
      </c>
      <c r="I8" s="508">
        <v>33</v>
      </c>
      <c r="J8" s="509">
        <v>489</v>
      </c>
      <c r="K8" s="510">
        <f t="shared" si="3"/>
        <v>82.560050675675669</v>
      </c>
      <c r="L8" s="511">
        <v>8</v>
      </c>
      <c r="M8" s="512">
        <f t="shared" si="4"/>
        <v>16.883445945945944</v>
      </c>
      <c r="N8" s="1753">
        <v>100.8</v>
      </c>
      <c r="O8" s="1753"/>
      <c r="P8" s="509">
        <v>100.8</v>
      </c>
      <c r="Q8" s="509">
        <v>17.600000000000001</v>
      </c>
      <c r="R8" s="1753">
        <v>15.86</v>
      </c>
      <c r="S8" s="1753"/>
      <c r="T8" s="509">
        <v>15.86</v>
      </c>
      <c r="U8" s="513">
        <v>4.13</v>
      </c>
      <c r="V8" s="514">
        <f t="shared" si="0"/>
        <v>6.0739999999999998</v>
      </c>
      <c r="W8" s="515">
        <f t="shared" si="5"/>
        <v>1.1840000000000002</v>
      </c>
      <c r="X8" s="515">
        <f t="shared" si="6"/>
        <v>1.0255005067567566</v>
      </c>
      <c r="Y8" s="515"/>
      <c r="Z8" s="515">
        <f t="shared" si="7"/>
        <v>0.19989999999999999</v>
      </c>
      <c r="AA8" s="510">
        <f t="shared" si="8"/>
        <v>4.4518860963341806</v>
      </c>
      <c r="AB8" s="1379"/>
      <c r="AC8" s="1751">
        <v>2.8738999999999999</v>
      </c>
      <c r="AD8" s="1752"/>
      <c r="AE8" s="504">
        <v>1.5913999999999999</v>
      </c>
      <c r="AF8" s="505"/>
      <c r="AG8" s="505">
        <f t="shared" si="9"/>
        <v>52.152535999999998</v>
      </c>
      <c r="AH8" s="516">
        <f t="shared" si="1"/>
        <v>2.6089312656328163</v>
      </c>
      <c r="AI8" s="1385"/>
      <c r="AJ8" s="517">
        <f t="shared" si="2"/>
        <v>0.58602830557167451</v>
      </c>
      <c r="AK8" s="1392"/>
    </row>
    <row r="9" spans="1:37" ht="15.75">
      <c r="A9" s="492" t="s">
        <v>28</v>
      </c>
      <c r="B9" s="493">
        <v>41935</v>
      </c>
      <c r="C9" s="492">
        <v>327</v>
      </c>
      <c r="D9" s="492">
        <v>16</v>
      </c>
      <c r="E9" s="492" t="s">
        <v>63</v>
      </c>
      <c r="F9" s="492">
        <v>2</v>
      </c>
      <c r="G9" s="492" t="s">
        <v>81</v>
      </c>
      <c r="H9" s="494" t="s">
        <v>184</v>
      </c>
      <c r="I9" s="508">
        <v>29</v>
      </c>
      <c r="J9" s="509">
        <v>920</v>
      </c>
      <c r="K9" s="510">
        <f t="shared" si="3"/>
        <v>135.04901960784315</v>
      </c>
      <c r="L9" s="511">
        <v>6</v>
      </c>
      <c r="M9" s="512">
        <f t="shared" si="4"/>
        <v>14.679241261722082</v>
      </c>
      <c r="N9" s="1753">
        <v>161.5</v>
      </c>
      <c r="O9" s="1753"/>
      <c r="P9" s="509">
        <v>161.5</v>
      </c>
      <c r="Q9" s="509">
        <v>26.18</v>
      </c>
      <c r="R9" s="1753">
        <v>21.8</v>
      </c>
      <c r="S9" s="1753"/>
      <c r="T9" s="509">
        <v>21.8</v>
      </c>
      <c r="U9" s="513">
        <v>5.75</v>
      </c>
      <c r="V9" s="514">
        <f t="shared" si="0"/>
        <v>11.0768</v>
      </c>
      <c r="W9" s="515">
        <f t="shared" si="5"/>
        <v>1.8768</v>
      </c>
      <c r="X9" s="515">
        <f t="shared" si="6"/>
        <v>1.6259901960784315</v>
      </c>
      <c r="Y9" s="515"/>
      <c r="Z9" s="515">
        <f t="shared" si="7"/>
        <v>0.27550000000000002</v>
      </c>
      <c r="AA9" s="510">
        <f t="shared" si="8"/>
        <v>3.9673318910631119</v>
      </c>
      <c r="AB9" s="1379"/>
      <c r="AC9" s="1751">
        <v>3.0181</v>
      </c>
      <c r="AD9" s="1752"/>
      <c r="AE9" s="504">
        <v>1.6033999999999999</v>
      </c>
      <c r="AF9" s="505"/>
      <c r="AG9" s="505">
        <f t="shared" si="9"/>
        <v>75.014129999999994</v>
      </c>
      <c r="AH9" s="516">
        <f t="shared" si="1"/>
        <v>2.7228359346642463</v>
      </c>
      <c r="AI9" s="1385"/>
      <c r="AJ9" s="517">
        <f t="shared" si="2"/>
        <v>0.68631412985582552</v>
      </c>
      <c r="AK9" s="1392"/>
    </row>
    <row r="10" spans="1:37" ht="16.5" thickBot="1">
      <c r="A10" s="518" t="s">
        <v>28</v>
      </c>
      <c r="B10" s="493">
        <v>41935</v>
      </c>
      <c r="C10" s="518">
        <v>328</v>
      </c>
      <c r="D10" s="518">
        <v>16</v>
      </c>
      <c r="E10" s="518" t="s">
        <v>63</v>
      </c>
      <c r="F10" s="518">
        <v>2</v>
      </c>
      <c r="G10" s="518" t="s">
        <v>158</v>
      </c>
      <c r="H10" s="519" t="s">
        <v>184</v>
      </c>
      <c r="I10" s="520">
        <v>34</v>
      </c>
      <c r="J10" s="521">
        <v>645</v>
      </c>
      <c r="K10" s="522">
        <f t="shared" si="3"/>
        <v>105.67527675276753</v>
      </c>
      <c r="L10" s="523">
        <v>7</v>
      </c>
      <c r="M10" s="524">
        <f t="shared" si="4"/>
        <v>16.383763837638377</v>
      </c>
      <c r="N10" s="1754">
        <v>92.2</v>
      </c>
      <c r="O10" s="1754"/>
      <c r="P10" s="525">
        <v>92.2</v>
      </c>
      <c r="Q10" s="525">
        <v>16.2</v>
      </c>
      <c r="R10" s="1754">
        <v>14.23</v>
      </c>
      <c r="S10" s="1754"/>
      <c r="T10" s="525">
        <v>14.23</v>
      </c>
      <c r="U10" s="526">
        <v>3.53</v>
      </c>
      <c r="V10" s="527">
        <f t="shared" si="0"/>
        <v>7.5340000000000007</v>
      </c>
      <c r="W10" s="528">
        <f t="shared" si="5"/>
        <v>1.0840000000000001</v>
      </c>
      <c r="X10" s="528">
        <f t="shared" si="6"/>
        <v>1.2343527675276753</v>
      </c>
      <c r="Y10" s="528"/>
      <c r="Z10" s="528">
        <f t="shared" si="7"/>
        <v>0.17760000000000001</v>
      </c>
      <c r="AA10" s="522">
        <f t="shared" si="8"/>
        <v>4.2502863492884622</v>
      </c>
      <c r="AB10" s="1379"/>
      <c r="AC10" s="1755">
        <v>2.5387</v>
      </c>
      <c r="AD10" s="1756"/>
      <c r="AE10" s="529">
        <v>1.5329999999999999</v>
      </c>
      <c r="AF10" s="530"/>
      <c r="AG10" s="530">
        <f t="shared" si="9"/>
        <v>41.537191</v>
      </c>
      <c r="AH10" s="531">
        <f t="shared" si="1"/>
        <v>2.3388057995495495</v>
      </c>
      <c r="AI10" s="1386"/>
      <c r="AJ10" s="532">
        <f t="shared" si="2"/>
        <v>0.55027017178291704</v>
      </c>
      <c r="AK10" s="1392"/>
    </row>
    <row r="11" spans="1:37" ht="15.75">
      <c r="A11" s="533" t="s">
        <v>34</v>
      </c>
      <c r="B11" s="534">
        <v>42026</v>
      </c>
      <c r="C11" s="535">
        <v>277</v>
      </c>
      <c r="D11" s="535">
        <v>22</v>
      </c>
      <c r="E11" s="535" t="s">
        <v>63</v>
      </c>
      <c r="F11" s="535">
        <v>1</v>
      </c>
      <c r="G11" s="535" t="s">
        <v>81</v>
      </c>
      <c r="H11" s="536" t="s">
        <v>130</v>
      </c>
      <c r="I11" s="537">
        <v>28</v>
      </c>
      <c r="J11" s="538">
        <v>732</v>
      </c>
      <c r="K11" s="539">
        <f t="shared" si="3"/>
        <v>129.1764705882353</v>
      </c>
      <c r="L11" s="540">
        <v>6</v>
      </c>
      <c r="M11" s="541">
        <f t="shared" si="4"/>
        <v>17.647058823529413</v>
      </c>
      <c r="N11" s="1757">
        <v>162</v>
      </c>
      <c r="O11" s="1757"/>
      <c r="P11" s="542">
        <v>162</v>
      </c>
      <c r="Q11" s="542">
        <v>42</v>
      </c>
      <c r="R11" s="1757">
        <v>26</v>
      </c>
      <c r="S11" s="1757"/>
      <c r="T11" s="542">
        <v>26</v>
      </c>
      <c r="U11" s="543">
        <v>10</v>
      </c>
      <c r="V11" s="544">
        <f t="shared" ref="V11:V34" si="10">(Q11+P11+J11)/100</f>
        <v>9.36</v>
      </c>
      <c r="W11" s="545">
        <f t="shared" si="5"/>
        <v>2.04</v>
      </c>
      <c r="X11" s="545">
        <f t="shared" si="6"/>
        <v>1.651764705882353</v>
      </c>
      <c r="Y11" s="545"/>
      <c r="Z11" s="545">
        <f t="shared" si="7"/>
        <v>0.36</v>
      </c>
      <c r="AA11" s="539">
        <f t="shared" si="8"/>
        <v>3.9517637081552102</v>
      </c>
      <c r="AB11" s="1380"/>
      <c r="AC11" s="1758">
        <v>2.9544000000000001</v>
      </c>
      <c r="AD11" s="1759"/>
      <c r="AE11" s="546">
        <v>2.1061999999999999</v>
      </c>
      <c r="AF11" s="547"/>
      <c r="AG11" s="547">
        <f t="shared" ref="AG11:AG18" si="11">AC11*T11+U11*AE11</f>
        <v>97.876400000000004</v>
      </c>
      <c r="AH11" s="548">
        <f t="shared" si="1"/>
        <v>2.7187888888888891</v>
      </c>
      <c r="AI11" s="1380"/>
      <c r="AJ11" s="549">
        <f t="shared" si="2"/>
        <v>0.68799378952697887</v>
      </c>
      <c r="AK11" s="1393"/>
    </row>
    <row r="12" spans="1:37" ht="15.75">
      <c r="A12" s="550" t="s">
        <v>34</v>
      </c>
      <c r="B12" s="551">
        <v>42026</v>
      </c>
      <c r="C12" s="552">
        <v>278</v>
      </c>
      <c r="D12" s="552">
        <v>21</v>
      </c>
      <c r="E12" s="552" t="s">
        <v>63</v>
      </c>
      <c r="F12" s="552">
        <v>1</v>
      </c>
      <c r="G12" s="552" t="s">
        <v>158</v>
      </c>
      <c r="H12" s="553" t="s">
        <v>130</v>
      </c>
      <c r="I12" s="554">
        <v>30</v>
      </c>
      <c r="J12" s="555">
        <v>983</v>
      </c>
      <c r="K12" s="556">
        <f t="shared" si="3"/>
        <v>186.43103448275861</v>
      </c>
      <c r="L12" s="557">
        <v>6</v>
      </c>
      <c r="M12" s="558">
        <f t="shared" si="4"/>
        <v>18.96551724137931</v>
      </c>
      <c r="N12" s="1760">
        <v>139</v>
      </c>
      <c r="O12" s="1760"/>
      <c r="P12" s="559">
        <v>139</v>
      </c>
      <c r="Q12" s="559">
        <v>35</v>
      </c>
      <c r="R12" s="1760">
        <v>25</v>
      </c>
      <c r="S12" s="1760"/>
      <c r="T12" s="559">
        <v>25</v>
      </c>
      <c r="U12" s="560">
        <v>8</v>
      </c>
      <c r="V12" s="561">
        <f t="shared" si="10"/>
        <v>11.57</v>
      </c>
      <c r="W12" s="562">
        <f t="shared" si="5"/>
        <v>1.74</v>
      </c>
      <c r="X12" s="562">
        <f t="shared" si="6"/>
        <v>2.1943103448275862</v>
      </c>
      <c r="Y12" s="562"/>
      <c r="Z12" s="562">
        <f t="shared" si="7"/>
        <v>0.33</v>
      </c>
      <c r="AA12" s="556">
        <f t="shared" si="8"/>
        <v>3.6808956126108279</v>
      </c>
      <c r="AB12" s="1381"/>
      <c r="AC12" s="1761">
        <v>2.8502000000000001</v>
      </c>
      <c r="AD12" s="1762"/>
      <c r="AE12" s="563">
        <v>2.0548999999999999</v>
      </c>
      <c r="AF12" s="564"/>
      <c r="AG12" s="564">
        <f t="shared" si="11"/>
        <v>87.694199999999995</v>
      </c>
      <c r="AH12" s="565">
        <f t="shared" si="1"/>
        <v>2.6574</v>
      </c>
      <c r="AI12" s="1381"/>
      <c r="AJ12" s="566">
        <f t="shared" si="2"/>
        <v>0.72194386357920348</v>
      </c>
      <c r="AK12" s="1393"/>
    </row>
    <row r="13" spans="1:37" ht="15.75">
      <c r="A13" s="550" t="s">
        <v>34</v>
      </c>
      <c r="B13" s="551">
        <v>42026</v>
      </c>
      <c r="C13" s="552">
        <v>278</v>
      </c>
      <c r="D13" s="552">
        <v>12</v>
      </c>
      <c r="E13" s="552" t="s">
        <v>64</v>
      </c>
      <c r="F13" s="552">
        <v>1</v>
      </c>
      <c r="G13" s="552" t="s">
        <v>81</v>
      </c>
      <c r="H13" s="553" t="s">
        <v>130</v>
      </c>
      <c r="I13" s="554">
        <v>24</v>
      </c>
      <c r="J13" s="555">
        <v>438</v>
      </c>
      <c r="K13" s="556">
        <f t="shared" si="3"/>
        <v>80.591999999999999</v>
      </c>
      <c r="L13" s="557">
        <v>6</v>
      </c>
      <c r="M13" s="558">
        <f t="shared" si="4"/>
        <v>18.399999999999999</v>
      </c>
      <c r="N13" s="1760">
        <v>94</v>
      </c>
      <c r="O13" s="1760"/>
      <c r="P13" s="559">
        <v>94</v>
      </c>
      <c r="Q13" s="559">
        <v>31</v>
      </c>
      <c r="R13" s="1760">
        <v>16</v>
      </c>
      <c r="S13" s="1760"/>
      <c r="T13" s="559">
        <v>16</v>
      </c>
      <c r="U13" s="560">
        <v>7</v>
      </c>
      <c r="V13" s="561">
        <f t="shared" si="10"/>
        <v>5.63</v>
      </c>
      <c r="W13" s="562">
        <f t="shared" si="5"/>
        <v>1.25</v>
      </c>
      <c r="X13" s="562">
        <f t="shared" si="6"/>
        <v>1.03592</v>
      </c>
      <c r="Y13" s="562"/>
      <c r="Z13" s="562">
        <f t="shared" si="7"/>
        <v>0.23</v>
      </c>
      <c r="AA13" s="556">
        <f t="shared" si="8"/>
        <v>4.44064913010632</v>
      </c>
      <c r="AB13" s="1381"/>
      <c r="AC13" s="1761">
        <v>3.2568000000000001</v>
      </c>
      <c r="AD13" s="1762"/>
      <c r="AE13" s="563">
        <v>2.3001999999999998</v>
      </c>
      <c r="AF13" s="564"/>
      <c r="AG13" s="564">
        <f t="shared" si="11"/>
        <v>68.2102</v>
      </c>
      <c r="AH13" s="565">
        <f t="shared" si="1"/>
        <v>2.9656608695652174</v>
      </c>
      <c r="AI13" s="1381"/>
      <c r="AJ13" s="566">
        <f t="shared" si="2"/>
        <v>0.66784399818010665</v>
      </c>
      <c r="AK13" s="1393"/>
    </row>
    <row r="14" spans="1:37" ht="15.75">
      <c r="A14" s="550" t="s">
        <v>34</v>
      </c>
      <c r="B14" s="551">
        <v>42026</v>
      </c>
      <c r="C14" s="552">
        <v>275</v>
      </c>
      <c r="D14" s="552">
        <v>12</v>
      </c>
      <c r="E14" s="552" t="s">
        <v>64</v>
      </c>
      <c r="F14" s="552">
        <v>1</v>
      </c>
      <c r="G14" s="552" t="s">
        <v>158</v>
      </c>
      <c r="H14" s="553" t="s">
        <v>130</v>
      </c>
      <c r="I14" s="554">
        <v>39</v>
      </c>
      <c r="J14" s="555">
        <v>453</v>
      </c>
      <c r="K14" s="556">
        <f t="shared" si="3"/>
        <v>77.215909090909079</v>
      </c>
      <c r="L14" s="557">
        <v>9</v>
      </c>
      <c r="M14" s="558">
        <f t="shared" si="4"/>
        <v>17.045454545454543</v>
      </c>
      <c r="N14" s="1760">
        <v>71</v>
      </c>
      <c r="O14" s="1760"/>
      <c r="P14" s="559">
        <v>71</v>
      </c>
      <c r="Q14" s="559">
        <v>17</v>
      </c>
      <c r="R14" s="1760">
        <v>12</v>
      </c>
      <c r="S14" s="1760"/>
      <c r="T14" s="559">
        <v>12</v>
      </c>
      <c r="U14" s="560">
        <v>3</v>
      </c>
      <c r="V14" s="561">
        <f t="shared" si="10"/>
        <v>5.41</v>
      </c>
      <c r="W14" s="562">
        <f t="shared" si="5"/>
        <v>0.88</v>
      </c>
      <c r="X14" s="562">
        <f t="shared" si="6"/>
        <v>0.92215909090909076</v>
      </c>
      <c r="Y14" s="562"/>
      <c r="Z14" s="562">
        <f t="shared" si="7"/>
        <v>0.15</v>
      </c>
      <c r="AA14" s="556">
        <f t="shared" si="8"/>
        <v>4.5716876544814466</v>
      </c>
      <c r="AB14" s="1381"/>
      <c r="AC14" s="1761">
        <v>3.3500999999999999</v>
      </c>
      <c r="AD14" s="1762"/>
      <c r="AE14" s="563">
        <v>2.4340999999999999</v>
      </c>
      <c r="AF14" s="564"/>
      <c r="AG14" s="564">
        <f t="shared" si="11"/>
        <v>47.503500000000003</v>
      </c>
      <c r="AH14" s="565">
        <f t="shared" si="1"/>
        <v>3.1669</v>
      </c>
      <c r="AI14" s="1381"/>
      <c r="AJ14" s="566">
        <f t="shared" si="2"/>
        <v>0.69272011549074486</v>
      </c>
      <c r="AK14" s="1393"/>
    </row>
    <row r="15" spans="1:37" ht="15.75">
      <c r="A15" s="550" t="s">
        <v>34</v>
      </c>
      <c r="B15" s="551">
        <v>42026</v>
      </c>
      <c r="C15" s="552">
        <v>300</v>
      </c>
      <c r="D15" s="552">
        <v>21</v>
      </c>
      <c r="E15" s="552" t="s">
        <v>64</v>
      </c>
      <c r="F15" s="552">
        <v>2</v>
      </c>
      <c r="G15" s="552" t="s">
        <v>81</v>
      </c>
      <c r="H15" s="553" t="s">
        <v>130</v>
      </c>
      <c r="I15" s="554">
        <v>18</v>
      </c>
      <c r="J15" s="555">
        <v>633</v>
      </c>
      <c r="K15" s="556">
        <f t="shared" si="3"/>
        <v>124.23364485981308</v>
      </c>
      <c r="L15" s="557">
        <v>4</v>
      </c>
      <c r="M15" s="558">
        <f t="shared" si="4"/>
        <v>19.626168224299064</v>
      </c>
      <c r="N15" s="1760">
        <v>170</v>
      </c>
      <c r="O15" s="1760"/>
      <c r="P15" s="559">
        <v>170</v>
      </c>
      <c r="Q15" s="559">
        <v>44</v>
      </c>
      <c r="R15" s="1760">
        <v>31</v>
      </c>
      <c r="S15" s="1760"/>
      <c r="T15" s="559">
        <v>31</v>
      </c>
      <c r="U15" s="560">
        <v>11</v>
      </c>
      <c r="V15" s="561">
        <f t="shared" si="10"/>
        <v>8.4700000000000006</v>
      </c>
      <c r="W15" s="562">
        <f t="shared" si="5"/>
        <v>2.14</v>
      </c>
      <c r="X15" s="562">
        <f t="shared" si="6"/>
        <v>1.6623364485981307</v>
      </c>
      <c r="Y15" s="562"/>
      <c r="Z15" s="562">
        <f t="shared" si="7"/>
        <v>0.42</v>
      </c>
      <c r="AA15" s="556">
        <f t="shared" si="8"/>
        <v>3.9454657905586643</v>
      </c>
      <c r="AB15" s="1381"/>
      <c r="AC15" s="1761">
        <v>3.0261</v>
      </c>
      <c r="AD15" s="1762"/>
      <c r="AE15" s="563">
        <v>2.4249999999999998</v>
      </c>
      <c r="AF15" s="564"/>
      <c r="AG15" s="564">
        <f t="shared" si="11"/>
        <v>120.4841</v>
      </c>
      <c r="AH15" s="565">
        <f t="shared" si="1"/>
        <v>2.8686690476190475</v>
      </c>
      <c r="AI15" s="1381"/>
      <c r="AJ15" s="566">
        <f t="shared" si="2"/>
        <v>0.72707994439684498</v>
      </c>
      <c r="AK15" s="1393"/>
    </row>
    <row r="16" spans="1:37" ht="15.75">
      <c r="A16" s="550" t="s">
        <v>34</v>
      </c>
      <c r="B16" s="551">
        <v>42026</v>
      </c>
      <c r="C16" s="552">
        <v>303</v>
      </c>
      <c r="D16" s="552">
        <v>22</v>
      </c>
      <c r="E16" s="552" t="s">
        <v>64</v>
      </c>
      <c r="F16" s="552">
        <v>2</v>
      </c>
      <c r="G16" s="552" t="s">
        <v>158</v>
      </c>
      <c r="H16" s="553" t="s">
        <v>130</v>
      </c>
      <c r="I16" s="554">
        <v>24</v>
      </c>
      <c r="J16" s="555">
        <v>435</v>
      </c>
      <c r="K16" s="556">
        <f t="shared" si="3"/>
        <v>77.971698113207538</v>
      </c>
      <c r="L16" s="557">
        <v>5</v>
      </c>
      <c r="M16" s="558">
        <f t="shared" si="4"/>
        <v>17.924528301886792</v>
      </c>
      <c r="N16" s="1760">
        <v>88</v>
      </c>
      <c r="O16" s="1760"/>
      <c r="P16" s="559">
        <v>88</v>
      </c>
      <c r="Q16" s="559">
        <v>18</v>
      </c>
      <c r="R16" s="1760">
        <v>15</v>
      </c>
      <c r="S16" s="1760"/>
      <c r="T16" s="559">
        <v>15</v>
      </c>
      <c r="U16" s="560">
        <v>4</v>
      </c>
      <c r="V16" s="561">
        <f t="shared" si="10"/>
        <v>5.41</v>
      </c>
      <c r="W16" s="562">
        <f t="shared" si="5"/>
        <v>1.06</v>
      </c>
      <c r="X16" s="562">
        <f t="shared" si="6"/>
        <v>0.96971698113207538</v>
      </c>
      <c r="Y16" s="562"/>
      <c r="Z16" s="562">
        <f t="shared" si="7"/>
        <v>0.19</v>
      </c>
      <c r="AA16" s="556">
        <f t="shared" si="8"/>
        <v>4.5145738721954265</v>
      </c>
      <c r="AB16" s="1381"/>
      <c r="AC16" s="1761">
        <v>3.2740999999999998</v>
      </c>
      <c r="AD16" s="1762"/>
      <c r="AE16" s="563">
        <v>2.0796999999999999</v>
      </c>
      <c r="AF16" s="564"/>
      <c r="AG16" s="564">
        <f t="shared" si="11"/>
        <v>57.430300000000003</v>
      </c>
      <c r="AH16" s="565">
        <f t="shared" si="1"/>
        <v>3.0226473684210529</v>
      </c>
      <c r="AI16" s="1381"/>
      <c r="AJ16" s="566">
        <f t="shared" si="2"/>
        <v>0.66953104633796734</v>
      </c>
      <c r="AK16" s="1393"/>
    </row>
    <row r="17" spans="1:37" ht="15.75">
      <c r="A17" s="550" t="s">
        <v>34</v>
      </c>
      <c r="B17" s="551">
        <v>42026</v>
      </c>
      <c r="C17" s="552">
        <v>327</v>
      </c>
      <c r="D17" s="552">
        <v>16</v>
      </c>
      <c r="E17" s="552" t="s">
        <v>63</v>
      </c>
      <c r="F17" s="552">
        <v>2</v>
      </c>
      <c r="G17" s="552" t="s">
        <v>81</v>
      </c>
      <c r="H17" s="553" t="s">
        <v>130</v>
      </c>
      <c r="I17" s="554">
        <v>26</v>
      </c>
      <c r="J17" s="555">
        <v>734</v>
      </c>
      <c r="K17" s="556">
        <f t="shared" si="3"/>
        <v>134.32679738562089</v>
      </c>
      <c r="L17" s="557">
        <v>5</v>
      </c>
      <c r="M17" s="558">
        <f t="shared" si="4"/>
        <v>18.300653594771241</v>
      </c>
      <c r="N17" s="1760">
        <v>113</v>
      </c>
      <c r="O17" s="1760"/>
      <c r="P17" s="559">
        <v>113</v>
      </c>
      <c r="Q17" s="559">
        <v>40</v>
      </c>
      <c r="R17" s="1760">
        <v>19</v>
      </c>
      <c r="S17" s="1760"/>
      <c r="T17" s="559">
        <v>19</v>
      </c>
      <c r="U17" s="560">
        <v>9</v>
      </c>
      <c r="V17" s="561">
        <f t="shared" si="10"/>
        <v>8.8699999999999992</v>
      </c>
      <c r="W17" s="562">
        <f t="shared" si="5"/>
        <v>1.53</v>
      </c>
      <c r="X17" s="562">
        <f t="shared" si="6"/>
        <v>1.623267973856209</v>
      </c>
      <c r="Y17" s="562"/>
      <c r="Z17" s="562">
        <f t="shared" si="7"/>
        <v>0.28000000000000003</v>
      </c>
      <c r="AA17" s="556">
        <f t="shared" si="8"/>
        <v>3.9689941510870685</v>
      </c>
      <c r="AB17" s="1381"/>
      <c r="AC17" s="1761">
        <v>2.9007999999999998</v>
      </c>
      <c r="AD17" s="1762"/>
      <c r="AE17" s="563">
        <v>1.8077000000000001</v>
      </c>
      <c r="AF17" s="564"/>
      <c r="AG17" s="564">
        <f t="shared" si="11"/>
        <v>71.384500000000003</v>
      </c>
      <c r="AH17" s="565">
        <f t="shared" si="1"/>
        <v>2.5494464285714287</v>
      </c>
      <c r="AI17" s="1381"/>
      <c r="AJ17" s="566">
        <f t="shared" si="2"/>
        <v>0.64234068671357458</v>
      </c>
      <c r="AK17" s="1393"/>
    </row>
    <row r="18" spans="1:37" ht="16.5" thickBot="1">
      <c r="A18" s="567" t="s">
        <v>34</v>
      </c>
      <c r="B18" s="568">
        <v>42026</v>
      </c>
      <c r="C18" s="569">
        <v>328</v>
      </c>
      <c r="D18" s="569">
        <v>16</v>
      </c>
      <c r="E18" s="569" t="s">
        <v>63</v>
      </c>
      <c r="F18" s="569">
        <v>2</v>
      </c>
      <c r="G18" s="569" t="s">
        <v>158</v>
      </c>
      <c r="H18" s="570" t="s">
        <v>130</v>
      </c>
      <c r="I18" s="571">
        <v>42</v>
      </c>
      <c r="J18" s="572">
        <v>958</v>
      </c>
      <c r="K18" s="573">
        <f t="shared" si="3"/>
        <v>209.84761904761905</v>
      </c>
      <c r="L18" s="574">
        <v>9</v>
      </c>
      <c r="M18" s="575">
        <f t="shared" si="4"/>
        <v>21.904761904761905</v>
      </c>
      <c r="N18" s="1763">
        <v>327</v>
      </c>
      <c r="O18" s="1763"/>
      <c r="P18" s="576">
        <v>327</v>
      </c>
      <c r="Q18" s="576">
        <v>93</v>
      </c>
      <c r="R18" s="1763">
        <v>70</v>
      </c>
      <c r="S18" s="1763"/>
      <c r="T18" s="576">
        <v>70</v>
      </c>
      <c r="U18" s="577">
        <v>22</v>
      </c>
      <c r="V18" s="578">
        <f t="shared" si="10"/>
        <v>13.78</v>
      </c>
      <c r="W18" s="579">
        <f t="shared" si="5"/>
        <v>4.2</v>
      </c>
      <c r="X18" s="579">
        <f t="shared" si="6"/>
        <v>3.0184761904761905</v>
      </c>
      <c r="Y18" s="579"/>
      <c r="Z18" s="579">
        <f t="shared" si="7"/>
        <v>0.92</v>
      </c>
      <c r="AA18" s="573">
        <f t="shared" si="8"/>
        <v>3.3988427756638702</v>
      </c>
      <c r="AB18" s="1382"/>
      <c r="AC18" s="1764">
        <v>2.9548999999999999</v>
      </c>
      <c r="AD18" s="1765"/>
      <c r="AE18" s="580">
        <v>2.3380000000000001</v>
      </c>
      <c r="AF18" s="581"/>
      <c r="AG18" s="581">
        <f t="shared" si="11"/>
        <v>258.279</v>
      </c>
      <c r="AH18" s="582">
        <f t="shared" si="1"/>
        <v>2.8073804347826088</v>
      </c>
      <c r="AI18" s="1382"/>
      <c r="AJ18" s="583">
        <f t="shared" si="2"/>
        <v>0.8259812589401887</v>
      </c>
      <c r="AK18" s="1393"/>
    </row>
    <row r="19" spans="1:37" s="866" customFormat="1" ht="15.75">
      <c r="A19" s="993" t="s">
        <v>35</v>
      </c>
      <c r="B19" s="994">
        <v>42109</v>
      </c>
      <c r="C19" s="995">
        <v>270</v>
      </c>
      <c r="D19" s="995">
        <v>21</v>
      </c>
      <c r="E19" s="1423" t="s">
        <v>64</v>
      </c>
      <c r="F19" s="995">
        <v>1</v>
      </c>
      <c r="G19" s="995" t="s">
        <v>158</v>
      </c>
      <c r="H19" s="996" t="s">
        <v>140</v>
      </c>
      <c r="I19" s="997">
        <v>28</v>
      </c>
      <c r="J19" s="998">
        <v>929</v>
      </c>
      <c r="K19" s="999">
        <f>J19*(M19/100)</f>
        <v>131.91238670694864</v>
      </c>
      <c r="L19" s="1000">
        <v>7</v>
      </c>
      <c r="M19" s="1001">
        <f>(T19+U19)/(P19+Q19)*100</f>
        <v>14.19939577039275</v>
      </c>
      <c r="N19" s="998">
        <v>243</v>
      </c>
      <c r="O19" s="998">
        <v>43</v>
      </c>
      <c r="P19" s="998">
        <v>286</v>
      </c>
      <c r="Q19" s="998">
        <v>45</v>
      </c>
      <c r="R19" s="998">
        <v>33</v>
      </c>
      <c r="S19" s="998">
        <v>5</v>
      </c>
      <c r="T19" s="998">
        <v>38</v>
      </c>
      <c r="U19" s="1002">
        <v>9</v>
      </c>
      <c r="V19" s="1003">
        <f t="shared" si="10"/>
        <v>12.6</v>
      </c>
      <c r="W19" s="1004">
        <f t="shared" si="5"/>
        <v>3.31</v>
      </c>
      <c r="X19" s="1004">
        <f t="shared" si="6"/>
        <v>1.7891238670694865</v>
      </c>
      <c r="Y19" s="1004">
        <f>(K19+T19)/100</f>
        <v>1.6991238670694864</v>
      </c>
      <c r="Z19" s="1004">
        <f t="shared" si="7"/>
        <v>0.47</v>
      </c>
      <c r="AA19" s="999">
        <f t="shared" si="8"/>
        <v>3.8736280029468455</v>
      </c>
      <c r="AB19" s="999">
        <f>MIN(4.63,4.48*Y19^(-0.25))</f>
        <v>3.9239345413540416</v>
      </c>
      <c r="AC19" s="1005">
        <v>4.2035</v>
      </c>
      <c r="AD19" s="1006">
        <v>4.2016999999999998</v>
      </c>
      <c r="AE19" s="1006">
        <v>1.9529000000000001</v>
      </c>
      <c r="AF19" s="1007">
        <f>(AC19*R19)+(AD19*S19)</f>
        <v>159.72399999999999</v>
      </c>
      <c r="AG19" s="1007">
        <f t="shared" ref="AG19:AG26" si="12">AC19*R19+AD19*S19+AE19*U19</f>
        <v>177.30009999999999</v>
      </c>
      <c r="AH19" s="1008">
        <f t="shared" si="1"/>
        <v>3.7723425531914891</v>
      </c>
      <c r="AI19" s="1387">
        <f>AF19/T19</f>
        <v>4.2032631578947361</v>
      </c>
      <c r="AJ19" s="1009">
        <f t="shared" si="2"/>
        <v>0.97385256155771693</v>
      </c>
      <c r="AK19" s="1394">
        <f>AI19/AB19</f>
        <v>1.0711858502217282</v>
      </c>
    </row>
    <row r="20" spans="1:37" s="866" customFormat="1" ht="15.75">
      <c r="A20" s="1010" t="s">
        <v>35</v>
      </c>
      <c r="B20" s="1011">
        <v>42109</v>
      </c>
      <c r="C20" s="1012">
        <v>284</v>
      </c>
      <c r="D20" s="1012">
        <v>17</v>
      </c>
      <c r="E20" s="1424" t="s">
        <v>64</v>
      </c>
      <c r="F20" s="1012">
        <v>1</v>
      </c>
      <c r="G20" s="1012" t="s">
        <v>81</v>
      </c>
      <c r="H20" s="1013" t="s">
        <v>140</v>
      </c>
      <c r="I20" s="1014">
        <v>18</v>
      </c>
      <c r="J20" s="1015">
        <v>1060</v>
      </c>
      <c r="K20" s="1016">
        <f t="shared" si="3"/>
        <v>134.74576271186439</v>
      </c>
      <c r="L20" s="1017">
        <v>4</v>
      </c>
      <c r="M20" s="1018">
        <f t="shared" si="4"/>
        <v>12.711864406779661</v>
      </c>
      <c r="N20" s="1015">
        <v>135</v>
      </c>
      <c r="O20" s="1015">
        <v>58</v>
      </c>
      <c r="P20" s="1015">
        <v>193</v>
      </c>
      <c r="Q20" s="1015">
        <v>43</v>
      </c>
      <c r="R20" s="1015">
        <v>17</v>
      </c>
      <c r="S20" s="1015">
        <v>6</v>
      </c>
      <c r="T20" s="1015">
        <v>23</v>
      </c>
      <c r="U20" s="1019">
        <v>7</v>
      </c>
      <c r="V20" s="1020">
        <f t="shared" si="10"/>
        <v>12.96</v>
      </c>
      <c r="W20" s="1021">
        <f t="shared" si="5"/>
        <v>2.36</v>
      </c>
      <c r="X20" s="1021">
        <f>(K20+T20+U20)/100</f>
        <v>1.6474576271186439</v>
      </c>
      <c r="Y20" s="1021">
        <f t="shared" ref="Y20:Y26" si="13">(K20+T20)/100</f>
        <v>1.5774576271186438</v>
      </c>
      <c r="Z20" s="1021">
        <f t="shared" si="7"/>
        <v>0.3</v>
      </c>
      <c r="AA20" s="1016">
        <f t="shared" si="8"/>
        <v>3.9543440318989336</v>
      </c>
      <c r="AB20" s="1016">
        <f t="shared" si="8"/>
        <v>3.9975010678441096</v>
      </c>
      <c r="AC20" s="1005">
        <v>5.6409000000000002</v>
      </c>
      <c r="AD20" s="1006">
        <v>5.4965000000000002</v>
      </c>
      <c r="AE20" s="1006">
        <v>2.2736000000000001</v>
      </c>
      <c r="AF20" s="1007">
        <f t="shared" ref="AF20:AF26" si="14">(AC20*R20)+(AD20*S20)</f>
        <v>128.87430000000001</v>
      </c>
      <c r="AG20" s="1007">
        <f t="shared" si="12"/>
        <v>144.7895</v>
      </c>
      <c r="AH20" s="1022">
        <f t="shared" si="1"/>
        <v>4.826316666666667</v>
      </c>
      <c r="AI20" s="1388">
        <f t="shared" ref="AI20:AI26" si="15">AF20/T20</f>
        <v>5.603230434782609</v>
      </c>
      <c r="AJ20" s="1023">
        <f t="shared" si="2"/>
        <v>1.2205100587439277</v>
      </c>
      <c r="AK20" s="1394">
        <f t="shared" ref="AK20:AK26" si="16">AI20/AB20</f>
        <v>1.4016832865549389</v>
      </c>
    </row>
    <row r="21" spans="1:37" s="844" customFormat="1" ht="15.75">
      <c r="A21" s="1362" t="s">
        <v>35</v>
      </c>
      <c r="B21" s="1363">
        <v>42109</v>
      </c>
      <c r="C21" s="1364">
        <v>273</v>
      </c>
      <c r="D21" s="1364">
        <v>11</v>
      </c>
      <c r="E21" s="1425" t="s">
        <v>63</v>
      </c>
      <c r="F21" s="1364">
        <v>1</v>
      </c>
      <c r="G21" s="1364" t="s">
        <v>158</v>
      </c>
      <c r="H21" s="1365" t="s">
        <v>140</v>
      </c>
      <c r="I21" s="1366">
        <v>22</v>
      </c>
      <c r="J21" s="1367">
        <v>275</v>
      </c>
      <c r="K21" s="1368">
        <f t="shared" si="3"/>
        <v>45.833333333333321</v>
      </c>
      <c r="L21" s="1369">
        <v>5</v>
      </c>
      <c r="M21" s="1370">
        <f t="shared" si="4"/>
        <v>16.666666666666664</v>
      </c>
      <c r="N21" s="1367">
        <v>43</v>
      </c>
      <c r="O21" s="1367">
        <v>7</v>
      </c>
      <c r="P21" s="1367">
        <v>50</v>
      </c>
      <c r="Q21" s="1367">
        <v>10</v>
      </c>
      <c r="R21" s="1367">
        <v>6</v>
      </c>
      <c r="S21" s="1367">
        <v>1</v>
      </c>
      <c r="T21" s="1367">
        <v>7</v>
      </c>
      <c r="U21" s="1371">
        <v>3</v>
      </c>
      <c r="V21" s="1372">
        <f t="shared" si="10"/>
        <v>3.35</v>
      </c>
      <c r="W21" s="1373">
        <f t="shared" si="5"/>
        <v>0.6</v>
      </c>
      <c r="X21" s="1373">
        <f t="shared" si="6"/>
        <v>0.55833333333333324</v>
      </c>
      <c r="Y21" s="1373">
        <f t="shared" si="13"/>
        <v>0.52833333333333321</v>
      </c>
      <c r="Z21" s="1373">
        <f t="shared" si="7"/>
        <v>0.1</v>
      </c>
      <c r="AA21" s="1368">
        <f t="shared" si="8"/>
        <v>4.63</v>
      </c>
      <c r="AB21" s="1368">
        <f t="shared" si="8"/>
        <v>4.63</v>
      </c>
      <c r="AC21" s="1374">
        <v>4.6547999999999998</v>
      </c>
      <c r="AD21" s="1375">
        <v>4.2198000000000002</v>
      </c>
      <c r="AE21" s="1375">
        <v>1.7448999999999999</v>
      </c>
      <c r="AF21" s="1376">
        <f t="shared" si="14"/>
        <v>32.148600000000002</v>
      </c>
      <c r="AG21" s="1376">
        <f t="shared" si="12"/>
        <v>37.383300000000006</v>
      </c>
      <c r="AH21" s="1377">
        <f t="shared" si="1"/>
        <v>3.7383300000000004</v>
      </c>
      <c r="AI21" s="1389">
        <f t="shared" si="15"/>
        <v>4.592657142857143</v>
      </c>
      <c r="AJ21" s="1378">
        <f t="shared" si="2"/>
        <v>0.80741468682505413</v>
      </c>
      <c r="AK21" s="1395">
        <f t="shared" si="16"/>
        <v>0.99193458809009571</v>
      </c>
    </row>
    <row r="22" spans="1:37" s="844" customFormat="1" ht="15.75">
      <c r="A22" s="1362" t="s">
        <v>35</v>
      </c>
      <c r="B22" s="1363">
        <v>42109</v>
      </c>
      <c r="C22" s="1364">
        <v>284</v>
      </c>
      <c r="D22" s="1364">
        <v>14</v>
      </c>
      <c r="E22" s="1425" t="s">
        <v>63</v>
      </c>
      <c r="F22" s="1364">
        <v>1</v>
      </c>
      <c r="G22" s="1364" t="s">
        <v>81</v>
      </c>
      <c r="H22" s="1365" t="s">
        <v>140</v>
      </c>
      <c r="I22" s="1366">
        <v>18</v>
      </c>
      <c r="J22" s="1367">
        <v>342</v>
      </c>
      <c r="K22" s="1368">
        <f t="shared" si="3"/>
        <v>81</v>
      </c>
      <c r="L22" s="1369">
        <v>4</v>
      </c>
      <c r="M22" s="1370">
        <f t="shared" si="4"/>
        <v>23.684210526315788</v>
      </c>
      <c r="N22" s="1367">
        <v>69</v>
      </c>
      <c r="O22" s="1367">
        <v>25</v>
      </c>
      <c r="P22" s="1367">
        <v>94</v>
      </c>
      <c r="Q22" s="1367">
        <v>20</v>
      </c>
      <c r="R22" s="1367">
        <v>21</v>
      </c>
      <c r="S22" s="1367">
        <v>2</v>
      </c>
      <c r="T22" s="1367">
        <v>23</v>
      </c>
      <c r="U22" s="1371">
        <v>4</v>
      </c>
      <c r="V22" s="1372">
        <f t="shared" si="10"/>
        <v>4.5599999999999996</v>
      </c>
      <c r="W22" s="1373">
        <f t="shared" si="5"/>
        <v>1.1399999999999999</v>
      </c>
      <c r="X22" s="1373">
        <f t="shared" si="6"/>
        <v>1.08</v>
      </c>
      <c r="Y22" s="1373">
        <f t="shared" si="13"/>
        <v>1.04</v>
      </c>
      <c r="Z22" s="1373">
        <f t="shared" si="7"/>
        <v>0.27</v>
      </c>
      <c r="AA22" s="1368">
        <f t="shared" si="8"/>
        <v>4.3946275615315171</v>
      </c>
      <c r="AB22" s="1368">
        <f t="shared" si="8"/>
        <v>4.436287456126693</v>
      </c>
      <c r="AC22" s="1374">
        <v>4.8537999999999997</v>
      </c>
      <c r="AD22" s="1375">
        <v>4.3186999999999998</v>
      </c>
      <c r="AE22" s="1375">
        <v>1.7443</v>
      </c>
      <c r="AF22" s="1376">
        <f t="shared" si="14"/>
        <v>110.5672</v>
      </c>
      <c r="AG22" s="1376">
        <f t="shared" si="12"/>
        <v>117.5444</v>
      </c>
      <c r="AH22" s="1377">
        <f t="shared" si="1"/>
        <v>4.3534962962962958</v>
      </c>
      <c r="AI22" s="1389">
        <f t="shared" si="15"/>
        <v>4.8072695652173909</v>
      </c>
      <c r="AJ22" s="1378">
        <f t="shared" si="2"/>
        <v>0.99064055721234157</v>
      </c>
      <c r="AK22" s="1395">
        <f t="shared" si="16"/>
        <v>1.0836244523736522</v>
      </c>
    </row>
    <row r="23" spans="1:37" s="844" customFormat="1" ht="15.75">
      <c r="A23" s="1362" t="s">
        <v>35</v>
      </c>
      <c r="B23" s="1363">
        <v>42109</v>
      </c>
      <c r="C23" s="1364">
        <v>314</v>
      </c>
      <c r="D23" s="1364">
        <v>21</v>
      </c>
      <c r="E23" s="1425" t="s">
        <v>63</v>
      </c>
      <c r="F23" s="1364">
        <v>2</v>
      </c>
      <c r="G23" s="1364" t="s">
        <v>158</v>
      </c>
      <c r="H23" s="1365" t="s">
        <v>140</v>
      </c>
      <c r="I23" s="1366">
        <v>14</v>
      </c>
      <c r="J23" s="1367">
        <v>708</v>
      </c>
      <c r="K23" s="1368">
        <f t="shared" si="3"/>
        <v>121.6875</v>
      </c>
      <c r="L23" s="1369">
        <v>3</v>
      </c>
      <c r="M23" s="1370">
        <f t="shared" si="4"/>
        <v>17.1875</v>
      </c>
      <c r="N23" s="1367">
        <v>125</v>
      </c>
      <c r="O23" s="1367">
        <v>29</v>
      </c>
      <c r="P23" s="1367">
        <v>154</v>
      </c>
      <c r="Q23" s="1367">
        <v>38</v>
      </c>
      <c r="R23" s="1367">
        <v>19</v>
      </c>
      <c r="S23" s="1367">
        <v>4</v>
      </c>
      <c r="T23" s="1367">
        <v>23</v>
      </c>
      <c r="U23" s="1371">
        <v>10</v>
      </c>
      <c r="V23" s="1372">
        <f t="shared" si="10"/>
        <v>9</v>
      </c>
      <c r="W23" s="1373">
        <f t="shared" si="5"/>
        <v>1.92</v>
      </c>
      <c r="X23" s="1373">
        <f t="shared" si="6"/>
        <v>1.546875</v>
      </c>
      <c r="Y23" s="1373">
        <f t="shared" si="13"/>
        <v>1.4468749999999999</v>
      </c>
      <c r="Z23" s="1373">
        <f t="shared" si="7"/>
        <v>0.33</v>
      </c>
      <c r="AA23" s="1368">
        <f t="shared" si="8"/>
        <v>4.017114483544475</v>
      </c>
      <c r="AB23" s="1368">
        <f t="shared" si="8"/>
        <v>4.084794952614673</v>
      </c>
      <c r="AC23" s="1374">
        <v>3.0224000000000002</v>
      </c>
      <c r="AD23" s="1375">
        <v>3.1034999999999999</v>
      </c>
      <c r="AE23" s="1375">
        <v>1.411</v>
      </c>
      <c r="AF23" s="1376">
        <f t="shared" si="14"/>
        <v>69.839600000000004</v>
      </c>
      <c r="AG23" s="1376">
        <f t="shared" si="12"/>
        <v>83.949600000000004</v>
      </c>
      <c r="AH23" s="1377">
        <f t="shared" si="1"/>
        <v>2.5439272727272728</v>
      </c>
      <c r="AI23" s="1389">
        <f t="shared" si="15"/>
        <v>3.0365043478260874</v>
      </c>
      <c r="AJ23" s="1378">
        <f t="shared" si="2"/>
        <v>0.6332722861516894</v>
      </c>
      <c r="AK23" s="1395">
        <f t="shared" si="16"/>
        <v>0.74336763119099136</v>
      </c>
    </row>
    <row r="24" spans="1:37" s="844" customFormat="1" ht="15.75">
      <c r="A24" s="1362" t="s">
        <v>35</v>
      </c>
      <c r="B24" s="1363">
        <v>42109</v>
      </c>
      <c r="C24" s="1364">
        <v>321</v>
      </c>
      <c r="D24" s="1364">
        <v>19</v>
      </c>
      <c r="E24" s="1425" t="s">
        <v>63</v>
      </c>
      <c r="F24" s="1364">
        <v>2</v>
      </c>
      <c r="G24" s="1364" t="s">
        <v>81</v>
      </c>
      <c r="H24" s="1365" t="s">
        <v>140</v>
      </c>
      <c r="I24" s="1366">
        <v>24</v>
      </c>
      <c r="J24" s="1367">
        <v>1054</v>
      </c>
      <c r="K24" s="1368">
        <f t="shared" si="3"/>
        <v>154.37373737373738</v>
      </c>
      <c r="L24" s="1369">
        <v>4</v>
      </c>
      <c r="M24" s="1370">
        <f t="shared" si="4"/>
        <v>14.646464646464647</v>
      </c>
      <c r="N24" s="1367">
        <v>103</v>
      </c>
      <c r="O24" s="1367">
        <v>53</v>
      </c>
      <c r="P24" s="1367">
        <v>156</v>
      </c>
      <c r="Q24" s="1367">
        <v>42</v>
      </c>
      <c r="R24" s="1367">
        <v>14</v>
      </c>
      <c r="S24" s="1367">
        <v>5</v>
      </c>
      <c r="T24" s="1367">
        <v>19</v>
      </c>
      <c r="U24" s="1371">
        <v>10</v>
      </c>
      <c r="V24" s="1372">
        <f t="shared" si="10"/>
        <v>12.52</v>
      </c>
      <c r="W24" s="1373">
        <f t="shared" si="5"/>
        <v>1.98</v>
      </c>
      <c r="X24" s="1373">
        <f t="shared" si="6"/>
        <v>1.8337373737373739</v>
      </c>
      <c r="Y24" s="1373">
        <f t="shared" si="13"/>
        <v>1.7337373737373738</v>
      </c>
      <c r="Z24" s="1373">
        <f t="shared" si="7"/>
        <v>0.28999999999999998</v>
      </c>
      <c r="AA24" s="1368">
        <f t="shared" si="8"/>
        <v>3.8498493019613931</v>
      </c>
      <c r="AB24" s="1368">
        <f t="shared" si="8"/>
        <v>3.9042011602614712</v>
      </c>
      <c r="AC24" s="1374">
        <v>4.2648000000000001</v>
      </c>
      <c r="AD24" s="1375">
        <v>3.5594000000000001</v>
      </c>
      <c r="AE24" s="1375">
        <v>1.2475000000000001</v>
      </c>
      <c r="AF24" s="1376">
        <f t="shared" si="14"/>
        <v>77.504199999999997</v>
      </c>
      <c r="AG24" s="1376">
        <f t="shared" si="12"/>
        <v>89.979199999999992</v>
      </c>
      <c r="AH24" s="1377">
        <f t="shared" si="1"/>
        <v>3.1027310344827583</v>
      </c>
      <c r="AI24" s="1389">
        <f t="shared" si="15"/>
        <v>4.0791684210526311</v>
      </c>
      <c r="AJ24" s="1378">
        <f t="shared" si="2"/>
        <v>0.80593571101653294</v>
      </c>
      <c r="AK24" s="1395">
        <f t="shared" si="16"/>
        <v>1.044815124428538</v>
      </c>
    </row>
    <row r="25" spans="1:37" s="866" customFormat="1" ht="15.75">
      <c r="A25" s="1010" t="s">
        <v>35</v>
      </c>
      <c r="B25" s="1011">
        <v>42109</v>
      </c>
      <c r="C25" s="1012">
        <v>305</v>
      </c>
      <c r="D25" s="1012">
        <v>14</v>
      </c>
      <c r="E25" s="1424" t="s">
        <v>64</v>
      </c>
      <c r="F25" s="1012">
        <v>2</v>
      </c>
      <c r="G25" s="1012" t="s">
        <v>158</v>
      </c>
      <c r="H25" s="1013" t="s">
        <v>140</v>
      </c>
      <c r="I25" s="1014">
        <v>17</v>
      </c>
      <c r="J25" s="1015">
        <v>1202</v>
      </c>
      <c r="K25" s="1016">
        <f t="shared" si="3"/>
        <v>154.68776371308019</v>
      </c>
      <c r="L25" s="1017">
        <v>4</v>
      </c>
      <c r="M25" s="1018">
        <f t="shared" si="4"/>
        <v>12.869198312236287</v>
      </c>
      <c r="N25" s="1015">
        <v>368</v>
      </c>
      <c r="O25" s="1015">
        <v>56</v>
      </c>
      <c r="P25" s="1015">
        <v>424</v>
      </c>
      <c r="Q25" s="1015">
        <v>50</v>
      </c>
      <c r="R25" s="1015">
        <v>45</v>
      </c>
      <c r="S25" s="1015">
        <v>6</v>
      </c>
      <c r="T25" s="1015">
        <v>51</v>
      </c>
      <c r="U25" s="1019">
        <v>10</v>
      </c>
      <c r="V25" s="1020">
        <f t="shared" si="10"/>
        <v>16.760000000000002</v>
      </c>
      <c r="W25" s="1021">
        <f t="shared" si="5"/>
        <v>4.74</v>
      </c>
      <c r="X25" s="1021">
        <f t="shared" si="6"/>
        <v>2.1568776371308021</v>
      </c>
      <c r="Y25" s="1021">
        <f t="shared" si="13"/>
        <v>2.056877637130802</v>
      </c>
      <c r="Z25" s="1021">
        <f t="shared" si="7"/>
        <v>0.61</v>
      </c>
      <c r="AA25" s="1016">
        <f t="shared" si="8"/>
        <v>3.6967632409408</v>
      </c>
      <c r="AB25" s="1016">
        <f t="shared" si="8"/>
        <v>3.7408982849240098</v>
      </c>
      <c r="AC25" s="1005">
        <v>4.8170000000000002</v>
      </c>
      <c r="AD25" s="1006">
        <v>4.6673</v>
      </c>
      <c r="AE25" s="1006">
        <v>2.16</v>
      </c>
      <c r="AF25" s="1007">
        <f t="shared" si="14"/>
        <v>244.7688</v>
      </c>
      <c r="AG25" s="1007">
        <f t="shared" si="12"/>
        <v>266.36880000000002</v>
      </c>
      <c r="AH25" s="1022">
        <f t="shared" si="1"/>
        <v>4.3667016393442628</v>
      </c>
      <c r="AI25" s="1388">
        <f t="shared" si="15"/>
        <v>4.799388235294118</v>
      </c>
      <c r="AJ25" s="1023">
        <f t="shared" si="2"/>
        <v>1.1812229658053428</v>
      </c>
      <c r="AK25" s="1394">
        <f t="shared" si="16"/>
        <v>1.2829507433110039</v>
      </c>
    </row>
    <row r="26" spans="1:37" s="866" customFormat="1" ht="16.5" thickBot="1">
      <c r="A26" s="1024" t="s">
        <v>35</v>
      </c>
      <c r="B26" s="1025">
        <v>42109</v>
      </c>
      <c r="C26" s="1026">
        <v>312</v>
      </c>
      <c r="D26" s="1026">
        <v>13</v>
      </c>
      <c r="E26" s="1426" t="s">
        <v>64</v>
      </c>
      <c r="F26" s="1026">
        <v>2</v>
      </c>
      <c r="G26" s="1026" t="s">
        <v>81</v>
      </c>
      <c r="H26" s="1027" t="s">
        <v>140</v>
      </c>
      <c r="I26" s="1028">
        <v>9</v>
      </c>
      <c r="J26" s="1029">
        <v>1079</v>
      </c>
      <c r="K26" s="1030">
        <f t="shared" si="3"/>
        <v>192.67857142857144</v>
      </c>
      <c r="L26" s="1031">
        <v>2</v>
      </c>
      <c r="M26" s="1032">
        <f t="shared" si="4"/>
        <v>17.857142857142858</v>
      </c>
      <c r="N26" s="1029">
        <v>144</v>
      </c>
      <c r="O26" s="1029">
        <v>70</v>
      </c>
      <c r="P26" s="1029">
        <v>214</v>
      </c>
      <c r="Q26" s="1029">
        <v>38</v>
      </c>
      <c r="R26" s="1029">
        <v>18</v>
      </c>
      <c r="S26" s="1029">
        <v>19</v>
      </c>
      <c r="T26" s="1029">
        <v>37</v>
      </c>
      <c r="U26" s="1033">
        <v>8</v>
      </c>
      <c r="V26" s="1034">
        <f t="shared" si="10"/>
        <v>13.31</v>
      </c>
      <c r="W26" s="1035">
        <f t="shared" si="5"/>
        <v>2.52</v>
      </c>
      <c r="X26" s="1035">
        <f t="shared" si="6"/>
        <v>2.3767857142857145</v>
      </c>
      <c r="Y26" s="1035">
        <f t="shared" si="13"/>
        <v>2.2967857142857144</v>
      </c>
      <c r="Z26" s="1035">
        <f t="shared" si="7"/>
        <v>0.45</v>
      </c>
      <c r="AA26" s="1030">
        <f t="shared" si="8"/>
        <v>3.6081161273694176</v>
      </c>
      <c r="AB26" s="1030">
        <f t="shared" si="8"/>
        <v>3.6391327178562958</v>
      </c>
      <c r="AC26" s="1036">
        <v>4.7880000000000003</v>
      </c>
      <c r="AD26" s="1037">
        <v>4.2500999999999998</v>
      </c>
      <c r="AE26" s="1037">
        <v>1.8025</v>
      </c>
      <c r="AF26" s="1038">
        <f t="shared" si="14"/>
        <v>166.9359</v>
      </c>
      <c r="AG26" s="1038">
        <f t="shared" si="12"/>
        <v>181.35589999999999</v>
      </c>
      <c r="AH26" s="1039">
        <f t="shared" si="1"/>
        <v>4.0301311111111113</v>
      </c>
      <c r="AI26" s="1390">
        <f t="shared" si="15"/>
        <v>4.5117810810810814</v>
      </c>
      <c r="AJ26" s="1040">
        <f t="shared" si="2"/>
        <v>1.1169626943380488</v>
      </c>
      <c r="AK26" s="1394">
        <f t="shared" si="16"/>
        <v>1.2397956960852026</v>
      </c>
    </row>
    <row r="27" spans="1:37" ht="15.75">
      <c r="A27" s="533" t="s">
        <v>38</v>
      </c>
      <c r="B27" s="534">
        <v>42189</v>
      </c>
      <c r="C27" s="535">
        <v>262</v>
      </c>
      <c r="D27" s="535">
        <v>15</v>
      </c>
      <c r="E27" s="535" t="s">
        <v>64</v>
      </c>
      <c r="F27" s="535">
        <v>2</v>
      </c>
      <c r="G27" s="535" t="s">
        <v>81</v>
      </c>
      <c r="H27" s="536" t="s">
        <v>185</v>
      </c>
      <c r="I27" s="537">
        <v>29</v>
      </c>
      <c r="J27" s="538">
        <v>2500</v>
      </c>
      <c r="K27" s="539">
        <f t="shared" si="3"/>
        <v>514.74301697680744</v>
      </c>
      <c r="L27" s="584">
        <v>5</v>
      </c>
      <c r="M27" s="585">
        <f t="shared" si="4"/>
        <v>20.589720679072297</v>
      </c>
      <c r="N27" s="1766">
        <v>469.12</v>
      </c>
      <c r="O27" s="1766"/>
      <c r="P27" s="586">
        <v>469.12</v>
      </c>
      <c r="Q27" s="586">
        <v>45.7</v>
      </c>
      <c r="R27" s="1766">
        <v>92.6</v>
      </c>
      <c r="S27" s="1766"/>
      <c r="T27" s="586">
        <v>92.6</v>
      </c>
      <c r="U27" s="587">
        <v>13.4</v>
      </c>
      <c r="V27" s="544">
        <f t="shared" si="10"/>
        <v>30.148200000000003</v>
      </c>
      <c r="W27" s="545">
        <f t="shared" si="5"/>
        <v>5.1482000000000001</v>
      </c>
      <c r="X27" s="545">
        <f t="shared" si="6"/>
        <v>6.2074301697680747</v>
      </c>
      <c r="Y27" s="545"/>
      <c r="Z27" s="545">
        <f t="shared" si="7"/>
        <v>1.06</v>
      </c>
      <c r="AA27" s="539">
        <f t="shared" si="8"/>
        <v>2.8382461232747294</v>
      </c>
      <c r="AB27" s="1380"/>
      <c r="AC27" s="1758">
        <v>1.032</v>
      </c>
      <c r="AD27" s="1759"/>
      <c r="AE27" s="546">
        <v>0.27839999999999998</v>
      </c>
      <c r="AF27" s="547"/>
      <c r="AG27" s="547">
        <f>AC27*T27+U27*AE27</f>
        <v>99.293759999999992</v>
      </c>
      <c r="AH27" s="548">
        <f t="shared" si="1"/>
        <v>0.93673358490566028</v>
      </c>
      <c r="AI27" s="1380"/>
      <c r="AJ27" s="549">
        <f t="shared" si="2"/>
        <v>0.33003958931682426</v>
      </c>
      <c r="AK27" s="1393"/>
    </row>
    <row r="28" spans="1:37" ht="15.75">
      <c r="A28" s="550" t="s">
        <v>38</v>
      </c>
      <c r="B28" s="551">
        <v>42189</v>
      </c>
      <c r="C28" s="552">
        <v>273</v>
      </c>
      <c r="D28" s="552">
        <v>15</v>
      </c>
      <c r="E28" s="552" t="s">
        <v>64</v>
      </c>
      <c r="F28" s="552">
        <v>2</v>
      </c>
      <c r="G28" s="552" t="s">
        <v>158</v>
      </c>
      <c r="H28" s="553" t="s">
        <v>185</v>
      </c>
      <c r="I28" s="554">
        <v>29</v>
      </c>
      <c r="J28" s="555">
        <v>2070</v>
      </c>
      <c r="K28" s="556">
        <f t="shared" si="3"/>
        <v>498.92634495497572</v>
      </c>
      <c r="L28" s="557">
        <v>7</v>
      </c>
      <c r="M28" s="558">
        <f t="shared" si="4"/>
        <v>24.102721978501243</v>
      </c>
      <c r="N28" s="1760">
        <v>709.9</v>
      </c>
      <c r="O28" s="1760"/>
      <c r="P28" s="559">
        <v>709.9</v>
      </c>
      <c r="Q28" s="559">
        <v>69.680000000000007</v>
      </c>
      <c r="R28" s="1760">
        <v>169.2</v>
      </c>
      <c r="S28" s="1760"/>
      <c r="T28" s="559">
        <v>169.2</v>
      </c>
      <c r="U28" s="560">
        <v>18.7</v>
      </c>
      <c r="V28" s="561">
        <f t="shared" si="10"/>
        <v>28.495799999999999</v>
      </c>
      <c r="W28" s="562">
        <f t="shared" si="5"/>
        <v>7.795799999999999</v>
      </c>
      <c r="X28" s="562">
        <f t="shared" si="6"/>
        <v>6.8682634495497572</v>
      </c>
      <c r="Y28" s="562"/>
      <c r="Z28" s="562">
        <f t="shared" si="7"/>
        <v>1.8789999999999998</v>
      </c>
      <c r="AA28" s="556">
        <f t="shared" si="8"/>
        <v>2.7673639406009394</v>
      </c>
      <c r="AB28" s="1381"/>
      <c r="AC28" s="1761">
        <v>1.2967</v>
      </c>
      <c r="AD28" s="1762"/>
      <c r="AE28" s="563">
        <v>0.44269999999999998</v>
      </c>
      <c r="AF28" s="564"/>
      <c r="AG28" s="564">
        <f t="shared" ref="AG28:AG34" si="17">AC28*T28+U28*AE28</f>
        <v>227.68012999999999</v>
      </c>
      <c r="AH28" s="565">
        <f t="shared" si="1"/>
        <v>1.21170904736562</v>
      </c>
      <c r="AI28" s="1381"/>
      <c r="AJ28" s="566">
        <f t="shared" si="2"/>
        <v>0.43785677394585643</v>
      </c>
      <c r="AK28" s="1393"/>
    </row>
    <row r="29" spans="1:37" ht="15.75">
      <c r="A29" s="550" t="s">
        <v>38</v>
      </c>
      <c r="B29" s="551">
        <v>42189</v>
      </c>
      <c r="C29" s="552">
        <v>285</v>
      </c>
      <c r="D29" s="552">
        <v>20</v>
      </c>
      <c r="E29" s="552" t="s">
        <v>63</v>
      </c>
      <c r="F29" s="552">
        <v>1</v>
      </c>
      <c r="G29" s="552" t="s">
        <v>81</v>
      </c>
      <c r="H29" s="553" t="s">
        <v>185</v>
      </c>
      <c r="I29" s="554">
        <v>25</v>
      </c>
      <c r="J29" s="555">
        <v>4570</v>
      </c>
      <c r="K29" s="556">
        <f t="shared" si="3"/>
        <v>925.11959528649356</v>
      </c>
      <c r="L29" s="557">
        <v>5</v>
      </c>
      <c r="M29" s="558">
        <f t="shared" si="4"/>
        <v>20.243317183511895</v>
      </c>
      <c r="N29" s="1760">
        <v>1225.92</v>
      </c>
      <c r="O29" s="1760"/>
      <c r="P29" s="559">
        <v>1225.92</v>
      </c>
      <c r="Q29" s="559">
        <v>82.66</v>
      </c>
      <c r="R29" s="1760">
        <v>245.2</v>
      </c>
      <c r="S29" s="1760"/>
      <c r="T29" s="559">
        <v>245.2</v>
      </c>
      <c r="U29" s="560">
        <v>19.7</v>
      </c>
      <c r="V29" s="561">
        <f t="shared" si="10"/>
        <v>58.785800000000002</v>
      </c>
      <c r="W29" s="562">
        <f t="shared" si="5"/>
        <v>13.085800000000001</v>
      </c>
      <c r="X29" s="562">
        <f>(K29+T29+U29)/100</f>
        <v>11.900195952864935</v>
      </c>
      <c r="Y29" s="562"/>
      <c r="Z29" s="562">
        <f t="shared" si="7"/>
        <v>2.6489999999999996</v>
      </c>
      <c r="AA29" s="556">
        <f t="shared" si="8"/>
        <v>2.4120676597430322</v>
      </c>
      <c r="AB29" s="1381"/>
      <c r="AC29" s="1761">
        <v>1.6476999999999999</v>
      </c>
      <c r="AD29" s="1762"/>
      <c r="AE29" s="563">
        <v>0.4829</v>
      </c>
      <c r="AF29" s="564"/>
      <c r="AG29" s="564">
        <f t="shared" si="17"/>
        <v>413.52916999999997</v>
      </c>
      <c r="AH29" s="565">
        <f t="shared" si="1"/>
        <v>1.5610765194412985</v>
      </c>
      <c r="AI29" s="1381"/>
      <c r="AJ29" s="566">
        <f t="shared" si="2"/>
        <v>0.64719433268617621</v>
      </c>
      <c r="AK29" s="1393"/>
    </row>
    <row r="30" spans="1:37" ht="15.75">
      <c r="A30" s="550" t="s">
        <v>38</v>
      </c>
      <c r="B30" s="551">
        <v>42189</v>
      </c>
      <c r="C30" s="552">
        <v>290</v>
      </c>
      <c r="D30" s="552">
        <v>20</v>
      </c>
      <c r="E30" s="552" t="s">
        <v>63</v>
      </c>
      <c r="F30" s="552">
        <v>1</v>
      </c>
      <c r="G30" s="552" t="s">
        <v>158</v>
      </c>
      <c r="H30" s="553" t="s">
        <v>185</v>
      </c>
      <c r="I30" s="554">
        <v>26</v>
      </c>
      <c r="J30" s="555">
        <v>6530</v>
      </c>
      <c r="K30" s="556">
        <f t="shared" si="3"/>
        <v>1306.5504673592343</v>
      </c>
      <c r="L30" s="557">
        <v>6</v>
      </c>
      <c r="M30" s="558">
        <f t="shared" si="4"/>
        <v>20.008429821734065</v>
      </c>
      <c r="N30" s="1760">
        <v>1128.6300000000001</v>
      </c>
      <c r="O30" s="1760"/>
      <c r="P30" s="559">
        <v>1128.6300000000001</v>
      </c>
      <c r="Q30" s="559">
        <v>81.36</v>
      </c>
      <c r="R30" s="1760">
        <v>222.1</v>
      </c>
      <c r="S30" s="1760"/>
      <c r="T30" s="559">
        <v>222.1</v>
      </c>
      <c r="U30" s="560">
        <v>20</v>
      </c>
      <c r="V30" s="561">
        <f t="shared" si="10"/>
        <v>77.399900000000002</v>
      </c>
      <c r="W30" s="562">
        <f t="shared" si="5"/>
        <v>12.0999</v>
      </c>
      <c r="X30" s="562">
        <f t="shared" si="6"/>
        <v>15.486504673592343</v>
      </c>
      <c r="Y30" s="562"/>
      <c r="Z30" s="562">
        <f t="shared" si="7"/>
        <v>2.4209999999999998</v>
      </c>
      <c r="AA30" s="556">
        <f t="shared" si="8"/>
        <v>2.2583417427395944</v>
      </c>
      <c r="AB30" s="1381"/>
      <c r="AC30" s="1761">
        <v>2.25</v>
      </c>
      <c r="AD30" s="1762"/>
      <c r="AE30" s="563">
        <v>1.0531999999999999</v>
      </c>
      <c r="AF30" s="564"/>
      <c r="AG30" s="564">
        <f t="shared" si="17"/>
        <v>520.78899999999999</v>
      </c>
      <c r="AH30" s="565">
        <f t="shared" si="1"/>
        <v>2.1511317637339942</v>
      </c>
      <c r="AI30" s="1381"/>
      <c r="AJ30" s="566">
        <f t="shared" si="2"/>
        <v>0.95252712334159673</v>
      </c>
      <c r="AK30" s="1393"/>
    </row>
    <row r="31" spans="1:37" ht="15.75">
      <c r="A31" s="550" t="s">
        <v>38</v>
      </c>
      <c r="B31" s="551">
        <v>42189</v>
      </c>
      <c r="C31" s="552">
        <v>298</v>
      </c>
      <c r="D31" s="552">
        <v>18</v>
      </c>
      <c r="E31" s="552" t="s">
        <v>64</v>
      </c>
      <c r="F31" s="552">
        <v>3</v>
      </c>
      <c r="G31" s="552" t="s">
        <v>81</v>
      </c>
      <c r="H31" s="553" t="s">
        <v>185</v>
      </c>
      <c r="I31" s="554">
        <v>20</v>
      </c>
      <c r="J31" s="555">
        <v>4500</v>
      </c>
      <c r="K31" s="556">
        <f t="shared" si="3"/>
        <v>901.23781119129671</v>
      </c>
      <c r="L31" s="557">
        <v>3</v>
      </c>
      <c r="M31" s="558">
        <f t="shared" si="4"/>
        <v>20.027506915362149</v>
      </c>
      <c r="N31" s="1760">
        <v>593.29999999999995</v>
      </c>
      <c r="O31" s="1760"/>
      <c r="P31" s="559">
        <v>593.29999999999995</v>
      </c>
      <c r="Q31" s="559">
        <v>53.81</v>
      </c>
      <c r="R31" s="1760">
        <v>115.1</v>
      </c>
      <c r="S31" s="1760"/>
      <c r="T31" s="559">
        <v>115.1</v>
      </c>
      <c r="U31" s="560">
        <v>14.5</v>
      </c>
      <c r="V31" s="561">
        <f t="shared" si="10"/>
        <v>51.4711</v>
      </c>
      <c r="W31" s="562">
        <f t="shared" si="5"/>
        <v>6.471099999999999</v>
      </c>
      <c r="X31" s="562">
        <f t="shared" si="6"/>
        <v>10.308378111912965</v>
      </c>
      <c r="Y31" s="562"/>
      <c r="Z31" s="562">
        <f t="shared" si="7"/>
        <v>1.296</v>
      </c>
      <c r="AA31" s="556">
        <f t="shared" si="8"/>
        <v>2.5002326887590969</v>
      </c>
      <c r="AB31" s="1381"/>
      <c r="AC31" s="1761">
        <v>1.4626999999999999</v>
      </c>
      <c r="AD31" s="1762"/>
      <c r="AE31" s="563">
        <v>0.36</v>
      </c>
      <c r="AF31" s="564"/>
      <c r="AG31" s="564">
        <f t="shared" si="17"/>
        <v>173.57676999999998</v>
      </c>
      <c r="AH31" s="565">
        <f t="shared" si="1"/>
        <v>1.3393269290123455</v>
      </c>
      <c r="AI31" s="1381"/>
      <c r="AJ31" s="566">
        <f t="shared" si="2"/>
        <v>0.53568091283418651</v>
      </c>
      <c r="AK31" s="1393"/>
    </row>
    <row r="32" spans="1:37" ht="15.75">
      <c r="A32" s="550" t="s">
        <v>38</v>
      </c>
      <c r="B32" s="551">
        <v>42189</v>
      </c>
      <c r="C32" s="552">
        <v>302</v>
      </c>
      <c r="D32" s="552">
        <v>19</v>
      </c>
      <c r="E32" s="552" t="s">
        <v>64</v>
      </c>
      <c r="F32" s="552">
        <v>3</v>
      </c>
      <c r="G32" s="552" t="s">
        <v>158</v>
      </c>
      <c r="H32" s="553" t="s">
        <v>185</v>
      </c>
      <c r="I32" s="554">
        <v>25</v>
      </c>
      <c r="J32" s="555">
        <v>4520</v>
      </c>
      <c r="K32" s="556">
        <f t="shared" si="3"/>
        <v>901.97698209718681</v>
      </c>
      <c r="L32" s="557">
        <v>6</v>
      </c>
      <c r="M32" s="558">
        <f t="shared" si="4"/>
        <v>19.955242966751921</v>
      </c>
      <c r="N32" s="1760">
        <v>1420</v>
      </c>
      <c r="O32" s="1760"/>
      <c r="P32" s="559">
        <v>1420</v>
      </c>
      <c r="Q32" s="559">
        <v>144</v>
      </c>
      <c r="R32" s="1760">
        <v>273.8</v>
      </c>
      <c r="S32" s="1760"/>
      <c r="T32" s="559">
        <v>273.8</v>
      </c>
      <c r="U32" s="560">
        <v>38.299999999999997</v>
      </c>
      <c r="V32" s="561">
        <f t="shared" si="10"/>
        <v>60.84</v>
      </c>
      <c r="W32" s="562">
        <f t="shared" si="5"/>
        <v>15.64</v>
      </c>
      <c r="X32" s="562">
        <f t="shared" si="6"/>
        <v>12.140769820971869</v>
      </c>
      <c r="Y32" s="562"/>
      <c r="Z32" s="562">
        <f t="shared" si="7"/>
        <v>3.1210000000000004</v>
      </c>
      <c r="AA32" s="556">
        <f t="shared" si="8"/>
        <v>2.4000288246107377</v>
      </c>
      <c r="AB32" s="1381"/>
      <c r="AC32" s="1761">
        <v>1.2388999999999999</v>
      </c>
      <c r="AD32" s="1762"/>
      <c r="AE32" s="563">
        <v>0.27329999999999999</v>
      </c>
      <c r="AF32" s="564"/>
      <c r="AG32" s="564">
        <f t="shared" si="17"/>
        <v>349.67821000000004</v>
      </c>
      <c r="AH32" s="565">
        <f t="shared" si="1"/>
        <v>1.1204043896187119</v>
      </c>
      <c r="AI32" s="1381"/>
      <c r="AJ32" s="566">
        <f t="shared" si="2"/>
        <v>0.46682955559937123</v>
      </c>
      <c r="AK32" s="1393"/>
    </row>
    <row r="33" spans="1:37" ht="15.75">
      <c r="A33" s="550" t="s">
        <v>38</v>
      </c>
      <c r="B33" s="551">
        <v>42189</v>
      </c>
      <c r="C33" s="552">
        <v>322</v>
      </c>
      <c r="D33" s="552">
        <v>15</v>
      </c>
      <c r="E33" s="552" t="s">
        <v>63</v>
      </c>
      <c r="F33" s="552">
        <v>4</v>
      </c>
      <c r="G33" s="552" t="s">
        <v>81</v>
      </c>
      <c r="H33" s="553" t="s">
        <v>185</v>
      </c>
      <c r="I33" s="554">
        <v>20</v>
      </c>
      <c r="J33" s="555">
        <v>6300</v>
      </c>
      <c r="K33" s="556">
        <f t="shared" si="3"/>
        <v>1363.6605574579069</v>
      </c>
      <c r="L33" s="557">
        <v>3</v>
      </c>
      <c r="M33" s="558">
        <f t="shared" si="4"/>
        <v>21.645405673935027</v>
      </c>
      <c r="N33" s="1760">
        <v>520.23</v>
      </c>
      <c r="O33" s="1760"/>
      <c r="P33" s="559">
        <v>520.23</v>
      </c>
      <c r="Q33" s="559">
        <v>43.4</v>
      </c>
      <c r="R33" s="1760">
        <v>111.8</v>
      </c>
      <c r="S33" s="1760"/>
      <c r="T33" s="559">
        <v>111.8</v>
      </c>
      <c r="U33" s="560">
        <v>10.199999999999999</v>
      </c>
      <c r="V33" s="561">
        <f t="shared" si="10"/>
        <v>68.636300000000006</v>
      </c>
      <c r="W33" s="562">
        <f t="shared" si="5"/>
        <v>5.6363000000000003</v>
      </c>
      <c r="X33" s="562">
        <f t="shared" si="6"/>
        <v>14.856605574579069</v>
      </c>
      <c r="Y33" s="562"/>
      <c r="Z33" s="562">
        <f t="shared" si="7"/>
        <v>1.22</v>
      </c>
      <c r="AA33" s="556">
        <f t="shared" si="8"/>
        <v>2.2819079196009513</v>
      </c>
      <c r="AB33" s="1381"/>
      <c r="AC33" s="1761">
        <v>1.3953</v>
      </c>
      <c r="AD33" s="1762"/>
      <c r="AE33" s="563">
        <v>0.39200000000000002</v>
      </c>
      <c r="AF33" s="564"/>
      <c r="AG33" s="564">
        <f t="shared" si="17"/>
        <v>159.99294</v>
      </c>
      <c r="AH33" s="565">
        <f t="shared" si="1"/>
        <v>1.3114175409836066</v>
      </c>
      <c r="AI33" s="1381"/>
      <c r="AJ33" s="566">
        <f t="shared" si="2"/>
        <v>0.57470221726253568</v>
      </c>
      <c r="AK33" s="1393"/>
    </row>
    <row r="34" spans="1:37" ht="16.5" thickBot="1">
      <c r="A34" s="567" t="s">
        <v>38</v>
      </c>
      <c r="B34" s="568">
        <v>42189</v>
      </c>
      <c r="C34" s="569">
        <v>320</v>
      </c>
      <c r="D34" s="569">
        <v>14</v>
      </c>
      <c r="E34" s="569" t="s">
        <v>63</v>
      </c>
      <c r="F34" s="569">
        <v>4</v>
      </c>
      <c r="G34" s="569" t="s">
        <v>158</v>
      </c>
      <c r="H34" s="570" t="s">
        <v>185</v>
      </c>
      <c r="I34" s="571">
        <v>17</v>
      </c>
      <c r="J34" s="572">
        <v>3430</v>
      </c>
      <c r="K34" s="573">
        <f t="shared" si="3"/>
        <v>734.61262038234861</v>
      </c>
      <c r="L34" s="588">
        <v>4</v>
      </c>
      <c r="M34" s="589">
        <f t="shared" si="4"/>
        <v>21.417277562167598</v>
      </c>
      <c r="N34" s="1767">
        <v>583.63</v>
      </c>
      <c r="O34" s="1767"/>
      <c r="P34" s="590">
        <v>583.63</v>
      </c>
      <c r="Q34" s="590">
        <v>42.5</v>
      </c>
      <c r="R34" s="1767">
        <v>122.8</v>
      </c>
      <c r="S34" s="1767"/>
      <c r="T34" s="590">
        <v>122.8</v>
      </c>
      <c r="U34" s="591">
        <v>11.3</v>
      </c>
      <c r="V34" s="578">
        <f t="shared" si="10"/>
        <v>40.561300000000003</v>
      </c>
      <c r="W34" s="579">
        <f t="shared" si="5"/>
        <v>6.2613000000000003</v>
      </c>
      <c r="X34" s="579">
        <f t="shared" si="6"/>
        <v>8.6871262038234853</v>
      </c>
      <c r="Y34" s="579"/>
      <c r="Z34" s="579">
        <f t="shared" si="7"/>
        <v>1.341</v>
      </c>
      <c r="AA34" s="573">
        <f t="shared" si="8"/>
        <v>2.6095100950236119</v>
      </c>
      <c r="AB34" s="1382"/>
      <c r="AC34" s="1764">
        <v>1.8439000000000001</v>
      </c>
      <c r="AD34" s="1765"/>
      <c r="AE34" s="580">
        <v>0.56440000000000001</v>
      </c>
      <c r="AF34" s="581"/>
      <c r="AG34" s="581">
        <f t="shared" si="17"/>
        <v>232.80864000000003</v>
      </c>
      <c r="AH34" s="582">
        <f t="shared" si="1"/>
        <v>1.7360823266219243</v>
      </c>
      <c r="AI34" s="1382"/>
      <c r="AJ34" s="583">
        <f t="shared" si="2"/>
        <v>0.66529051944756534</v>
      </c>
      <c r="AK34" s="1393"/>
    </row>
    <row r="35" spans="1:37" ht="23.25">
      <c r="C35" s="592"/>
      <c r="D35" s="592"/>
      <c r="E35" s="593"/>
      <c r="F35" s="592"/>
      <c r="G35" s="594"/>
      <c r="H35" s="593"/>
      <c r="I35" s="595"/>
      <c r="J35" s="595"/>
      <c r="K35" s="595"/>
      <c r="L35" s="595"/>
      <c r="M35" s="595"/>
      <c r="N35" s="595"/>
      <c r="O35" s="593"/>
      <c r="P35" s="595"/>
      <c r="Q35" s="595"/>
      <c r="R35" s="595"/>
      <c r="S35" s="593"/>
      <c r="T35" s="595"/>
      <c r="U35" s="595"/>
      <c r="V35" s="596"/>
      <c r="W35" s="596"/>
      <c r="X35" s="596"/>
      <c r="Y35" s="596"/>
      <c r="Z35" s="593"/>
      <c r="AA35" s="593"/>
      <c r="AB35" s="593"/>
      <c r="AC35" s="595"/>
      <c r="AD35" s="593"/>
      <c r="AE35" s="595"/>
      <c r="AF35" s="595"/>
      <c r="AG35" s="596"/>
    </row>
    <row r="36" spans="1:37">
      <c r="C36" s="593"/>
      <c r="D36" s="593"/>
      <c r="E36" s="593"/>
      <c r="F36" s="593"/>
      <c r="G36" s="593"/>
      <c r="H36" s="593"/>
      <c r="I36" s="593"/>
      <c r="J36" s="593"/>
      <c r="K36" s="593"/>
      <c r="L36" s="593"/>
      <c r="M36" s="593"/>
      <c r="N36" s="593"/>
      <c r="O36" s="750" t="s">
        <v>390</v>
      </c>
      <c r="P36" s="751"/>
      <c r="Q36" s="751"/>
      <c r="R36" s="593"/>
      <c r="S36" s="593"/>
      <c r="T36" s="593"/>
      <c r="U36" s="593"/>
      <c r="V36" s="593"/>
      <c r="W36" s="593"/>
      <c r="X36" s="593"/>
      <c r="Y36" s="593"/>
      <c r="Z36" s="593"/>
      <c r="AA36" s="593"/>
      <c r="AB36" s="593"/>
      <c r="AC36" s="593"/>
      <c r="AD36" s="593"/>
      <c r="AE36" s="593"/>
      <c r="AF36" s="593"/>
      <c r="AG36" s="593"/>
    </row>
    <row r="37" spans="1:37">
      <c r="C37" s="593"/>
      <c r="D37" s="593"/>
      <c r="E37" s="593"/>
      <c r="F37" s="593"/>
      <c r="G37" s="593"/>
      <c r="H37" s="593"/>
      <c r="I37" s="593"/>
      <c r="J37" s="593"/>
      <c r="K37" s="593"/>
      <c r="L37" s="593"/>
      <c r="M37" s="593"/>
      <c r="N37" s="593"/>
      <c r="O37" s="36"/>
      <c r="P37" s="1427" t="s">
        <v>64</v>
      </c>
      <c r="Q37" s="1428" t="s">
        <v>63</v>
      </c>
      <c r="R37" s="593"/>
      <c r="S37" s="593"/>
      <c r="T37" s="593"/>
      <c r="U37" s="593"/>
      <c r="V37" s="593"/>
      <c r="W37" s="593"/>
      <c r="X37" s="593"/>
      <c r="Y37" s="593"/>
      <c r="Z37" s="593"/>
      <c r="AA37" s="593"/>
      <c r="AB37" s="593"/>
      <c r="AC37" s="593"/>
      <c r="AD37" s="593"/>
      <c r="AE37" s="593"/>
      <c r="AF37" s="593"/>
      <c r="AG37" s="593"/>
    </row>
    <row r="38" spans="1:37">
      <c r="C38" s="593"/>
      <c r="D38" s="593"/>
      <c r="E38" s="593"/>
      <c r="F38" s="593"/>
      <c r="G38" s="593"/>
      <c r="H38" s="593"/>
      <c r="I38" s="593"/>
      <c r="J38" s="593"/>
      <c r="K38" s="593"/>
      <c r="L38" s="593"/>
      <c r="M38" s="593"/>
      <c r="N38" s="593"/>
      <c r="O38" s="36" t="s">
        <v>391</v>
      </c>
      <c r="P38" s="774">
        <f>AVERAGE(AK19:AK20,AK25:AK26)</f>
        <v>1.2489038940432184</v>
      </c>
      <c r="Q38" s="774">
        <f>AVERAGE(AK21:AK24)</f>
        <v>0.96593544902081929</v>
      </c>
      <c r="R38" s="593"/>
      <c r="S38" s="593"/>
      <c r="T38" s="593"/>
      <c r="U38" s="593"/>
      <c r="V38" s="593"/>
      <c r="W38" s="593"/>
      <c r="X38" s="593"/>
      <c r="Y38" s="593"/>
      <c r="Z38" s="593"/>
      <c r="AA38" s="593"/>
      <c r="AB38" s="593"/>
      <c r="AC38" s="593"/>
      <c r="AD38" s="593"/>
      <c r="AE38" s="593"/>
      <c r="AF38" s="593"/>
      <c r="AG38" s="593"/>
    </row>
    <row r="39" spans="1:37">
      <c r="C39" s="593"/>
      <c r="D39" s="593"/>
      <c r="E39" s="593"/>
      <c r="F39" s="593"/>
      <c r="G39" s="593"/>
      <c r="H39" s="593"/>
      <c r="I39" s="593"/>
      <c r="J39" s="593"/>
      <c r="K39" s="593"/>
      <c r="L39" s="593"/>
      <c r="M39" s="593"/>
      <c r="N39" s="593"/>
      <c r="O39" s="36" t="s">
        <v>25</v>
      </c>
      <c r="P39" s="774">
        <f>AVERAGE(AF19:AF20,AF25:AF26)</f>
        <v>175.07574999999997</v>
      </c>
      <c r="Q39" s="774">
        <f>AVERAGE(AF21:AF24)</f>
        <v>72.514900000000011</v>
      </c>
      <c r="R39" s="593"/>
      <c r="S39" s="593"/>
      <c r="T39" s="593"/>
      <c r="U39" s="593"/>
      <c r="V39" s="593"/>
      <c r="W39" s="593"/>
      <c r="X39" s="593"/>
      <c r="Y39" s="593"/>
      <c r="Z39" s="593"/>
      <c r="AA39" s="593"/>
      <c r="AB39" s="593"/>
      <c r="AC39" s="593"/>
      <c r="AD39" s="593"/>
      <c r="AE39" s="593"/>
      <c r="AF39" s="593"/>
      <c r="AG39" s="593"/>
    </row>
    <row r="40" spans="1:37">
      <c r="C40" s="593"/>
      <c r="D40" s="593"/>
      <c r="E40" s="593"/>
      <c r="F40" s="593"/>
      <c r="G40" s="593"/>
      <c r="H40" s="593"/>
      <c r="I40" s="593"/>
      <c r="J40" s="593"/>
      <c r="K40" s="593"/>
      <c r="L40" s="593"/>
      <c r="M40" s="593"/>
      <c r="N40" s="593"/>
      <c r="O40" s="36" t="s">
        <v>392</v>
      </c>
      <c r="P40" s="774">
        <f>AVERAGE(AI19:AI20,AI25:AI26)</f>
        <v>4.7794157272631361</v>
      </c>
      <c r="Q40" s="774">
        <f>AVERAGE(AI21:AI24)</f>
        <v>4.128899869238313</v>
      </c>
      <c r="R40" s="593"/>
      <c r="S40" s="593"/>
      <c r="T40" s="593"/>
      <c r="U40" s="593"/>
      <c r="V40" s="593"/>
      <c r="W40" s="593"/>
      <c r="X40" s="593"/>
      <c r="Y40" s="593"/>
      <c r="Z40" s="593"/>
      <c r="AA40" s="593"/>
      <c r="AB40" s="593"/>
      <c r="AC40" s="593"/>
      <c r="AD40" s="593"/>
      <c r="AE40" s="593"/>
      <c r="AF40" s="593"/>
      <c r="AG40" s="593"/>
    </row>
    <row r="41" spans="1:37">
      <c r="C41" s="593"/>
      <c r="D41" s="593"/>
      <c r="E41" s="593"/>
      <c r="F41" s="593"/>
      <c r="G41" s="593"/>
      <c r="H41" s="593"/>
      <c r="I41" s="593"/>
      <c r="J41" s="593"/>
      <c r="K41" s="593"/>
      <c r="L41" s="593"/>
      <c r="M41" s="593"/>
      <c r="N41" s="593"/>
      <c r="O41" s="36" t="s">
        <v>393</v>
      </c>
      <c r="P41" s="774">
        <f>AVERAGE(Y19:Y20,Y25:Y26)</f>
        <v>1.9075612114011617</v>
      </c>
      <c r="Q41" s="774">
        <f>AVERAGE(Y21:Y24)</f>
        <v>1.1872364267676767</v>
      </c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593"/>
      <c r="AF41" s="593"/>
      <c r="AG41" s="593"/>
    </row>
    <row r="42" spans="1:37">
      <c r="C42" s="593"/>
      <c r="D42" s="593"/>
      <c r="E42" s="593"/>
      <c r="F42" s="593"/>
      <c r="G42" s="593"/>
      <c r="H42" s="593"/>
      <c r="I42" s="593"/>
      <c r="J42" s="593"/>
      <c r="K42" s="593"/>
      <c r="L42" s="593"/>
      <c r="M42" s="593"/>
      <c r="N42" s="593"/>
      <c r="O42" s="593"/>
      <c r="P42" s="593"/>
      <c r="Q42" s="593"/>
      <c r="R42" s="593"/>
      <c r="S42" s="593"/>
      <c r="T42" s="593"/>
      <c r="U42" s="593"/>
      <c r="V42" s="593"/>
      <c r="W42" s="593"/>
      <c r="X42" s="593"/>
      <c r="Y42" s="593"/>
      <c r="Z42" s="593"/>
      <c r="AA42" s="593"/>
      <c r="AB42" s="593"/>
      <c r="AC42" s="593"/>
      <c r="AD42" s="593"/>
      <c r="AE42" s="593"/>
      <c r="AF42" s="593"/>
      <c r="AG42" s="593"/>
    </row>
    <row r="43" spans="1:37">
      <c r="C43" s="593"/>
      <c r="D43" s="593"/>
      <c r="E43" s="593"/>
      <c r="F43" s="593"/>
      <c r="G43" s="593"/>
      <c r="H43" s="593"/>
      <c r="I43" s="593"/>
      <c r="J43" s="593"/>
      <c r="K43" s="593"/>
      <c r="L43" s="593"/>
      <c r="M43" s="593"/>
      <c r="N43" s="593"/>
      <c r="O43" s="593"/>
      <c r="P43" s="593"/>
      <c r="Q43" s="593"/>
      <c r="R43" s="593"/>
      <c r="S43" s="593"/>
      <c r="T43" s="593"/>
      <c r="U43" s="593"/>
      <c r="V43" s="593"/>
      <c r="W43" s="593"/>
      <c r="X43" s="593"/>
      <c r="Y43" s="593"/>
      <c r="Z43" s="593"/>
      <c r="AA43" s="593"/>
      <c r="AB43" s="593"/>
      <c r="AC43" s="593"/>
      <c r="AD43" s="593"/>
      <c r="AE43" s="593"/>
      <c r="AF43" s="593"/>
      <c r="AG43" s="593"/>
    </row>
    <row r="44" spans="1:37">
      <c r="C44" s="593"/>
      <c r="D44" s="593"/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</row>
    <row r="45" spans="1:37">
      <c r="C45" s="593"/>
      <c r="D45" s="593"/>
      <c r="E45" s="593"/>
      <c r="F45" s="593"/>
      <c r="G45" s="593"/>
      <c r="H45" s="593"/>
      <c r="I45" s="593"/>
      <c r="J45" s="593"/>
      <c r="K45" s="593"/>
      <c r="L45" s="593"/>
      <c r="M45" s="593"/>
      <c r="N45" s="593"/>
      <c r="O45" s="593"/>
      <c r="P45" s="593"/>
      <c r="Q45" s="593"/>
      <c r="R45" s="593"/>
      <c r="S45" s="593"/>
      <c r="T45" s="593"/>
      <c r="U45" s="593"/>
      <c r="V45" s="593"/>
      <c r="W45" s="593"/>
      <c r="X45" s="593"/>
      <c r="Y45" s="593"/>
      <c r="Z45" s="593"/>
      <c r="AA45" s="593"/>
      <c r="AB45" s="593"/>
      <c r="AC45" s="593"/>
      <c r="AD45" s="593"/>
      <c r="AE45" s="593"/>
      <c r="AF45" s="593"/>
      <c r="AG45" s="593"/>
    </row>
    <row r="46" spans="1:37">
      <c r="C46" s="593"/>
      <c r="D46" s="593"/>
      <c r="E46" s="593"/>
      <c r="F46" s="593"/>
      <c r="G46" s="593"/>
      <c r="H46" s="593"/>
      <c r="I46" s="593"/>
      <c r="J46" s="593"/>
      <c r="K46" s="593"/>
      <c r="L46" s="593"/>
      <c r="M46" s="593"/>
      <c r="N46" s="593"/>
      <c r="O46" s="593"/>
      <c r="P46" s="593"/>
      <c r="Q46" s="593"/>
      <c r="R46" s="593"/>
      <c r="S46" s="593"/>
      <c r="T46" s="593"/>
      <c r="U46" s="593"/>
      <c r="V46" s="593"/>
      <c r="W46" s="593"/>
      <c r="X46" s="593"/>
      <c r="Y46" s="593"/>
      <c r="Z46" s="593"/>
      <c r="AA46" s="593"/>
      <c r="AB46" s="593"/>
      <c r="AC46" s="593"/>
      <c r="AD46" s="593"/>
      <c r="AE46" s="593"/>
      <c r="AF46" s="593"/>
      <c r="AG46" s="593"/>
    </row>
    <row r="47" spans="1:37">
      <c r="C47" s="593"/>
      <c r="D47" s="593"/>
      <c r="E47" s="593"/>
      <c r="F47" s="593"/>
      <c r="G47" s="593"/>
      <c r="H47" s="593"/>
      <c r="I47" s="593"/>
      <c r="J47" s="593"/>
      <c r="K47" s="593"/>
      <c r="L47" s="593"/>
      <c r="M47" s="593"/>
      <c r="N47" s="593"/>
      <c r="O47" s="593"/>
      <c r="P47" s="593"/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  <c r="AF47" s="593"/>
      <c r="AG47" s="593"/>
    </row>
    <row r="48" spans="1:37">
      <c r="C48" s="593"/>
      <c r="D48" s="593"/>
      <c r="E48" s="593"/>
      <c r="F48" s="593"/>
      <c r="G48" s="593"/>
      <c r="H48" s="593"/>
      <c r="I48" s="593"/>
      <c r="J48" s="593"/>
      <c r="K48" s="593"/>
      <c r="L48" s="593"/>
      <c r="M48" s="593"/>
      <c r="N48" s="593"/>
      <c r="O48" s="593"/>
      <c r="P48" s="593"/>
      <c r="Q48" s="593"/>
      <c r="R48" s="593"/>
      <c r="S48" s="593"/>
      <c r="T48" s="593"/>
      <c r="U48" s="593"/>
      <c r="V48" s="593"/>
      <c r="W48" s="593"/>
      <c r="X48" s="593"/>
      <c r="Y48" s="593"/>
      <c r="Z48" s="593"/>
      <c r="AA48" s="593"/>
      <c r="AB48" s="593"/>
      <c r="AC48" s="593"/>
      <c r="AD48" s="593"/>
      <c r="AE48" s="593"/>
      <c r="AF48" s="593"/>
      <c r="AG48" s="593"/>
    </row>
    <row r="49" spans="3:33" ht="23.25">
      <c r="C49" s="593"/>
      <c r="D49" s="593"/>
      <c r="E49" s="593"/>
      <c r="F49" s="593"/>
      <c r="G49" s="593"/>
      <c r="H49" s="593"/>
      <c r="I49" s="593"/>
      <c r="J49" s="593"/>
      <c r="K49" s="593"/>
      <c r="L49" s="593"/>
      <c r="M49" s="593"/>
      <c r="N49" s="593"/>
      <c r="O49" s="593"/>
      <c r="P49" s="593"/>
      <c r="Q49" s="593"/>
      <c r="R49" s="595"/>
      <c r="S49" s="593"/>
      <c r="T49" s="595"/>
      <c r="U49" s="593"/>
      <c r="V49" s="593"/>
      <c r="W49" s="593"/>
      <c r="X49" s="593"/>
      <c r="Y49" s="593"/>
      <c r="Z49" s="593"/>
      <c r="AA49" s="593"/>
      <c r="AB49" s="593"/>
      <c r="AC49" s="593"/>
      <c r="AD49" s="593"/>
      <c r="AE49" s="593"/>
      <c r="AF49" s="593"/>
      <c r="AG49" s="593"/>
    </row>
    <row r="50" spans="3:33">
      <c r="C50" s="593"/>
      <c r="D50" s="593"/>
      <c r="E50" s="593"/>
      <c r="F50" s="593"/>
      <c r="G50" s="593"/>
      <c r="H50" s="593"/>
      <c r="I50" s="593"/>
      <c r="J50" s="593"/>
      <c r="K50" s="593"/>
      <c r="L50" s="593"/>
      <c r="M50" s="593"/>
      <c r="N50" s="593"/>
      <c r="O50" s="593"/>
      <c r="P50" s="593"/>
      <c r="Q50" s="593"/>
      <c r="R50" s="593"/>
      <c r="S50" s="593"/>
      <c r="T50" s="593"/>
      <c r="U50" s="593"/>
      <c r="V50" s="593"/>
      <c r="W50" s="593"/>
      <c r="X50" s="593"/>
      <c r="Y50" s="593"/>
      <c r="Z50" s="593"/>
      <c r="AA50" s="593"/>
      <c r="AB50" s="593"/>
      <c r="AC50" s="593"/>
      <c r="AD50" s="593"/>
      <c r="AE50" s="593"/>
      <c r="AF50" s="593"/>
      <c r="AG50" s="593"/>
    </row>
    <row r="51" spans="3:33">
      <c r="C51" s="593"/>
      <c r="D51" s="593"/>
      <c r="E51" s="593"/>
      <c r="F51" s="593"/>
      <c r="G51" s="593"/>
      <c r="H51" s="593"/>
      <c r="I51" s="593"/>
      <c r="J51" s="593"/>
      <c r="K51" s="593"/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F51" s="593"/>
      <c r="AG51" s="593"/>
    </row>
    <row r="52" spans="3:33">
      <c r="C52" s="593"/>
      <c r="D52" s="593"/>
      <c r="E52" s="593"/>
      <c r="F52" s="593"/>
      <c r="G52" s="593"/>
      <c r="H52" s="593"/>
      <c r="I52" s="593"/>
      <c r="J52" s="593"/>
      <c r="K52" s="593"/>
      <c r="L52" s="59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F52" s="593"/>
      <c r="AG52" s="593"/>
    </row>
  </sheetData>
  <mergeCells count="76">
    <mergeCell ref="N34:O34"/>
    <mergeCell ref="R34:S34"/>
    <mergeCell ref="AC34:AD34"/>
    <mergeCell ref="N32:O32"/>
    <mergeCell ref="R32:S32"/>
    <mergeCell ref="AC32:AD32"/>
    <mergeCell ref="N33:O33"/>
    <mergeCell ref="R33:S33"/>
    <mergeCell ref="AC33:AD33"/>
    <mergeCell ref="N30:O30"/>
    <mergeCell ref="R30:S30"/>
    <mergeCell ref="AC30:AD30"/>
    <mergeCell ref="N31:O31"/>
    <mergeCell ref="R31:S31"/>
    <mergeCell ref="AC31:AD31"/>
    <mergeCell ref="N28:O28"/>
    <mergeCell ref="R28:S28"/>
    <mergeCell ref="AC28:AD28"/>
    <mergeCell ref="N29:O29"/>
    <mergeCell ref="R29:S29"/>
    <mergeCell ref="AC29:AD29"/>
    <mergeCell ref="N18:O18"/>
    <mergeCell ref="R18:S18"/>
    <mergeCell ref="AC18:AD18"/>
    <mergeCell ref="N27:O27"/>
    <mergeCell ref="R27:S27"/>
    <mergeCell ref="AC27:AD27"/>
    <mergeCell ref="N16:O16"/>
    <mergeCell ref="R16:S16"/>
    <mergeCell ref="AC16:AD16"/>
    <mergeCell ref="N17:O17"/>
    <mergeCell ref="R17:S17"/>
    <mergeCell ref="AC17:AD17"/>
    <mergeCell ref="N14:O14"/>
    <mergeCell ref="R14:S14"/>
    <mergeCell ref="AC14:AD14"/>
    <mergeCell ref="N15:O15"/>
    <mergeCell ref="R15:S15"/>
    <mergeCell ref="AC15:AD15"/>
    <mergeCell ref="N12:O12"/>
    <mergeCell ref="R12:S12"/>
    <mergeCell ref="AC12:AD12"/>
    <mergeCell ref="N13:O13"/>
    <mergeCell ref="R13:S13"/>
    <mergeCell ref="AC13:AD13"/>
    <mergeCell ref="N10:O10"/>
    <mergeCell ref="R10:S10"/>
    <mergeCell ref="AC10:AD10"/>
    <mergeCell ref="N11:O11"/>
    <mergeCell ref="R11:S11"/>
    <mergeCell ref="AC11:AD11"/>
    <mergeCell ref="N8:O8"/>
    <mergeCell ref="R8:S8"/>
    <mergeCell ref="AC8:AD8"/>
    <mergeCell ref="N9:O9"/>
    <mergeCell ref="R9:S9"/>
    <mergeCell ref="AC9:AD9"/>
    <mergeCell ref="N6:O6"/>
    <mergeCell ref="R6:S6"/>
    <mergeCell ref="AC6:AD6"/>
    <mergeCell ref="N7:O7"/>
    <mergeCell ref="R7:S7"/>
    <mergeCell ref="AC7:AD7"/>
    <mergeCell ref="N4:O4"/>
    <mergeCell ref="R4:S4"/>
    <mergeCell ref="AC4:AD4"/>
    <mergeCell ref="N5:O5"/>
    <mergeCell ref="R5:S5"/>
    <mergeCell ref="AC5:AD5"/>
    <mergeCell ref="I1:K1"/>
    <mergeCell ref="L1:U1"/>
    <mergeCell ref="V1:Z1"/>
    <mergeCell ref="AC1:AG1"/>
    <mergeCell ref="N3:O3"/>
    <mergeCell ref="R3:S3"/>
    <mergeCell ref="AC3:A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AC81"/>
  <sheetViews>
    <sheetView topLeftCell="G34" workbookViewId="0">
      <selection activeCell="Q56" sqref="Q56"/>
    </sheetView>
  </sheetViews>
  <sheetFormatPr baseColWidth="10" defaultRowHeight="12.75"/>
  <cols>
    <col min="1" max="1" width="34" style="1" customWidth="1"/>
    <col min="2" max="2" width="10.140625" style="1" bestFit="1" customWidth="1"/>
    <col min="3" max="3" width="3" style="1" bestFit="1" customWidth="1"/>
    <col min="4" max="4" width="4" style="1" bestFit="1" customWidth="1"/>
    <col min="5" max="5" width="16" style="1" customWidth="1"/>
    <col min="6" max="6" width="17" style="1" bestFit="1" customWidth="1"/>
    <col min="7" max="7" width="6.28515625" style="1" bestFit="1" customWidth="1"/>
    <col min="8" max="8" width="4.140625" style="1" bestFit="1" customWidth="1"/>
    <col min="9" max="9" width="6.5703125" style="1" bestFit="1" customWidth="1"/>
    <col min="10" max="10" width="12" style="1" bestFit="1" customWidth="1"/>
    <col min="11" max="11" width="4.140625" style="1" bestFit="1" customWidth="1"/>
    <col min="12" max="12" width="12" style="1" bestFit="1" customWidth="1"/>
    <col min="13" max="13" width="14.28515625" style="1" bestFit="1" customWidth="1"/>
    <col min="14" max="14" width="11.140625" style="1" bestFit="1" customWidth="1"/>
    <col min="15" max="15" width="14" style="1" bestFit="1" customWidth="1"/>
    <col min="16" max="16" width="7.42578125" style="1" bestFit="1" customWidth="1"/>
    <col min="17" max="17" width="14.42578125" style="1" bestFit="1" customWidth="1"/>
    <col min="18" max="18" width="11.28515625" style="1" bestFit="1" customWidth="1"/>
    <col min="19" max="19" width="14.140625" style="1" bestFit="1" customWidth="1"/>
    <col min="20" max="20" width="10.42578125" style="1" bestFit="1" customWidth="1"/>
    <col min="21" max="21" width="13" style="4" bestFit="1" customWidth="1"/>
    <col min="22" max="22" width="11.42578125" style="4"/>
    <col min="23" max="23" width="12.42578125" style="1" customWidth="1"/>
    <col min="24" max="25" width="11.85546875" style="1" customWidth="1"/>
    <col min="26" max="26" width="11.42578125" style="4"/>
    <col min="27" max="27" width="15.85546875" style="4" bestFit="1" customWidth="1"/>
    <col min="28" max="16384" width="11.42578125" style="4"/>
  </cols>
  <sheetData>
    <row r="1" spans="1:29" ht="15.75">
      <c r="C1" s="2"/>
      <c r="D1" s="2"/>
      <c r="E1" s="2"/>
      <c r="F1" s="2"/>
      <c r="G1" s="2"/>
      <c r="H1" s="1617" t="s">
        <v>0</v>
      </c>
      <c r="I1" s="1618"/>
      <c r="J1" s="1619"/>
      <c r="K1" s="1620" t="s">
        <v>1</v>
      </c>
      <c r="L1" s="1618"/>
      <c r="M1" s="1618"/>
      <c r="N1" s="1618"/>
      <c r="O1" s="1618"/>
      <c r="P1" s="1618"/>
      <c r="Q1" s="1618"/>
      <c r="R1" s="1618"/>
      <c r="S1" s="1618"/>
      <c r="T1" s="1619"/>
      <c r="U1" s="1621" t="s">
        <v>2</v>
      </c>
      <c r="V1" s="1622"/>
      <c r="W1" s="1623" t="s">
        <v>3</v>
      </c>
      <c r="X1" s="1623"/>
      <c r="Y1" s="1624"/>
      <c r="Z1" s="1624"/>
      <c r="AA1" s="3"/>
    </row>
    <row r="2" spans="1:29" ht="1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6" t="s">
        <v>13</v>
      </c>
      <c r="K2" s="7" t="s">
        <v>11</v>
      </c>
      <c r="L2" s="5" t="s">
        <v>14</v>
      </c>
      <c r="M2" s="8" t="s">
        <v>15</v>
      </c>
      <c r="N2" s="8" t="s">
        <v>16</v>
      </c>
      <c r="O2" s="8" t="s">
        <v>186</v>
      </c>
      <c r="P2" s="5" t="s">
        <v>17</v>
      </c>
      <c r="Q2" s="8" t="s">
        <v>18</v>
      </c>
      <c r="R2" s="8" t="s">
        <v>19</v>
      </c>
      <c r="S2" s="597" t="s">
        <v>187</v>
      </c>
      <c r="T2" s="9" t="s">
        <v>20</v>
      </c>
      <c r="U2" s="10" t="s">
        <v>21</v>
      </c>
      <c r="V2" s="8" t="s">
        <v>22</v>
      </c>
      <c r="W2" s="11" t="s">
        <v>23</v>
      </c>
      <c r="X2" s="11"/>
      <c r="Y2" s="12" t="s">
        <v>188</v>
      </c>
      <c r="Z2" s="12" t="s">
        <v>25</v>
      </c>
      <c r="AA2" s="13" t="s">
        <v>26</v>
      </c>
      <c r="AB2" s="14" t="s">
        <v>27</v>
      </c>
      <c r="AC2" s="598" t="s">
        <v>189</v>
      </c>
    </row>
    <row r="3" spans="1:29" s="51" customFormat="1" ht="15">
      <c r="A3" s="17" t="s">
        <v>114</v>
      </c>
      <c r="B3" s="599">
        <v>41967</v>
      </c>
      <c r="C3" s="50">
        <v>5</v>
      </c>
      <c r="D3" s="34">
        <v>16</v>
      </c>
      <c r="E3" s="600" t="s">
        <v>190</v>
      </c>
      <c r="F3" s="600" t="s">
        <v>33</v>
      </c>
      <c r="G3" s="19" t="s">
        <v>191</v>
      </c>
      <c r="H3" s="35">
        <v>31</v>
      </c>
      <c r="I3" s="35">
        <v>522.29999999999995</v>
      </c>
      <c r="J3" s="157">
        <f>I3*L3</f>
        <v>93.365519820493617</v>
      </c>
      <c r="K3" s="187">
        <v>9</v>
      </c>
      <c r="L3" s="35">
        <f>T3/P3</f>
        <v>0.17875841436050857</v>
      </c>
      <c r="M3" s="601">
        <v>238.3</v>
      </c>
      <c r="N3" s="249">
        <v>29.1</v>
      </c>
      <c r="O3" s="249"/>
      <c r="P3" s="602">
        <f>M3+N3</f>
        <v>267.40000000000003</v>
      </c>
      <c r="Q3" s="601">
        <v>39.9</v>
      </c>
      <c r="R3" s="601">
        <v>7.9</v>
      </c>
      <c r="S3" s="249"/>
      <c r="T3" s="603">
        <f>Q3+R3</f>
        <v>47.8</v>
      </c>
      <c r="U3" s="160">
        <f>(T3+J3)/100</f>
        <v>1.4116551982049361</v>
      </c>
      <c r="V3" s="161">
        <f>MIN(4.63,4.48*U3^(-0.25))</f>
        <v>4.1100381783063868</v>
      </c>
      <c r="W3" s="1769">
        <v>2.81</v>
      </c>
      <c r="X3" s="1770"/>
      <c r="Y3" s="604"/>
      <c r="Z3" s="162">
        <f>(W3*T3)</f>
        <v>134.31799999999998</v>
      </c>
      <c r="AA3" s="162">
        <f>Z3/T3</f>
        <v>2.8099999999999996</v>
      </c>
      <c r="AB3" s="162">
        <f>(Z3/T3)/V3</f>
        <v>0.68369194593659699</v>
      </c>
      <c r="AC3" s="598">
        <v>45.44</v>
      </c>
    </row>
    <row r="4" spans="1:29" s="51" customFormat="1" ht="15">
      <c r="A4" s="17" t="s">
        <v>114</v>
      </c>
      <c r="B4" s="599">
        <v>41968</v>
      </c>
      <c r="C4" s="36">
        <v>4</v>
      </c>
      <c r="D4" s="297">
        <v>82</v>
      </c>
      <c r="E4" s="600" t="s">
        <v>192</v>
      </c>
      <c r="F4" s="600" t="s">
        <v>33</v>
      </c>
      <c r="G4" s="19" t="s">
        <v>191</v>
      </c>
      <c r="H4" s="35">
        <v>47</v>
      </c>
      <c r="I4" s="35">
        <v>883.1</v>
      </c>
      <c r="J4" s="157">
        <f t="shared" ref="J4:J14" si="0">I4*L4</f>
        <v>145.62916198607056</v>
      </c>
      <c r="K4" s="187">
        <v>12</v>
      </c>
      <c r="L4" s="35">
        <f t="shared" ref="L4:L26" si="1">T4/P4</f>
        <v>0.16490676252527522</v>
      </c>
      <c r="M4" s="601">
        <v>392</v>
      </c>
      <c r="N4" s="249">
        <v>53.1</v>
      </c>
      <c r="O4" s="249"/>
      <c r="P4" s="602">
        <f t="shared" ref="P4:P13" si="2">M4+N4</f>
        <v>445.1</v>
      </c>
      <c r="Q4" s="601">
        <v>61.4</v>
      </c>
      <c r="R4" s="601">
        <v>12</v>
      </c>
      <c r="S4" s="249"/>
      <c r="T4" s="186">
        <f t="shared" ref="T4:T7" si="3">Q4+R4</f>
        <v>73.400000000000006</v>
      </c>
      <c r="U4" s="160">
        <f t="shared" ref="U4:U7" si="4">(T4+J4)/100</f>
        <v>2.1902916198607056</v>
      </c>
      <c r="V4" s="161">
        <f t="shared" ref="V4:V13" si="5">MIN(4.63,4.48*U4^(-0.25))</f>
        <v>3.6825828696769589</v>
      </c>
      <c r="W4" s="1769">
        <v>2.98</v>
      </c>
      <c r="X4" s="1770"/>
      <c r="Y4" s="604"/>
      <c r="Z4" s="162">
        <f>(W4*T4)</f>
        <v>218.73200000000003</v>
      </c>
      <c r="AA4" s="162">
        <f t="shared" ref="AA4:AA14" si="6">Z4/T4</f>
        <v>2.98</v>
      </c>
      <c r="AB4" s="162">
        <f t="shared" ref="AB4:AB50" si="7">(Z4/T4)/V4</f>
        <v>0.80921464783259844</v>
      </c>
      <c r="AC4" s="51">
        <v>45.74</v>
      </c>
    </row>
    <row r="5" spans="1:29" s="51" customFormat="1" ht="15">
      <c r="A5" s="17" t="s">
        <v>114</v>
      </c>
      <c r="B5" s="599">
        <v>41968</v>
      </c>
      <c r="C5" s="36">
        <v>4</v>
      </c>
      <c r="D5" s="297">
        <v>88</v>
      </c>
      <c r="E5" s="600" t="s">
        <v>193</v>
      </c>
      <c r="F5" s="600" t="s">
        <v>76</v>
      </c>
      <c r="G5" s="19" t="s">
        <v>191</v>
      </c>
      <c r="H5" s="35">
        <v>32</v>
      </c>
      <c r="I5" s="35">
        <v>895.7</v>
      </c>
      <c r="J5" s="157">
        <f t="shared" si="0"/>
        <v>141.7718502377179</v>
      </c>
      <c r="K5" s="187">
        <v>13</v>
      </c>
      <c r="L5" s="35">
        <f t="shared" si="1"/>
        <v>0.15828050713153721</v>
      </c>
      <c r="M5" s="601">
        <v>459.2</v>
      </c>
      <c r="N5" s="249">
        <v>45.6</v>
      </c>
      <c r="O5" s="249"/>
      <c r="P5" s="602">
        <f t="shared" si="2"/>
        <v>504.8</v>
      </c>
      <c r="Q5" s="601">
        <v>69.099999999999994</v>
      </c>
      <c r="R5" s="601">
        <v>10.8</v>
      </c>
      <c r="S5" s="249"/>
      <c r="T5" s="186">
        <f t="shared" si="3"/>
        <v>79.899999999999991</v>
      </c>
      <c r="U5" s="160">
        <f t="shared" si="4"/>
        <v>2.2167185023771787</v>
      </c>
      <c r="V5" s="161">
        <f t="shared" si="5"/>
        <v>3.6715578667951085</v>
      </c>
      <c r="W5" s="1769">
        <v>3.27</v>
      </c>
      <c r="X5" s="1770"/>
      <c r="Y5" s="604"/>
      <c r="Z5" s="162">
        <f t="shared" ref="Z5:Z26" si="8">(W5*T5)</f>
        <v>261.27299999999997</v>
      </c>
      <c r="AA5" s="162">
        <f t="shared" si="6"/>
        <v>3.27</v>
      </c>
      <c r="AB5" s="162">
        <f t="shared" si="7"/>
        <v>0.89063011360198796</v>
      </c>
      <c r="AC5" s="598">
        <v>46.08</v>
      </c>
    </row>
    <row r="6" spans="1:29" s="51" customFormat="1" ht="15">
      <c r="A6" s="17" t="s">
        <v>114</v>
      </c>
      <c r="B6" s="599">
        <v>41968</v>
      </c>
      <c r="C6" s="36">
        <v>5</v>
      </c>
      <c r="D6" s="297">
        <v>31</v>
      </c>
      <c r="E6" s="600" t="s">
        <v>194</v>
      </c>
      <c r="F6" s="600" t="s">
        <v>76</v>
      </c>
      <c r="G6" s="19" t="s">
        <v>191</v>
      </c>
      <c r="H6" s="35">
        <v>28</v>
      </c>
      <c r="I6" s="35">
        <v>783.9</v>
      </c>
      <c r="J6" s="157">
        <f t="shared" si="0"/>
        <v>130.13359683794465</v>
      </c>
      <c r="K6" s="187">
        <v>12</v>
      </c>
      <c r="L6" s="35">
        <f t="shared" si="1"/>
        <v>0.16600790513833991</v>
      </c>
      <c r="M6" s="601">
        <v>435.7</v>
      </c>
      <c r="N6" s="249">
        <v>45</v>
      </c>
      <c r="O6" s="249"/>
      <c r="P6" s="602">
        <f t="shared" si="2"/>
        <v>480.7</v>
      </c>
      <c r="Q6" s="601">
        <v>68.599999999999994</v>
      </c>
      <c r="R6" s="601">
        <v>11.2</v>
      </c>
      <c r="S6" s="249"/>
      <c r="T6" s="186">
        <f t="shared" si="3"/>
        <v>79.8</v>
      </c>
      <c r="U6" s="160">
        <f t="shared" si="4"/>
        <v>2.0993359683794468</v>
      </c>
      <c r="V6" s="161">
        <f t="shared" si="5"/>
        <v>3.7218385279151178</v>
      </c>
      <c r="W6" s="1769">
        <v>3.09</v>
      </c>
      <c r="X6" s="1770"/>
      <c r="Y6" s="604"/>
      <c r="Z6" s="162">
        <f t="shared" si="8"/>
        <v>246.58199999999999</v>
      </c>
      <c r="AA6" s="162">
        <f t="shared" si="6"/>
        <v>3.09</v>
      </c>
      <c r="AB6" s="162">
        <f t="shared" si="7"/>
        <v>0.83023483604242809</v>
      </c>
      <c r="AC6" s="598">
        <v>46.76</v>
      </c>
    </row>
    <row r="7" spans="1:29" s="51" customFormat="1" ht="15">
      <c r="A7" s="17" t="s">
        <v>114</v>
      </c>
      <c r="B7" s="599">
        <v>41968</v>
      </c>
      <c r="C7" s="36">
        <v>5</v>
      </c>
      <c r="D7" s="297">
        <v>30</v>
      </c>
      <c r="E7" s="600" t="s">
        <v>195</v>
      </c>
      <c r="F7" s="600" t="s">
        <v>30</v>
      </c>
      <c r="G7" s="19" t="s">
        <v>191</v>
      </c>
      <c r="H7" s="35">
        <v>56</v>
      </c>
      <c r="I7" s="35">
        <v>1059.5999999999999</v>
      </c>
      <c r="J7" s="164">
        <f t="shared" si="0"/>
        <v>170.99943704259709</v>
      </c>
      <c r="K7" s="187">
        <v>15</v>
      </c>
      <c r="L7" s="38">
        <f t="shared" si="1"/>
        <v>0.16138112216175643</v>
      </c>
      <c r="M7" s="601">
        <v>483.3</v>
      </c>
      <c r="N7" s="249">
        <v>49.6</v>
      </c>
      <c r="O7" s="605"/>
      <c r="P7" s="606">
        <f t="shared" si="2"/>
        <v>532.9</v>
      </c>
      <c r="Q7" s="601">
        <v>74.099999999999994</v>
      </c>
      <c r="R7" s="601">
        <v>11.9</v>
      </c>
      <c r="S7" s="249"/>
      <c r="T7" s="189">
        <f t="shared" si="3"/>
        <v>86</v>
      </c>
      <c r="U7" s="166">
        <f t="shared" si="4"/>
        <v>2.5699943704259711</v>
      </c>
      <c r="V7" s="167">
        <f t="shared" si="5"/>
        <v>3.5383025953903231</v>
      </c>
      <c r="W7" s="1769">
        <v>3.13</v>
      </c>
      <c r="X7" s="1770"/>
      <c r="Y7" s="604"/>
      <c r="Z7" s="162">
        <f t="shared" si="8"/>
        <v>269.18</v>
      </c>
      <c r="AA7" s="162">
        <f t="shared" si="6"/>
        <v>3.13</v>
      </c>
      <c r="AB7" s="162">
        <f t="shared" si="7"/>
        <v>0.88460495269051975</v>
      </c>
      <c r="AC7" s="51">
        <v>46.48</v>
      </c>
    </row>
    <row r="8" spans="1:29" s="47" customFormat="1" ht="15.75" thickBot="1">
      <c r="A8" s="194" t="s">
        <v>114</v>
      </c>
      <c r="B8" s="607">
        <v>41970</v>
      </c>
      <c r="C8" s="29">
        <v>1</v>
      </c>
      <c r="D8" s="303">
        <v>96</v>
      </c>
      <c r="E8" s="608" t="s">
        <v>196</v>
      </c>
      <c r="F8" s="608" t="s">
        <v>30</v>
      </c>
      <c r="G8" s="196" t="s">
        <v>191</v>
      </c>
      <c r="H8" s="198">
        <v>26</v>
      </c>
      <c r="I8" s="198">
        <v>1583.7</v>
      </c>
      <c r="J8" s="173">
        <f t="shared" si="0"/>
        <v>214.24826325411337</v>
      </c>
      <c r="K8" s="197">
        <v>7</v>
      </c>
      <c r="L8" s="609">
        <f t="shared" si="1"/>
        <v>0.13528336380255943</v>
      </c>
      <c r="M8" s="610">
        <v>503.5</v>
      </c>
      <c r="N8" s="257">
        <v>43.5</v>
      </c>
      <c r="O8" s="257"/>
      <c r="P8" s="611">
        <f t="shared" si="2"/>
        <v>547</v>
      </c>
      <c r="Q8" s="610">
        <v>65.5</v>
      </c>
      <c r="R8" s="612">
        <v>8.5</v>
      </c>
      <c r="S8" s="613"/>
      <c r="T8" s="614">
        <f>Q8+R8</f>
        <v>74</v>
      </c>
      <c r="U8" s="615">
        <f>(T8+J8)/100</f>
        <v>2.8824826325411332</v>
      </c>
      <c r="V8" s="175">
        <f t="shared" si="5"/>
        <v>3.438241192634294</v>
      </c>
      <c r="W8" s="1771">
        <v>3.7</v>
      </c>
      <c r="X8" s="1772"/>
      <c r="Y8" s="258"/>
      <c r="Z8" s="176">
        <f t="shared" si="8"/>
        <v>273.8</v>
      </c>
      <c r="AA8" s="176">
        <f t="shared" si="6"/>
        <v>3.7</v>
      </c>
      <c r="AB8" s="176">
        <f t="shared" si="7"/>
        <v>1.076131601217061</v>
      </c>
      <c r="AC8" s="598">
        <v>45.25</v>
      </c>
    </row>
    <row r="9" spans="1:29" s="626" customFormat="1" ht="15.75" thickTop="1">
      <c r="A9" s="616" t="s">
        <v>126</v>
      </c>
      <c r="B9" s="617">
        <v>42044</v>
      </c>
      <c r="C9" s="50">
        <v>7</v>
      </c>
      <c r="D9" s="618">
        <v>67</v>
      </c>
      <c r="E9" s="600" t="s">
        <v>197</v>
      </c>
      <c r="F9" s="619" t="s">
        <v>76</v>
      </c>
      <c r="G9" s="620" t="s">
        <v>130</v>
      </c>
      <c r="H9" s="620">
        <v>32</v>
      </c>
      <c r="I9" s="621">
        <v>751.8</v>
      </c>
      <c r="J9" s="221">
        <f t="shared" si="0"/>
        <v>151.91813471502587</v>
      </c>
      <c r="K9" s="622">
        <v>8</v>
      </c>
      <c r="L9" s="32">
        <f>T9/P9</f>
        <v>0.2020725388601036</v>
      </c>
      <c r="M9" s="35">
        <v>187.4</v>
      </c>
      <c r="N9" s="159">
        <v>44.2</v>
      </c>
      <c r="O9" s="182"/>
      <c r="P9" s="623">
        <f t="shared" si="2"/>
        <v>231.60000000000002</v>
      </c>
      <c r="Q9" s="179">
        <v>36</v>
      </c>
      <c r="R9" s="179">
        <v>10.8</v>
      </c>
      <c r="S9" s="32"/>
      <c r="T9" s="624">
        <f t="shared" ref="T9:T38" si="9">Q9+R9</f>
        <v>46.8</v>
      </c>
      <c r="U9" s="184">
        <f t="shared" ref="U9:U50" si="10">(T9+J9)/100</f>
        <v>1.9871813471502588</v>
      </c>
      <c r="V9" s="222">
        <f t="shared" si="5"/>
        <v>3.7732765668519934</v>
      </c>
      <c r="W9" s="1773">
        <v>2.94</v>
      </c>
      <c r="X9" s="1773"/>
      <c r="Y9" s="625"/>
      <c r="Z9" s="185">
        <f t="shared" si="8"/>
        <v>137.59199999999998</v>
      </c>
      <c r="AA9" s="185">
        <f t="shared" si="6"/>
        <v>2.94</v>
      </c>
      <c r="AB9" s="185">
        <f t="shared" si="7"/>
        <v>0.77916366529496461</v>
      </c>
      <c r="AC9" s="4">
        <v>44.73</v>
      </c>
    </row>
    <row r="10" spans="1:29" s="51" customFormat="1" ht="15">
      <c r="A10" s="17" t="s">
        <v>126</v>
      </c>
      <c r="B10" s="599">
        <v>42044</v>
      </c>
      <c r="C10" s="36">
        <v>7</v>
      </c>
      <c r="D10" s="297">
        <v>69</v>
      </c>
      <c r="E10" s="600" t="s">
        <v>198</v>
      </c>
      <c r="F10" s="627" t="s">
        <v>33</v>
      </c>
      <c r="G10" s="19" t="s">
        <v>130</v>
      </c>
      <c r="H10" s="19">
        <v>32</v>
      </c>
      <c r="I10" s="35">
        <v>643.20000000000005</v>
      </c>
      <c r="J10" s="157">
        <f t="shared" si="0"/>
        <v>131.77444057682746</v>
      </c>
      <c r="K10" s="187">
        <v>9</v>
      </c>
      <c r="L10" s="35">
        <f t="shared" si="1"/>
        <v>0.2048731974142218</v>
      </c>
      <c r="M10" s="35">
        <v>152.69999999999999</v>
      </c>
      <c r="N10" s="159">
        <v>48.4</v>
      </c>
      <c r="O10" s="159"/>
      <c r="P10" s="602">
        <f t="shared" si="2"/>
        <v>201.1</v>
      </c>
      <c r="Q10" s="179">
        <v>29.1</v>
      </c>
      <c r="R10" s="179">
        <v>12.1</v>
      </c>
      <c r="S10" s="32"/>
      <c r="T10" s="628">
        <f t="shared" si="9"/>
        <v>41.2</v>
      </c>
      <c r="U10" s="160">
        <f t="shared" si="10"/>
        <v>1.7297444057682747</v>
      </c>
      <c r="V10" s="161">
        <f t="shared" si="5"/>
        <v>3.9064523416008012</v>
      </c>
      <c r="W10" s="1768">
        <v>3.14</v>
      </c>
      <c r="X10" s="1768"/>
      <c r="Y10" s="424"/>
      <c r="Z10" s="162">
        <f t="shared" si="8"/>
        <v>129.36800000000002</v>
      </c>
      <c r="AA10" s="162">
        <f t="shared" si="6"/>
        <v>3.1400000000000006</v>
      </c>
      <c r="AB10" s="162">
        <f t="shared" si="7"/>
        <v>0.80379836368700686</v>
      </c>
      <c r="AC10" s="4">
        <v>45.91</v>
      </c>
    </row>
    <row r="11" spans="1:29" s="51" customFormat="1" ht="15">
      <c r="A11" s="17" t="s">
        <v>126</v>
      </c>
      <c r="B11" s="599">
        <v>42044</v>
      </c>
      <c r="C11" s="36">
        <v>7</v>
      </c>
      <c r="D11" s="297">
        <v>111</v>
      </c>
      <c r="E11" s="600" t="s">
        <v>199</v>
      </c>
      <c r="F11" s="627" t="s">
        <v>30</v>
      </c>
      <c r="G11" s="19" t="s">
        <v>130</v>
      </c>
      <c r="H11" s="19">
        <v>32</v>
      </c>
      <c r="I11" s="35">
        <v>853.1</v>
      </c>
      <c r="J11" s="157">
        <f t="shared" si="0"/>
        <v>166.91086956521741</v>
      </c>
      <c r="K11" s="187">
        <v>9</v>
      </c>
      <c r="L11" s="35">
        <f t="shared" si="1"/>
        <v>0.19565217391304349</v>
      </c>
      <c r="M11" s="35">
        <v>231.6</v>
      </c>
      <c r="N11" s="159">
        <v>39.799999999999997</v>
      </c>
      <c r="O11" s="165"/>
      <c r="P11" s="602">
        <f t="shared" si="2"/>
        <v>271.39999999999998</v>
      </c>
      <c r="Q11" s="179">
        <v>43.8</v>
      </c>
      <c r="R11" s="179">
        <v>9.3000000000000007</v>
      </c>
      <c r="S11" s="32"/>
      <c r="T11" s="628">
        <f t="shared" si="9"/>
        <v>53.099999999999994</v>
      </c>
      <c r="U11" s="160">
        <f t="shared" si="10"/>
        <v>2.2001086956521743</v>
      </c>
      <c r="V11" s="161">
        <f t="shared" si="5"/>
        <v>3.6784679768550497</v>
      </c>
      <c r="W11" s="1768">
        <v>3.33</v>
      </c>
      <c r="X11" s="1768"/>
      <c r="Y11" s="424"/>
      <c r="Z11" s="162">
        <f t="shared" si="8"/>
        <v>176.82299999999998</v>
      </c>
      <c r="AA11" s="162">
        <f t="shared" si="6"/>
        <v>3.33</v>
      </c>
      <c r="AB11" s="162">
        <f t="shared" si="7"/>
        <v>0.90526817711949292</v>
      </c>
      <c r="AC11" s="4">
        <v>46.12</v>
      </c>
    </row>
    <row r="12" spans="1:29" s="51" customFormat="1" ht="15">
      <c r="A12" s="17" t="s">
        <v>126</v>
      </c>
      <c r="B12" s="599">
        <v>42045</v>
      </c>
      <c r="C12" s="36">
        <v>4</v>
      </c>
      <c r="D12" s="297">
        <v>28</v>
      </c>
      <c r="E12" s="600" t="s">
        <v>200</v>
      </c>
      <c r="F12" s="627" t="s">
        <v>30</v>
      </c>
      <c r="G12" s="19" t="s">
        <v>130</v>
      </c>
      <c r="H12" s="19">
        <v>43</v>
      </c>
      <c r="I12" s="35">
        <v>668.2</v>
      </c>
      <c r="J12" s="157">
        <f t="shared" si="0"/>
        <v>131.94835443037977</v>
      </c>
      <c r="K12" s="187">
        <v>10</v>
      </c>
      <c r="L12" s="35">
        <f t="shared" si="1"/>
        <v>0.19746835443037977</v>
      </c>
      <c r="M12" s="19">
        <v>126.5</v>
      </c>
      <c r="N12" s="32">
        <v>31.5</v>
      </c>
      <c r="O12" s="159"/>
      <c r="P12" s="602">
        <f t="shared" si="2"/>
        <v>158</v>
      </c>
      <c r="Q12" s="19">
        <v>23.6</v>
      </c>
      <c r="R12" s="19">
        <v>7.6</v>
      </c>
      <c r="S12" s="38"/>
      <c r="T12" s="628">
        <f t="shared" si="9"/>
        <v>31.200000000000003</v>
      </c>
      <c r="U12" s="160">
        <f t="shared" si="10"/>
        <v>1.6314835443037976</v>
      </c>
      <c r="V12" s="161">
        <f t="shared" si="5"/>
        <v>3.9639880773698342</v>
      </c>
      <c r="W12" s="1768">
        <v>3.23</v>
      </c>
      <c r="X12" s="1768"/>
      <c r="Y12" s="424"/>
      <c r="Z12" s="162">
        <f t="shared" si="8"/>
        <v>100.77600000000001</v>
      </c>
      <c r="AA12" s="162">
        <f t="shared" si="6"/>
        <v>3.23</v>
      </c>
      <c r="AB12" s="162">
        <f t="shared" si="7"/>
        <v>0.81483595231778638</v>
      </c>
      <c r="AC12" s="51">
        <v>45.46</v>
      </c>
    </row>
    <row r="13" spans="1:29" s="51" customFormat="1" ht="15">
      <c r="A13" s="17" t="s">
        <v>126</v>
      </c>
      <c r="B13" s="599">
        <v>42045</v>
      </c>
      <c r="C13" s="36">
        <v>4</v>
      </c>
      <c r="D13" s="297">
        <v>22</v>
      </c>
      <c r="E13" s="600" t="s">
        <v>201</v>
      </c>
      <c r="F13" s="627" t="s">
        <v>33</v>
      </c>
      <c r="G13" s="19" t="s">
        <v>130</v>
      </c>
      <c r="H13" s="19">
        <v>35</v>
      </c>
      <c r="I13" s="35">
        <v>510.4</v>
      </c>
      <c r="J13" s="164">
        <f t="shared" si="0"/>
        <v>104.02775368603643</v>
      </c>
      <c r="K13" s="187">
        <v>8</v>
      </c>
      <c r="L13" s="38">
        <f t="shared" si="1"/>
        <v>0.20381613183000868</v>
      </c>
      <c r="M13" s="19">
        <v>90.3</v>
      </c>
      <c r="N13" s="35">
        <v>25</v>
      </c>
      <c r="O13" s="159"/>
      <c r="P13" s="606">
        <f t="shared" si="2"/>
        <v>115.3</v>
      </c>
      <c r="Q13" s="19">
        <v>17.5</v>
      </c>
      <c r="R13" s="35">
        <v>6</v>
      </c>
      <c r="S13" s="159"/>
      <c r="T13" s="629">
        <f t="shared" si="9"/>
        <v>23.5</v>
      </c>
      <c r="U13" s="166">
        <f t="shared" si="10"/>
        <v>1.2752775368603644</v>
      </c>
      <c r="V13" s="167">
        <f t="shared" si="5"/>
        <v>4.2157692961048534</v>
      </c>
      <c r="W13" s="1768">
        <v>3.33</v>
      </c>
      <c r="X13" s="1768"/>
      <c r="Y13" s="424"/>
      <c r="Z13" s="162">
        <f t="shared" si="8"/>
        <v>78.254999999999995</v>
      </c>
      <c r="AA13" s="162">
        <f t="shared" si="6"/>
        <v>3.3299999999999996</v>
      </c>
      <c r="AB13" s="162">
        <f t="shared" si="7"/>
        <v>0.78989142102172016</v>
      </c>
      <c r="AC13" s="598">
        <v>46.39</v>
      </c>
    </row>
    <row r="14" spans="1:29" s="47" customFormat="1" ht="13.5" customHeight="1" thickBot="1">
      <c r="A14" s="194" t="s">
        <v>126</v>
      </c>
      <c r="B14" s="607">
        <v>42045</v>
      </c>
      <c r="C14" s="630">
        <v>4</v>
      </c>
      <c r="D14" s="45">
        <v>15</v>
      </c>
      <c r="E14" s="631" t="s">
        <v>202</v>
      </c>
      <c r="F14" s="632" t="s">
        <v>76</v>
      </c>
      <c r="G14" s="196" t="s">
        <v>130</v>
      </c>
      <c r="H14" s="196">
        <v>37</v>
      </c>
      <c r="I14" s="198">
        <v>651.6</v>
      </c>
      <c r="J14" s="173">
        <f t="shared" si="0"/>
        <v>136.928132618235</v>
      </c>
      <c r="K14" s="197">
        <v>10</v>
      </c>
      <c r="L14" s="609">
        <f t="shared" si="1"/>
        <v>0.21014139444173571</v>
      </c>
      <c r="M14" s="633">
        <v>158.69999999999999</v>
      </c>
      <c r="N14" s="196">
        <v>46.4</v>
      </c>
      <c r="O14" s="305"/>
      <c r="P14" s="634">
        <f>M14+N14</f>
        <v>205.1</v>
      </c>
      <c r="Q14" s="633">
        <v>31.4</v>
      </c>
      <c r="R14" s="196">
        <v>11.7</v>
      </c>
      <c r="S14" s="305"/>
      <c r="T14" s="614">
        <f t="shared" si="9"/>
        <v>43.099999999999994</v>
      </c>
      <c r="U14" s="615">
        <f t="shared" si="10"/>
        <v>1.8002813261823498</v>
      </c>
      <c r="V14" s="175">
        <f>MIN(4.63,4.48*U14^(-0.25))</f>
        <v>3.8676121850721419</v>
      </c>
      <c r="W14" s="1775">
        <v>3.07</v>
      </c>
      <c r="X14" s="1775"/>
      <c r="Y14" s="635"/>
      <c r="Z14" s="176">
        <f t="shared" si="8"/>
        <v>132.31699999999998</v>
      </c>
      <c r="AA14" s="176">
        <f t="shared" si="6"/>
        <v>3.07</v>
      </c>
      <c r="AB14" s="176">
        <f t="shared" si="7"/>
        <v>0.79377141582325828</v>
      </c>
      <c r="AC14" s="47">
        <v>44.89</v>
      </c>
    </row>
    <row r="15" spans="1:29" ht="15.75" thickTop="1">
      <c r="A15" s="636" t="s">
        <v>203</v>
      </c>
      <c r="B15" s="599">
        <v>42074</v>
      </c>
      <c r="C15" s="4">
        <v>4</v>
      </c>
      <c r="D15" s="637">
        <v>22</v>
      </c>
      <c r="E15" s="248" t="s">
        <v>204</v>
      </c>
      <c r="F15" s="619" t="s">
        <v>33</v>
      </c>
      <c r="G15" s="179" t="s">
        <v>205</v>
      </c>
      <c r="H15" s="179">
        <v>27</v>
      </c>
      <c r="I15" s="32">
        <v>810.3</v>
      </c>
      <c r="J15" s="221">
        <v>142.5</v>
      </c>
      <c r="K15" s="181">
        <v>7</v>
      </c>
      <c r="L15" s="32">
        <f t="shared" si="1"/>
        <v>0.18603351955307265</v>
      </c>
      <c r="M15" s="179">
        <v>151.19999999999999</v>
      </c>
      <c r="N15" s="179">
        <v>27.8</v>
      </c>
      <c r="O15" s="49"/>
      <c r="P15" s="182">
        <f t="shared" ref="P15:P50" si="11">M15+N15</f>
        <v>179</v>
      </c>
      <c r="Q15" s="179">
        <v>27.1</v>
      </c>
      <c r="R15" s="179">
        <v>6.2</v>
      </c>
      <c r="S15" s="32"/>
      <c r="T15" s="221">
        <f t="shared" si="9"/>
        <v>33.300000000000004</v>
      </c>
      <c r="U15" s="638">
        <f t="shared" si="10"/>
        <v>1.758</v>
      </c>
      <c r="V15" s="639">
        <f t="shared" ref="V15:V50" si="12">MIN(4.63,4.48*U15^(-0.25))</f>
        <v>3.8906601461434627</v>
      </c>
      <c r="W15" s="1776">
        <v>3.3997999999999999</v>
      </c>
      <c r="X15" s="1777"/>
      <c r="Y15" s="640"/>
      <c r="Z15" s="185">
        <f>(W15*T15)</f>
        <v>113.21334000000002</v>
      </c>
      <c r="AA15" s="168">
        <f>Z15/T15</f>
        <v>3.3997999999999999</v>
      </c>
      <c r="AB15" s="185">
        <f t="shared" si="7"/>
        <v>0.87383628286577075</v>
      </c>
      <c r="AC15" s="4">
        <v>45.047800000000002</v>
      </c>
    </row>
    <row r="16" spans="1:29" ht="15">
      <c r="A16" s="641" t="s">
        <v>203</v>
      </c>
      <c r="B16" s="599">
        <v>42074</v>
      </c>
      <c r="C16" s="36">
        <v>4</v>
      </c>
      <c r="D16" s="642">
        <v>28</v>
      </c>
      <c r="E16" s="248" t="s">
        <v>206</v>
      </c>
      <c r="F16" s="627" t="s">
        <v>30</v>
      </c>
      <c r="G16" s="19" t="s">
        <v>205</v>
      </c>
      <c r="H16" s="19">
        <v>32</v>
      </c>
      <c r="I16" s="35">
        <v>881.9</v>
      </c>
      <c r="J16" s="157">
        <v>156.69999999999999</v>
      </c>
      <c r="K16" s="187">
        <v>7</v>
      </c>
      <c r="L16" s="35">
        <f t="shared" si="1"/>
        <v>0.1858660130718954</v>
      </c>
      <c r="M16" s="19">
        <v>210.9</v>
      </c>
      <c r="N16" s="35">
        <v>33.9</v>
      </c>
      <c r="O16" s="159"/>
      <c r="P16" s="159">
        <f t="shared" si="11"/>
        <v>244.8</v>
      </c>
      <c r="Q16" s="19">
        <v>39.4</v>
      </c>
      <c r="R16" s="19">
        <v>6.1</v>
      </c>
      <c r="S16" s="35"/>
      <c r="T16" s="157">
        <f t="shared" si="9"/>
        <v>45.5</v>
      </c>
      <c r="U16" s="643">
        <f t="shared" si="10"/>
        <v>2.0219999999999998</v>
      </c>
      <c r="V16" s="644">
        <f t="shared" si="12"/>
        <v>3.7569267380327118</v>
      </c>
      <c r="W16" s="1774">
        <v>3.1362000000000001</v>
      </c>
      <c r="X16" s="1774"/>
      <c r="Y16" s="162"/>
      <c r="Z16" s="162">
        <f t="shared" si="8"/>
        <v>142.69710000000001</v>
      </c>
      <c r="AA16" s="162">
        <f t="shared" ref="AA16:AA37" si="13">Z16/T16</f>
        <v>3.1362000000000001</v>
      </c>
      <c r="AB16" s="162">
        <f t="shared" si="7"/>
        <v>0.83477805629029889</v>
      </c>
      <c r="AC16" s="4">
        <v>46.981400000000001</v>
      </c>
    </row>
    <row r="17" spans="1:29" ht="15">
      <c r="A17" s="641" t="s">
        <v>203</v>
      </c>
      <c r="B17" s="599">
        <v>42074</v>
      </c>
      <c r="C17" s="36">
        <v>1</v>
      </c>
      <c r="D17" s="646">
        <v>96</v>
      </c>
      <c r="E17" s="248" t="s">
        <v>207</v>
      </c>
      <c r="F17" s="627" t="s">
        <v>30</v>
      </c>
      <c r="G17" s="19" t="s">
        <v>205</v>
      </c>
      <c r="H17" s="19">
        <v>24</v>
      </c>
      <c r="I17" s="35">
        <v>1229.6999999999998</v>
      </c>
      <c r="J17" s="157">
        <v>200.7</v>
      </c>
      <c r="K17" s="187">
        <v>7</v>
      </c>
      <c r="L17" s="35">
        <f t="shared" si="1"/>
        <v>0.16912138141188421</v>
      </c>
      <c r="M17" s="19">
        <v>338.4</v>
      </c>
      <c r="N17" s="35">
        <v>55.4</v>
      </c>
      <c r="O17" s="159"/>
      <c r="P17" s="159">
        <f t="shared" si="11"/>
        <v>393.79999999999995</v>
      </c>
      <c r="Q17" s="19">
        <v>55.6</v>
      </c>
      <c r="R17" s="19">
        <v>11</v>
      </c>
      <c r="S17" s="35"/>
      <c r="T17" s="157">
        <f t="shared" si="9"/>
        <v>66.599999999999994</v>
      </c>
      <c r="U17" s="643">
        <f t="shared" si="10"/>
        <v>2.6729999999999996</v>
      </c>
      <c r="V17" s="644">
        <f t="shared" si="12"/>
        <v>3.5037109811988478</v>
      </c>
      <c r="W17" s="1774">
        <v>3.6650999999999998</v>
      </c>
      <c r="X17" s="1774"/>
      <c r="Y17" s="162"/>
      <c r="Z17" s="162">
        <f t="shared" si="8"/>
        <v>244.09565999999995</v>
      </c>
      <c r="AA17" s="162">
        <f t="shared" si="13"/>
        <v>3.6650999999999998</v>
      </c>
      <c r="AB17" s="162">
        <f t="shared" si="7"/>
        <v>1.0460623092678525</v>
      </c>
      <c r="AC17" s="4">
        <v>46.927300000000002</v>
      </c>
    </row>
    <row r="18" spans="1:29" ht="15">
      <c r="A18" s="641" t="s">
        <v>203</v>
      </c>
      <c r="B18" s="599">
        <v>42074</v>
      </c>
      <c r="C18" s="36">
        <v>5</v>
      </c>
      <c r="D18" s="647">
        <v>30</v>
      </c>
      <c r="E18" s="248" t="s">
        <v>208</v>
      </c>
      <c r="F18" s="627" t="s">
        <v>30</v>
      </c>
      <c r="G18" s="19" t="s">
        <v>205</v>
      </c>
      <c r="H18" s="19">
        <v>34</v>
      </c>
      <c r="I18" s="35">
        <v>1040.2</v>
      </c>
      <c r="J18" s="157">
        <v>170.5</v>
      </c>
      <c r="K18" s="187">
        <v>10</v>
      </c>
      <c r="L18" s="35">
        <f>T18/P18</f>
        <v>0.22653822249844624</v>
      </c>
      <c r="M18" s="19">
        <v>265.5</v>
      </c>
      <c r="N18" s="35">
        <v>56.3</v>
      </c>
      <c r="O18" s="159"/>
      <c r="P18" s="159">
        <f t="shared" si="11"/>
        <v>321.8</v>
      </c>
      <c r="Q18" s="19">
        <v>61.9</v>
      </c>
      <c r="R18" s="19">
        <v>11</v>
      </c>
      <c r="S18" s="35"/>
      <c r="T18" s="157">
        <f t="shared" si="9"/>
        <v>72.900000000000006</v>
      </c>
      <c r="U18" s="643">
        <f t="shared" si="10"/>
        <v>2.4340000000000002</v>
      </c>
      <c r="V18" s="644">
        <f t="shared" si="12"/>
        <v>3.5867232708825005</v>
      </c>
      <c r="W18" s="1774">
        <v>3.7111000000000001</v>
      </c>
      <c r="X18" s="1774"/>
      <c r="Y18" s="162"/>
      <c r="Z18" s="162">
        <f t="shared" si="8"/>
        <v>270.53919000000002</v>
      </c>
      <c r="AA18" s="162">
        <f t="shared" si="13"/>
        <v>3.7111000000000001</v>
      </c>
      <c r="AB18" s="162">
        <f t="shared" si="7"/>
        <v>1.034676979438923</v>
      </c>
      <c r="AC18" s="4">
        <v>46.726100000000002</v>
      </c>
    </row>
    <row r="19" spans="1:29" ht="15">
      <c r="A19" s="641" t="s">
        <v>203</v>
      </c>
      <c r="B19" s="599">
        <v>42074</v>
      </c>
      <c r="C19" s="36">
        <v>7</v>
      </c>
      <c r="D19" s="642">
        <v>111</v>
      </c>
      <c r="E19" s="248" t="s">
        <v>209</v>
      </c>
      <c r="F19" s="627" t="s">
        <v>30</v>
      </c>
      <c r="G19" s="19" t="s">
        <v>205</v>
      </c>
      <c r="H19" s="19">
        <v>27</v>
      </c>
      <c r="I19" s="35">
        <v>908.59999999999991</v>
      </c>
      <c r="J19" s="157">
        <v>156.80000000000001</v>
      </c>
      <c r="K19" s="187">
        <v>9</v>
      </c>
      <c r="L19" s="35">
        <f t="shared" si="1"/>
        <v>0.17990654205607476</v>
      </c>
      <c r="M19" s="19">
        <v>167.5</v>
      </c>
      <c r="N19" s="35">
        <v>46.5</v>
      </c>
      <c r="O19" s="159"/>
      <c r="P19" s="159">
        <f t="shared" si="11"/>
        <v>214</v>
      </c>
      <c r="Q19" s="19">
        <v>29.1</v>
      </c>
      <c r="R19" s="19">
        <v>9.4</v>
      </c>
      <c r="S19" s="35"/>
      <c r="T19" s="157">
        <f t="shared" si="9"/>
        <v>38.5</v>
      </c>
      <c r="U19" s="643">
        <f t="shared" si="10"/>
        <v>1.9530000000000001</v>
      </c>
      <c r="V19" s="644">
        <f t="shared" si="12"/>
        <v>3.7896792444941854</v>
      </c>
      <c r="W19" s="1774">
        <v>3.4236</v>
      </c>
      <c r="X19" s="1774"/>
      <c r="Y19" s="162"/>
      <c r="Z19" s="162">
        <f t="shared" si="8"/>
        <v>131.80860000000001</v>
      </c>
      <c r="AA19" s="162">
        <f t="shared" si="13"/>
        <v>3.4236000000000004</v>
      </c>
      <c r="AB19" s="162">
        <f t="shared" si="7"/>
        <v>0.90340099494540571</v>
      </c>
      <c r="AC19" s="4">
        <v>47.360199999999999</v>
      </c>
    </row>
    <row r="20" spans="1:29" ht="15">
      <c r="A20" s="641" t="s">
        <v>203</v>
      </c>
      <c r="B20" s="599">
        <v>42074</v>
      </c>
      <c r="C20" s="36">
        <v>4</v>
      </c>
      <c r="D20" s="647">
        <v>82</v>
      </c>
      <c r="E20" s="248" t="s">
        <v>210</v>
      </c>
      <c r="F20" s="627" t="s">
        <v>33</v>
      </c>
      <c r="G20" s="648" t="s">
        <v>205</v>
      </c>
      <c r="H20" s="19">
        <v>27</v>
      </c>
      <c r="I20" s="35">
        <v>1082.5999999999999</v>
      </c>
      <c r="J20" s="157">
        <v>172.60000000000002</v>
      </c>
      <c r="K20" s="187">
        <v>9</v>
      </c>
      <c r="L20" s="35">
        <f t="shared" si="1"/>
        <v>0.16220165611300533</v>
      </c>
      <c r="M20" s="19">
        <v>163.9</v>
      </c>
      <c r="N20" s="35">
        <v>41.4</v>
      </c>
      <c r="O20" s="159"/>
      <c r="P20" s="159">
        <f t="shared" si="11"/>
        <v>205.3</v>
      </c>
      <c r="Q20" s="19">
        <v>25</v>
      </c>
      <c r="R20" s="19">
        <v>8.3000000000000007</v>
      </c>
      <c r="S20" s="35"/>
      <c r="T20" s="157">
        <f t="shared" si="9"/>
        <v>33.299999999999997</v>
      </c>
      <c r="U20" s="643">
        <f t="shared" si="10"/>
        <v>2.0590000000000002</v>
      </c>
      <c r="V20" s="644">
        <f t="shared" si="12"/>
        <v>3.739933907263008</v>
      </c>
      <c r="W20" s="1774">
        <v>4.4580000000000002</v>
      </c>
      <c r="X20" s="1774"/>
      <c r="Y20" s="162"/>
      <c r="Z20" s="162">
        <f t="shared" si="8"/>
        <v>148.45140000000001</v>
      </c>
      <c r="AA20" s="162">
        <f t="shared" si="13"/>
        <v>4.4580000000000002</v>
      </c>
      <c r="AB20" s="162">
        <f t="shared" si="7"/>
        <v>1.1919996744708501</v>
      </c>
      <c r="AC20" s="4">
        <v>47.329300000000003</v>
      </c>
    </row>
    <row r="21" spans="1:29" ht="15">
      <c r="A21" s="641" t="s">
        <v>203</v>
      </c>
      <c r="B21" s="599">
        <v>42074</v>
      </c>
      <c r="C21" s="36">
        <v>5</v>
      </c>
      <c r="D21" s="647">
        <v>16</v>
      </c>
      <c r="E21" s="248" t="s">
        <v>211</v>
      </c>
      <c r="F21" s="649" t="s">
        <v>33</v>
      </c>
      <c r="G21" s="19" t="s">
        <v>205</v>
      </c>
      <c r="H21" s="19">
        <v>41</v>
      </c>
      <c r="I21" s="35">
        <v>770.5</v>
      </c>
      <c r="J21" s="157">
        <v>127.9</v>
      </c>
      <c r="K21" s="187">
        <v>11</v>
      </c>
      <c r="L21" s="35">
        <f t="shared" si="1"/>
        <v>0.16638465877044556</v>
      </c>
      <c r="M21" s="19">
        <v>147.4</v>
      </c>
      <c r="N21" s="35">
        <v>29.9</v>
      </c>
      <c r="O21" s="159"/>
      <c r="P21" s="159">
        <f t="shared" si="11"/>
        <v>177.3</v>
      </c>
      <c r="Q21" s="19">
        <v>23.2</v>
      </c>
      <c r="R21" s="19">
        <v>6.3</v>
      </c>
      <c r="S21" s="35"/>
      <c r="T21" s="157">
        <f t="shared" si="9"/>
        <v>29.5</v>
      </c>
      <c r="U21" s="643">
        <f t="shared" si="10"/>
        <v>1.5740000000000001</v>
      </c>
      <c r="V21" s="644">
        <f t="shared" si="12"/>
        <v>3.999694602891819</v>
      </c>
      <c r="W21" s="1774">
        <v>4.1646999999999998</v>
      </c>
      <c r="X21" s="1774"/>
      <c r="Y21" s="162"/>
      <c r="Z21" s="162">
        <f t="shared" si="8"/>
        <v>122.85865</v>
      </c>
      <c r="AA21" s="162">
        <f t="shared" si="13"/>
        <v>4.1646999999999998</v>
      </c>
      <c r="AB21" s="162">
        <f t="shared" si="7"/>
        <v>1.0412544990282209</v>
      </c>
      <c r="AC21" s="4">
        <v>46.165799999999997</v>
      </c>
    </row>
    <row r="22" spans="1:29" ht="15">
      <c r="A22" s="641" t="s">
        <v>203</v>
      </c>
      <c r="B22" s="599">
        <v>42074</v>
      </c>
      <c r="C22" s="36">
        <v>7</v>
      </c>
      <c r="D22" s="647">
        <v>69</v>
      </c>
      <c r="E22" s="248" t="s">
        <v>212</v>
      </c>
      <c r="F22" s="627" t="s">
        <v>33</v>
      </c>
      <c r="G22" s="19" t="s">
        <v>205</v>
      </c>
      <c r="H22" s="19">
        <v>34</v>
      </c>
      <c r="I22" s="35">
        <v>1056.2</v>
      </c>
      <c r="J22" s="157">
        <v>177.5</v>
      </c>
      <c r="K22" s="187">
        <v>9</v>
      </c>
      <c r="L22" s="35">
        <f t="shared" si="1"/>
        <v>0.18571428571428572</v>
      </c>
      <c r="M22" s="19">
        <v>216.3</v>
      </c>
      <c r="N22" s="35">
        <v>56.7</v>
      </c>
      <c r="O22" s="159"/>
      <c r="P22" s="159">
        <f t="shared" si="11"/>
        <v>273</v>
      </c>
      <c r="Q22" s="19">
        <v>38</v>
      </c>
      <c r="R22" s="19">
        <v>12.7</v>
      </c>
      <c r="S22" s="35"/>
      <c r="T22" s="157">
        <f t="shared" si="9"/>
        <v>50.7</v>
      </c>
      <c r="U22" s="643">
        <f t="shared" si="10"/>
        <v>2.282</v>
      </c>
      <c r="V22" s="644">
        <f t="shared" si="12"/>
        <v>3.645013188021327</v>
      </c>
      <c r="W22" s="1774">
        <v>3.4548000000000001</v>
      </c>
      <c r="X22" s="1774"/>
      <c r="Y22" s="162"/>
      <c r="Z22" s="162">
        <f t="shared" si="8"/>
        <v>175.15836000000002</v>
      </c>
      <c r="AA22" s="162">
        <f t="shared" si="13"/>
        <v>3.4548000000000001</v>
      </c>
      <c r="AB22" s="162">
        <f t="shared" si="7"/>
        <v>0.94781550073771259</v>
      </c>
      <c r="AC22" s="4">
        <v>48.941000000000003</v>
      </c>
    </row>
    <row r="23" spans="1:29" ht="15">
      <c r="A23" s="641" t="s">
        <v>203</v>
      </c>
      <c r="B23" s="599">
        <v>42074</v>
      </c>
      <c r="C23" s="36">
        <v>4</v>
      </c>
      <c r="D23" s="647">
        <v>15</v>
      </c>
      <c r="E23" s="248" t="s">
        <v>213</v>
      </c>
      <c r="F23" s="627" t="s">
        <v>76</v>
      </c>
      <c r="G23" s="19" t="s">
        <v>205</v>
      </c>
      <c r="H23" s="19">
        <v>28</v>
      </c>
      <c r="I23" s="35">
        <v>800.8</v>
      </c>
      <c r="J23" s="157">
        <v>132.6</v>
      </c>
      <c r="K23" s="187">
        <v>8</v>
      </c>
      <c r="L23" s="35">
        <f t="shared" si="1"/>
        <v>0.17656765676567657</v>
      </c>
      <c r="M23" s="19">
        <v>147.4</v>
      </c>
      <c r="N23" s="35">
        <v>34.4</v>
      </c>
      <c r="O23" s="159"/>
      <c r="P23" s="159">
        <f t="shared" si="11"/>
        <v>181.8</v>
      </c>
      <c r="Q23" s="19">
        <v>25.2</v>
      </c>
      <c r="R23" s="19">
        <v>6.9</v>
      </c>
      <c r="S23" s="35"/>
      <c r="T23" s="157">
        <f t="shared" si="9"/>
        <v>32.1</v>
      </c>
      <c r="U23" s="643">
        <f t="shared" si="10"/>
        <v>1.6469999999999998</v>
      </c>
      <c r="V23" s="644">
        <f t="shared" si="12"/>
        <v>3.9546186868081703</v>
      </c>
      <c r="W23" s="1774">
        <v>3.6107999999999998</v>
      </c>
      <c r="X23" s="1774"/>
      <c r="Y23" s="162"/>
      <c r="Z23" s="162">
        <f t="shared" si="8"/>
        <v>115.90667999999999</v>
      </c>
      <c r="AA23" s="162">
        <f t="shared" si="13"/>
        <v>3.6107999999999998</v>
      </c>
      <c r="AB23" s="162">
        <f t="shared" si="7"/>
        <v>0.91305895358379763</v>
      </c>
      <c r="AC23" s="4">
        <v>46.318100000000001</v>
      </c>
    </row>
    <row r="24" spans="1:29" ht="15">
      <c r="A24" s="641" t="s">
        <v>203</v>
      </c>
      <c r="B24" s="599">
        <v>42074</v>
      </c>
      <c r="C24" s="36">
        <v>4</v>
      </c>
      <c r="D24" s="647">
        <v>88</v>
      </c>
      <c r="E24" s="248" t="s">
        <v>214</v>
      </c>
      <c r="F24" s="627" t="s">
        <v>76</v>
      </c>
      <c r="G24" s="19" t="s">
        <v>205</v>
      </c>
      <c r="H24" s="19">
        <v>18</v>
      </c>
      <c r="I24" s="35">
        <v>730.1</v>
      </c>
      <c r="J24" s="157">
        <v>116</v>
      </c>
      <c r="K24" s="187">
        <v>5</v>
      </c>
      <c r="L24" s="35">
        <f t="shared" si="1"/>
        <v>0.15839694656488551</v>
      </c>
      <c r="M24" s="19">
        <v>135.1</v>
      </c>
      <c r="N24" s="35">
        <v>22.1</v>
      </c>
      <c r="O24" s="159"/>
      <c r="P24" s="159">
        <f t="shared" si="11"/>
        <v>157.19999999999999</v>
      </c>
      <c r="Q24" s="19">
        <v>21</v>
      </c>
      <c r="R24" s="19">
        <v>3.9</v>
      </c>
      <c r="S24" s="35"/>
      <c r="T24" s="157">
        <f t="shared" si="9"/>
        <v>24.9</v>
      </c>
      <c r="U24" s="643">
        <f t="shared" si="10"/>
        <v>1.409</v>
      </c>
      <c r="V24" s="644">
        <f t="shared" si="12"/>
        <v>4.1119731077925419</v>
      </c>
      <c r="W24" s="1774">
        <v>4.7969999999999997</v>
      </c>
      <c r="X24" s="1774"/>
      <c r="Y24" s="162"/>
      <c r="Z24" s="162">
        <f t="shared" si="8"/>
        <v>119.44529999999999</v>
      </c>
      <c r="AA24" s="162">
        <f t="shared" si="13"/>
        <v>4.7969999999999997</v>
      </c>
      <c r="AB24" s="162">
        <f t="shared" si="7"/>
        <v>1.1665932325552599</v>
      </c>
      <c r="AC24" s="4">
        <v>44.552199999999999</v>
      </c>
    </row>
    <row r="25" spans="1:29" ht="15">
      <c r="A25" s="641" t="s">
        <v>203</v>
      </c>
      <c r="B25" s="599">
        <v>42074</v>
      </c>
      <c r="C25" s="36">
        <v>5</v>
      </c>
      <c r="D25" s="647">
        <v>31</v>
      </c>
      <c r="E25" s="248" t="s">
        <v>215</v>
      </c>
      <c r="F25" s="627" t="s">
        <v>76</v>
      </c>
      <c r="G25" s="19" t="s">
        <v>205</v>
      </c>
      <c r="H25" s="19">
        <v>21</v>
      </c>
      <c r="I25" s="35">
        <v>868.6</v>
      </c>
      <c r="J25" s="157">
        <v>135.1</v>
      </c>
      <c r="K25" s="187">
        <v>6</v>
      </c>
      <c r="L25" s="35">
        <f t="shared" si="1"/>
        <v>0.16539992761491135</v>
      </c>
      <c r="M25" s="19">
        <v>209.7</v>
      </c>
      <c r="N25" s="35">
        <v>66.599999999999994</v>
      </c>
      <c r="O25" s="159"/>
      <c r="P25" s="159">
        <f t="shared" si="11"/>
        <v>276.29999999999995</v>
      </c>
      <c r="Q25" s="19">
        <v>34.799999999999997</v>
      </c>
      <c r="R25" s="19">
        <v>10.9</v>
      </c>
      <c r="S25" s="35"/>
      <c r="T25" s="157">
        <f t="shared" si="9"/>
        <v>45.699999999999996</v>
      </c>
      <c r="U25" s="643">
        <f t="shared" si="10"/>
        <v>1.8079999999999998</v>
      </c>
      <c r="V25" s="644">
        <f t="shared" si="12"/>
        <v>3.8634776788589589</v>
      </c>
      <c r="W25" s="1774">
        <v>4.4565999999999999</v>
      </c>
      <c r="X25" s="1774"/>
      <c r="Y25" s="162"/>
      <c r="Z25" s="162">
        <f t="shared" si="8"/>
        <v>203.66661999999997</v>
      </c>
      <c r="AA25" s="162">
        <f t="shared" si="13"/>
        <v>4.4565999999999999</v>
      </c>
      <c r="AB25" s="162">
        <f t="shared" si="7"/>
        <v>1.1535203178179649</v>
      </c>
      <c r="AC25" s="4">
        <v>46.351100000000002</v>
      </c>
    </row>
    <row r="26" spans="1:29" ht="15.75" thickBot="1">
      <c r="A26" s="650" t="s">
        <v>203</v>
      </c>
      <c r="B26" s="607">
        <v>42074</v>
      </c>
      <c r="C26" s="1">
        <v>7</v>
      </c>
      <c r="D26" s="651">
        <v>67</v>
      </c>
      <c r="E26" s="256" t="s">
        <v>216</v>
      </c>
      <c r="F26" s="632" t="s">
        <v>76</v>
      </c>
      <c r="G26" s="652" t="s">
        <v>205</v>
      </c>
      <c r="H26" s="19">
        <v>33</v>
      </c>
      <c r="I26" s="35">
        <v>936.3</v>
      </c>
      <c r="J26" s="217">
        <v>166.7</v>
      </c>
      <c r="K26" s="187">
        <v>8</v>
      </c>
      <c r="L26" s="196">
        <f t="shared" si="1"/>
        <v>0.16476190476190478</v>
      </c>
      <c r="M26" s="196">
        <v>165.5</v>
      </c>
      <c r="N26" s="46">
        <v>44.5</v>
      </c>
      <c r="O26" s="653"/>
      <c r="P26" s="172">
        <f t="shared" si="11"/>
        <v>210</v>
      </c>
      <c r="Q26" s="652">
        <v>26</v>
      </c>
      <c r="R26" s="196">
        <v>8.6</v>
      </c>
      <c r="S26" s="198"/>
      <c r="T26" s="217">
        <f t="shared" si="9"/>
        <v>34.6</v>
      </c>
      <c r="U26" s="654">
        <f t="shared" si="10"/>
        <v>2.0129999999999999</v>
      </c>
      <c r="V26" s="655">
        <f t="shared" si="12"/>
        <v>3.761118963342982</v>
      </c>
      <c r="W26" s="1778">
        <v>3.7896000000000001</v>
      </c>
      <c r="X26" s="1778"/>
      <c r="Y26" s="176"/>
      <c r="Z26" s="176">
        <f t="shared" si="8"/>
        <v>131.12016</v>
      </c>
      <c r="AA26" s="309">
        <f t="shared" si="13"/>
        <v>3.7895999999999996</v>
      </c>
      <c r="AB26" s="176">
        <f t="shared" si="7"/>
        <v>1.0075724902441541</v>
      </c>
      <c r="AC26" s="4">
        <v>45.308100000000003</v>
      </c>
    </row>
    <row r="27" spans="1:29" s="1054" customFormat="1" ht="15.75" thickTop="1">
      <c r="A27" s="1041" t="s">
        <v>217</v>
      </c>
      <c r="B27" s="1042">
        <v>42095</v>
      </c>
      <c r="C27" s="1043"/>
      <c r="D27" s="1044"/>
      <c r="E27" s="1045" t="s">
        <v>218</v>
      </c>
      <c r="F27" s="1046" t="s">
        <v>30</v>
      </c>
      <c r="G27" s="889"/>
      <c r="H27" s="1045">
        <v>29</v>
      </c>
      <c r="I27" s="1047"/>
      <c r="J27" s="886"/>
      <c r="K27" s="1048">
        <v>8</v>
      </c>
      <c r="L27" s="871"/>
      <c r="M27" s="871">
        <v>430.1</v>
      </c>
      <c r="N27" s="889">
        <v>135.6</v>
      </c>
      <c r="O27" s="1049"/>
      <c r="P27" s="925">
        <f t="shared" si="11"/>
        <v>565.70000000000005</v>
      </c>
      <c r="Q27" s="884">
        <v>54.9</v>
      </c>
      <c r="R27" s="884">
        <v>18.5</v>
      </c>
      <c r="S27" s="1050"/>
      <c r="T27" s="921">
        <f t="shared" si="9"/>
        <v>73.400000000000006</v>
      </c>
      <c r="U27" s="1493">
        <f>(T27*5)/100</f>
        <v>3.67</v>
      </c>
      <c r="V27" s="1051">
        <f>MIN(4.63,4.48*U27^(-0.25))</f>
        <v>3.2367674492162757</v>
      </c>
      <c r="W27" s="1052">
        <v>3.3778000000000001</v>
      </c>
      <c r="X27" s="1052">
        <v>3.4527000000000001</v>
      </c>
      <c r="Y27" s="1052"/>
      <c r="Z27" s="879">
        <f t="shared" ref="Z27:Z37" si="14">(W27*Q27)+(X27*R27)</f>
        <v>249.31617</v>
      </c>
      <c r="AA27" s="1053">
        <f t="shared" si="13"/>
        <v>3.3966780653950952</v>
      </c>
      <c r="AB27" s="894">
        <f t="shared" si="7"/>
        <v>1.0494044192818175</v>
      </c>
    </row>
    <row r="28" spans="1:29" s="769" customFormat="1" ht="15">
      <c r="A28" s="1055" t="s">
        <v>217</v>
      </c>
      <c r="B28" s="1056">
        <v>42095</v>
      </c>
      <c r="C28" s="872"/>
      <c r="D28" s="1057"/>
      <c r="E28" s="910" t="s">
        <v>219</v>
      </c>
      <c r="F28" s="1058" t="s">
        <v>33</v>
      </c>
      <c r="G28" s="876"/>
      <c r="H28" s="910">
        <v>33</v>
      </c>
      <c r="I28" s="875"/>
      <c r="J28" s="895"/>
      <c r="K28" s="874">
        <v>8</v>
      </c>
      <c r="L28" s="875"/>
      <c r="M28" s="875">
        <v>320.8</v>
      </c>
      <c r="N28" s="1059">
        <v>173.5</v>
      </c>
      <c r="O28" s="1059"/>
      <c r="P28" s="876">
        <f t="shared" si="11"/>
        <v>494.3</v>
      </c>
      <c r="Q28" s="1060">
        <v>44.6</v>
      </c>
      <c r="R28" s="871">
        <v>23.5</v>
      </c>
      <c r="S28" s="876"/>
      <c r="T28" s="1061">
        <f t="shared" si="9"/>
        <v>68.099999999999994</v>
      </c>
      <c r="U28" s="1494">
        <f t="shared" ref="U28:U38" si="15">(T28*5)/100</f>
        <v>3.4049999999999998</v>
      </c>
      <c r="V28" s="1062">
        <f t="shared" si="12"/>
        <v>3.2979854472414183</v>
      </c>
      <c r="W28" s="1052">
        <v>4.7809999999999997</v>
      </c>
      <c r="X28" s="1052">
        <v>4.2286000000000001</v>
      </c>
      <c r="Y28" s="1052"/>
      <c r="Z28" s="879">
        <f t="shared" si="14"/>
        <v>312.60469999999998</v>
      </c>
      <c r="AA28" s="879">
        <f t="shared" si="13"/>
        <v>4.5903773861967698</v>
      </c>
      <c r="AB28" s="879">
        <f t="shared" si="7"/>
        <v>1.3918731479049933</v>
      </c>
    </row>
    <row r="29" spans="1:29" s="769" customFormat="1" ht="15">
      <c r="A29" s="1055" t="s">
        <v>217</v>
      </c>
      <c r="B29" s="1056">
        <v>42095</v>
      </c>
      <c r="C29" s="872"/>
      <c r="D29" s="1057"/>
      <c r="E29" s="910" t="s">
        <v>220</v>
      </c>
      <c r="F29" s="1058" t="s">
        <v>76</v>
      </c>
      <c r="G29" s="876"/>
      <c r="H29" s="910">
        <v>49</v>
      </c>
      <c r="I29" s="875"/>
      <c r="J29" s="895"/>
      <c r="K29" s="874">
        <v>11</v>
      </c>
      <c r="L29" s="875"/>
      <c r="M29" s="875">
        <v>404.8</v>
      </c>
      <c r="N29" s="1059">
        <v>419.6</v>
      </c>
      <c r="O29" s="1063"/>
      <c r="P29" s="876">
        <f t="shared" si="11"/>
        <v>824.40000000000009</v>
      </c>
      <c r="Q29" s="1060">
        <v>49.9</v>
      </c>
      <c r="R29" s="871">
        <v>49.1</v>
      </c>
      <c r="S29" s="876"/>
      <c r="T29" s="1061">
        <f t="shared" si="9"/>
        <v>99</v>
      </c>
      <c r="U29" s="1494">
        <f t="shared" si="15"/>
        <v>4.95</v>
      </c>
      <c r="V29" s="1062">
        <f t="shared" si="12"/>
        <v>3.0034936234971714</v>
      </c>
      <c r="W29" s="1052">
        <v>4.1284999999999998</v>
      </c>
      <c r="X29" s="1052">
        <v>3.2389000000000001</v>
      </c>
      <c r="Y29" s="1052"/>
      <c r="Z29" s="879">
        <f t="shared" si="14"/>
        <v>365.04214000000002</v>
      </c>
      <c r="AA29" s="879">
        <f t="shared" si="13"/>
        <v>3.6872943434343437</v>
      </c>
      <c r="AB29" s="879">
        <f t="shared" si="7"/>
        <v>1.2276684440371732</v>
      </c>
    </row>
    <row r="30" spans="1:29" s="761" customFormat="1" ht="15">
      <c r="A30" s="1396" t="s">
        <v>217</v>
      </c>
      <c r="B30" s="1397">
        <v>42095</v>
      </c>
      <c r="C30" s="1216"/>
      <c r="D30" s="1216"/>
      <c r="E30" s="1263" t="s">
        <v>221</v>
      </c>
      <c r="F30" s="1398" t="s">
        <v>30</v>
      </c>
      <c r="G30" s="1220"/>
      <c r="H30" s="1263">
        <v>26</v>
      </c>
      <c r="I30" s="1219"/>
      <c r="J30" s="1246"/>
      <c r="K30" s="1218">
        <v>6</v>
      </c>
      <c r="L30" s="1219"/>
      <c r="M30" s="1215">
        <v>573.5</v>
      </c>
      <c r="N30" s="1205">
        <v>198.2</v>
      </c>
      <c r="O30" s="1220"/>
      <c r="P30" s="1220">
        <f t="shared" si="11"/>
        <v>771.7</v>
      </c>
      <c r="Q30" s="1263">
        <v>70.599999999999994</v>
      </c>
      <c r="R30" s="1219">
        <v>25.7</v>
      </c>
      <c r="S30" s="1220"/>
      <c r="T30" s="1399">
        <f t="shared" si="9"/>
        <v>96.3</v>
      </c>
      <c r="U30" s="1495">
        <f t="shared" si="15"/>
        <v>4.8150000000000004</v>
      </c>
      <c r="V30" s="1400">
        <f t="shared" si="12"/>
        <v>3.0243283540598784</v>
      </c>
      <c r="W30" s="1401">
        <v>4.2792000000000003</v>
      </c>
      <c r="X30" s="1401">
        <v>3.6044999999999998</v>
      </c>
      <c r="Y30" s="1401"/>
      <c r="Z30" s="1223">
        <f t="shared" si="14"/>
        <v>394.74716999999998</v>
      </c>
      <c r="AA30" s="1223">
        <f t="shared" si="13"/>
        <v>4.0991398753894082</v>
      </c>
      <c r="AB30" s="1223">
        <f t="shared" si="7"/>
        <v>1.3553885013466529</v>
      </c>
    </row>
    <row r="31" spans="1:29" s="761" customFormat="1" ht="15">
      <c r="A31" s="1396" t="s">
        <v>217</v>
      </c>
      <c r="B31" s="1397">
        <v>42095</v>
      </c>
      <c r="C31" s="1216"/>
      <c r="D31" s="1402"/>
      <c r="E31" s="1403" t="s">
        <v>222</v>
      </c>
      <c r="F31" s="1404" t="s">
        <v>33</v>
      </c>
      <c r="G31" s="1220"/>
      <c r="H31" s="1403">
        <v>30</v>
      </c>
      <c r="I31" s="1405"/>
      <c r="J31" s="1246"/>
      <c r="K31" s="1406">
        <v>8</v>
      </c>
      <c r="L31" s="1219"/>
      <c r="M31" s="1260">
        <v>330.5</v>
      </c>
      <c r="N31" s="1405">
        <v>213.9</v>
      </c>
      <c r="O31" s="1220"/>
      <c r="P31" s="1220">
        <f t="shared" si="11"/>
        <v>544.4</v>
      </c>
      <c r="Q31" s="1403">
        <v>42.2</v>
      </c>
      <c r="R31" s="1405">
        <v>28.1</v>
      </c>
      <c r="S31" s="1220"/>
      <c r="T31" s="1399">
        <f t="shared" si="9"/>
        <v>70.300000000000011</v>
      </c>
      <c r="U31" s="1495">
        <f t="shared" si="15"/>
        <v>3.5150000000000006</v>
      </c>
      <c r="V31" s="1400">
        <f t="shared" si="12"/>
        <v>3.2718748365190429</v>
      </c>
      <c r="W31" s="1401">
        <v>4.9051999999999998</v>
      </c>
      <c r="X31" s="1401">
        <v>4.1113</v>
      </c>
      <c r="Y31" s="1401"/>
      <c r="Z31" s="1223">
        <f t="shared" si="14"/>
        <v>322.52697000000001</v>
      </c>
      <c r="AA31" s="1223">
        <f t="shared" si="13"/>
        <v>4.5878658605974385</v>
      </c>
      <c r="AB31" s="1223">
        <f t="shared" si="7"/>
        <v>1.4022131315629671</v>
      </c>
    </row>
    <row r="32" spans="1:29" s="797" customFormat="1" ht="15">
      <c r="A32" s="1055" t="s">
        <v>217</v>
      </c>
      <c r="B32" s="1064">
        <v>42095</v>
      </c>
      <c r="C32" s="872"/>
      <c r="D32" s="1065"/>
      <c r="E32" s="1066" t="s">
        <v>220</v>
      </c>
      <c r="F32" s="1058" t="s">
        <v>76</v>
      </c>
      <c r="G32" s="876"/>
      <c r="H32" s="1066">
        <v>55</v>
      </c>
      <c r="I32" s="876"/>
      <c r="J32" s="895"/>
      <c r="K32" s="876">
        <v>14</v>
      </c>
      <c r="L32" s="875"/>
      <c r="M32" s="876">
        <v>310.89999999999998</v>
      </c>
      <c r="N32" s="1059">
        <v>285.89999999999998</v>
      </c>
      <c r="O32" s="876"/>
      <c r="P32" s="876">
        <f t="shared" si="11"/>
        <v>596.79999999999995</v>
      </c>
      <c r="Q32" s="1066">
        <v>36.9</v>
      </c>
      <c r="R32" s="1059">
        <v>31.8</v>
      </c>
      <c r="S32" s="876"/>
      <c r="T32" s="1061">
        <f t="shared" si="9"/>
        <v>68.7</v>
      </c>
      <c r="U32" s="1494">
        <f t="shared" si="15"/>
        <v>3.4350000000000001</v>
      </c>
      <c r="V32" s="1062">
        <f t="shared" si="12"/>
        <v>3.2907609012360082</v>
      </c>
      <c r="W32" s="1052">
        <v>4.0064000000000002</v>
      </c>
      <c r="X32" s="1052">
        <v>3.3658999999999999</v>
      </c>
      <c r="Y32" s="1052"/>
      <c r="Z32" s="879">
        <f t="shared" si="14"/>
        <v>254.87178</v>
      </c>
      <c r="AA32" s="879">
        <f t="shared" si="13"/>
        <v>3.709924017467249</v>
      </c>
      <c r="AB32" s="879">
        <f t="shared" si="7"/>
        <v>1.1273757434257237</v>
      </c>
    </row>
    <row r="33" spans="1:28" s="769" customFormat="1" ht="15">
      <c r="A33" s="1055" t="s">
        <v>217</v>
      </c>
      <c r="B33" s="1056">
        <v>42095</v>
      </c>
      <c r="C33" s="872"/>
      <c r="D33" s="872"/>
      <c r="E33" s="1060" t="s">
        <v>218</v>
      </c>
      <c r="F33" s="1067" t="s">
        <v>30</v>
      </c>
      <c r="G33" s="876"/>
      <c r="H33" s="1060">
        <v>39</v>
      </c>
      <c r="I33" s="871"/>
      <c r="J33" s="895"/>
      <c r="K33" s="947">
        <v>10</v>
      </c>
      <c r="L33" s="875"/>
      <c r="M33" s="871">
        <v>472.6</v>
      </c>
      <c r="N33" s="1068">
        <v>217.2</v>
      </c>
      <c r="O33" s="876"/>
      <c r="P33" s="876">
        <f t="shared" si="11"/>
        <v>689.8</v>
      </c>
      <c r="Q33" s="1060">
        <v>64.3</v>
      </c>
      <c r="R33" s="871">
        <v>29.9</v>
      </c>
      <c r="S33" s="876"/>
      <c r="T33" s="1061">
        <f t="shared" si="9"/>
        <v>94.199999999999989</v>
      </c>
      <c r="U33" s="1494">
        <f t="shared" si="15"/>
        <v>4.7099999999999991</v>
      </c>
      <c r="V33" s="1062">
        <f t="shared" si="12"/>
        <v>3.0410445835902755</v>
      </c>
      <c r="W33" s="1052">
        <v>2.6417999999999999</v>
      </c>
      <c r="X33" s="1052">
        <v>2.9626000000000001</v>
      </c>
      <c r="Y33" s="1052"/>
      <c r="Z33" s="879">
        <f t="shared" si="14"/>
        <v>258.44947999999999</v>
      </c>
      <c r="AA33" s="879">
        <f t="shared" si="13"/>
        <v>2.7436250530785564</v>
      </c>
      <c r="AB33" s="879">
        <f t="shared" si="7"/>
        <v>0.90219823408159838</v>
      </c>
    </row>
    <row r="34" spans="1:28" s="769" customFormat="1" ht="15">
      <c r="A34" s="1055" t="s">
        <v>217</v>
      </c>
      <c r="B34" s="1056">
        <v>42095</v>
      </c>
      <c r="C34" s="872"/>
      <c r="D34" s="1057"/>
      <c r="E34" s="910" t="s">
        <v>219</v>
      </c>
      <c r="F34" s="1058" t="s">
        <v>33</v>
      </c>
      <c r="G34" s="876"/>
      <c r="H34" s="910">
        <v>39</v>
      </c>
      <c r="I34" s="875"/>
      <c r="J34" s="895"/>
      <c r="K34" s="874">
        <v>10</v>
      </c>
      <c r="L34" s="875"/>
      <c r="M34" s="875">
        <v>406.1</v>
      </c>
      <c r="N34" s="1059">
        <v>315.8</v>
      </c>
      <c r="O34" s="876"/>
      <c r="P34" s="876">
        <f t="shared" si="11"/>
        <v>721.90000000000009</v>
      </c>
      <c r="Q34" s="1060">
        <v>57.2</v>
      </c>
      <c r="R34" s="871">
        <v>43.1</v>
      </c>
      <c r="S34" s="876"/>
      <c r="T34" s="1061">
        <f t="shared" si="9"/>
        <v>100.30000000000001</v>
      </c>
      <c r="U34" s="1494">
        <f t="shared" si="15"/>
        <v>5.0150000000000006</v>
      </c>
      <c r="V34" s="1062">
        <f t="shared" si="12"/>
        <v>2.9937138024772247</v>
      </c>
      <c r="W34" s="1052">
        <v>3.7860999999999998</v>
      </c>
      <c r="X34" s="1052">
        <v>3.3936000000000002</v>
      </c>
      <c r="Y34" s="1052"/>
      <c r="Z34" s="879">
        <f t="shared" si="14"/>
        <v>362.82907999999998</v>
      </c>
      <c r="AA34" s="879">
        <f t="shared" si="13"/>
        <v>3.6174384845463603</v>
      </c>
      <c r="AB34" s="879">
        <f t="shared" si="7"/>
        <v>1.2083447928633053</v>
      </c>
    </row>
    <row r="35" spans="1:28" s="761" customFormat="1" ht="15">
      <c r="A35" s="1396" t="s">
        <v>217</v>
      </c>
      <c r="B35" s="1407">
        <v>42095</v>
      </c>
      <c r="C35" s="1216"/>
      <c r="D35" s="1408"/>
      <c r="E35" s="1263" t="s">
        <v>223</v>
      </c>
      <c r="F35" s="1398" t="s">
        <v>76</v>
      </c>
      <c r="G35" s="1220"/>
      <c r="H35" s="1263">
        <v>27</v>
      </c>
      <c r="I35" s="1219"/>
      <c r="J35" s="1246"/>
      <c r="K35" s="1218">
        <v>9</v>
      </c>
      <c r="L35" s="1219"/>
      <c r="M35" s="1219">
        <v>347.5</v>
      </c>
      <c r="N35" s="1409">
        <v>346.7</v>
      </c>
      <c r="O35" s="1220"/>
      <c r="P35" s="1220">
        <f t="shared" si="11"/>
        <v>694.2</v>
      </c>
      <c r="Q35" s="1410">
        <v>47.5</v>
      </c>
      <c r="R35" s="1205">
        <v>42.7</v>
      </c>
      <c r="S35" s="1220"/>
      <c r="T35" s="1399">
        <f t="shared" si="9"/>
        <v>90.2</v>
      </c>
      <c r="U35" s="1495">
        <f t="shared" si="15"/>
        <v>4.51</v>
      </c>
      <c r="V35" s="1400">
        <f t="shared" si="12"/>
        <v>3.0742124604942846</v>
      </c>
      <c r="W35" s="1401">
        <v>3.9796999999999998</v>
      </c>
      <c r="X35" s="1401">
        <v>2.4581</v>
      </c>
      <c r="Y35" s="1401"/>
      <c r="Z35" s="1223">
        <f t="shared" si="14"/>
        <v>293.99662000000001</v>
      </c>
      <c r="AA35" s="1223">
        <f t="shared" si="13"/>
        <v>3.2593860310421285</v>
      </c>
      <c r="AB35" s="1223">
        <f t="shared" si="7"/>
        <v>1.060234474008368</v>
      </c>
    </row>
    <row r="36" spans="1:28" s="761" customFormat="1" ht="15">
      <c r="A36" s="1396" t="s">
        <v>217</v>
      </c>
      <c r="B36" s="1407">
        <v>42095</v>
      </c>
      <c r="C36" s="1216"/>
      <c r="D36" s="1408"/>
      <c r="E36" s="1263" t="s">
        <v>224</v>
      </c>
      <c r="F36" s="1398" t="s">
        <v>30</v>
      </c>
      <c r="G36" s="1220"/>
      <c r="H36" s="1263">
        <v>38</v>
      </c>
      <c r="I36" s="1219"/>
      <c r="J36" s="1246"/>
      <c r="K36" s="1218">
        <v>9</v>
      </c>
      <c r="L36" s="1219"/>
      <c r="M36" s="1215">
        <v>653.79999999999995</v>
      </c>
      <c r="N36" s="1205">
        <v>306.39999999999998</v>
      </c>
      <c r="O36" s="1220"/>
      <c r="P36" s="1220">
        <f t="shared" si="11"/>
        <v>960.19999999999993</v>
      </c>
      <c r="Q36" s="1263">
        <v>80</v>
      </c>
      <c r="R36" s="1219">
        <v>36.4</v>
      </c>
      <c r="S36" s="1220"/>
      <c r="T36" s="1399">
        <f t="shared" si="9"/>
        <v>116.4</v>
      </c>
      <c r="U36" s="1495">
        <f t="shared" si="15"/>
        <v>5.82</v>
      </c>
      <c r="V36" s="1400">
        <f t="shared" si="12"/>
        <v>2.8843454130463262</v>
      </c>
      <c r="W36" s="1401">
        <v>4.1515000000000004</v>
      </c>
      <c r="X36" s="1401">
        <v>3.4539</v>
      </c>
      <c r="Y36" s="1401"/>
      <c r="Z36" s="1223">
        <f t="shared" si="14"/>
        <v>457.84195999999997</v>
      </c>
      <c r="AA36" s="1223">
        <f t="shared" si="13"/>
        <v>3.9333501718213055</v>
      </c>
      <c r="AB36" s="1223">
        <f t="shared" si="7"/>
        <v>1.3636890207497943</v>
      </c>
    </row>
    <row r="37" spans="1:28" s="761" customFormat="1" ht="15">
      <c r="A37" s="1396" t="s">
        <v>217</v>
      </c>
      <c r="B37" s="1407">
        <v>42095</v>
      </c>
      <c r="C37" s="1216"/>
      <c r="D37" s="1408"/>
      <c r="E37" s="1263" t="s">
        <v>222</v>
      </c>
      <c r="F37" s="1398" t="s">
        <v>33</v>
      </c>
      <c r="G37" s="1220"/>
      <c r="H37" s="1263">
        <v>29</v>
      </c>
      <c r="I37" s="1219"/>
      <c r="J37" s="1246"/>
      <c r="K37" s="1218">
        <v>7</v>
      </c>
      <c r="L37" s="1219"/>
      <c r="M37" s="1215">
        <v>409.5</v>
      </c>
      <c r="N37" s="1219">
        <v>196.1</v>
      </c>
      <c r="O37" s="1220"/>
      <c r="P37" s="1220">
        <f t="shared" si="11"/>
        <v>605.6</v>
      </c>
      <c r="Q37" s="1263">
        <v>51.7</v>
      </c>
      <c r="R37" s="1219">
        <v>24.1</v>
      </c>
      <c r="S37" s="1220"/>
      <c r="T37" s="1399">
        <f t="shared" si="9"/>
        <v>75.800000000000011</v>
      </c>
      <c r="U37" s="1495">
        <f t="shared" si="15"/>
        <v>3.7900000000000005</v>
      </c>
      <c r="V37" s="1400">
        <f t="shared" si="12"/>
        <v>3.2108366494941287</v>
      </c>
      <c r="W37" s="1401">
        <v>4.4718</v>
      </c>
      <c r="X37" s="1401">
        <v>3.5541999999999998</v>
      </c>
      <c r="Y37" s="1401"/>
      <c r="Z37" s="1223">
        <f t="shared" si="14"/>
        <v>316.84828000000005</v>
      </c>
      <c r="AA37" s="1223">
        <f t="shared" si="13"/>
        <v>4.1800564643799474</v>
      </c>
      <c r="AB37" s="1223">
        <f t="shared" si="7"/>
        <v>1.3018589609778251</v>
      </c>
    </row>
    <row r="38" spans="1:28" s="1238" customFormat="1" ht="15.75" thickBot="1">
      <c r="A38" s="1411" t="s">
        <v>217</v>
      </c>
      <c r="B38" s="1407">
        <v>42095</v>
      </c>
      <c r="C38" s="1412"/>
      <c r="D38" s="1408"/>
      <c r="E38" s="1413" t="s">
        <v>225</v>
      </c>
      <c r="F38" s="1414" t="s">
        <v>76</v>
      </c>
      <c r="G38" s="1234"/>
      <c r="H38" s="1413">
        <v>26</v>
      </c>
      <c r="I38" s="1233"/>
      <c r="J38" s="1246"/>
      <c r="K38" s="1232">
        <v>7</v>
      </c>
      <c r="L38" s="1219"/>
      <c r="M38" s="1228">
        <v>283.7</v>
      </c>
      <c r="N38" s="1228">
        <v>265.89999999999998</v>
      </c>
      <c r="O38" s="1415"/>
      <c r="P38" s="1416">
        <f t="shared" si="11"/>
        <v>549.59999999999991</v>
      </c>
      <c r="Q38" s="1228">
        <v>35.4</v>
      </c>
      <c r="R38" s="1228">
        <v>30.9</v>
      </c>
      <c r="S38" s="1417"/>
      <c r="T38" s="1418">
        <f t="shared" si="9"/>
        <v>66.3</v>
      </c>
      <c r="U38" s="1496">
        <f t="shared" si="15"/>
        <v>3.3149999999999999</v>
      </c>
      <c r="V38" s="1419">
        <f t="shared" si="12"/>
        <v>3.3201456103886504</v>
      </c>
      <c r="W38" s="1420">
        <v>4.2441000000000004</v>
      </c>
      <c r="X38" s="1421"/>
      <c r="Y38" s="1421"/>
      <c r="Z38" s="1237"/>
      <c r="AA38" s="1422"/>
      <c r="AB38" s="1237"/>
    </row>
    <row r="39" spans="1:28" s="626" customFormat="1" ht="15.75" thickTop="1">
      <c r="A39" s="177" t="s">
        <v>141</v>
      </c>
      <c r="B39" s="617">
        <v>42131</v>
      </c>
      <c r="C39" s="657"/>
      <c r="D39" s="618"/>
      <c r="E39" s="627" t="s">
        <v>226</v>
      </c>
      <c r="F39" s="619" t="s">
        <v>30</v>
      </c>
      <c r="G39" s="179"/>
      <c r="H39" s="620">
        <v>26</v>
      </c>
      <c r="I39" s="621"/>
      <c r="J39" s="661"/>
      <c r="K39" s="622">
        <v>6</v>
      </c>
      <c r="L39" s="621"/>
      <c r="M39" s="35">
        <v>124.8</v>
      </c>
      <c r="N39" s="159">
        <v>352.5</v>
      </c>
      <c r="O39" s="165">
        <v>279</v>
      </c>
      <c r="P39" s="165">
        <f>M39+N39</f>
        <v>477.3</v>
      </c>
      <c r="Q39" s="179">
        <v>18.7</v>
      </c>
      <c r="R39" s="179">
        <v>69.7</v>
      </c>
      <c r="S39" s="32">
        <v>50.2</v>
      </c>
      <c r="T39" s="662">
        <f>Q39+R39+S39</f>
        <v>138.60000000000002</v>
      </c>
      <c r="U39" s="638">
        <f t="shared" si="10"/>
        <v>1.3860000000000001</v>
      </c>
      <c r="V39" s="639">
        <f t="shared" si="12"/>
        <v>4.1289270178077579</v>
      </c>
      <c r="W39" s="625">
        <v>2.3338999999999999</v>
      </c>
      <c r="X39" s="625">
        <v>0.65580000000000005</v>
      </c>
      <c r="Y39" s="625">
        <v>2.5672000000000001</v>
      </c>
      <c r="Z39" s="185">
        <f>(W39*Q39)+(X39*R39)+(S39*Y39)</f>
        <v>218.22663000000003</v>
      </c>
      <c r="AA39" s="658">
        <f t="shared" ref="AA39:AA50" si="16">Z39/T39</f>
        <v>1.5745067099567098</v>
      </c>
      <c r="AB39" s="185">
        <f t="shared" si="7"/>
        <v>0.38133556325068918</v>
      </c>
    </row>
    <row r="40" spans="1:28" s="51" customFormat="1" ht="15">
      <c r="A40" s="177" t="s">
        <v>141</v>
      </c>
      <c r="B40" s="656">
        <v>42131</v>
      </c>
      <c r="C40" s="36"/>
      <c r="D40" s="292"/>
      <c r="E40" s="627" t="s">
        <v>227</v>
      </c>
      <c r="F40" s="649" t="s">
        <v>33</v>
      </c>
      <c r="G40" s="179"/>
      <c r="H40" s="179">
        <v>23</v>
      </c>
      <c r="I40" s="32"/>
      <c r="J40" s="221"/>
      <c r="K40" s="181">
        <v>6</v>
      </c>
      <c r="L40" s="32"/>
      <c r="M40" s="35">
        <v>189.8</v>
      </c>
      <c r="N40" s="659">
        <v>321.89999999999998</v>
      </c>
      <c r="O40" s="659">
        <v>293</v>
      </c>
      <c r="P40" s="159">
        <f t="shared" si="11"/>
        <v>511.7</v>
      </c>
      <c r="Q40" s="660">
        <v>32.5</v>
      </c>
      <c r="R40" s="179">
        <v>72.099999999999994</v>
      </c>
      <c r="S40" s="32">
        <v>59.2</v>
      </c>
      <c r="T40" s="159">
        <f t="shared" ref="T40:T50" si="17">Q40+R40+S40</f>
        <v>163.80000000000001</v>
      </c>
      <c r="U40" s="160">
        <f t="shared" si="10"/>
        <v>1.6380000000000001</v>
      </c>
      <c r="V40" s="644">
        <f t="shared" si="12"/>
        <v>3.9600396984180142</v>
      </c>
      <c r="W40" s="625">
        <v>1.6919</v>
      </c>
      <c r="X40" s="625">
        <v>0.65</v>
      </c>
      <c r="Y40" s="625">
        <v>2.1156000000000001</v>
      </c>
      <c r="Z40" s="162">
        <f t="shared" ref="Z40:Z50" si="18">(W40*Q40)+(X40*R40)+(S40*Y40)</f>
        <v>227.09527000000003</v>
      </c>
      <c r="AA40" s="162">
        <f t="shared" si="16"/>
        <v>1.3864180097680099</v>
      </c>
      <c r="AB40" s="162">
        <f t="shared" si="7"/>
        <v>0.35010204830064362</v>
      </c>
    </row>
    <row r="41" spans="1:28" s="51" customFormat="1" ht="15">
      <c r="A41" s="177" t="s">
        <v>141</v>
      </c>
      <c r="B41" s="656">
        <v>42131</v>
      </c>
      <c r="C41" s="36"/>
      <c r="D41" s="292"/>
      <c r="E41" s="627" t="s">
        <v>228</v>
      </c>
      <c r="F41" s="649" t="s">
        <v>76</v>
      </c>
      <c r="G41" s="179"/>
      <c r="H41" s="179">
        <v>34</v>
      </c>
      <c r="I41" s="32"/>
      <c r="J41" s="221"/>
      <c r="K41" s="181">
        <v>6</v>
      </c>
      <c r="L41" s="32"/>
      <c r="M41" s="35">
        <v>124.8</v>
      </c>
      <c r="N41" s="659">
        <v>352.5</v>
      </c>
      <c r="O41" s="659">
        <v>279.8</v>
      </c>
      <c r="P41" s="159">
        <f t="shared" si="11"/>
        <v>477.3</v>
      </c>
      <c r="Q41" s="660">
        <v>26.1</v>
      </c>
      <c r="R41" s="179">
        <v>121.8</v>
      </c>
      <c r="S41" s="32">
        <v>103.7</v>
      </c>
      <c r="T41" s="159">
        <f t="shared" si="17"/>
        <v>251.60000000000002</v>
      </c>
      <c r="U41" s="160">
        <f t="shared" si="10"/>
        <v>2.516</v>
      </c>
      <c r="V41" s="644">
        <f t="shared" si="12"/>
        <v>3.5571350574113683</v>
      </c>
      <c r="W41" s="625">
        <v>2.1854</v>
      </c>
      <c r="X41" s="625">
        <v>0.68589999999999995</v>
      </c>
      <c r="Y41" s="625">
        <v>2.1974999999999998</v>
      </c>
      <c r="Z41" s="162">
        <f t="shared" si="18"/>
        <v>368.46231</v>
      </c>
      <c r="AA41" s="162">
        <f t="shared" si="16"/>
        <v>1.4644765898251191</v>
      </c>
      <c r="AB41" s="162">
        <f t="shared" si="7"/>
        <v>0.411701148870873</v>
      </c>
    </row>
    <row r="42" spans="1:28" s="51" customFormat="1" ht="15">
      <c r="A42" s="177" t="s">
        <v>141</v>
      </c>
      <c r="B42" s="656">
        <v>42131</v>
      </c>
      <c r="C42" s="36"/>
      <c r="D42" s="292"/>
      <c r="E42" s="627" t="s">
        <v>229</v>
      </c>
      <c r="F42" s="649" t="s">
        <v>30</v>
      </c>
      <c r="G42" s="179"/>
      <c r="H42" s="179">
        <v>21</v>
      </c>
      <c r="I42" s="32"/>
      <c r="J42" s="221"/>
      <c r="K42" s="181">
        <v>7</v>
      </c>
      <c r="L42" s="32"/>
      <c r="M42" s="35">
        <v>444.9</v>
      </c>
      <c r="N42" s="659">
        <v>814.1</v>
      </c>
      <c r="O42" s="659">
        <v>541</v>
      </c>
      <c r="P42" s="159">
        <f t="shared" si="11"/>
        <v>1259</v>
      </c>
      <c r="Q42" s="660">
        <v>55.8</v>
      </c>
      <c r="R42" s="179">
        <v>148.1</v>
      </c>
      <c r="S42" s="32">
        <v>93.5</v>
      </c>
      <c r="T42" s="159">
        <f t="shared" si="17"/>
        <v>297.39999999999998</v>
      </c>
      <c r="U42" s="160">
        <f t="shared" si="10"/>
        <v>2.9739999999999998</v>
      </c>
      <c r="V42" s="644">
        <f t="shared" si="12"/>
        <v>3.4114795554332273</v>
      </c>
      <c r="W42" s="625">
        <v>3.2915999999999999</v>
      </c>
      <c r="X42" s="625">
        <v>1.0255000000000001</v>
      </c>
      <c r="Y42" s="625">
        <v>3.0059</v>
      </c>
      <c r="Z42" s="162">
        <f t="shared" si="18"/>
        <v>616.59947999999997</v>
      </c>
      <c r="AA42" s="162">
        <f t="shared" si="16"/>
        <v>2.0733002017484869</v>
      </c>
      <c r="AB42" s="162">
        <f t="shared" si="7"/>
        <v>0.60774223267628413</v>
      </c>
    </row>
    <row r="43" spans="1:28" s="51" customFormat="1" ht="15">
      <c r="A43" s="177" t="s">
        <v>141</v>
      </c>
      <c r="B43" s="656">
        <v>42131</v>
      </c>
      <c r="C43" s="36"/>
      <c r="D43" s="292"/>
      <c r="E43" s="627" t="s">
        <v>230</v>
      </c>
      <c r="F43" s="649" t="s">
        <v>33</v>
      </c>
      <c r="G43" s="179"/>
      <c r="H43" s="179">
        <v>29</v>
      </c>
      <c r="I43" s="32"/>
      <c r="J43" s="221"/>
      <c r="K43" s="181">
        <v>7</v>
      </c>
      <c r="L43" s="32"/>
      <c r="M43" s="35">
        <v>222</v>
      </c>
      <c r="N43" s="659">
        <v>366.8</v>
      </c>
      <c r="O43" s="659">
        <v>276.8</v>
      </c>
      <c r="P43" s="159">
        <f t="shared" si="11"/>
        <v>588.79999999999995</v>
      </c>
      <c r="Q43" s="660">
        <v>30.9</v>
      </c>
      <c r="R43" s="179">
        <v>74.099999999999994</v>
      </c>
      <c r="S43" s="32">
        <v>53.5</v>
      </c>
      <c r="T43" s="159">
        <f t="shared" si="17"/>
        <v>158.5</v>
      </c>
      <c r="U43" s="160">
        <f t="shared" si="10"/>
        <v>1.585</v>
      </c>
      <c r="V43" s="644">
        <f t="shared" si="12"/>
        <v>3.9927369359042855</v>
      </c>
      <c r="W43" s="625">
        <v>3.0030999999999999</v>
      </c>
      <c r="X43" s="625">
        <v>1.0716000000000001</v>
      </c>
      <c r="Y43" s="625">
        <v>2.6518999999999999</v>
      </c>
      <c r="Z43" s="162">
        <f t="shared" si="18"/>
        <v>314.07799999999997</v>
      </c>
      <c r="AA43" s="162">
        <f t="shared" si="16"/>
        <v>1.9815646687697159</v>
      </c>
      <c r="AB43" s="162">
        <f t="shared" si="7"/>
        <v>0.49629231792124717</v>
      </c>
    </row>
    <row r="44" spans="1:28" s="51" customFormat="1" ht="15">
      <c r="A44" s="177" t="s">
        <v>141</v>
      </c>
      <c r="B44" s="656">
        <v>42131</v>
      </c>
      <c r="C44" s="36"/>
      <c r="D44" s="292"/>
      <c r="E44" s="627" t="s">
        <v>228</v>
      </c>
      <c r="F44" s="649" t="s">
        <v>76</v>
      </c>
      <c r="G44" s="179"/>
      <c r="H44" s="179">
        <v>23</v>
      </c>
      <c r="I44" s="32"/>
      <c r="J44" s="221"/>
      <c r="K44" s="181">
        <v>5</v>
      </c>
      <c r="L44" s="32"/>
      <c r="M44" s="35">
        <v>222.8</v>
      </c>
      <c r="N44" s="659">
        <v>481.7</v>
      </c>
      <c r="O44" s="659">
        <v>387</v>
      </c>
      <c r="P44" s="159">
        <f t="shared" si="11"/>
        <v>704.5</v>
      </c>
      <c r="Q44" s="660">
        <v>31.8</v>
      </c>
      <c r="R44" s="179">
        <v>96.1</v>
      </c>
      <c r="S44" s="32">
        <v>75</v>
      </c>
      <c r="T44" s="159">
        <f t="shared" si="17"/>
        <v>202.89999999999998</v>
      </c>
      <c r="U44" s="160">
        <f t="shared" si="10"/>
        <v>2.0289999999999999</v>
      </c>
      <c r="V44" s="644">
        <f t="shared" si="12"/>
        <v>3.7536822112676238</v>
      </c>
      <c r="W44" s="625">
        <v>3.2368999999999999</v>
      </c>
      <c r="X44" s="625">
        <v>0.95569999999999999</v>
      </c>
      <c r="Y44" s="625">
        <v>2.9102000000000001</v>
      </c>
      <c r="Z44" s="162">
        <f t="shared" si="18"/>
        <v>413.04119000000003</v>
      </c>
      <c r="AA44" s="162">
        <f t="shared" si="16"/>
        <v>2.0356884672252344</v>
      </c>
      <c r="AB44" s="162">
        <f t="shared" si="7"/>
        <v>0.54231774365837415</v>
      </c>
    </row>
    <row r="45" spans="1:28" s="51" customFormat="1" ht="15">
      <c r="A45" s="177" t="s">
        <v>141</v>
      </c>
      <c r="B45" s="656">
        <v>42136</v>
      </c>
      <c r="C45" s="36"/>
      <c r="D45" s="292"/>
      <c r="E45" s="36" t="s">
        <v>226</v>
      </c>
      <c r="F45" s="649" t="s">
        <v>30</v>
      </c>
      <c r="G45" s="179"/>
      <c r="H45" s="179">
        <v>22</v>
      </c>
      <c r="I45" s="32"/>
      <c r="J45" s="221"/>
      <c r="K45" s="181">
        <v>6</v>
      </c>
      <c r="L45" s="32"/>
      <c r="M45" s="35">
        <v>162.6</v>
      </c>
      <c r="N45" s="659">
        <v>665.5</v>
      </c>
      <c r="O45" s="659">
        <v>518.79999999999995</v>
      </c>
      <c r="P45" s="159">
        <f t="shared" si="11"/>
        <v>828.1</v>
      </c>
      <c r="Q45" s="660">
        <v>25.7</v>
      </c>
      <c r="R45" s="179">
        <v>144.9</v>
      </c>
      <c r="S45" s="32">
        <v>104.1</v>
      </c>
      <c r="T45" s="159">
        <f t="shared" si="17"/>
        <v>274.7</v>
      </c>
      <c r="U45" s="160">
        <f t="shared" si="10"/>
        <v>2.7469999999999999</v>
      </c>
      <c r="V45" s="644">
        <f t="shared" si="12"/>
        <v>3.4798726373312454</v>
      </c>
      <c r="W45" s="625">
        <v>1.4430000000000001</v>
      </c>
      <c r="X45" s="625">
        <v>0.56279999999999997</v>
      </c>
      <c r="Y45" s="625">
        <v>1.8099000000000001</v>
      </c>
      <c r="Z45" s="162">
        <f t="shared" si="18"/>
        <v>307.04540999999995</v>
      </c>
      <c r="AA45" s="162">
        <f t="shared" si="16"/>
        <v>1.1177481252275208</v>
      </c>
      <c r="AB45" s="162">
        <f t="shared" si="7"/>
        <v>0.32120374557292269</v>
      </c>
    </row>
    <row r="46" spans="1:28" s="51" customFormat="1" ht="15">
      <c r="A46" s="177" t="s">
        <v>141</v>
      </c>
      <c r="B46" s="656">
        <v>42136</v>
      </c>
      <c r="C46" s="36"/>
      <c r="D46" s="292"/>
      <c r="E46" s="663" t="s">
        <v>231</v>
      </c>
      <c r="F46" s="649" t="s">
        <v>33</v>
      </c>
      <c r="G46" s="179"/>
      <c r="H46" s="179">
        <v>26</v>
      </c>
      <c r="I46" s="32"/>
      <c r="J46" s="221"/>
      <c r="K46" s="181">
        <v>7</v>
      </c>
      <c r="L46" s="32"/>
      <c r="M46" s="35">
        <v>99.8</v>
      </c>
      <c r="N46" s="659">
        <v>292.89999999999998</v>
      </c>
      <c r="O46" s="659">
        <v>381.2</v>
      </c>
      <c r="P46" s="159">
        <f t="shared" si="11"/>
        <v>392.7</v>
      </c>
      <c r="Q46" s="660">
        <v>16</v>
      </c>
      <c r="R46" s="179">
        <v>65.2</v>
      </c>
      <c r="S46" s="32">
        <v>81.2</v>
      </c>
      <c r="T46" s="159">
        <f t="shared" si="17"/>
        <v>162.4</v>
      </c>
      <c r="U46" s="160">
        <f t="shared" si="10"/>
        <v>1.6240000000000001</v>
      </c>
      <c r="V46" s="644">
        <f t="shared" si="12"/>
        <v>3.9685468144610767</v>
      </c>
      <c r="W46" s="625">
        <v>1.9260999999999999</v>
      </c>
      <c r="X46" s="625">
        <v>0.65</v>
      </c>
      <c r="Y46" s="625">
        <v>1.8533999999999999</v>
      </c>
      <c r="Z46" s="162">
        <f t="shared" si="18"/>
        <v>223.69368</v>
      </c>
      <c r="AA46" s="162">
        <f t="shared" si="16"/>
        <v>1.3774241379310344</v>
      </c>
      <c r="AB46" s="162">
        <f t="shared" si="7"/>
        <v>0.34708526882228219</v>
      </c>
    </row>
    <row r="47" spans="1:28" s="51" customFormat="1" ht="15">
      <c r="A47" s="177" t="s">
        <v>141</v>
      </c>
      <c r="B47" s="656">
        <v>42136</v>
      </c>
      <c r="C47" s="36"/>
      <c r="D47" s="292"/>
      <c r="E47" s="664" t="s">
        <v>232</v>
      </c>
      <c r="F47" s="649" t="s">
        <v>76</v>
      </c>
      <c r="G47" s="179"/>
      <c r="H47" s="179">
        <v>30</v>
      </c>
      <c r="I47" s="32"/>
      <c r="J47" s="221"/>
      <c r="K47" s="181">
        <v>7</v>
      </c>
      <c r="L47" s="32"/>
      <c r="M47" s="35">
        <v>104.9</v>
      </c>
      <c r="N47" s="659">
        <v>430.6</v>
      </c>
      <c r="O47" s="659">
        <v>559.6</v>
      </c>
      <c r="P47" s="159">
        <f t="shared" si="11"/>
        <v>535.5</v>
      </c>
      <c r="Q47" s="660">
        <v>16.600000000000001</v>
      </c>
      <c r="R47" s="179">
        <v>96.5</v>
      </c>
      <c r="S47" s="32">
        <v>118.9</v>
      </c>
      <c r="T47" s="159">
        <f t="shared" si="17"/>
        <v>232</v>
      </c>
      <c r="U47" s="160">
        <f t="shared" si="10"/>
        <v>2.3199999999999998</v>
      </c>
      <c r="V47" s="644">
        <f t="shared" si="12"/>
        <v>3.6299949242855529</v>
      </c>
      <c r="W47" s="625">
        <v>2.0114999999999998</v>
      </c>
      <c r="X47" s="625">
        <v>0.58630000000000004</v>
      </c>
      <c r="Y47" s="625">
        <v>1.8548</v>
      </c>
      <c r="Z47" s="162">
        <f t="shared" si="18"/>
        <v>310.50457</v>
      </c>
      <c r="AA47" s="162">
        <f t="shared" si="16"/>
        <v>1.3383817672413794</v>
      </c>
      <c r="AB47" s="162">
        <f t="shared" si="7"/>
        <v>0.36870072690385275</v>
      </c>
    </row>
    <row r="48" spans="1:28" s="51" customFormat="1" ht="15">
      <c r="A48" s="177" t="s">
        <v>141</v>
      </c>
      <c r="B48" s="656">
        <v>42136</v>
      </c>
      <c r="C48" s="36"/>
      <c r="D48" s="292"/>
      <c r="E48" s="627" t="s">
        <v>229</v>
      </c>
      <c r="F48" s="649" t="s">
        <v>30</v>
      </c>
      <c r="G48" s="179"/>
      <c r="H48" s="179">
        <v>30</v>
      </c>
      <c r="I48" s="32"/>
      <c r="J48" s="221"/>
      <c r="K48" s="181">
        <v>8</v>
      </c>
      <c r="L48" s="32"/>
      <c r="M48" s="35">
        <v>245</v>
      </c>
      <c r="N48" s="659">
        <v>676.4</v>
      </c>
      <c r="O48" s="659">
        <v>601.6</v>
      </c>
      <c r="P48" s="159">
        <f t="shared" si="11"/>
        <v>921.4</v>
      </c>
      <c r="Q48" s="660">
        <v>33.200000000000003</v>
      </c>
      <c r="R48" s="179">
        <v>127.2</v>
      </c>
      <c r="S48" s="32">
        <v>111</v>
      </c>
      <c r="T48" s="159">
        <f t="shared" si="17"/>
        <v>271.39999999999998</v>
      </c>
      <c r="U48" s="160">
        <f t="shared" si="10"/>
        <v>2.714</v>
      </c>
      <c r="V48" s="644">
        <f t="shared" si="12"/>
        <v>3.4904028385566046</v>
      </c>
      <c r="W48" s="625">
        <v>2.8203999999999998</v>
      </c>
      <c r="X48" s="625">
        <v>0.95109999999999995</v>
      </c>
      <c r="Y48" s="625">
        <v>2.5024000000000002</v>
      </c>
      <c r="Z48" s="162">
        <f t="shared" si="18"/>
        <v>492.3836</v>
      </c>
      <c r="AA48" s="162">
        <f t="shared" si="16"/>
        <v>1.8142358142962418</v>
      </c>
      <c r="AB48" s="162">
        <f t="shared" si="7"/>
        <v>0.51977834599930806</v>
      </c>
    </row>
    <row r="49" spans="1:28" s="51" customFormat="1" ht="15">
      <c r="A49" s="177" t="s">
        <v>141</v>
      </c>
      <c r="B49" s="656">
        <v>42136</v>
      </c>
      <c r="C49" s="36"/>
      <c r="D49" s="292"/>
      <c r="E49" s="627" t="s">
        <v>230</v>
      </c>
      <c r="F49" s="649" t="s">
        <v>33</v>
      </c>
      <c r="G49" s="179"/>
      <c r="H49" s="179">
        <v>35</v>
      </c>
      <c r="I49" s="32"/>
      <c r="J49" s="221"/>
      <c r="K49" s="181">
        <v>9</v>
      </c>
      <c r="L49" s="32"/>
      <c r="M49" s="35">
        <v>217.9</v>
      </c>
      <c r="N49" s="659">
        <v>462.8</v>
      </c>
      <c r="O49" s="659">
        <v>579.1</v>
      </c>
      <c r="P49" s="159">
        <f t="shared" si="11"/>
        <v>680.7</v>
      </c>
      <c r="Q49" s="660">
        <v>31.3</v>
      </c>
      <c r="R49" s="179">
        <v>97.4</v>
      </c>
      <c r="S49" s="32">
        <v>112.3</v>
      </c>
      <c r="T49" s="159">
        <f t="shared" si="17"/>
        <v>241</v>
      </c>
      <c r="U49" s="160">
        <f t="shared" si="10"/>
        <v>2.41</v>
      </c>
      <c r="V49" s="644">
        <f t="shared" si="12"/>
        <v>3.5956197177281188</v>
      </c>
      <c r="W49" s="625">
        <v>2.6657000000000002</v>
      </c>
      <c r="X49" s="625">
        <v>0.93910000000000005</v>
      </c>
      <c r="Y49" s="625">
        <v>2.4796</v>
      </c>
      <c r="Z49" s="162">
        <f t="shared" si="18"/>
        <v>453.36383000000001</v>
      </c>
      <c r="AA49" s="162">
        <f t="shared" si="16"/>
        <v>1.8811777178423237</v>
      </c>
      <c r="AB49" s="162">
        <f t="shared" si="7"/>
        <v>0.52318594999555179</v>
      </c>
    </row>
    <row r="50" spans="1:28" s="51" customFormat="1" ht="15.75" thickBot="1">
      <c r="A50" s="177" t="s">
        <v>141</v>
      </c>
      <c r="B50" s="599">
        <v>42136</v>
      </c>
      <c r="C50" s="36"/>
      <c r="D50" s="297"/>
      <c r="E50" s="36" t="s">
        <v>233</v>
      </c>
      <c r="F50" s="627" t="s">
        <v>76</v>
      </c>
      <c r="G50" s="19"/>
      <c r="H50" s="19">
        <v>22</v>
      </c>
      <c r="I50" s="35"/>
      <c r="J50" s="157"/>
      <c r="K50" s="187">
        <v>6</v>
      </c>
      <c r="L50" s="35"/>
      <c r="M50" s="35">
        <v>225.8</v>
      </c>
      <c r="N50" s="659">
        <v>616.1</v>
      </c>
      <c r="O50" s="659">
        <v>768.5</v>
      </c>
      <c r="P50" s="159">
        <f t="shared" si="11"/>
        <v>841.90000000000009</v>
      </c>
      <c r="Q50" s="660">
        <v>51.3</v>
      </c>
      <c r="R50" s="179">
        <v>127.9</v>
      </c>
      <c r="S50" s="32">
        <v>147.4</v>
      </c>
      <c r="T50" s="221">
        <f t="shared" si="17"/>
        <v>326.60000000000002</v>
      </c>
      <c r="U50" s="654">
        <f t="shared" si="10"/>
        <v>3.266</v>
      </c>
      <c r="V50" s="665">
        <f t="shared" si="12"/>
        <v>3.332529241879691</v>
      </c>
      <c r="W50" s="424">
        <v>2.6711</v>
      </c>
      <c r="X50" s="424">
        <v>0.77290000000000003</v>
      </c>
      <c r="Y50" s="424">
        <v>2.3673999999999999</v>
      </c>
      <c r="Z50" s="162">
        <f t="shared" si="18"/>
        <v>584.83609999999999</v>
      </c>
      <c r="AA50" s="162">
        <f t="shared" si="16"/>
        <v>1.7906800367421922</v>
      </c>
      <c r="AB50" s="162">
        <f t="shared" si="7"/>
        <v>0.53733363063670259</v>
      </c>
    </row>
    <row r="51" spans="1:28" s="51" customFormat="1" ht="15.75" thickTop="1">
      <c r="A51" s="274"/>
      <c r="B51" s="666"/>
      <c r="C51" s="50"/>
      <c r="D51" s="48"/>
      <c r="E51" s="50"/>
      <c r="F51" s="667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668"/>
      <c r="V51" s="668"/>
      <c r="W51" s="669"/>
      <c r="X51" s="669"/>
      <c r="Y51" s="669"/>
      <c r="Z51" s="670"/>
      <c r="AA51" s="670"/>
      <c r="AB51" s="670"/>
    </row>
    <row r="52" spans="1:28" s="51" customFormat="1" ht="15">
      <c r="A52" s="274"/>
      <c r="B52" s="666"/>
      <c r="C52" s="50"/>
      <c r="D52" s="48"/>
      <c r="E52" s="50"/>
      <c r="F52" s="667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668"/>
      <c r="V52" s="668"/>
      <c r="W52" s="669"/>
      <c r="X52" s="669"/>
      <c r="Y52" s="669"/>
      <c r="Z52" s="670"/>
      <c r="AA52" s="670"/>
      <c r="AB52" s="670"/>
    </row>
    <row r="53" spans="1:28" s="51" customFormat="1" ht="15">
      <c r="A53" s="274"/>
      <c r="B53" s="666"/>
      <c r="C53" s="50"/>
      <c r="D53" s="48"/>
      <c r="E53" s="50"/>
      <c r="F53" s="667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668"/>
      <c r="V53" s="668"/>
      <c r="W53" s="669"/>
      <c r="X53" s="669"/>
      <c r="Y53" s="669"/>
      <c r="Z53" s="670"/>
      <c r="AA53" s="670"/>
      <c r="AB53" s="670"/>
    </row>
    <row r="54" spans="1:28" s="51" customFormat="1" ht="15">
      <c r="A54" s="274" t="s">
        <v>234</v>
      </c>
      <c r="B54" s="666"/>
      <c r="C54" s="50"/>
      <c r="D54" s="48"/>
      <c r="E54" s="50"/>
      <c r="F54" s="667"/>
      <c r="G54" s="49"/>
      <c r="H54" s="49"/>
      <c r="I54" s="49"/>
      <c r="J54" s="49"/>
      <c r="K54" s="49"/>
      <c r="L54" s="49"/>
      <c r="M54" s="750" t="s">
        <v>390</v>
      </c>
      <c r="N54" s="751"/>
      <c r="O54" s="751"/>
      <c r="P54" s="49"/>
      <c r="Q54" s="49"/>
      <c r="R54" s="49"/>
      <c r="S54" s="49"/>
      <c r="T54" s="49"/>
      <c r="U54" s="668"/>
      <c r="V54" s="668"/>
      <c r="W54" s="669"/>
      <c r="X54" s="669"/>
      <c r="Y54" s="669"/>
      <c r="Z54" s="670"/>
      <c r="AA54" s="670"/>
      <c r="AB54" s="670"/>
    </row>
    <row r="55" spans="1:28" s="51" customFormat="1" ht="15">
      <c r="A55" s="274" t="s">
        <v>235</v>
      </c>
      <c r="B55" s="666"/>
      <c r="C55" s="50"/>
      <c r="D55" s="48"/>
      <c r="E55" s="50"/>
      <c r="F55" s="667"/>
      <c r="G55" s="49"/>
      <c r="H55" s="49"/>
      <c r="I55" s="49"/>
      <c r="J55" s="49"/>
      <c r="K55" s="49"/>
      <c r="L55" s="49"/>
      <c r="M55" s="36"/>
      <c r="N55" s="752" t="s">
        <v>63</v>
      </c>
      <c r="O55" s="753" t="s">
        <v>64</v>
      </c>
      <c r="P55" s="49"/>
      <c r="Q55" s="49"/>
      <c r="R55" s="49"/>
      <c r="S55" s="49"/>
      <c r="T55" s="49"/>
      <c r="U55" s="668"/>
      <c r="V55" s="668"/>
      <c r="W55" s="669"/>
      <c r="X55" s="669"/>
      <c r="Y55" s="669"/>
      <c r="Z55" s="670"/>
      <c r="AA55" s="670"/>
      <c r="AB55" s="670"/>
    </row>
    <row r="56" spans="1:28" s="51" customFormat="1" ht="15">
      <c r="A56" s="274" t="s">
        <v>236</v>
      </c>
      <c r="B56" s="666"/>
      <c r="C56" s="50"/>
      <c r="D56" s="48"/>
      <c r="E56" s="50"/>
      <c r="F56" s="667"/>
      <c r="G56" s="49"/>
      <c r="H56" s="49"/>
      <c r="I56" s="49"/>
      <c r="J56" s="49"/>
      <c r="K56" s="49"/>
      <c r="L56" s="49"/>
      <c r="M56" s="1497" t="s">
        <v>391</v>
      </c>
      <c r="N56" s="774">
        <f>AVERAGE(AB27:AB29,AB32:AB34)</f>
        <v>1.1511441302657686</v>
      </c>
      <c r="O56" s="774">
        <f>AVERAGE(AB30:AB31,AB35:AB37)</f>
        <v>1.2966768177291215</v>
      </c>
      <c r="P56" s="49"/>
      <c r="Q56" s="49"/>
      <c r="R56" s="49"/>
      <c r="S56" s="49"/>
      <c r="T56" s="49"/>
      <c r="U56" s="668"/>
      <c r="V56" s="668"/>
      <c r="W56" s="669"/>
      <c r="X56" s="669"/>
      <c r="Y56" s="669"/>
      <c r="Z56" s="670"/>
      <c r="AA56" s="670"/>
      <c r="AB56" s="670"/>
    </row>
    <row r="57" spans="1:28" s="51" customFormat="1" ht="15">
      <c r="A57" s="274"/>
      <c r="B57" s="666"/>
      <c r="C57" s="50"/>
      <c r="D57" s="48"/>
      <c r="E57" s="50"/>
      <c r="F57" s="667"/>
      <c r="G57" s="49"/>
      <c r="H57" s="49"/>
      <c r="I57" s="49"/>
      <c r="J57" s="49"/>
      <c r="K57" s="49"/>
      <c r="L57" s="49"/>
      <c r="M57" s="1497" t="s">
        <v>25</v>
      </c>
      <c r="N57" s="774">
        <f>AVERAGE(Z27:Z29,Z32:Z34)</f>
        <v>300.51889166666666</v>
      </c>
      <c r="O57" s="774">
        <f>AVERAGE(Z35:Z37,Z30:Z31)</f>
        <v>357.19219999999996</v>
      </c>
      <c r="P57" s="49"/>
      <c r="Q57" s="49"/>
      <c r="R57" s="49"/>
      <c r="S57" s="49"/>
      <c r="T57" s="49"/>
      <c r="U57" s="668"/>
      <c r="V57" s="668"/>
      <c r="W57" s="669"/>
      <c r="X57" s="669"/>
      <c r="Y57" s="669"/>
      <c r="Z57" s="670"/>
      <c r="AA57" s="670"/>
      <c r="AB57" s="670"/>
    </row>
    <row r="58" spans="1:28" s="51" customFormat="1" ht="15">
      <c r="A58" s="274"/>
      <c r="B58" s="666"/>
      <c r="C58" s="50"/>
      <c r="D58" s="48"/>
      <c r="E58" s="50"/>
      <c r="F58" s="667"/>
      <c r="G58" s="49"/>
      <c r="H58" s="49"/>
      <c r="I58" s="49"/>
      <c r="J58" s="49"/>
      <c r="K58" s="49"/>
      <c r="L58" s="49"/>
      <c r="M58" s="36" t="s">
        <v>392</v>
      </c>
      <c r="N58" s="774">
        <f>AVERAGE(AA27:AA29,AA32:AA34)</f>
        <v>3.6242228916863959</v>
      </c>
      <c r="O58" s="774">
        <f>AVERAGE(AA35:AA37,AA30:AA31)</f>
        <v>4.0119596806460454</v>
      </c>
      <c r="P58" s="49"/>
      <c r="Q58" s="49"/>
      <c r="R58" s="49"/>
      <c r="S58" s="49"/>
      <c r="T58" s="49"/>
      <c r="U58" s="668"/>
      <c r="V58" s="668"/>
      <c r="W58" s="669"/>
      <c r="X58" s="669"/>
      <c r="Y58" s="669"/>
      <c r="Z58" s="670"/>
      <c r="AA58" s="670"/>
      <c r="AB58" s="670"/>
    </row>
    <row r="59" spans="1:28" s="51" customFormat="1" ht="15">
      <c r="A59" s="274"/>
      <c r="B59" s="666"/>
      <c r="C59" s="50"/>
      <c r="D59" s="48"/>
      <c r="E59" s="50"/>
      <c r="F59" s="667"/>
      <c r="G59" s="49"/>
      <c r="H59" s="49"/>
      <c r="I59" s="49"/>
      <c r="J59" s="49"/>
      <c r="K59" s="49"/>
      <c r="L59" s="49"/>
      <c r="M59" s="1497" t="s">
        <v>393</v>
      </c>
      <c r="N59" s="774">
        <f>AVERAGE(U27:U29,U32:U34)</f>
        <v>4.1974999999999998</v>
      </c>
      <c r="O59" s="774">
        <f>AVERAGE(U30:U31,U35:U38)</f>
        <v>4.2941666666666674</v>
      </c>
      <c r="P59" s="49"/>
      <c r="Q59" s="49"/>
      <c r="R59" s="49"/>
      <c r="S59" s="49"/>
      <c r="T59" s="49"/>
      <c r="U59" s="668"/>
      <c r="V59" s="668"/>
      <c r="W59" s="669"/>
      <c r="X59" s="669"/>
      <c r="Y59" s="669"/>
      <c r="Z59" s="670"/>
      <c r="AA59" s="670"/>
      <c r="AB59" s="670"/>
    </row>
    <row r="60" spans="1:28" s="51" customFormat="1" ht="15">
      <c r="A60" s="274"/>
      <c r="B60" s="666"/>
      <c r="C60" s="50"/>
      <c r="D60" s="48"/>
      <c r="E60" s="50"/>
      <c r="F60" s="667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668"/>
      <c r="V60" s="668"/>
      <c r="W60" s="669"/>
      <c r="X60" s="669"/>
      <c r="Y60" s="669"/>
      <c r="Z60" s="670"/>
      <c r="AA60" s="670"/>
      <c r="AB60" s="670"/>
    </row>
    <row r="61" spans="1:28" s="51" customFormat="1" ht="15">
      <c r="A61" s="274"/>
      <c r="B61" s="666"/>
      <c r="C61" s="50"/>
      <c r="D61" s="48"/>
      <c r="E61" s="50"/>
      <c r="F61" s="667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668"/>
      <c r="V61" s="668"/>
      <c r="W61" s="669"/>
      <c r="X61" s="669"/>
      <c r="Y61" s="669"/>
      <c r="Z61" s="670"/>
      <c r="AA61" s="670"/>
      <c r="AB61" s="670"/>
    </row>
    <row r="62" spans="1:28" s="51" customFormat="1" ht="15">
      <c r="A62" s="274"/>
      <c r="B62" s="666"/>
      <c r="C62" s="50"/>
      <c r="D62" s="48"/>
      <c r="E62" s="50"/>
      <c r="F62" s="667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668"/>
      <c r="V62" s="668"/>
      <c r="W62" s="669"/>
      <c r="X62" s="669"/>
      <c r="Y62" s="669"/>
      <c r="Z62" s="670"/>
      <c r="AA62" s="670"/>
      <c r="AB62" s="670"/>
    </row>
    <row r="63" spans="1:28" s="51" customFormat="1" ht="15">
      <c r="A63" s="274"/>
      <c r="B63" s="666"/>
      <c r="C63" s="50"/>
      <c r="D63" s="48"/>
      <c r="E63" s="50"/>
      <c r="F63" s="667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668"/>
      <c r="V63" s="668"/>
      <c r="W63" s="669"/>
      <c r="X63" s="669"/>
      <c r="Y63" s="669"/>
      <c r="Z63" s="670"/>
      <c r="AA63" s="670"/>
      <c r="AB63" s="670"/>
    </row>
    <row r="64" spans="1:28" s="51" customFormat="1" ht="15">
      <c r="A64" s="274"/>
      <c r="B64" s="666"/>
      <c r="C64" s="50"/>
      <c r="D64" s="48"/>
      <c r="E64" s="50"/>
      <c r="F64" s="667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668"/>
      <c r="V64" s="668"/>
      <c r="W64" s="669"/>
      <c r="X64" s="669"/>
      <c r="Y64" s="669"/>
      <c r="Z64" s="670"/>
      <c r="AA64" s="670"/>
      <c r="AB64" s="670"/>
    </row>
    <row r="65" spans="1:28" s="51" customFormat="1" ht="15">
      <c r="A65" s="274"/>
      <c r="B65" s="666"/>
      <c r="C65" s="50"/>
      <c r="D65" s="48"/>
      <c r="E65" s="50"/>
      <c r="F65" s="667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668"/>
      <c r="V65" s="668"/>
      <c r="W65" s="669"/>
      <c r="X65" s="669"/>
      <c r="Y65" s="669"/>
      <c r="Z65" s="670"/>
      <c r="AA65" s="670"/>
      <c r="AB65" s="670"/>
    </row>
    <row r="66" spans="1:28" s="51" customFormat="1" ht="15">
      <c r="A66" s="274"/>
      <c r="B66" s="666"/>
      <c r="C66" s="50"/>
      <c r="D66" s="48"/>
      <c r="E66" s="50"/>
      <c r="F66" s="667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668"/>
      <c r="V66" s="668"/>
      <c r="W66" s="669"/>
      <c r="X66" s="669"/>
      <c r="Y66" s="669"/>
      <c r="Z66" s="670"/>
      <c r="AA66" s="670"/>
      <c r="AB66" s="670"/>
    </row>
    <row r="67" spans="1:28" s="51" customFormat="1" ht="15">
      <c r="A67" s="274"/>
      <c r="B67" s="666"/>
      <c r="C67" s="50"/>
      <c r="D67" s="48"/>
      <c r="E67" s="50"/>
      <c r="F67" s="667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668"/>
      <c r="V67" s="668"/>
      <c r="W67" s="669"/>
      <c r="X67" s="669"/>
      <c r="Y67" s="669"/>
      <c r="Z67" s="670"/>
      <c r="AA67" s="670"/>
      <c r="AB67" s="670"/>
    </row>
    <row r="68" spans="1:28">
      <c r="Q68" s="54"/>
      <c r="R68" s="54"/>
      <c r="S68" s="54"/>
    </row>
    <row r="69" spans="1:28">
      <c r="A69" s="55" t="s">
        <v>39</v>
      </c>
      <c r="J69" s="1727" t="s">
        <v>161</v>
      </c>
      <c r="K69" s="1727"/>
      <c r="L69" s="1727"/>
      <c r="M69" s="1727"/>
      <c r="Q69" s="4"/>
      <c r="R69" s="4"/>
      <c r="S69" s="4"/>
      <c r="T69" s="4"/>
    </row>
    <row r="70" spans="1:28">
      <c r="A70" s="56" t="s">
        <v>40</v>
      </c>
      <c r="J70" s="1727"/>
      <c r="K70" s="1727"/>
      <c r="L70" s="1727"/>
      <c r="M70" s="1727"/>
      <c r="Q70" s="4"/>
      <c r="R70" s="4"/>
      <c r="S70" s="4"/>
      <c r="T70" s="4"/>
    </row>
    <row r="71" spans="1:28">
      <c r="A71" s="56" t="s">
        <v>41</v>
      </c>
      <c r="L71" s="671"/>
      <c r="Q71" s="4"/>
      <c r="R71" s="4"/>
      <c r="S71" s="4"/>
      <c r="T71" s="4"/>
    </row>
    <row r="72" spans="1:28">
      <c r="A72" s="56" t="s">
        <v>42</v>
      </c>
      <c r="Q72" s="4"/>
      <c r="R72" s="4"/>
      <c r="S72" s="4"/>
      <c r="T72" s="4"/>
    </row>
    <row r="73" spans="1:28">
      <c r="A73" s="55" t="s">
        <v>87</v>
      </c>
      <c r="Q73" s="4"/>
      <c r="R73" s="4"/>
      <c r="S73" s="4"/>
      <c r="T73" s="4"/>
    </row>
    <row r="74" spans="1:28">
      <c r="A74" s="55" t="s">
        <v>44</v>
      </c>
      <c r="Q74" s="4"/>
      <c r="R74" s="4"/>
      <c r="S74" s="4"/>
      <c r="T74" s="4"/>
    </row>
    <row r="75" spans="1:28">
      <c r="A75" s="55" t="s">
        <v>45</v>
      </c>
      <c r="Q75" s="4"/>
      <c r="R75" s="4"/>
      <c r="S75" s="4"/>
      <c r="T75" s="4"/>
    </row>
    <row r="76" spans="1:28">
      <c r="A76" s="56" t="s">
        <v>46</v>
      </c>
    </row>
    <row r="77" spans="1:28">
      <c r="A77" s="56" t="s">
        <v>47</v>
      </c>
    </row>
    <row r="78" spans="1:28">
      <c r="A78" s="56" t="s">
        <v>48</v>
      </c>
    </row>
    <row r="79" spans="1:28">
      <c r="A79" s="56" t="s">
        <v>49</v>
      </c>
    </row>
    <row r="81" spans="1:1">
      <c r="A81" s="1" t="s">
        <v>50</v>
      </c>
    </row>
  </sheetData>
  <mergeCells count="29">
    <mergeCell ref="W23:X23"/>
    <mergeCell ref="W24:X24"/>
    <mergeCell ref="W25:X25"/>
    <mergeCell ref="W26:X26"/>
    <mergeCell ref="J69:M70"/>
    <mergeCell ref="W22:X22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10:X10"/>
    <mergeCell ref="H1:J1"/>
    <mergeCell ref="K1:T1"/>
    <mergeCell ref="U1:V1"/>
    <mergeCell ref="W1:Z1"/>
    <mergeCell ref="W3:X3"/>
    <mergeCell ref="W4:X4"/>
    <mergeCell ref="W5:X5"/>
    <mergeCell ref="W6:X6"/>
    <mergeCell ref="W7:X7"/>
    <mergeCell ref="W8:X8"/>
    <mergeCell ref="W9:X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CC"/>
  </sheetPr>
  <dimension ref="A1:Z44"/>
  <sheetViews>
    <sheetView workbookViewId="0">
      <selection activeCell="J34" sqref="J34"/>
    </sheetView>
  </sheetViews>
  <sheetFormatPr baseColWidth="10" defaultRowHeight="12.75"/>
  <cols>
    <col min="1" max="1" width="11.7109375" style="1" customWidth="1"/>
    <col min="2" max="2" width="10.140625" style="1" bestFit="1" customWidth="1"/>
    <col min="3" max="4" width="3" style="1" bestFit="1" customWidth="1"/>
    <col min="5" max="5" width="6.5703125" style="1" customWidth="1"/>
    <col min="6" max="6" width="8.85546875" style="1" bestFit="1" customWidth="1"/>
    <col min="7" max="7" width="11.140625" style="1" bestFit="1" customWidth="1"/>
    <col min="8" max="8" width="6.28515625" style="1" bestFit="1" customWidth="1"/>
    <col min="9" max="9" width="4.140625" style="1" bestFit="1" customWidth="1"/>
    <col min="10" max="10" width="8.42578125" style="1" customWidth="1"/>
    <col min="11" max="11" width="12" style="1" bestFit="1" customWidth="1"/>
    <col min="12" max="12" width="4.140625" style="1" bestFit="1" customWidth="1"/>
    <col min="13" max="13" width="12" style="1" bestFit="1" customWidth="1"/>
    <col min="14" max="14" width="14.28515625" style="1" bestFit="1" customWidth="1"/>
    <col min="15" max="15" width="11.140625" style="1" bestFit="1" customWidth="1"/>
    <col min="16" max="16" width="7.42578125" style="1" bestFit="1" customWidth="1"/>
    <col min="17" max="17" width="14.42578125" style="1" bestFit="1" customWidth="1"/>
    <col min="18" max="18" width="11.28515625" style="1" bestFit="1" customWidth="1"/>
    <col min="19" max="19" width="10.42578125" style="1" bestFit="1" customWidth="1"/>
    <col min="20" max="20" width="13" style="4" bestFit="1" customWidth="1"/>
    <col min="21" max="21" width="11.42578125" style="4"/>
    <col min="22" max="22" width="12.42578125" style="1" customWidth="1"/>
    <col min="23" max="23" width="11.85546875" style="1" customWidth="1"/>
    <col min="24" max="24" width="11.42578125" style="4"/>
    <col min="25" max="25" width="15.85546875" style="4" bestFit="1" customWidth="1"/>
    <col min="26" max="16384" width="11.42578125" style="4"/>
  </cols>
  <sheetData>
    <row r="1" spans="1:26" ht="15.75">
      <c r="C1" s="2"/>
      <c r="D1" s="2"/>
      <c r="E1" s="2"/>
      <c r="F1" s="2"/>
      <c r="G1" s="2"/>
      <c r="H1" s="2"/>
      <c r="I1" s="1617" t="s">
        <v>0</v>
      </c>
      <c r="J1" s="1618"/>
      <c r="K1" s="1619"/>
      <c r="L1" s="1620" t="s">
        <v>1</v>
      </c>
      <c r="M1" s="1618"/>
      <c r="N1" s="1618"/>
      <c r="O1" s="1618"/>
      <c r="P1" s="1618"/>
      <c r="Q1" s="1618"/>
      <c r="R1" s="1618"/>
      <c r="S1" s="1619"/>
      <c r="T1" s="1621" t="s">
        <v>2</v>
      </c>
      <c r="U1" s="1622"/>
      <c r="V1" s="1623" t="s">
        <v>3</v>
      </c>
      <c r="W1" s="1623"/>
      <c r="X1" s="1624"/>
      <c r="Y1" s="3"/>
    </row>
    <row r="2" spans="1:26">
      <c r="A2" s="5" t="s">
        <v>4</v>
      </c>
      <c r="B2" s="5" t="s">
        <v>5</v>
      </c>
      <c r="C2" s="5" t="s">
        <v>6</v>
      </c>
      <c r="D2" s="5" t="s">
        <v>7</v>
      </c>
      <c r="E2" s="5" t="s">
        <v>401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6" t="s">
        <v>13</v>
      </c>
      <c r="L2" s="7" t="s">
        <v>11</v>
      </c>
      <c r="M2" s="5" t="s">
        <v>14</v>
      </c>
      <c r="N2" s="8" t="s">
        <v>15</v>
      </c>
      <c r="O2" s="8" t="s">
        <v>16</v>
      </c>
      <c r="P2" s="5" t="s">
        <v>17</v>
      </c>
      <c r="Q2" s="8" t="s">
        <v>18</v>
      </c>
      <c r="R2" s="8" t="s">
        <v>19</v>
      </c>
      <c r="S2" s="9" t="s">
        <v>20</v>
      </c>
      <c r="T2" s="10" t="s">
        <v>21</v>
      </c>
      <c r="U2" s="8" t="s">
        <v>22</v>
      </c>
      <c r="V2" s="11" t="s">
        <v>23</v>
      </c>
      <c r="W2" s="11" t="s">
        <v>24</v>
      </c>
      <c r="X2" s="12" t="s">
        <v>25</v>
      </c>
      <c r="Y2" s="13" t="s">
        <v>26</v>
      </c>
      <c r="Z2" s="14" t="s">
        <v>27</v>
      </c>
    </row>
    <row r="3" spans="1:26">
      <c r="A3" s="17" t="s">
        <v>28</v>
      </c>
      <c r="B3" s="156">
        <v>42352</v>
      </c>
      <c r="C3" s="34">
        <v>29</v>
      </c>
      <c r="D3" s="34">
        <v>3</v>
      </c>
      <c r="E3" s="34" t="s">
        <v>402</v>
      </c>
      <c r="F3" s="17" t="s">
        <v>63</v>
      </c>
      <c r="G3" s="19" t="s">
        <v>76</v>
      </c>
      <c r="H3" s="19"/>
      <c r="I3" s="19">
        <v>35</v>
      </c>
      <c r="J3" s="158">
        <v>1923.1</v>
      </c>
      <c r="K3" s="157">
        <v>205.18</v>
      </c>
      <c r="L3" s="187">
        <v>9</v>
      </c>
      <c r="M3" s="158"/>
      <c r="N3" s="1636">
        <v>473.23</v>
      </c>
      <c r="O3" s="1654"/>
      <c r="P3" s="159"/>
      <c r="Q3" s="1636">
        <v>50.49</v>
      </c>
      <c r="R3" s="1637"/>
      <c r="S3" s="157"/>
      <c r="T3" s="160"/>
      <c r="U3" s="161"/>
      <c r="V3" s="1638"/>
      <c r="W3" s="1638"/>
      <c r="X3" s="645"/>
      <c r="Y3" s="645"/>
      <c r="Z3" s="645"/>
    </row>
    <row r="4" spans="1:26">
      <c r="A4" s="17" t="s">
        <v>28</v>
      </c>
      <c r="B4" s="156">
        <v>42352</v>
      </c>
      <c r="C4" s="34">
        <v>29</v>
      </c>
      <c r="D4" s="34">
        <v>4</v>
      </c>
      <c r="E4" s="34" t="s">
        <v>402</v>
      </c>
      <c r="F4" s="17" t="s">
        <v>63</v>
      </c>
      <c r="G4" s="19" t="s">
        <v>403</v>
      </c>
      <c r="H4" s="19"/>
      <c r="I4" s="19">
        <v>35</v>
      </c>
      <c r="J4" s="158">
        <v>1867</v>
      </c>
      <c r="K4" s="157">
        <v>219.79</v>
      </c>
      <c r="L4" s="187">
        <v>9</v>
      </c>
      <c r="M4" s="158"/>
      <c r="N4" s="1655">
        <v>487.76</v>
      </c>
      <c r="O4" s="1656"/>
      <c r="P4" s="159"/>
      <c r="Q4" s="1636">
        <v>57.42</v>
      </c>
      <c r="R4" s="1637"/>
      <c r="S4" s="157"/>
      <c r="T4" s="160"/>
      <c r="U4" s="161"/>
      <c r="V4" s="1638"/>
      <c r="W4" s="1638"/>
      <c r="X4" s="645"/>
      <c r="Y4" s="645"/>
      <c r="Z4" s="645"/>
    </row>
    <row r="5" spans="1:26">
      <c r="A5" s="17" t="s">
        <v>28</v>
      </c>
      <c r="B5" s="156">
        <v>42352</v>
      </c>
      <c r="C5" s="34">
        <v>30</v>
      </c>
      <c r="D5" s="34">
        <v>4</v>
      </c>
      <c r="E5" s="34" t="s">
        <v>402</v>
      </c>
      <c r="F5" s="17" t="s">
        <v>63</v>
      </c>
      <c r="G5" s="19" t="s">
        <v>404</v>
      </c>
      <c r="H5" s="19"/>
      <c r="I5" s="19">
        <v>26</v>
      </c>
      <c r="J5" s="158">
        <v>1606.1</v>
      </c>
      <c r="K5" s="157">
        <v>190.08</v>
      </c>
      <c r="L5" s="187">
        <v>7</v>
      </c>
      <c r="M5" s="158"/>
      <c r="N5" s="1634">
        <v>573.46</v>
      </c>
      <c r="O5" s="1635"/>
      <c r="P5" s="159"/>
      <c r="Q5" s="1636">
        <v>67.87</v>
      </c>
      <c r="R5" s="1637"/>
      <c r="S5" s="157"/>
      <c r="T5" s="160"/>
      <c r="U5" s="161"/>
      <c r="V5" s="1638"/>
      <c r="W5" s="1638"/>
      <c r="X5" s="645"/>
      <c r="Y5" s="645"/>
      <c r="Z5" s="645"/>
    </row>
    <row r="6" spans="1:26">
      <c r="A6" s="17" t="s">
        <v>28</v>
      </c>
      <c r="B6" s="156">
        <v>42352</v>
      </c>
      <c r="C6" s="34">
        <v>31</v>
      </c>
      <c r="D6" s="34">
        <v>41</v>
      </c>
      <c r="E6" s="34" t="s">
        <v>402</v>
      </c>
      <c r="F6" s="17" t="s">
        <v>63</v>
      </c>
      <c r="G6" s="19" t="s">
        <v>403</v>
      </c>
      <c r="H6" s="19"/>
      <c r="I6" s="19">
        <v>32</v>
      </c>
      <c r="J6" s="158">
        <v>1674.8</v>
      </c>
      <c r="K6" s="157">
        <v>189.57</v>
      </c>
      <c r="L6" s="187">
        <v>9</v>
      </c>
      <c r="M6" s="158"/>
      <c r="N6" s="1634">
        <v>458.88</v>
      </c>
      <c r="O6" s="1635"/>
      <c r="P6" s="159"/>
      <c r="Q6" s="1636">
        <v>51.94</v>
      </c>
      <c r="R6" s="1637"/>
      <c r="S6" s="157"/>
      <c r="T6" s="160"/>
      <c r="U6" s="161"/>
      <c r="V6" s="1638"/>
      <c r="W6" s="1638"/>
      <c r="X6" s="645"/>
      <c r="Y6" s="645"/>
      <c r="Z6" s="645"/>
    </row>
    <row r="7" spans="1:26">
      <c r="A7" s="17" t="s">
        <v>28</v>
      </c>
      <c r="B7" s="156">
        <v>42352</v>
      </c>
      <c r="C7" s="34">
        <v>32</v>
      </c>
      <c r="D7" s="34">
        <v>41</v>
      </c>
      <c r="E7" s="34" t="s">
        <v>402</v>
      </c>
      <c r="F7" s="17" t="s">
        <v>63</v>
      </c>
      <c r="G7" s="19" t="s">
        <v>404</v>
      </c>
      <c r="H7" s="19"/>
      <c r="I7" s="19">
        <v>31</v>
      </c>
      <c r="J7" s="158">
        <v>1618.2</v>
      </c>
      <c r="K7" s="157">
        <v>196.98</v>
      </c>
      <c r="L7" s="187">
        <v>8</v>
      </c>
      <c r="M7" s="158"/>
      <c r="N7" s="1634">
        <v>479.59</v>
      </c>
      <c r="O7" s="1635"/>
      <c r="P7" s="159"/>
      <c r="Q7" s="1636">
        <v>58.38</v>
      </c>
      <c r="R7" s="1637"/>
      <c r="S7" s="157"/>
      <c r="T7" s="160"/>
      <c r="U7" s="161"/>
      <c r="V7" s="1638"/>
      <c r="W7" s="1638"/>
      <c r="X7" s="645"/>
      <c r="Y7" s="645"/>
      <c r="Z7" s="645"/>
    </row>
    <row r="8" spans="1:26">
      <c r="A8" s="17" t="s">
        <v>28</v>
      </c>
      <c r="B8" s="156">
        <v>42352</v>
      </c>
      <c r="C8" s="34">
        <v>31</v>
      </c>
      <c r="D8" s="34">
        <v>42</v>
      </c>
      <c r="E8" s="34" t="s">
        <v>402</v>
      </c>
      <c r="F8" s="17" t="s">
        <v>63</v>
      </c>
      <c r="G8" s="19" t="s">
        <v>76</v>
      </c>
      <c r="H8" s="19"/>
      <c r="I8" s="19">
        <v>34</v>
      </c>
      <c r="J8" s="158">
        <v>1597.5</v>
      </c>
      <c r="K8" s="157">
        <v>190.36</v>
      </c>
      <c r="L8" s="187">
        <v>9</v>
      </c>
      <c r="M8" s="158"/>
      <c r="N8" s="1634">
        <v>372.02</v>
      </c>
      <c r="O8" s="1635"/>
      <c r="P8" s="159"/>
      <c r="Q8" s="1636">
        <v>44.33</v>
      </c>
      <c r="R8" s="1637"/>
      <c r="S8" s="157"/>
      <c r="T8" s="160"/>
      <c r="U8" s="161"/>
      <c r="V8" s="1638"/>
      <c r="W8" s="1638"/>
      <c r="X8" s="645"/>
      <c r="Y8" s="645"/>
      <c r="Z8" s="645"/>
    </row>
    <row r="9" spans="1:26">
      <c r="A9" s="17" t="s">
        <v>34</v>
      </c>
      <c r="B9" s="156">
        <v>42409</v>
      </c>
      <c r="C9" s="34">
        <v>36</v>
      </c>
      <c r="D9" s="34">
        <v>3</v>
      </c>
      <c r="E9" s="34" t="s">
        <v>402</v>
      </c>
      <c r="F9" s="17" t="s">
        <v>64</v>
      </c>
      <c r="G9" s="19" t="s">
        <v>76</v>
      </c>
      <c r="H9" s="19"/>
      <c r="I9" s="19">
        <v>23</v>
      </c>
      <c r="J9" s="158">
        <v>1661.5</v>
      </c>
      <c r="K9" s="157">
        <v>210.27</v>
      </c>
      <c r="L9" s="187">
        <v>8</v>
      </c>
      <c r="M9" s="158"/>
      <c r="N9" s="1634">
        <v>717.09</v>
      </c>
      <c r="O9" s="1635"/>
      <c r="P9" s="159"/>
      <c r="Q9" s="1636">
        <v>90.75</v>
      </c>
      <c r="R9" s="1637"/>
      <c r="S9" s="157"/>
      <c r="T9" s="160"/>
      <c r="U9" s="161"/>
      <c r="V9" s="1638"/>
      <c r="W9" s="1638"/>
      <c r="X9" s="645"/>
      <c r="Y9" s="645"/>
      <c r="Z9" s="645"/>
    </row>
    <row r="10" spans="1:26">
      <c r="A10" s="17" t="s">
        <v>34</v>
      </c>
      <c r="B10" s="156">
        <v>42409</v>
      </c>
      <c r="C10" s="34">
        <v>35</v>
      </c>
      <c r="D10" s="34">
        <v>4</v>
      </c>
      <c r="E10" s="34" t="s">
        <v>402</v>
      </c>
      <c r="F10" s="17" t="s">
        <v>64</v>
      </c>
      <c r="G10" s="19" t="s">
        <v>403</v>
      </c>
      <c r="H10" s="19"/>
      <c r="I10" s="19">
        <v>27</v>
      </c>
      <c r="J10" s="158">
        <v>1984</v>
      </c>
      <c r="K10" s="157">
        <v>263.79000000000002</v>
      </c>
      <c r="L10" s="187">
        <v>7</v>
      </c>
      <c r="M10" s="158"/>
      <c r="N10" s="1634">
        <v>387.42</v>
      </c>
      <c r="O10" s="1635"/>
      <c r="P10" s="159"/>
      <c r="Q10" s="1636">
        <v>51.51</v>
      </c>
      <c r="R10" s="1637"/>
      <c r="S10" s="157"/>
      <c r="T10" s="160"/>
      <c r="U10" s="161"/>
      <c r="V10" s="1638"/>
      <c r="W10" s="1638"/>
      <c r="X10" s="645"/>
      <c r="Y10" s="645"/>
      <c r="Z10" s="645"/>
    </row>
    <row r="11" spans="1:26">
      <c r="A11" s="17" t="s">
        <v>34</v>
      </c>
      <c r="B11" s="156">
        <v>42409</v>
      </c>
      <c r="C11" s="34">
        <v>36</v>
      </c>
      <c r="D11" s="34">
        <v>4</v>
      </c>
      <c r="E11" s="34" t="s">
        <v>402</v>
      </c>
      <c r="F11" s="17" t="s">
        <v>64</v>
      </c>
      <c r="G11" s="19" t="s">
        <v>33</v>
      </c>
      <c r="H11" s="19"/>
      <c r="I11" s="19">
        <v>20</v>
      </c>
      <c r="J11" s="158">
        <v>1509.7</v>
      </c>
      <c r="K11" s="157">
        <v>213.63</v>
      </c>
      <c r="L11" s="187">
        <v>9</v>
      </c>
      <c r="M11" s="158"/>
      <c r="N11" s="1634">
        <v>752.14</v>
      </c>
      <c r="O11" s="1635"/>
      <c r="P11" s="159"/>
      <c r="Q11" s="1636">
        <v>106.43</v>
      </c>
      <c r="R11" s="1637"/>
      <c r="S11" s="157"/>
      <c r="T11" s="160"/>
      <c r="U11" s="161"/>
      <c r="V11" s="1638"/>
      <c r="W11" s="1638"/>
      <c r="X11" s="645"/>
      <c r="Y11" s="645"/>
      <c r="Z11" s="645"/>
    </row>
    <row r="12" spans="1:26">
      <c r="A12" s="17" t="s">
        <v>34</v>
      </c>
      <c r="B12" s="156">
        <v>42409</v>
      </c>
      <c r="C12" s="34">
        <v>37</v>
      </c>
      <c r="D12" s="34">
        <v>41</v>
      </c>
      <c r="E12" s="34" t="s">
        <v>402</v>
      </c>
      <c r="F12" s="17" t="s">
        <v>64</v>
      </c>
      <c r="G12" s="19" t="s">
        <v>403</v>
      </c>
      <c r="H12" s="19"/>
      <c r="I12" s="19">
        <v>25</v>
      </c>
      <c r="J12" s="158">
        <v>1494</v>
      </c>
      <c r="K12" s="157">
        <v>198.49</v>
      </c>
      <c r="L12" s="187">
        <v>6</v>
      </c>
      <c r="M12" s="158"/>
      <c r="N12" s="1639">
        <v>474.79</v>
      </c>
      <c r="O12" s="1640"/>
      <c r="P12" s="159"/>
      <c r="Q12" s="1636">
        <v>63.05</v>
      </c>
      <c r="R12" s="1637"/>
      <c r="S12" s="157"/>
      <c r="T12" s="160"/>
      <c r="U12" s="161"/>
      <c r="V12" s="1638"/>
      <c r="W12" s="1638"/>
      <c r="X12" s="645"/>
      <c r="Y12" s="645"/>
      <c r="Z12" s="645"/>
    </row>
    <row r="13" spans="1:26">
      <c r="A13" s="17" t="s">
        <v>34</v>
      </c>
      <c r="B13" s="156">
        <v>42409</v>
      </c>
      <c r="C13" s="34">
        <v>38</v>
      </c>
      <c r="D13" s="34">
        <v>41</v>
      </c>
      <c r="E13" s="34" t="s">
        <v>402</v>
      </c>
      <c r="F13" s="17" t="s">
        <v>64</v>
      </c>
      <c r="G13" s="19" t="s">
        <v>404</v>
      </c>
      <c r="H13" s="19"/>
      <c r="I13" s="19">
        <v>14</v>
      </c>
      <c r="J13" s="158">
        <v>1841.1</v>
      </c>
      <c r="K13" s="157">
        <v>261.43</v>
      </c>
      <c r="L13" s="187">
        <v>4</v>
      </c>
      <c r="M13" s="158"/>
      <c r="N13" s="1639">
        <v>384.44</v>
      </c>
      <c r="O13" s="1640"/>
      <c r="P13" s="159"/>
      <c r="Q13" s="1636">
        <v>54.59</v>
      </c>
      <c r="R13" s="1637"/>
      <c r="S13" s="157"/>
      <c r="T13" s="160"/>
      <c r="U13" s="161"/>
      <c r="V13" s="1638"/>
      <c r="W13" s="1638"/>
      <c r="X13" s="645"/>
      <c r="Y13" s="645"/>
      <c r="Z13" s="645"/>
    </row>
    <row r="14" spans="1:26">
      <c r="A14" s="17" t="s">
        <v>34</v>
      </c>
      <c r="B14" s="156">
        <v>42409</v>
      </c>
      <c r="C14" s="34">
        <v>37</v>
      </c>
      <c r="D14" s="34">
        <v>42</v>
      </c>
      <c r="E14" s="34" t="s">
        <v>402</v>
      </c>
      <c r="F14" s="17" t="s">
        <v>64</v>
      </c>
      <c r="G14" s="19" t="s">
        <v>76</v>
      </c>
      <c r="H14" s="19"/>
      <c r="I14" s="19">
        <v>20</v>
      </c>
      <c r="J14" s="158">
        <v>2101.9</v>
      </c>
      <c r="K14" s="157">
        <v>325.44</v>
      </c>
      <c r="L14" s="187">
        <v>6</v>
      </c>
      <c r="M14" s="158"/>
      <c r="N14" s="1639">
        <v>450.62</v>
      </c>
      <c r="O14" s="1640"/>
      <c r="P14" s="159"/>
      <c r="Q14" s="1636">
        <v>69.77</v>
      </c>
      <c r="R14" s="1637"/>
      <c r="S14" s="157"/>
      <c r="T14" s="160"/>
      <c r="U14" s="161"/>
      <c r="V14" s="1638"/>
      <c r="W14" s="1638"/>
      <c r="X14" s="645"/>
      <c r="Y14" s="645"/>
      <c r="Z14" s="645"/>
    </row>
    <row r="15" spans="1:26" s="771" customFormat="1">
      <c r="A15" s="867" t="s">
        <v>35</v>
      </c>
      <c r="B15" s="880">
        <v>42460</v>
      </c>
      <c r="C15" s="869">
        <v>29</v>
      </c>
      <c r="D15" s="869">
        <v>3</v>
      </c>
      <c r="E15" s="869" t="s">
        <v>402</v>
      </c>
      <c r="F15" s="867" t="s">
        <v>63</v>
      </c>
      <c r="G15" s="870" t="s">
        <v>76</v>
      </c>
      <c r="H15" s="870"/>
      <c r="I15" s="870">
        <v>24</v>
      </c>
      <c r="J15" s="875">
        <v>2872.3</v>
      </c>
      <c r="K15" s="1327">
        <f>J15*M15</f>
        <v>326.9303996669442</v>
      </c>
      <c r="L15" s="874">
        <v>10</v>
      </c>
      <c r="M15" s="1329">
        <f>S15/P15</f>
        <v>0.11382181515403829</v>
      </c>
      <c r="N15" s="875"/>
      <c r="O15" s="876"/>
      <c r="P15" s="876">
        <v>1201</v>
      </c>
      <c r="Q15" s="884"/>
      <c r="R15" s="884"/>
      <c r="S15" s="895">
        <v>136.69999999999999</v>
      </c>
      <c r="T15" s="1333">
        <f>(S15+K15)/100</f>
        <v>4.6363039966694419</v>
      </c>
      <c r="U15" s="1334">
        <f>MIN(4.63,4.48*T15^(-0.25))</f>
        <v>3.0530578810910027</v>
      </c>
      <c r="V15" s="1779">
        <v>2.8818999999999999</v>
      </c>
      <c r="W15" s="1779"/>
      <c r="X15" s="1337">
        <f>V15*S15</f>
        <v>393.95572999999996</v>
      </c>
      <c r="Y15" s="1337">
        <f>V15</f>
        <v>2.8818999999999999</v>
      </c>
      <c r="Z15" s="1337">
        <f>Y15/U15</f>
        <v>0.94393886792940851</v>
      </c>
    </row>
    <row r="16" spans="1:26" s="773" customFormat="1">
      <c r="A16" s="1213" t="s">
        <v>35</v>
      </c>
      <c r="B16" s="1224">
        <v>42460</v>
      </c>
      <c r="C16" s="1214">
        <v>35</v>
      </c>
      <c r="D16" s="1214">
        <v>3</v>
      </c>
      <c r="E16" s="1214" t="s">
        <v>402</v>
      </c>
      <c r="F16" s="1213" t="s">
        <v>64</v>
      </c>
      <c r="G16" s="1215" t="s">
        <v>76</v>
      </c>
      <c r="H16" s="1215"/>
      <c r="I16" s="1215">
        <v>18</v>
      </c>
      <c r="J16" s="1219">
        <v>3641</v>
      </c>
      <c r="K16" s="1328">
        <f t="shared" ref="K16:K26" si="0">J16*M16</f>
        <v>406.92754252623962</v>
      </c>
      <c r="L16" s="1218">
        <v>8</v>
      </c>
      <c r="M16" s="1330">
        <f t="shared" ref="M16:M26" si="1">S16/P16</f>
        <v>0.11176257690915672</v>
      </c>
      <c r="N16" s="1215"/>
      <c r="O16" s="1204"/>
      <c r="P16" s="1220">
        <v>1381.5</v>
      </c>
      <c r="Q16" s="1215"/>
      <c r="R16" s="1215"/>
      <c r="S16" s="1246">
        <v>154.4</v>
      </c>
      <c r="T16" s="1335">
        <f t="shared" ref="T16:T26" si="2">(S16+K16)/100</f>
        <v>5.6132754252623966</v>
      </c>
      <c r="U16" s="1336">
        <f t="shared" ref="U16:U26" si="3">MIN(4.63,4.48*T16^(-0.25))</f>
        <v>2.9105423705384688</v>
      </c>
      <c r="V16" s="1780">
        <v>3.6133000000000002</v>
      </c>
      <c r="W16" s="1780"/>
      <c r="X16" s="1338">
        <f t="shared" ref="X16:X26" si="4">V16*S16</f>
        <v>557.89352000000008</v>
      </c>
      <c r="Y16" s="1338">
        <f t="shared" ref="Y16:Y26" si="5">V16</f>
        <v>3.6133000000000002</v>
      </c>
      <c r="Z16" s="1338">
        <f t="shared" ref="Z16:Z26" si="6">Y16/U16</f>
        <v>1.2414524648653429</v>
      </c>
    </row>
    <row r="17" spans="1:26" s="771" customFormat="1">
      <c r="A17" s="867" t="s">
        <v>35</v>
      </c>
      <c r="B17" s="880">
        <v>42460</v>
      </c>
      <c r="C17" s="869">
        <v>31</v>
      </c>
      <c r="D17" s="869">
        <v>42</v>
      </c>
      <c r="E17" s="869" t="s">
        <v>402</v>
      </c>
      <c r="F17" s="867" t="s">
        <v>63</v>
      </c>
      <c r="G17" s="870" t="s">
        <v>76</v>
      </c>
      <c r="H17" s="870"/>
      <c r="I17" s="870">
        <v>31</v>
      </c>
      <c r="J17" s="875">
        <v>3064.5</v>
      </c>
      <c r="K17" s="1327">
        <f t="shared" si="0"/>
        <v>825.0341521869384</v>
      </c>
      <c r="L17" s="874">
        <v>10</v>
      </c>
      <c r="M17" s="1329">
        <f t="shared" si="1"/>
        <v>0.26922308767725189</v>
      </c>
      <c r="N17" s="870"/>
      <c r="O17" s="870"/>
      <c r="P17" s="876">
        <v>500.7</v>
      </c>
      <c r="Q17" s="870"/>
      <c r="R17" s="870"/>
      <c r="S17" s="895">
        <v>134.80000000000001</v>
      </c>
      <c r="T17" s="1333">
        <f t="shared" si="2"/>
        <v>9.5983415218693828</v>
      </c>
      <c r="U17" s="1334">
        <f t="shared" si="3"/>
        <v>2.5452413157975164</v>
      </c>
      <c r="V17" s="1779">
        <v>3.6109</v>
      </c>
      <c r="W17" s="1779"/>
      <c r="X17" s="1337">
        <f t="shared" si="4"/>
        <v>486.74932000000007</v>
      </c>
      <c r="Y17" s="1337">
        <f t="shared" si="5"/>
        <v>3.6109</v>
      </c>
      <c r="Z17" s="1337">
        <f t="shared" si="6"/>
        <v>1.4186866988164437</v>
      </c>
    </row>
    <row r="18" spans="1:26" s="773" customFormat="1">
      <c r="A18" s="1213" t="s">
        <v>35</v>
      </c>
      <c r="B18" s="1224">
        <v>42460</v>
      </c>
      <c r="C18" s="1214">
        <v>37</v>
      </c>
      <c r="D18" s="1214">
        <v>42</v>
      </c>
      <c r="E18" s="1214" t="s">
        <v>402</v>
      </c>
      <c r="F18" s="1213" t="s">
        <v>64</v>
      </c>
      <c r="G18" s="1215" t="s">
        <v>76</v>
      </c>
      <c r="H18" s="1215"/>
      <c r="I18" s="1215">
        <v>26</v>
      </c>
      <c r="J18" s="1219">
        <v>2962</v>
      </c>
      <c r="K18" s="1328">
        <f t="shared" si="0"/>
        <v>364.18209629251947</v>
      </c>
      <c r="L18" s="1218">
        <v>14</v>
      </c>
      <c r="M18" s="1330">
        <f t="shared" si="1"/>
        <v>0.1229514167091558</v>
      </c>
      <c r="N18" s="1215"/>
      <c r="O18" s="1215"/>
      <c r="P18" s="1220">
        <v>1372.9</v>
      </c>
      <c r="Q18" s="1215"/>
      <c r="R18" s="1215"/>
      <c r="S18" s="1246">
        <v>168.8</v>
      </c>
      <c r="T18" s="1335">
        <f t="shared" si="2"/>
        <v>5.3298209629251945</v>
      </c>
      <c r="U18" s="1336">
        <f t="shared" si="3"/>
        <v>2.9484913555309804</v>
      </c>
      <c r="V18" s="1780">
        <v>2.8149999999999999</v>
      </c>
      <c r="W18" s="1780"/>
      <c r="X18" s="1338">
        <f t="shared" si="4"/>
        <v>475.17200000000003</v>
      </c>
      <c r="Y18" s="1338">
        <f t="shared" si="5"/>
        <v>2.8149999999999999</v>
      </c>
      <c r="Z18" s="1338">
        <f t="shared" si="6"/>
        <v>0.95472553945916505</v>
      </c>
    </row>
    <row r="19" spans="1:26" s="771" customFormat="1">
      <c r="A19" s="867" t="s">
        <v>35</v>
      </c>
      <c r="B19" s="880">
        <v>42460</v>
      </c>
      <c r="C19" s="869">
        <v>29</v>
      </c>
      <c r="D19" s="869">
        <v>4</v>
      </c>
      <c r="E19" s="869" t="s">
        <v>402</v>
      </c>
      <c r="F19" s="867" t="s">
        <v>63</v>
      </c>
      <c r="G19" s="870" t="s">
        <v>403</v>
      </c>
      <c r="H19" s="870"/>
      <c r="I19" s="870">
        <v>20</v>
      </c>
      <c r="J19" s="875">
        <v>2085.5</v>
      </c>
      <c r="K19" s="1327">
        <f t="shared" si="0"/>
        <v>280.13432477812427</v>
      </c>
      <c r="L19" s="874">
        <v>10</v>
      </c>
      <c r="M19" s="1329">
        <f t="shared" si="1"/>
        <v>0.13432477812425042</v>
      </c>
      <c r="N19" s="870"/>
      <c r="O19" s="870"/>
      <c r="P19" s="876">
        <v>833.8</v>
      </c>
      <c r="Q19" s="870"/>
      <c r="R19" s="870"/>
      <c r="S19" s="895">
        <v>112</v>
      </c>
      <c r="T19" s="1333">
        <f t="shared" si="2"/>
        <v>3.9213432477812429</v>
      </c>
      <c r="U19" s="1334">
        <f t="shared" si="3"/>
        <v>3.1836058877178668</v>
      </c>
      <c r="V19" s="1779">
        <v>2.9971000000000001</v>
      </c>
      <c r="W19" s="1779"/>
      <c r="X19" s="1337">
        <f t="shared" si="4"/>
        <v>335.67520000000002</v>
      </c>
      <c r="Y19" s="1337">
        <f t="shared" si="5"/>
        <v>2.9971000000000001</v>
      </c>
      <c r="Z19" s="1337">
        <f t="shared" si="6"/>
        <v>0.94141677886782604</v>
      </c>
    </row>
    <row r="20" spans="1:26" s="773" customFormat="1">
      <c r="A20" s="1213" t="s">
        <v>35</v>
      </c>
      <c r="B20" s="1224">
        <v>42460</v>
      </c>
      <c r="C20" s="1214">
        <v>35</v>
      </c>
      <c r="D20" s="1214">
        <v>4</v>
      </c>
      <c r="E20" s="1214" t="s">
        <v>402</v>
      </c>
      <c r="F20" s="1213" t="s">
        <v>64</v>
      </c>
      <c r="G20" s="1215" t="s">
        <v>403</v>
      </c>
      <c r="H20" s="1215"/>
      <c r="I20" s="1215">
        <v>25</v>
      </c>
      <c r="J20" s="1219">
        <v>3269.1</v>
      </c>
      <c r="K20" s="1328">
        <f t="shared" si="0"/>
        <v>409.52864065907443</v>
      </c>
      <c r="L20" s="1218">
        <v>10</v>
      </c>
      <c r="M20" s="1330">
        <f t="shared" si="1"/>
        <v>0.12527259510540345</v>
      </c>
      <c r="N20" s="1215"/>
      <c r="O20" s="1215"/>
      <c r="P20" s="1220">
        <v>1238.0999999999999</v>
      </c>
      <c r="Q20" s="1215"/>
      <c r="R20" s="1215"/>
      <c r="S20" s="1246">
        <v>155.1</v>
      </c>
      <c r="T20" s="1335">
        <f t="shared" si="2"/>
        <v>5.6462864065907441</v>
      </c>
      <c r="U20" s="1336">
        <f t="shared" si="3"/>
        <v>2.9062788943743714</v>
      </c>
      <c r="V20" s="1780">
        <v>3.4228000000000001</v>
      </c>
      <c r="W20" s="1780"/>
      <c r="X20" s="1338">
        <f t="shared" si="4"/>
        <v>530.87627999999995</v>
      </c>
      <c r="Y20" s="1338">
        <f t="shared" si="5"/>
        <v>3.4228000000000001</v>
      </c>
      <c r="Z20" s="1338">
        <f t="shared" si="6"/>
        <v>1.1777259252804158</v>
      </c>
    </row>
    <row r="21" spans="1:26" s="771" customFormat="1">
      <c r="A21" s="867" t="s">
        <v>35</v>
      </c>
      <c r="B21" s="880">
        <v>42460</v>
      </c>
      <c r="C21" s="869">
        <v>31</v>
      </c>
      <c r="D21" s="869">
        <v>41</v>
      </c>
      <c r="E21" s="869" t="s">
        <v>402</v>
      </c>
      <c r="F21" s="867" t="s">
        <v>63</v>
      </c>
      <c r="G21" s="870" t="s">
        <v>403</v>
      </c>
      <c r="H21" s="870"/>
      <c r="I21" s="870">
        <v>31</v>
      </c>
      <c r="J21" s="875">
        <v>2859.8</v>
      </c>
      <c r="K21" s="1327">
        <f t="shared" si="0"/>
        <v>351.54196380768821</v>
      </c>
      <c r="L21" s="874">
        <v>11</v>
      </c>
      <c r="M21" s="1329">
        <f t="shared" si="1"/>
        <v>0.12292536674162116</v>
      </c>
      <c r="N21" s="870"/>
      <c r="O21" s="870"/>
      <c r="P21" s="876">
        <v>933.9</v>
      </c>
      <c r="Q21" s="870"/>
      <c r="R21" s="870"/>
      <c r="S21" s="895">
        <v>114.8</v>
      </c>
      <c r="T21" s="1333">
        <f t="shared" si="2"/>
        <v>4.6634196380768822</v>
      </c>
      <c r="U21" s="1334">
        <f t="shared" si="3"/>
        <v>3.0486101391987224</v>
      </c>
      <c r="V21" s="1779">
        <v>3.2071999999999998</v>
      </c>
      <c r="W21" s="1779"/>
      <c r="X21" s="1337">
        <f t="shared" si="4"/>
        <v>368.18655999999999</v>
      </c>
      <c r="Y21" s="1337">
        <f t="shared" si="5"/>
        <v>3.2071999999999998</v>
      </c>
      <c r="Z21" s="1337">
        <f t="shared" si="6"/>
        <v>1.0520203809474176</v>
      </c>
    </row>
    <row r="22" spans="1:26" s="773" customFormat="1">
      <c r="A22" s="1213" t="s">
        <v>35</v>
      </c>
      <c r="B22" s="1224">
        <v>42460</v>
      </c>
      <c r="C22" s="1214">
        <v>37</v>
      </c>
      <c r="D22" s="1214">
        <v>41</v>
      </c>
      <c r="E22" s="1214" t="s">
        <v>402</v>
      </c>
      <c r="F22" s="1213" t="s">
        <v>64</v>
      </c>
      <c r="G22" s="1215" t="s">
        <v>403</v>
      </c>
      <c r="H22" s="1215"/>
      <c r="I22" s="1215">
        <v>23</v>
      </c>
      <c r="J22" s="1219">
        <v>2529</v>
      </c>
      <c r="K22" s="1328">
        <f t="shared" si="0"/>
        <v>342.19300485065105</v>
      </c>
      <c r="L22" s="1218">
        <v>7</v>
      </c>
      <c r="M22" s="1330">
        <f t="shared" si="1"/>
        <v>0.13530763339290275</v>
      </c>
      <c r="N22" s="1215"/>
      <c r="O22" s="1215"/>
      <c r="P22" s="1220">
        <v>783.4</v>
      </c>
      <c r="Q22" s="1215"/>
      <c r="R22" s="1215"/>
      <c r="S22" s="1246">
        <v>106</v>
      </c>
      <c r="T22" s="1335">
        <f t="shared" si="2"/>
        <v>4.4819300485065101</v>
      </c>
      <c r="U22" s="1336">
        <f t="shared" si="3"/>
        <v>3.0790145805515277</v>
      </c>
      <c r="V22" s="1780">
        <v>2.8858999999999999</v>
      </c>
      <c r="W22" s="1780"/>
      <c r="X22" s="1338">
        <f t="shared" si="4"/>
        <v>305.90539999999999</v>
      </c>
      <c r="Y22" s="1338">
        <f t="shared" si="5"/>
        <v>2.8858999999999999</v>
      </c>
      <c r="Z22" s="1338">
        <f t="shared" si="6"/>
        <v>0.93728039426272025</v>
      </c>
    </row>
    <row r="23" spans="1:26" s="771" customFormat="1">
      <c r="A23" s="867" t="s">
        <v>35</v>
      </c>
      <c r="B23" s="880">
        <v>42460</v>
      </c>
      <c r="C23" s="869">
        <v>30</v>
      </c>
      <c r="D23" s="869">
        <v>4</v>
      </c>
      <c r="E23" s="869" t="s">
        <v>402</v>
      </c>
      <c r="F23" s="867" t="s">
        <v>63</v>
      </c>
      <c r="G23" s="870" t="s">
        <v>33</v>
      </c>
      <c r="H23" s="870"/>
      <c r="I23" s="870">
        <v>25</v>
      </c>
      <c r="J23" s="875">
        <v>2785.2</v>
      </c>
      <c r="K23" s="1327">
        <f t="shared" si="0"/>
        <v>403.63574190922043</v>
      </c>
      <c r="L23" s="874">
        <v>11</v>
      </c>
      <c r="M23" s="1329">
        <f t="shared" si="1"/>
        <v>0.14492163647465908</v>
      </c>
      <c r="N23" s="870"/>
      <c r="O23" s="870"/>
      <c r="P23" s="876">
        <v>982.6</v>
      </c>
      <c r="Q23" s="870"/>
      <c r="R23" s="870"/>
      <c r="S23" s="895">
        <v>142.4</v>
      </c>
      <c r="T23" s="1333">
        <f t="shared" si="2"/>
        <v>5.4603574190922037</v>
      </c>
      <c r="U23" s="1334">
        <f t="shared" si="3"/>
        <v>2.9307093250198331</v>
      </c>
      <c r="V23" s="1779">
        <v>2.4396</v>
      </c>
      <c r="W23" s="1779"/>
      <c r="X23" s="1337">
        <f t="shared" si="4"/>
        <v>347.39904000000001</v>
      </c>
      <c r="Y23" s="1337">
        <f t="shared" si="5"/>
        <v>2.4396</v>
      </c>
      <c r="Z23" s="1337">
        <f t="shared" si="6"/>
        <v>0.83242646385051866</v>
      </c>
    </row>
    <row r="24" spans="1:26" s="773" customFormat="1">
      <c r="A24" s="1213" t="s">
        <v>35</v>
      </c>
      <c r="B24" s="1224">
        <v>42460</v>
      </c>
      <c r="C24" s="1214">
        <v>36</v>
      </c>
      <c r="D24" s="1214">
        <v>4</v>
      </c>
      <c r="E24" s="1214" t="s">
        <v>402</v>
      </c>
      <c r="F24" s="1213" t="s">
        <v>64</v>
      </c>
      <c r="G24" s="1215" t="s">
        <v>33</v>
      </c>
      <c r="H24" s="1215"/>
      <c r="I24" s="1215">
        <v>19</v>
      </c>
      <c r="J24" s="1219">
        <v>3377</v>
      </c>
      <c r="K24" s="1328">
        <f t="shared" si="0"/>
        <v>479.56484018264842</v>
      </c>
      <c r="L24" s="1218">
        <v>6</v>
      </c>
      <c r="M24" s="1330">
        <f t="shared" si="1"/>
        <v>0.14200913242009133</v>
      </c>
      <c r="N24" s="1215"/>
      <c r="O24" s="1215"/>
      <c r="P24" s="1220">
        <v>1095</v>
      </c>
      <c r="Q24" s="1215"/>
      <c r="R24" s="1215"/>
      <c r="S24" s="1246">
        <v>155.5</v>
      </c>
      <c r="T24" s="1335">
        <f t="shared" si="2"/>
        <v>6.3506484018264837</v>
      </c>
      <c r="U24" s="1336">
        <f t="shared" si="3"/>
        <v>2.8221071348680127</v>
      </c>
      <c r="V24" s="1780">
        <v>2.7924000000000002</v>
      </c>
      <c r="W24" s="1780"/>
      <c r="X24" s="1338">
        <f t="shared" si="4"/>
        <v>434.21820000000002</v>
      </c>
      <c r="Y24" s="1338">
        <f t="shared" si="5"/>
        <v>2.7924000000000002</v>
      </c>
      <c r="Z24" s="1338">
        <f t="shared" si="6"/>
        <v>0.98947342058670573</v>
      </c>
    </row>
    <row r="25" spans="1:26" s="771" customFormat="1">
      <c r="A25" s="867" t="s">
        <v>35</v>
      </c>
      <c r="B25" s="880">
        <v>42460</v>
      </c>
      <c r="C25" s="869">
        <v>32</v>
      </c>
      <c r="D25" s="869">
        <v>41</v>
      </c>
      <c r="E25" s="869" t="s">
        <v>402</v>
      </c>
      <c r="F25" s="867" t="s">
        <v>63</v>
      </c>
      <c r="G25" s="870" t="s">
        <v>33</v>
      </c>
      <c r="H25" s="870"/>
      <c r="I25" s="870">
        <v>30</v>
      </c>
      <c r="J25" s="875">
        <v>3593</v>
      </c>
      <c r="K25" s="1327">
        <f t="shared" si="0"/>
        <v>501.9861929130056</v>
      </c>
      <c r="L25" s="874">
        <v>8</v>
      </c>
      <c r="M25" s="1329">
        <f t="shared" si="1"/>
        <v>0.1397122718934054</v>
      </c>
      <c r="N25" s="870"/>
      <c r="O25" s="870"/>
      <c r="P25" s="876">
        <v>1035.7</v>
      </c>
      <c r="Q25" s="870"/>
      <c r="R25" s="870"/>
      <c r="S25" s="895">
        <v>144.69999999999999</v>
      </c>
      <c r="T25" s="1333">
        <f t="shared" si="2"/>
        <v>6.4668619291300562</v>
      </c>
      <c r="U25" s="1334">
        <f t="shared" si="3"/>
        <v>2.809342031352275</v>
      </c>
      <c r="V25" s="1779">
        <v>2.9043999999999999</v>
      </c>
      <c r="W25" s="1779"/>
      <c r="X25" s="1337">
        <f t="shared" si="4"/>
        <v>420.26667999999995</v>
      </c>
      <c r="Y25" s="1337">
        <f t="shared" si="5"/>
        <v>2.9043999999999999</v>
      </c>
      <c r="Z25" s="1337">
        <f t="shared" si="6"/>
        <v>1.0338363814682858</v>
      </c>
    </row>
    <row r="26" spans="1:26" s="773" customFormat="1">
      <c r="A26" s="1213" t="s">
        <v>35</v>
      </c>
      <c r="B26" s="1224">
        <v>42460</v>
      </c>
      <c r="C26" s="1214">
        <v>38</v>
      </c>
      <c r="D26" s="1214">
        <v>41</v>
      </c>
      <c r="E26" s="1214" t="s">
        <v>402</v>
      </c>
      <c r="F26" s="1213" t="s">
        <v>64</v>
      </c>
      <c r="G26" s="1215" t="s">
        <v>33</v>
      </c>
      <c r="H26" s="1215"/>
      <c r="I26" s="1215">
        <v>31</v>
      </c>
      <c r="J26" s="1219">
        <v>3127.8</v>
      </c>
      <c r="K26" s="1328">
        <f t="shared" si="0"/>
        <v>499.48843388344858</v>
      </c>
      <c r="L26" s="1218">
        <v>4</v>
      </c>
      <c r="M26" s="1330">
        <f t="shared" si="1"/>
        <v>0.15969321372320755</v>
      </c>
      <c r="N26" s="1215"/>
      <c r="O26" s="1215"/>
      <c r="P26" s="1220">
        <v>730.15</v>
      </c>
      <c r="Q26" s="1215"/>
      <c r="R26" s="1215"/>
      <c r="S26" s="1246">
        <v>116.6</v>
      </c>
      <c r="T26" s="1335">
        <f t="shared" si="2"/>
        <v>6.1608843388344861</v>
      </c>
      <c r="U26" s="1336">
        <f t="shared" si="3"/>
        <v>2.8435917796436021</v>
      </c>
      <c r="V26" s="1780">
        <v>2.3129</v>
      </c>
      <c r="W26" s="1780"/>
      <c r="X26" s="1338">
        <f t="shared" si="4"/>
        <v>269.68413999999996</v>
      </c>
      <c r="Y26" s="1338">
        <f t="shared" si="5"/>
        <v>2.3129</v>
      </c>
      <c r="Z26" s="1338">
        <f t="shared" si="6"/>
        <v>0.81337272690030227</v>
      </c>
    </row>
    <row r="27" spans="1:26">
      <c r="A27" s="17"/>
      <c r="B27" s="156"/>
      <c r="C27" s="34"/>
      <c r="D27" s="34"/>
      <c r="E27" s="34"/>
      <c r="F27" s="17"/>
      <c r="G27" s="19"/>
      <c r="H27" s="19"/>
      <c r="I27" s="19"/>
      <c r="J27" s="158"/>
      <c r="K27" s="157"/>
      <c r="L27" s="187"/>
      <c r="M27" s="158"/>
      <c r="N27" s="19"/>
      <c r="O27" s="19"/>
      <c r="P27" s="159"/>
      <c r="Q27" s="19"/>
      <c r="R27" s="19"/>
      <c r="S27" s="157"/>
      <c r="T27" s="160"/>
      <c r="U27" s="161"/>
      <c r="V27" s="645"/>
      <c r="W27" s="645"/>
      <c r="X27" s="645"/>
      <c r="Y27" s="645"/>
      <c r="Z27" s="645"/>
    </row>
    <row r="28" spans="1:26">
      <c r="A28" s="17"/>
      <c r="B28" s="156"/>
      <c r="C28" s="34"/>
      <c r="D28" s="34"/>
      <c r="E28" s="34"/>
      <c r="F28" s="17"/>
      <c r="G28" s="19"/>
      <c r="H28" s="19"/>
      <c r="I28" s="19"/>
      <c r="J28" s="158"/>
      <c r="K28" s="157"/>
      <c r="L28" s="187"/>
      <c r="M28" s="158"/>
      <c r="N28" s="19"/>
      <c r="O28" s="19"/>
      <c r="P28" s="159"/>
      <c r="Q28" s="19"/>
      <c r="R28" s="19"/>
      <c r="S28" s="157"/>
      <c r="T28" s="160"/>
      <c r="U28" s="161"/>
      <c r="V28" s="645"/>
      <c r="W28" s="645"/>
      <c r="X28" s="645"/>
      <c r="Y28" s="645"/>
      <c r="Z28" s="645"/>
    </row>
    <row r="29" spans="1:26">
      <c r="A29" s="17"/>
      <c r="B29" s="156"/>
      <c r="C29" s="34"/>
      <c r="D29" s="34"/>
      <c r="E29" s="34"/>
      <c r="F29" s="17"/>
      <c r="G29" s="19"/>
      <c r="H29" s="19"/>
      <c r="I29" s="19"/>
      <c r="J29" s="158"/>
      <c r="K29" s="157"/>
      <c r="L29" s="187"/>
      <c r="M29" s="158"/>
      <c r="N29" s="19"/>
      <c r="O29" s="19"/>
      <c r="P29" s="159"/>
      <c r="Q29" s="19"/>
      <c r="R29" s="19"/>
      <c r="S29" s="157"/>
      <c r="T29" s="160"/>
      <c r="U29" s="161"/>
      <c r="V29" s="193"/>
      <c r="W29" s="193"/>
      <c r="X29" s="645"/>
      <c r="Y29" s="645"/>
      <c r="Z29" s="645"/>
    </row>
    <row r="30" spans="1:26">
      <c r="A30" s="17"/>
      <c r="B30" s="156"/>
      <c r="C30" s="34"/>
      <c r="D30" s="34"/>
      <c r="E30" s="34"/>
      <c r="F30" s="17"/>
      <c r="G30" s="19"/>
      <c r="H30" s="19"/>
      <c r="I30" s="19"/>
      <c r="J30" s="158"/>
      <c r="K30" s="157"/>
      <c r="L30" s="187"/>
      <c r="M30" s="158"/>
      <c r="N30" s="19"/>
      <c r="O30" s="19"/>
      <c r="P30" s="159"/>
      <c r="Q30" s="19"/>
      <c r="R30" s="19"/>
      <c r="S30" s="157"/>
      <c r="T30" s="160"/>
      <c r="U30" s="161"/>
      <c r="V30" s="645"/>
      <c r="W30" s="645"/>
      <c r="X30" s="645"/>
      <c r="Y30" s="645"/>
      <c r="Z30" s="645"/>
    </row>
    <row r="31" spans="1:26">
      <c r="Q31" s="54"/>
      <c r="R31" s="54"/>
    </row>
    <row r="32" spans="1:26">
      <c r="A32" s="55" t="s">
        <v>39</v>
      </c>
      <c r="Q32" s="54"/>
      <c r="R32" s="54"/>
    </row>
    <row r="33" spans="1:19">
      <c r="A33" s="56" t="s">
        <v>40</v>
      </c>
      <c r="M33" s="1727" t="s">
        <v>161</v>
      </c>
      <c r="N33" s="1727"/>
      <c r="O33" s="1727"/>
      <c r="P33" s="1727"/>
      <c r="Q33" s="54"/>
      <c r="R33" s="54"/>
    </row>
    <row r="34" spans="1:19">
      <c r="A34" s="56" t="s">
        <v>41</v>
      </c>
      <c r="M34" s="1727"/>
      <c r="N34" s="1727"/>
      <c r="O34" s="1727"/>
      <c r="P34" s="1727"/>
    </row>
    <row r="35" spans="1:19">
      <c r="A35" s="56" t="s">
        <v>42</v>
      </c>
      <c r="Q35" s="750" t="s">
        <v>390</v>
      </c>
      <c r="R35" s="751"/>
      <c r="S35" s="751"/>
    </row>
    <row r="36" spans="1:19">
      <c r="A36" s="55" t="s">
        <v>87</v>
      </c>
      <c r="Q36" s="36"/>
      <c r="R36" s="752" t="s">
        <v>63</v>
      </c>
      <c r="S36" s="753" t="s">
        <v>64</v>
      </c>
    </row>
    <row r="37" spans="1:19">
      <c r="A37" s="55" t="s">
        <v>44</v>
      </c>
      <c r="Q37" s="36" t="s">
        <v>391</v>
      </c>
      <c r="R37" s="774">
        <f>AVERAGE(Z15,Z17,Z19,Z21,Z23,Z25)</f>
        <v>1.0370542619799836</v>
      </c>
      <c r="S37" s="774">
        <f>AVERAGE(Z16,Z18,Z20,Z22,Z24,Z26)</f>
        <v>1.0190050785591087</v>
      </c>
    </row>
    <row r="38" spans="1:19">
      <c r="A38" s="55" t="s">
        <v>45</v>
      </c>
      <c r="Q38" s="36" t="s">
        <v>25</v>
      </c>
      <c r="R38" s="774">
        <f>AVERAGE(X15,X17,X19,X21,X23,X25)</f>
        <v>392.03875500000004</v>
      </c>
      <c r="S38" s="774">
        <f>AVERAGE(X16,X18,X20,X22,X24,X26)</f>
        <v>428.95825666666673</v>
      </c>
    </row>
    <row r="39" spans="1:19">
      <c r="A39" s="56" t="s">
        <v>46</v>
      </c>
      <c r="Q39" s="36" t="s">
        <v>392</v>
      </c>
      <c r="R39" s="774">
        <f>AVERAGE(Y15,Y17,Y19,Y21,Y23,Y25)</f>
        <v>3.00685</v>
      </c>
      <c r="S39" s="774">
        <f>AVERAGE(Y16,Y18,Y20,Y22,Y24,Y26)</f>
        <v>2.9737166666666668</v>
      </c>
    </row>
    <row r="40" spans="1:19">
      <c r="A40" s="56" t="s">
        <v>47</v>
      </c>
      <c r="Q40" s="36" t="s">
        <v>393</v>
      </c>
      <c r="R40" s="774">
        <f>AVERAGE(T15,T17,T19,T21,T23,T25)</f>
        <v>5.7911046254365353</v>
      </c>
      <c r="S40" s="774">
        <f>AVERAGE(T16,T18,T20,T22,T24,T26)</f>
        <v>5.597140930657635</v>
      </c>
    </row>
    <row r="41" spans="1:19">
      <c r="A41" s="56" t="s">
        <v>48</v>
      </c>
    </row>
    <row r="42" spans="1:19">
      <c r="A42" s="56" t="s">
        <v>49</v>
      </c>
    </row>
    <row r="44" spans="1:19">
      <c r="A44" s="1" t="s">
        <v>50</v>
      </c>
    </row>
  </sheetData>
  <mergeCells count="53">
    <mergeCell ref="V26:W26"/>
    <mergeCell ref="V21:W21"/>
    <mergeCell ref="V22:W22"/>
    <mergeCell ref="V23:W23"/>
    <mergeCell ref="V24:W24"/>
    <mergeCell ref="V25:W25"/>
    <mergeCell ref="I1:K1"/>
    <mergeCell ref="L1:S1"/>
    <mergeCell ref="T1:U1"/>
    <mergeCell ref="V1:X1"/>
    <mergeCell ref="N3:O3"/>
    <mergeCell ref="Q3:R3"/>
    <mergeCell ref="V3:W3"/>
    <mergeCell ref="N4:O4"/>
    <mergeCell ref="Q4:R4"/>
    <mergeCell ref="V4:W4"/>
    <mergeCell ref="N5:O5"/>
    <mergeCell ref="Q5:R5"/>
    <mergeCell ref="V5:W5"/>
    <mergeCell ref="N6:O6"/>
    <mergeCell ref="Q6:R6"/>
    <mergeCell ref="V6:W6"/>
    <mergeCell ref="N7:O7"/>
    <mergeCell ref="Q7:R7"/>
    <mergeCell ref="V7:W7"/>
    <mergeCell ref="N8:O8"/>
    <mergeCell ref="Q8:R8"/>
    <mergeCell ref="V8:W8"/>
    <mergeCell ref="N9:O9"/>
    <mergeCell ref="Q9:R9"/>
    <mergeCell ref="V9:W9"/>
    <mergeCell ref="N10:O10"/>
    <mergeCell ref="Q10:R10"/>
    <mergeCell ref="V10:W10"/>
    <mergeCell ref="N11:O11"/>
    <mergeCell ref="Q11:R11"/>
    <mergeCell ref="V11:W11"/>
    <mergeCell ref="N14:O14"/>
    <mergeCell ref="Q14:R14"/>
    <mergeCell ref="V14:W14"/>
    <mergeCell ref="M33:P34"/>
    <mergeCell ref="N12:O12"/>
    <mergeCell ref="Q12:R12"/>
    <mergeCell ref="V12:W12"/>
    <mergeCell ref="N13:O13"/>
    <mergeCell ref="Q13:R13"/>
    <mergeCell ref="V13:W13"/>
    <mergeCell ref="V15:W15"/>
    <mergeCell ref="V16:W16"/>
    <mergeCell ref="V17:W17"/>
    <mergeCell ref="V18:W18"/>
    <mergeCell ref="V19:W19"/>
    <mergeCell ref="V20:W20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Y30"/>
  <sheetViews>
    <sheetView topLeftCell="C1" zoomScaleNormal="100" workbookViewId="0">
      <selection activeCell="R18" sqref="R18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35</v>
      </c>
      <c r="B3" s="1069"/>
      <c r="C3" s="1070"/>
      <c r="D3" s="1070"/>
      <c r="E3" s="1071" t="s">
        <v>79</v>
      </c>
      <c r="F3" s="1072" t="s">
        <v>81</v>
      </c>
      <c r="G3" s="1073" t="s">
        <v>140</v>
      </c>
      <c r="H3" s="1074">
        <v>32</v>
      </c>
      <c r="I3" s="1074">
        <v>3450</v>
      </c>
      <c r="J3" s="1075"/>
      <c r="K3" s="1074">
        <v>8</v>
      </c>
      <c r="L3" s="1499">
        <f>(R3/O3)</f>
        <v>9.641255605381166E-2</v>
      </c>
      <c r="M3" s="1077"/>
      <c r="N3" s="1075"/>
      <c r="O3" s="1074">
        <v>892</v>
      </c>
      <c r="P3" s="1077"/>
      <c r="Q3" s="1075"/>
      <c r="R3" s="1074">
        <v>86</v>
      </c>
      <c r="S3" s="1502">
        <f>(R3+(I3*L3))/100</f>
        <v>4.1862331838565021</v>
      </c>
      <c r="T3" s="1502">
        <f>MIN(4.63,4.48*S3^(-0.25))</f>
        <v>3.1320029323909515</v>
      </c>
      <c r="U3" s="1077"/>
      <c r="V3" s="1075"/>
      <c r="W3" s="1506">
        <f>X3*R3</f>
        <v>323.96199999999999</v>
      </c>
      <c r="X3" s="1073">
        <v>3.7669999999999999</v>
      </c>
      <c r="Y3" s="862">
        <v>1.2027447232063397</v>
      </c>
    </row>
    <row r="4" spans="1:25" s="866" customFormat="1">
      <c r="A4" s="856" t="s">
        <v>35</v>
      </c>
      <c r="B4" s="961"/>
      <c r="C4" s="960"/>
      <c r="D4" s="960"/>
      <c r="E4" s="1071" t="s">
        <v>79</v>
      </c>
      <c r="F4" s="1072" t="s">
        <v>237</v>
      </c>
      <c r="G4" s="1073" t="s">
        <v>140</v>
      </c>
      <c r="H4" s="1074">
        <v>29</v>
      </c>
      <c r="I4" s="1074">
        <v>3296</v>
      </c>
      <c r="J4" s="1080"/>
      <c r="K4" s="1074">
        <v>8</v>
      </c>
      <c r="L4" s="1500">
        <f t="shared" ref="L4:L12" si="0">(R4/O4)</f>
        <v>0.10144927536231885</v>
      </c>
      <c r="M4" s="1082"/>
      <c r="N4" s="1080"/>
      <c r="O4" s="1074">
        <v>1104</v>
      </c>
      <c r="P4" s="1082"/>
      <c r="Q4" s="1080"/>
      <c r="R4" s="1074">
        <v>112</v>
      </c>
      <c r="S4" s="1503">
        <f t="shared" ref="S4:S12" si="1">(R4+(I4*L4))/100</f>
        <v>4.4637681159420293</v>
      </c>
      <c r="T4" s="1503">
        <f t="shared" ref="T4:T12" si="2">MIN(4.63,4.48*S4^(-0.25))</f>
        <v>3.0821417442387133</v>
      </c>
      <c r="U4" s="1082"/>
      <c r="V4" s="1080"/>
      <c r="W4" s="1318">
        <f t="shared" ref="W4:W12" si="3">X4*R4</f>
        <v>386.96000000000004</v>
      </c>
      <c r="X4" s="1073">
        <v>3.4550000000000001</v>
      </c>
      <c r="Y4" s="862">
        <v>1.1209737535459721</v>
      </c>
    </row>
    <row r="5" spans="1:25" s="866" customFormat="1">
      <c r="A5" s="856" t="s">
        <v>35</v>
      </c>
      <c r="B5" s="961"/>
      <c r="C5" s="960"/>
      <c r="D5" s="960"/>
      <c r="E5" s="1071" t="s">
        <v>79</v>
      </c>
      <c r="F5" s="1072" t="s">
        <v>238</v>
      </c>
      <c r="G5" s="1073" t="s">
        <v>140</v>
      </c>
      <c r="H5" s="1074">
        <v>27</v>
      </c>
      <c r="I5" s="1074">
        <v>4262</v>
      </c>
      <c r="J5" s="1080"/>
      <c r="K5" s="1074">
        <v>7</v>
      </c>
      <c r="L5" s="1501">
        <f t="shared" si="0"/>
        <v>9.1292134831460675E-2</v>
      </c>
      <c r="M5" s="1082"/>
      <c r="N5" s="1080"/>
      <c r="O5" s="1074">
        <v>1424</v>
      </c>
      <c r="P5" s="1082"/>
      <c r="Q5" s="1080"/>
      <c r="R5" s="1074">
        <v>130</v>
      </c>
      <c r="S5" s="1504">
        <f t="shared" si="1"/>
        <v>5.1908707865168537</v>
      </c>
      <c r="T5" s="1504">
        <f t="shared" si="2"/>
        <v>2.968027765607022</v>
      </c>
      <c r="U5" s="1082"/>
      <c r="V5" s="1080"/>
      <c r="W5" s="1507">
        <f t="shared" si="3"/>
        <v>531.95999999999992</v>
      </c>
      <c r="X5" s="1073">
        <v>4.0919999999999996</v>
      </c>
      <c r="Y5" s="862">
        <v>1.3786933018003968</v>
      </c>
    </row>
    <row r="6" spans="1:25" s="866" customFormat="1">
      <c r="A6" s="856" t="s">
        <v>35</v>
      </c>
      <c r="B6" s="961"/>
      <c r="C6" s="960"/>
      <c r="D6" s="960"/>
      <c r="E6" s="1071" t="s">
        <v>79</v>
      </c>
      <c r="F6" s="1072" t="s">
        <v>239</v>
      </c>
      <c r="G6" s="1073" t="s">
        <v>140</v>
      </c>
      <c r="H6" s="1074">
        <v>30</v>
      </c>
      <c r="I6" s="1074">
        <v>3542</v>
      </c>
      <c r="J6" s="1080"/>
      <c r="K6" s="1074">
        <v>8</v>
      </c>
      <c r="L6" s="1306">
        <f t="shared" si="0"/>
        <v>9.4017094017094016E-2</v>
      </c>
      <c r="M6" s="1082"/>
      <c r="N6" s="1080"/>
      <c r="O6" s="1074">
        <v>1404</v>
      </c>
      <c r="P6" s="1082"/>
      <c r="Q6" s="1080"/>
      <c r="R6" s="1074">
        <v>132</v>
      </c>
      <c r="S6" s="1314">
        <f t="shared" si="1"/>
        <v>4.6500854700854699</v>
      </c>
      <c r="T6" s="1314">
        <f t="shared" si="2"/>
        <v>3.0507932732846945</v>
      </c>
      <c r="U6" s="1082"/>
      <c r="V6" s="1080"/>
      <c r="W6" s="1318">
        <f t="shared" si="3"/>
        <v>500.54399999999998</v>
      </c>
      <c r="X6" s="1073">
        <v>3.7919999999999998</v>
      </c>
      <c r="Y6" s="862">
        <v>1.242955408747598</v>
      </c>
    </row>
    <row r="7" spans="1:25" s="866" customFormat="1">
      <c r="A7" s="856" t="s">
        <v>35</v>
      </c>
      <c r="B7" s="961"/>
      <c r="C7" s="960"/>
      <c r="D7" s="960"/>
      <c r="E7" s="1071" t="s">
        <v>79</v>
      </c>
      <c r="F7" s="1072" t="s">
        <v>240</v>
      </c>
      <c r="G7" s="1073" t="s">
        <v>140</v>
      </c>
      <c r="H7" s="1074">
        <v>22</v>
      </c>
      <c r="I7" s="1074">
        <v>3310</v>
      </c>
      <c r="J7" s="1080"/>
      <c r="K7" s="1074">
        <v>6</v>
      </c>
      <c r="L7" s="1306">
        <f t="shared" si="0"/>
        <v>0.10043668122270742</v>
      </c>
      <c r="M7" s="1082"/>
      <c r="N7" s="1080"/>
      <c r="O7" s="1074">
        <v>916</v>
      </c>
      <c r="P7" s="1082"/>
      <c r="Q7" s="1080"/>
      <c r="R7" s="1074">
        <v>92</v>
      </c>
      <c r="S7" s="1314">
        <f t="shared" si="1"/>
        <v>4.2444541484716156</v>
      </c>
      <c r="T7" s="1314">
        <f t="shared" si="2"/>
        <v>3.1212068573642089</v>
      </c>
      <c r="U7" s="1082"/>
      <c r="V7" s="1080"/>
      <c r="W7" s="1318">
        <f t="shared" si="3"/>
        <v>335.15600000000001</v>
      </c>
      <c r="X7" s="1073">
        <v>3.6429999999999998</v>
      </c>
      <c r="Y7" s="862">
        <v>1.1671767256965575</v>
      </c>
    </row>
    <row r="8" spans="1:25" s="844" customFormat="1" ht="15.75" thickBot="1">
      <c r="A8" s="834" t="s">
        <v>35</v>
      </c>
      <c r="B8" s="1294"/>
      <c r="C8" s="1293"/>
      <c r="D8" s="1293"/>
      <c r="E8" s="1429" t="s">
        <v>82</v>
      </c>
      <c r="F8" s="1429" t="s">
        <v>81</v>
      </c>
      <c r="G8" s="1430" t="s">
        <v>140</v>
      </c>
      <c r="H8" s="1431">
        <v>26</v>
      </c>
      <c r="I8" s="1431">
        <v>3920</v>
      </c>
      <c r="J8" s="1432"/>
      <c r="K8" s="1431">
        <v>7</v>
      </c>
      <c r="L8" s="1307">
        <f t="shared" si="0"/>
        <v>8.4562438544739424E-2</v>
      </c>
      <c r="M8" s="1433"/>
      <c r="N8" s="1432"/>
      <c r="O8" s="1431">
        <v>2034</v>
      </c>
      <c r="P8" s="1433"/>
      <c r="Q8" s="1432"/>
      <c r="R8" s="1431">
        <v>172</v>
      </c>
      <c r="S8" s="1315">
        <f t="shared" si="1"/>
        <v>5.0348475909537855</v>
      </c>
      <c r="T8" s="1315">
        <f t="shared" si="2"/>
        <v>2.9907590931196508</v>
      </c>
      <c r="U8" s="1433"/>
      <c r="V8" s="1432"/>
      <c r="W8" s="1319">
        <f t="shared" si="3"/>
        <v>759.72399999999993</v>
      </c>
      <c r="X8" s="1430">
        <v>4.4169999999999998</v>
      </c>
      <c r="Y8" s="840">
        <v>1.4768825781258905</v>
      </c>
    </row>
    <row r="9" spans="1:25" s="844" customFormat="1" ht="15.75" thickTop="1">
      <c r="A9" s="834" t="s">
        <v>35</v>
      </c>
      <c r="B9" s="1273"/>
      <c r="C9" s="1272"/>
      <c r="D9" s="1272"/>
      <c r="E9" s="1429" t="s">
        <v>82</v>
      </c>
      <c r="F9" s="1429" t="s">
        <v>237</v>
      </c>
      <c r="G9" s="1430" t="s">
        <v>140</v>
      </c>
      <c r="H9" s="1431">
        <v>29</v>
      </c>
      <c r="I9" s="1431">
        <v>2532</v>
      </c>
      <c r="J9" s="1434"/>
      <c r="K9" s="1431">
        <v>8</v>
      </c>
      <c r="L9" s="1304">
        <f t="shared" si="0"/>
        <v>0.10693069306930693</v>
      </c>
      <c r="M9" s="1435"/>
      <c r="N9" s="1434"/>
      <c r="O9" s="1431">
        <v>1010</v>
      </c>
      <c r="P9" s="1435"/>
      <c r="Q9" s="1434"/>
      <c r="R9" s="1431">
        <v>108</v>
      </c>
      <c r="S9" s="1312">
        <f t="shared" si="1"/>
        <v>3.7874851485148513</v>
      </c>
      <c r="T9" s="1312">
        <f t="shared" si="2"/>
        <v>3.2113695075245734</v>
      </c>
      <c r="U9" s="1435"/>
      <c r="V9" s="1434"/>
      <c r="W9" s="1316">
        <f t="shared" si="3"/>
        <v>324.108</v>
      </c>
      <c r="X9" s="1430">
        <v>3.0009999999999999</v>
      </c>
      <c r="Y9" s="840">
        <v>0.93449227594904427</v>
      </c>
    </row>
    <row r="10" spans="1:25" s="844" customFormat="1">
      <c r="A10" s="834" t="s">
        <v>35</v>
      </c>
      <c r="B10" s="1283"/>
      <c r="C10" s="1274"/>
      <c r="D10" s="1274"/>
      <c r="E10" s="1429" t="s">
        <v>82</v>
      </c>
      <c r="F10" s="1429" t="s">
        <v>238</v>
      </c>
      <c r="G10" s="1430" t="s">
        <v>140</v>
      </c>
      <c r="H10" s="1431">
        <v>30</v>
      </c>
      <c r="I10" s="1431">
        <v>4154</v>
      </c>
      <c r="J10" s="1436"/>
      <c r="K10" s="1431">
        <v>8</v>
      </c>
      <c r="L10" s="1305">
        <f t="shared" si="0"/>
        <v>9.4427244582043338E-2</v>
      </c>
      <c r="M10" s="1437"/>
      <c r="N10" s="1436"/>
      <c r="O10" s="1431">
        <v>1292</v>
      </c>
      <c r="P10" s="1437"/>
      <c r="Q10" s="1436"/>
      <c r="R10" s="1431">
        <v>122</v>
      </c>
      <c r="S10" s="1313">
        <f t="shared" si="1"/>
        <v>5.1425077399380799</v>
      </c>
      <c r="T10" s="1505">
        <f t="shared" si="2"/>
        <v>2.9749815417299166</v>
      </c>
      <c r="U10" s="1437"/>
      <c r="V10" s="1436"/>
      <c r="W10" s="1317">
        <f t="shared" si="3"/>
        <v>490.56200000000001</v>
      </c>
      <c r="X10" s="1430">
        <v>4.0209999999999999</v>
      </c>
      <c r="Y10" s="840">
        <v>1.3516050246354925</v>
      </c>
    </row>
    <row r="11" spans="1:25" s="844" customFormat="1">
      <c r="A11" s="834" t="s">
        <v>35</v>
      </c>
      <c r="B11" s="1283"/>
      <c r="C11" s="1274"/>
      <c r="D11" s="1274"/>
      <c r="E11" s="1429" t="s">
        <v>82</v>
      </c>
      <c r="F11" s="1429" t="s">
        <v>239</v>
      </c>
      <c r="G11" s="1430" t="s">
        <v>140</v>
      </c>
      <c r="H11" s="1431">
        <v>26</v>
      </c>
      <c r="I11" s="1431">
        <v>3246</v>
      </c>
      <c r="J11" s="1436"/>
      <c r="K11" s="1431">
        <v>7</v>
      </c>
      <c r="L11" s="1305">
        <f t="shared" si="0"/>
        <v>0.10362694300518134</v>
      </c>
      <c r="M11" s="1437"/>
      <c r="N11" s="1436"/>
      <c r="O11" s="1431">
        <v>772</v>
      </c>
      <c r="P11" s="1437"/>
      <c r="Q11" s="1436"/>
      <c r="R11" s="1431">
        <v>80</v>
      </c>
      <c r="S11" s="1313">
        <f t="shared" si="1"/>
        <v>4.1637305699481866</v>
      </c>
      <c r="T11" s="1505">
        <f t="shared" si="2"/>
        <v>3.1362260602151677</v>
      </c>
      <c r="U11" s="1437"/>
      <c r="V11" s="1436"/>
      <c r="W11" s="1317">
        <f t="shared" si="3"/>
        <v>266.48</v>
      </c>
      <c r="X11" s="1430">
        <v>3.331</v>
      </c>
      <c r="Y11" s="840">
        <v>1.062104560081192</v>
      </c>
    </row>
    <row r="12" spans="1:25" s="844" customFormat="1">
      <c r="A12" s="834" t="s">
        <v>35</v>
      </c>
      <c r="B12" s="1283"/>
      <c r="C12" s="1274"/>
      <c r="D12" s="1274"/>
      <c r="E12" s="1429" t="s">
        <v>82</v>
      </c>
      <c r="F12" s="1429" t="s">
        <v>240</v>
      </c>
      <c r="G12" s="1430" t="s">
        <v>140</v>
      </c>
      <c r="H12" s="1431">
        <v>31</v>
      </c>
      <c r="I12" s="1431">
        <v>3668</v>
      </c>
      <c r="J12" s="1436"/>
      <c r="K12" s="1431">
        <v>8</v>
      </c>
      <c r="L12" s="1305">
        <f t="shared" si="0"/>
        <v>0.10571428571428572</v>
      </c>
      <c r="M12" s="1437"/>
      <c r="N12" s="1436"/>
      <c r="O12" s="1431">
        <v>700</v>
      </c>
      <c r="P12" s="1437"/>
      <c r="Q12" s="1436"/>
      <c r="R12" s="1431">
        <v>74</v>
      </c>
      <c r="S12" s="1313">
        <f t="shared" si="1"/>
        <v>4.6175999999999995</v>
      </c>
      <c r="T12" s="1313">
        <f t="shared" si="2"/>
        <v>3.0561448661557997</v>
      </c>
      <c r="U12" s="1437"/>
      <c r="V12" s="1436"/>
      <c r="W12" s="1317">
        <f t="shared" si="3"/>
        <v>227.994</v>
      </c>
      <c r="X12" s="1430">
        <v>3.081</v>
      </c>
      <c r="Y12" s="840">
        <v>1.0081328388976092</v>
      </c>
    </row>
    <row r="13" spans="1: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4"/>
      <c r="T13" s="4"/>
      <c r="U13" s="1"/>
      <c r="V13" s="1"/>
      <c r="W13" s="4"/>
      <c r="X13" s="4"/>
      <c r="Y13" s="4"/>
    </row>
    <row r="14" spans="1:25">
      <c r="A14" s="1"/>
      <c r="C14" s="1"/>
      <c r="D14" s="1"/>
      <c r="E14" s="1"/>
      <c r="F14" s="1"/>
      <c r="R14" s="1"/>
      <c r="S14" s="4"/>
      <c r="T14" s="4"/>
      <c r="U14" s="1"/>
      <c r="V14" s="1"/>
      <c r="W14" s="4"/>
      <c r="X14" s="4"/>
      <c r="Y14" s="4"/>
    </row>
    <row r="15" spans="1:25">
      <c r="A15" s="55" t="s">
        <v>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50" t="s">
        <v>390</v>
      </c>
      <c r="O15" s="751"/>
      <c r="P15" s="75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56" t="s">
        <v>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6"/>
      <c r="O16" s="752" t="s">
        <v>63</v>
      </c>
      <c r="P16" s="753" t="s">
        <v>64</v>
      </c>
      <c r="Q16" s="1"/>
      <c r="R16" s="1"/>
      <c r="S16" s="4"/>
      <c r="T16" s="4"/>
      <c r="U16" s="1"/>
      <c r="V16" s="1"/>
      <c r="W16" s="4"/>
      <c r="X16" s="4"/>
      <c r="Y16" s="4"/>
    </row>
    <row r="17" spans="1:25">
      <c r="A17" s="56" t="s">
        <v>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497" t="s">
        <v>391</v>
      </c>
      <c r="O17" s="774">
        <f>AVERAGE(Y3:Y7)</f>
        <v>1.2225087825993728</v>
      </c>
      <c r="P17" s="774">
        <f>AVERAGE(Y8:Y12)</f>
        <v>1.1666434555378458</v>
      </c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497" t="s">
        <v>25</v>
      </c>
      <c r="O18" s="774">
        <f>AVERAGE(W3:W7)</f>
        <v>415.71639999999996</v>
      </c>
      <c r="P18" s="774">
        <f>AVERAGE(W8:W12)</f>
        <v>413.77359999999999</v>
      </c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5" t="s">
        <v>87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6" t="s">
        <v>392</v>
      </c>
      <c r="O19" s="774">
        <f>AVERAGE(X3:X7)</f>
        <v>3.7497999999999996</v>
      </c>
      <c r="P19" s="774">
        <f>AVERAGE(X8:X12)</f>
        <v>3.5701999999999998</v>
      </c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5" t="s">
        <v>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497" t="s">
        <v>393</v>
      </c>
      <c r="O20" s="774">
        <f>AVERAGE(S3:S7)</f>
        <v>4.5470823409744945</v>
      </c>
      <c r="P20" s="774">
        <f>AVERAGE(S8:S12)</f>
        <v>4.5492342098709804</v>
      </c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5" t="s">
        <v>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56" t="s">
        <v>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56" t="s">
        <v>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56" t="s">
        <v>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56" t="s">
        <v>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/>
      <c r="P26" s="1"/>
      <c r="Q26" s="1"/>
      <c r="R26" s="1"/>
      <c r="S26" s="4"/>
      <c r="T26" s="4"/>
      <c r="U26" s="1"/>
      <c r="V26" s="1"/>
      <c r="W26" s="4"/>
      <c r="X26" s="4"/>
      <c r="Y26" s="4"/>
    </row>
    <row r="27" spans="1:25">
      <c r="A27" s="1" t="s">
        <v>50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4"/>
      <c r="T29" s="4"/>
      <c r="U29" s="1"/>
      <c r="V29" s="1"/>
      <c r="W29" s="4"/>
      <c r="X29" s="4"/>
      <c r="Y29" s="4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1"/>
      <c r="Q30" s="1"/>
      <c r="R30" s="1"/>
      <c r="S30" s="4"/>
      <c r="T30" s="4"/>
      <c r="U30" s="1"/>
      <c r="V30" s="1"/>
      <c r="W30" s="4"/>
      <c r="X30" s="4"/>
      <c r="Y30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Y56"/>
  <sheetViews>
    <sheetView topLeftCell="D18" workbookViewId="0">
      <selection activeCell="P49" sqref="P49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35</v>
      </c>
      <c r="B3" s="1069"/>
      <c r="C3" s="1072" t="s">
        <v>241</v>
      </c>
      <c r="D3" s="1070"/>
      <c r="E3" s="1071" t="s">
        <v>79</v>
      </c>
      <c r="F3" s="1072" t="s">
        <v>81</v>
      </c>
      <c r="G3" s="1073" t="s">
        <v>242</v>
      </c>
      <c r="H3" s="1087">
        <v>24</v>
      </c>
      <c r="I3" s="1087">
        <v>2322</v>
      </c>
      <c r="J3" s="1075"/>
      <c r="K3" s="1087">
        <v>7</v>
      </c>
      <c r="L3" s="1499">
        <f>R3/O3</f>
        <v>0.11480362537764351</v>
      </c>
      <c r="M3" s="1077"/>
      <c r="N3" s="1075"/>
      <c r="O3" s="1087">
        <v>662</v>
      </c>
      <c r="P3" s="1077"/>
      <c r="Q3" s="1075"/>
      <c r="R3" s="1087">
        <v>76</v>
      </c>
      <c r="S3" s="1502">
        <f>(R3+(I3*L3))/100</f>
        <v>3.4257401812688824</v>
      </c>
      <c r="T3" s="1502">
        <f>MIN(4.63,4.48*S3^(-0.25))</f>
        <v>3.2929823927430633</v>
      </c>
      <c r="U3" s="1077"/>
      <c r="V3" s="1075"/>
      <c r="W3" s="1527">
        <f>X3*R3</f>
        <v>222.90799999999999</v>
      </c>
      <c r="X3" s="856">
        <v>2.9329999999999998</v>
      </c>
      <c r="Y3" s="862">
        <v>0.89068195641240666</v>
      </c>
    </row>
    <row r="4" spans="1:25" s="866" customFormat="1">
      <c r="A4" s="856" t="s">
        <v>35</v>
      </c>
      <c r="B4" s="961"/>
      <c r="C4" s="1072" t="s">
        <v>243</v>
      </c>
      <c r="D4" s="960"/>
      <c r="E4" s="1071" t="s">
        <v>79</v>
      </c>
      <c r="F4" s="1072" t="s">
        <v>237</v>
      </c>
      <c r="G4" s="1073" t="s">
        <v>140</v>
      </c>
      <c r="H4" s="1087">
        <v>11</v>
      </c>
      <c r="I4" s="1087">
        <v>1672</v>
      </c>
      <c r="J4" s="1080"/>
      <c r="K4" s="1087">
        <v>3</v>
      </c>
      <c r="L4" s="1500">
        <f t="shared" ref="L4:L42" si="0">R4/O4</f>
        <v>0.11428571428571428</v>
      </c>
      <c r="M4" s="1082"/>
      <c r="N4" s="1080"/>
      <c r="O4" s="1087">
        <v>280</v>
      </c>
      <c r="P4" s="1082"/>
      <c r="Q4" s="1080"/>
      <c r="R4" s="1087">
        <v>32</v>
      </c>
      <c r="S4" s="1503">
        <f t="shared" ref="S4:S42" si="1">(R4+(I4*L4))/100</f>
        <v>2.2308571428571429</v>
      </c>
      <c r="T4" s="1503">
        <f t="shared" ref="T4:T42" si="2">MIN(4.63,4.48*S4^(-0.25))</f>
        <v>3.6657266250456955</v>
      </c>
      <c r="U4" s="1082"/>
      <c r="V4" s="1080"/>
      <c r="W4" s="1528">
        <f t="shared" ref="W4:W42" si="3">X4*R4</f>
        <v>86.975999999999999</v>
      </c>
      <c r="X4" s="856">
        <v>2.718</v>
      </c>
      <c r="Y4" s="862">
        <v>0.74146281979391149</v>
      </c>
    </row>
    <row r="5" spans="1:25" s="866" customFormat="1">
      <c r="A5" s="856" t="s">
        <v>35</v>
      </c>
      <c r="B5" s="961"/>
      <c r="C5" s="1072" t="s">
        <v>244</v>
      </c>
      <c r="D5" s="960"/>
      <c r="E5" s="1071" t="s">
        <v>79</v>
      </c>
      <c r="F5" s="1072" t="s">
        <v>245</v>
      </c>
      <c r="G5" s="1073" t="s">
        <v>140</v>
      </c>
      <c r="H5" s="1087">
        <v>15</v>
      </c>
      <c r="I5" s="1087">
        <v>1892</v>
      </c>
      <c r="J5" s="1080"/>
      <c r="K5" s="1087">
        <v>4</v>
      </c>
      <c r="L5" s="1501">
        <f t="shared" si="0"/>
        <v>0.11481481481481481</v>
      </c>
      <c r="M5" s="1082"/>
      <c r="N5" s="1080"/>
      <c r="O5" s="1087">
        <v>540</v>
      </c>
      <c r="P5" s="1082"/>
      <c r="Q5" s="1080"/>
      <c r="R5" s="1087">
        <v>62</v>
      </c>
      <c r="S5" s="1504">
        <f t="shared" si="1"/>
        <v>2.7922962962962963</v>
      </c>
      <c r="T5" s="1504">
        <f t="shared" si="2"/>
        <v>3.4656734470871982</v>
      </c>
      <c r="U5" s="1082"/>
      <c r="V5" s="1080"/>
      <c r="W5" s="1529">
        <f t="shared" si="3"/>
        <v>178.62199999999999</v>
      </c>
      <c r="X5" s="856">
        <v>2.8809999999999998</v>
      </c>
      <c r="Y5" s="862">
        <v>0.83129586326761395</v>
      </c>
    </row>
    <row r="6" spans="1:25" s="866" customFormat="1">
      <c r="A6" s="856" t="s">
        <v>35</v>
      </c>
      <c r="B6" s="961"/>
      <c r="C6" s="1072" t="s">
        <v>246</v>
      </c>
      <c r="D6" s="960"/>
      <c r="E6" s="1071" t="s">
        <v>79</v>
      </c>
      <c r="F6" s="1072" t="s">
        <v>247</v>
      </c>
      <c r="G6" s="1073" t="s">
        <v>140</v>
      </c>
      <c r="H6" s="1087">
        <v>24</v>
      </c>
      <c r="I6" s="1087">
        <v>1238</v>
      </c>
      <c r="J6" s="1080"/>
      <c r="K6" s="1087">
        <v>6</v>
      </c>
      <c r="L6" s="1306">
        <f t="shared" si="0"/>
        <v>0.12946428571428573</v>
      </c>
      <c r="M6" s="1082"/>
      <c r="N6" s="1080"/>
      <c r="O6" s="1087">
        <v>448</v>
      </c>
      <c r="P6" s="1082"/>
      <c r="Q6" s="1080"/>
      <c r="R6" s="1087">
        <v>58</v>
      </c>
      <c r="S6" s="1314">
        <f t="shared" si="1"/>
        <v>2.1827678571428573</v>
      </c>
      <c r="T6" s="1314">
        <f t="shared" si="2"/>
        <v>3.6857521414317511</v>
      </c>
      <c r="U6" s="1082"/>
      <c r="V6" s="1080"/>
      <c r="W6" s="1528">
        <f t="shared" si="3"/>
        <v>179.858</v>
      </c>
      <c r="X6" s="856">
        <v>3.101</v>
      </c>
      <c r="Y6" s="862">
        <v>0.8413479477204886</v>
      </c>
    </row>
    <row r="7" spans="1:25" s="866" customFormat="1">
      <c r="A7" s="856" t="s">
        <v>35</v>
      </c>
      <c r="B7" s="961"/>
      <c r="C7" s="1072" t="s">
        <v>248</v>
      </c>
      <c r="D7" s="960"/>
      <c r="E7" s="1071" t="s">
        <v>79</v>
      </c>
      <c r="F7" s="1072" t="s">
        <v>249</v>
      </c>
      <c r="G7" s="1073" t="s">
        <v>242</v>
      </c>
      <c r="H7" s="1087">
        <v>25</v>
      </c>
      <c r="I7" s="1087">
        <v>2466</v>
      </c>
      <c r="J7" s="1080"/>
      <c r="K7" s="1087">
        <v>7</v>
      </c>
      <c r="L7" s="1306">
        <f t="shared" si="0"/>
        <v>0.12378640776699029</v>
      </c>
      <c r="M7" s="1082"/>
      <c r="N7" s="1080"/>
      <c r="O7" s="1087">
        <v>824</v>
      </c>
      <c r="P7" s="1082"/>
      <c r="Q7" s="1080"/>
      <c r="R7" s="1087">
        <v>102</v>
      </c>
      <c r="S7" s="1314">
        <f t="shared" si="1"/>
        <v>4.0725728155339809</v>
      </c>
      <c r="T7" s="1314">
        <f t="shared" si="2"/>
        <v>3.1536304441310938</v>
      </c>
      <c r="U7" s="1082"/>
      <c r="V7" s="1080"/>
      <c r="W7" s="1528">
        <f t="shared" si="3"/>
        <v>250.30800000000002</v>
      </c>
      <c r="X7" s="856">
        <v>2.4540000000000002</v>
      </c>
      <c r="Y7" s="862">
        <v>0.77815078319239783</v>
      </c>
    </row>
    <row r="8" spans="1:25" s="866" customFormat="1" ht="15.75" thickBot="1">
      <c r="A8" s="856" t="s">
        <v>35</v>
      </c>
      <c r="B8" s="1088"/>
      <c r="C8" s="1072" t="s">
        <v>250</v>
      </c>
      <c r="D8" s="1089"/>
      <c r="E8" s="1071" t="s">
        <v>79</v>
      </c>
      <c r="F8" s="1072" t="s">
        <v>251</v>
      </c>
      <c r="G8" s="1073" t="s">
        <v>140</v>
      </c>
      <c r="H8" s="1087">
        <v>9</v>
      </c>
      <c r="I8" s="1087">
        <v>2308</v>
      </c>
      <c r="J8" s="1090"/>
      <c r="K8" s="1087">
        <v>3</v>
      </c>
      <c r="L8" s="1508">
        <f t="shared" si="0"/>
        <v>0.13793103448275862</v>
      </c>
      <c r="M8" s="1092"/>
      <c r="N8" s="1090"/>
      <c r="O8" s="1087">
        <v>638</v>
      </c>
      <c r="P8" s="1092"/>
      <c r="Q8" s="1090"/>
      <c r="R8" s="1087">
        <v>88</v>
      </c>
      <c r="S8" s="1515">
        <f t="shared" si="1"/>
        <v>4.0634482758620694</v>
      </c>
      <c r="T8" s="1515">
        <f t="shared" si="2"/>
        <v>3.1553993375039675</v>
      </c>
      <c r="U8" s="1092"/>
      <c r="V8" s="1090"/>
      <c r="W8" s="1530">
        <f t="shared" si="3"/>
        <v>253.52799999999999</v>
      </c>
      <c r="X8" s="856">
        <v>2.8809999999999998</v>
      </c>
      <c r="Y8" s="862">
        <v>0.91303815835841962</v>
      </c>
    </row>
    <row r="9" spans="1:25" s="866" customFormat="1" ht="15.75" thickTop="1">
      <c r="A9" s="856" t="s">
        <v>35</v>
      </c>
      <c r="B9" s="1069"/>
      <c r="C9" s="1072" t="s">
        <v>252</v>
      </c>
      <c r="D9" s="1070"/>
      <c r="E9" s="1071" t="s">
        <v>79</v>
      </c>
      <c r="F9" s="1072" t="s">
        <v>253</v>
      </c>
      <c r="G9" s="1073" t="s">
        <v>140</v>
      </c>
      <c r="H9" s="1087">
        <v>17</v>
      </c>
      <c r="I9" s="1087">
        <v>1968</v>
      </c>
      <c r="J9" s="1075"/>
      <c r="K9" s="1087">
        <v>5</v>
      </c>
      <c r="L9" s="1509">
        <f t="shared" si="0"/>
        <v>0.13636363636363635</v>
      </c>
      <c r="M9" s="1077"/>
      <c r="N9" s="1075"/>
      <c r="O9" s="1087">
        <v>440</v>
      </c>
      <c r="P9" s="1077"/>
      <c r="Q9" s="1075"/>
      <c r="R9" s="1087">
        <v>60</v>
      </c>
      <c r="S9" s="1516">
        <f t="shared" si="1"/>
        <v>3.2836363636363632</v>
      </c>
      <c r="T9" s="1516">
        <f t="shared" si="2"/>
        <v>3.3280454592274076</v>
      </c>
      <c r="U9" s="1077"/>
      <c r="V9" s="1075"/>
      <c r="W9" s="1531">
        <f t="shared" si="3"/>
        <v>157.79999999999998</v>
      </c>
      <c r="X9" s="856">
        <v>2.63</v>
      </c>
      <c r="Y9" s="862">
        <v>0.79025362850979319</v>
      </c>
    </row>
    <row r="10" spans="1:25" s="866" customFormat="1">
      <c r="A10" s="856" t="s">
        <v>35</v>
      </c>
      <c r="B10" s="961"/>
      <c r="C10" s="1072" t="s">
        <v>254</v>
      </c>
      <c r="D10" s="960"/>
      <c r="E10" s="1071" t="s">
        <v>79</v>
      </c>
      <c r="F10" s="1072" t="s">
        <v>255</v>
      </c>
      <c r="G10" s="1073" t="s">
        <v>140</v>
      </c>
      <c r="H10" s="1087">
        <v>23</v>
      </c>
      <c r="I10" s="1087">
        <v>1362</v>
      </c>
      <c r="J10" s="1080"/>
      <c r="K10" s="1087">
        <v>6</v>
      </c>
      <c r="L10" s="1306">
        <f t="shared" si="0"/>
        <v>0.13553113553113552</v>
      </c>
      <c r="M10" s="1082"/>
      <c r="N10" s="1080"/>
      <c r="O10" s="1087">
        <v>546</v>
      </c>
      <c r="P10" s="1082"/>
      <c r="Q10" s="1080"/>
      <c r="R10" s="1087">
        <v>74</v>
      </c>
      <c r="S10" s="1314">
        <f t="shared" si="1"/>
        <v>2.5859340659340662</v>
      </c>
      <c r="T10" s="1524">
        <f t="shared" si="2"/>
        <v>3.5328374227828143</v>
      </c>
      <c r="U10" s="1082"/>
      <c r="V10" s="1080"/>
      <c r="W10" s="1528">
        <f t="shared" si="3"/>
        <v>188.922</v>
      </c>
      <c r="X10" s="856">
        <v>2.5529999999999999</v>
      </c>
      <c r="Y10" s="862">
        <v>0.72264859501771306</v>
      </c>
    </row>
    <row r="11" spans="1:25" s="866" customFormat="1">
      <c r="A11" s="856" t="s">
        <v>35</v>
      </c>
      <c r="B11" s="961"/>
      <c r="C11" s="1072" t="s">
        <v>256</v>
      </c>
      <c r="D11" s="960"/>
      <c r="E11" s="1071" t="s">
        <v>79</v>
      </c>
      <c r="F11" s="1072" t="s">
        <v>238</v>
      </c>
      <c r="G11" s="1073" t="s">
        <v>140</v>
      </c>
      <c r="H11" s="1087">
        <v>19</v>
      </c>
      <c r="I11" s="1087">
        <v>1942</v>
      </c>
      <c r="J11" s="1080"/>
      <c r="K11" s="1087">
        <v>5</v>
      </c>
      <c r="L11" s="1306">
        <f t="shared" si="0"/>
        <v>0.11934156378600823</v>
      </c>
      <c r="M11" s="1082"/>
      <c r="N11" s="1080"/>
      <c r="O11" s="1087">
        <v>486</v>
      </c>
      <c r="P11" s="1082"/>
      <c r="Q11" s="1080"/>
      <c r="R11" s="1087">
        <v>58</v>
      </c>
      <c r="S11" s="1314">
        <f t="shared" si="1"/>
        <v>2.8976131687242797</v>
      </c>
      <c r="T11" s="1524">
        <f t="shared" si="2"/>
        <v>3.4337439902225015</v>
      </c>
      <c r="U11" s="1082"/>
      <c r="V11" s="1080"/>
      <c r="W11" s="1528">
        <f t="shared" si="3"/>
        <v>155.26599999999999</v>
      </c>
      <c r="X11" s="856">
        <v>2.677</v>
      </c>
      <c r="Y11" s="862">
        <v>0.77961548898889643</v>
      </c>
    </row>
    <row r="12" spans="1:25" s="866" customFormat="1">
      <c r="A12" s="856" t="s">
        <v>35</v>
      </c>
      <c r="B12" s="961"/>
      <c r="C12" s="1072" t="s">
        <v>257</v>
      </c>
      <c r="D12" s="960"/>
      <c r="E12" s="1071" t="s">
        <v>79</v>
      </c>
      <c r="F12" s="1072" t="s">
        <v>258</v>
      </c>
      <c r="G12" s="1073" t="s">
        <v>140</v>
      </c>
      <c r="H12" s="1087">
        <v>21</v>
      </c>
      <c r="I12" s="1087">
        <v>1930</v>
      </c>
      <c r="J12" s="1080"/>
      <c r="K12" s="1087">
        <v>6</v>
      </c>
      <c r="L12" s="1306">
        <f t="shared" si="0"/>
        <v>0.12585034013605442</v>
      </c>
      <c r="M12" s="1082"/>
      <c r="N12" s="1080"/>
      <c r="O12" s="1087">
        <v>588</v>
      </c>
      <c r="P12" s="1082"/>
      <c r="Q12" s="1080"/>
      <c r="R12" s="1087">
        <v>74</v>
      </c>
      <c r="S12" s="1314">
        <f t="shared" si="1"/>
        <v>3.1689115646258506</v>
      </c>
      <c r="T12" s="1314">
        <f t="shared" si="2"/>
        <v>3.3577664400523513</v>
      </c>
      <c r="U12" s="1082"/>
      <c r="V12" s="1080"/>
      <c r="W12" s="1528">
        <f t="shared" si="3"/>
        <v>193.066</v>
      </c>
      <c r="X12" s="856">
        <v>2.609</v>
      </c>
      <c r="Y12" s="862">
        <v>0.77700460903984825</v>
      </c>
    </row>
    <row r="13" spans="1:25" s="866" customFormat="1">
      <c r="A13" s="856" t="s">
        <v>35</v>
      </c>
      <c r="B13" s="961"/>
      <c r="C13" s="1072" t="s">
        <v>259</v>
      </c>
      <c r="D13" s="960"/>
      <c r="E13" s="1071" t="s">
        <v>79</v>
      </c>
      <c r="F13" s="1072" t="s">
        <v>260</v>
      </c>
      <c r="G13" s="1073" t="s">
        <v>140</v>
      </c>
      <c r="H13" s="1087">
        <v>19</v>
      </c>
      <c r="I13" s="1087">
        <v>2166</v>
      </c>
      <c r="J13" s="1080"/>
      <c r="K13" s="1087">
        <v>5</v>
      </c>
      <c r="L13" s="1306">
        <f t="shared" si="0"/>
        <v>0.12474849094567404</v>
      </c>
      <c r="M13" s="1783"/>
      <c r="N13" s="1784"/>
      <c r="O13" s="1087">
        <v>994</v>
      </c>
      <c r="P13" s="1783"/>
      <c r="Q13" s="1784"/>
      <c r="R13" s="1087">
        <v>124</v>
      </c>
      <c r="S13" s="1314">
        <f t="shared" si="1"/>
        <v>3.9420523138833001</v>
      </c>
      <c r="T13" s="1314">
        <f t="shared" si="2"/>
        <v>3.1794164591507537</v>
      </c>
      <c r="U13" s="1783"/>
      <c r="V13" s="1784"/>
      <c r="W13" s="1528">
        <f t="shared" si="3"/>
        <v>352.78000000000003</v>
      </c>
      <c r="X13" s="856">
        <v>2.8450000000000002</v>
      </c>
      <c r="Y13" s="862">
        <v>0.89481829025944015</v>
      </c>
    </row>
    <row r="14" spans="1:25" s="866" customFormat="1" ht="15.75" thickBot="1">
      <c r="A14" s="856" t="s">
        <v>35</v>
      </c>
      <c r="B14" s="1088"/>
      <c r="C14" s="1072" t="s">
        <v>261</v>
      </c>
      <c r="D14" s="1089"/>
      <c r="E14" s="1071" t="s">
        <v>79</v>
      </c>
      <c r="F14" s="1072" t="s">
        <v>239</v>
      </c>
      <c r="G14" s="1073" t="s">
        <v>140</v>
      </c>
      <c r="H14" s="1087">
        <v>16</v>
      </c>
      <c r="I14" s="1087">
        <v>2336</v>
      </c>
      <c r="J14" s="1090"/>
      <c r="K14" s="1087">
        <v>4</v>
      </c>
      <c r="L14" s="1508">
        <f t="shared" si="0"/>
        <v>0.13167259786476868</v>
      </c>
      <c r="M14" s="1781"/>
      <c r="N14" s="1782"/>
      <c r="O14" s="1087">
        <v>562</v>
      </c>
      <c r="P14" s="1781"/>
      <c r="Q14" s="1782"/>
      <c r="R14" s="1087">
        <v>74</v>
      </c>
      <c r="S14" s="1515">
        <f t="shared" si="1"/>
        <v>3.8158718861209961</v>
      </c>
      <c r="T14" s="1515">
        <f t="shared" si="2"/>
        <v>3.2053803310810265</v>
      </c>
      <c r="U14" s="1781"/>
      <c r="V14" s="1782"/>
      <c r="W14" s="1530">
        <f t="shared" si="3"/>
        <v>165.316</v>
      </c>
      <c r="X14" s="856">
        <v>2.234</v>
      </c>
      <c r="Y14" s="862">
        <v>0.69695317536517587</v>
      </c>
    </row>
    <row r="15" spans="1:25" s="866" customFormat="1" ht="15.75" thickTop="1">
      <c r="A15" s="856" t="s">
        <v>35</v>
      </c>
      <c r="B15" s="1069"/>
      <c r="C15" s="1072" t="s">
        <v>262</v>
      </c>
      <c r="D15" s="960"/>
      <c r="E15" s="1071" t="s">
        <v>79</v>
      </c>
      <c r="F15" s="1072" t="s">
        <v>240</v>
      </c>
      <c r="G15" s="1073" t="s">
        <v>140</v>
      </c>
      <c r="H15" s="1087">
        <v>20</v>
      </c>
      <c r="I15" s="1087">
        <v>3088</v>
      </c>
      <c r="J15" s="1099"/>
      <c r="K15" s="1087">
        <v>5</v>
      </c>
      <c r="L15" s="1509">
        <f t="shared" si="0"/>
        <v>0.1111111111111111</v>
      </c>
      <c r="M15" s="1100"/>
      <c r="N15" s="1101"/>
      <c r="O15" s="1087">
        <v>792</v>
      </c>
      <c r="P15" s="1100"/>
      <c r="Q15" s="1101"/>
      <c r="R15" s="1087">
        <v>88</v>
      </c>
      <c r="S15" s="1516">
        <f t="shared" si="1"/>
        <v>4.3111111111111109</v>
      </c>
      <c r="T15" s="1516">
        <f t="shared" si="2"/>
        <v>3.1090715016882169</v>
      </c>
      <c r="U15" s="1100"/>
      <c r="V15" s="1101"/>
      <c r="W15" s="1531">
        <f t="shared" si="3"/>
        <v>225.45599999999999</v>
      </c>
      <c r="X15" s="856">
        <v>2.5619999999999998</v>
      </c>
      <c r="Y15" s="862">
        <v>0.8240402314996107</v>
      </c>
    </row>
    <row r="16" spans="1:25" s="866" customFormat="1">
      <c r="A16" s="856" t="s">
        <v>35</v>
      </c>
      <c r="B16" s="961"/>
      <c r="C16" s="1072" t="s">
        <v>263</v>
      </c>
      <c r="D16" s="960"/>
      <c r="E16" s="1071" t="s">
        <v>79</v>
      </c>
      <c r="F16" s="1072" t="s">
        <v>264</v>
      </c>
      <c r="G16" s="1073" t="s">
        <v>140</v>
      </c>
      <c r="H16" s="1087">
        <v>19</v>
      </c>
      <c r="I16" s="1087">
        <v>2190</v>
      </c>
      <c r="J16" s="966"/>
      <c r="K16" s="1087">
        <v>5</v>
      </c>
      <c r="L16" s="1306">
        <f t="shared" si="0"/>
        <v>0.12235294117647059</v>
      </c>
      <c r="M16" s="969"/>
      <c r="N16" s="966"/>
      <c r="O16" s="1087">
        <v>850</v>
      </c>
      <c r="P16" s="969"/>
      <c r="Q16" s="966"/>
      <c r="R16" s="1087">
        <v>104</v>
      </c>
      <c r="S16" s="1314">
        <f t="shared" si="1"/>
        <v>3.7195294117647064</v>
      </c>
      <c r="T16" s="1314">
        <f t="shared" si="2"/>
        <v>3.225937987864453</v>
      </c>
      <c r="U16" s="969"/>
      <c r="V16" s="966"/>
      <c r="W16" s="1528">
        <f t="shared" si="3"/>
        <v>249.39200000000002</v>
      </c>
      <c r="X16" s="856">
        <v>2.3980000000000001</v>
      </c>
      <c r="Y16" s="862">
        <v>0.74334968899617881</v>
      </c>
    </row>
    <row r="17" spans="1:25" s="866" customFormat="1">
      <c r="A17" s="856" t="s">
        <v>35</v>
      </c>
      <c r="B17" s="961"/>
      <c r="C17" s="1072" t="s">
        <v>265</v>
      </c>
      <c r="D17" s="960"/>
      <c r="E17" s="1071" t="s">
        <v>79</v>
      </c>
      <c r="F17" s="1072" t="s">
        <v>266</v>
      </c>
      <c r="G17" s="1073" t="s">
        <v>242</v>
      </c>
      <c r="H17" s="1087">
        <v>34</v>
      </c>
      <c r="I17" s="1087">
        <v>2940</v>
      </c>
      <c r="J17" s="966"/>
      <c r="K17" s="1087">
        <v>9</v>
      </c>
      <c r="L17" s="1306">
        <f t="shared" si="0"/>
        <v>0.1130952380952381</v>
      </c>
      <c r="M17" s="969"/>
      <c r="N17" s="966"/>
      <c r="O17" s="1087">
        <v>672</v>
      </c>
      <c r="P17" s="969"/>
      <c r="Q17" s="966"/>
      <c r="R17" s="1087">
        <v>76</v>
      </c>
      <c r="S17" s="1314">
        <f t="shared" si="1"/>
        <v>4.085</v>
      </c>
      <c r="T17" s="1314">
        <f t="shared" si="2"/>
        <v>3.1512292485479279</v>
      </c>
      <c r="U17" s="969"/>
      <c r="V17" s="966"/>
      <c r="W17" s="1528">
        <f t="shared" si="3"/>
        <v>222.90799999999999</v>
      </c>
      <c r="X17" s="856">
        <v>2.9329999999999998</v>
      </c>
      <c r="Y17" s="862">
        <v>0.93074789825320181</v>
      </c>
    </row>
    <row r="18" spans="1:25" s="866" customFormat="1">
      <c r="A18" s="856" t="s">
        <v>35</v>
      </c>
      <c r="B18" s="961"/>
      <c r="C18" s="1072" t="s">
        <v>267</v>
      </c>
      <c r="D18" s="960"/>
      <c r="E18" s="1071" t="s">
        <v>79</v>
      </c>
      <c r="F18" s="1072" t="s">
        <v>268</v>
      </c>
      <c r="G18" s="1073" t="s">
        <v>140</v>
      </c>
      <c r="H18" s="1087">
        <v>22</v>
      </c>
      <c r="I18" s="1087">
        <v>2168</v>
      </c>
      <c r="J18" s="966"/>
      <c r="K18" s="1087">
        <v>6</v>
      </c>
      <c r="L18" s="1306">
        <f t="shared" si="0"/>
        <v>0.12851405622489959</v>
      </c>
      <c r="M18" s="969"/>
      <c r="N18" s="966"/>
      <c r="O18" s="1087">
        <v>498</v>
      </c>
      <c r="P18" s="969"/>
      <c r="Q18" s="966"/>
      <c r="R18" s="1087">
        <v>64</v>
      </c>
      <c r="S18" s="1314">
        <f t="shared" si="1"/>
        <v>3.4261847389558233</v>
      </c>
      <c r="T18" s="1314">
        <f t="shared" si="2"/>
        <v>3.2928755689738338</v>
      </c>
      <c r="U18" s="969"/>
      <c r="V18" s="966"/>
      <c r="W18" s="1528">
        <f t="shared" si="3"/>
        <v>158.01599999999999</v>
      </c>
      <c r="X18" s="856">
        <v>2.4689999999999999</v>
      </c>
      <c r="Y18" s="862">
        <v>0.749800576512346</v>
      </c>
    </row>
    <row r="19" spans="1:25" s="866" customFormat="1">
      <c r="A19" s="856" t="s">
        <v>35</v>
      </c>
      <c r="B19" s="961"/>
      <c r="C19" s="1072" t="s">
        <v>269</v>
      </c>
      <c r="D19" s="960"/>
      <c r="E19" s="1071" t="s">
        <v>79</v>
      </c>
      <c r="F19" s="1072" t="s">
        <v>270</v>
      </c>
      <c r="G19" s="1073" t="s">
        <v>242</v>
      </c>
      <c r="H19" s="1087">
        <v>15</v>
      </c>
      <c r="I19" s="1087">
        <v>2166</v>
      </c>
      <c r="J19" s="966"/>
      <c r="K19" s="1087">
        <v>4</v>
      </c>
      <c r="L19" s="1306">
        <f t="shared" si="0"/>
        <v>0.11538461538461539</v>
      </c>
      <c r="M19" s="969"/>
      <c r="N19" s="966"/>
      <c r="O19" s="1087">
        <v>520</v>
      </c>
      <c r="P19" s="969"/>
      <c r="Q19" s="966"/>
      <c r="R19" s="1087">
        <v>60</v>
      </c>
      <c r="S19" s="1314">
        <f t="shared" si="1"/>
        <v>3.0992307692307692</v>
      </c>
      <c r="T19" s="1314">
        <f t="shared" si="2"/>
        <v>3.3764827493661329</v>
      </c>
      <c r="U19" s="969"/>
      <c r="V19" s="966"/>
      <c r="W19" s="1528">
        <f t="shared" si="3"/>
        <v>176.1</v>
      </c>
      <c r="X19" s="856">
        <v>2.9350000000000001</v>
      </c>
      <c r="Y19" s="862">
        <v>0.8692477402856531</v>
      </c>
    </row>
    <row r="20" spans="1:25" s="866" customFormat="1">
      <c r="A20" s="856" t="s">
        <v>35</v>
      </c>
      <c r="B20" s="961"/>
      <c r="C20" s="1072" t="s">
        <v>271</v>
      </c>
      <c r="D20" s="960"/>
      <c r="E20" s="1071" t="s">
        <v>79</v>
      </c>
      <c r="F20" s="1072" t="s">
        <v>272</v>
      </c>
      <c r="G20" s="1073" t="s">
        <v>140</v>
      </c>
      <c r="H20" s="1087">
        <v>10</v>
      </c>
      <c r="I20" s="1087">
        <v>1352</v>
      </c>
      <c r="J20" s="966"/>
      <c r="K20" s="1087">
        <v>3</v>
      </c>
      <c r="L20" s="1306">
        <f t="shared" si="0"/>
        <v>0.13821138211382114</v>
      </c>
      <c r="M20" s="969"/>
      <c r="N20" s="966"/>
      <c r="O20" s="1087">
        <v>492</v>
      </c>
      <c r="P20" s="969"/>
      <c r="Q20" s="966"/>
      <c r="R20" s="1087">
        <v>68</v>
      </c>
      <c r="S20" s="1314">
        <f t="shared" si="1"/>
        <v>2.548617886178862</v>
      </c>
      <c r="T20" s="1314">
        <f t="shared" si="2"/>
        <v>3.5456987342550512</v>
      </c>
      <c r="U20" s="969"/>
      <c r="V20" s="966"/>
      <c r="W20" s="1528">
        <f t="shared" si="3"/>
        <v>198.56</v>
      </c>
      <c r="X20" s="856">
        <v>2.92</v>
      </c>
      <c r="Y20" s="862">
        <v>0.82353302377041626</v>
      </c>
    </row>
    <row r="21" spans="1:25" s="866" customFormat="1">
      <c r="A21" s="856" t="s">
        <v>35</v>
      </c>
      <c r="B21" s="961"/>
      <c r="C21" s="1072" t="s">
        <v>273</v>
      </c>
      <c r="D21" s="960"/>
      <c r="E21" s="1071" t="s">
        <v>79</v>
      </c>
      <c r="F21" s="1072" t="s">
        <v>274</v>
      </c>
      <c r="G21" s="1073" t="s">
        <v>242</v>
      </c>
      <c r="H21" s="1087">
        <v>16</v>
      </c>
      <c r="I21" s="1087">
        <v>2804</v>
      </c>
      <c r="J21" s="966"/>
      <c r="K21" s="1087">
        <v>4</v>
      </c>
      <c r="L21" s="1306">
        <f t="shared" si="0"/>
        <v>0.11904761904761904</v>
      </c>
      <c r="M21" s="969"/>
      <c r="N21" s="974"/>
      <c r="O21" s="1087">
        <v>336</v>
      </c>
      <c r="P21" s="969"/>
      <c r="Q21" s="966"/>
      <c r="R21" s="1087">
        <v>40</v>
      </c>
      <c r="S21" s="1314">
        <f t="shared" si="1"/>
        <v>3.7380952380952381</v>
      </c>
      <c r="T21" s="1314">
        <f t="shared" si="2"/>
        <v>3.2219249763002038</v>
      </c>
      <c r="U21" s="969"/>
      <c r="V21" s="966"/>
      <c r="W21" s="1528">
        <f t="shared" si="3"/>
        <v>101.28</v>
      </c>
      <c r="X21" s="856">
        <v>2.532</v>
      </c>
      <c r="Y21" s="862">
        <v>0.78586559855516647</v>
      </c>
    </row>
    <row r="22" spans="1:25" s="866" customFormat="1">
      <c r="A22" s="856" t="s">
        <v>35</v>
      </c>
      <c r="B22" s="961"/>
      <c r="C22" s="1072" t="s">
        <v>275</v>
      </c>
      <c r="D22" s="960"/>
      <c r="E22" s="1071" t="s">
        <v>79</v>
      </c>
      <c r="F22" s="1072" t="s">
        <v>276</v>
      </c>
      <c r="G22" s="1073" t="s">
        <v>140</v>
      </c>
      <c r="H22" s="1087">
        <v>17</v>
      </c>
      <c r="I22" s="1087">
        <v>2496</v>
      </c>
      <c r="J22" s="966"/>
      <c r="K22" s="1087">
        <v>5</v>
      </c>
      <c r="L22" s="1306">
        <f t="shared" si="0"/>
        <v>0.1293800539083558</v>
      </c>
      <c r="M22" s="969"/>
      <c r="N22" s="966"/>
      <c r="O22" s="1087">
        <v>742</v>
      </c>
      <c r="P22" s="969"/>
      <c r="Q22" s="966"/>
      <c r="R22" s="1087">
        <v>96</v>
      </c>
      <c r="S22" s="1314">
        <f t="shared" si="1"/>
        <v>4.1893261455525606</v>
      </c>
      <c r="T22" s="1314">
        <f t="shared" si="2"/>
        <v>3.1314246861576596</v>
      </c>
      <c r="U22" s="969"/>
      <c r="V22" s="966"/>
      <c r="W22" s="1528">
        <f t="shared" si="3"/>
        <v>251.32799999999997</v>
      </c>
      <c r="X22" s="856">
        <v>2.6179999999999999</v>
      </c>
      <c r="Y22" s="862">
        <v>0.8360411832903939</v>
      </c>
    </row>
    <row r="23" spans="1:25" s="844" customFormat="1">
      <c r="A23" s="834" t="s">
        <v>35</v>
      </c>
      <c r="B23" s="1283"/>
      <c r="C23" s="1429" t="s">
        <v>277</v>
      </c>
      <c r="D23" s="1274"/>
      <c r="E23" s="1429" t="s">
        <v>82</v>
      </c>
      <c r="F23" s="1429" t="s">
        <v>81</v>
      </c>
      <c r="G23" s="1430" t="s">
        <v>242</v>
      </c>
      <c r="H23" s="1438">
        <v>20</v>
      </c>
      <c r="I23" s="1438">
        <v>2704</v>
      </c>
      <c r="J23" s="1288"/>
      <c r="K23" s="1438">
        <v>5</v>
      </c>
      <c r="L23" s="1305">
        <f t="shared" si="0"/>
        <v>0.10504201680672269</v>
      </c>
      <c r="M23" s="1291"/>
      <c r="N23" s="1288"/>
      <c r="O23" s="1438">
        <v>476</v>
      </c>
      <c r="P23" s="1291"/>
      <c r="Q23" s="1288"/>
      <c r="R23" s="1438">
        <v>50</v>
      </c>
      <c r="S23" s="1313">
        <f t="shared" si="1"/>
        <v>3.3403361344537812</v>
      </c>
      <c r="T23" s="1313">
        <f t="shared" si="2"/>
        <v>3.3138318756886895</v>
      </c>
      <c r="U23" s="1291"/>
      <c r="V23" s="1288"/>
      <c r="W23" s="1532">
        <f t="shared" si="3"/>
        <v>200.99999999999997</v>
      </c>
      <c r="X23" s="834">
        <v>4.0199999999999996</v>
      </c>
      <c r="Y23" s="840">
        <v>1.2130971487998472</v>
      </c>
    </row>
    <row r="24" spans="1:25" s="844" customFormat="1">
      <c r="A24" s="834" t="s">
        <v>35</v>
      </c>
      <c r="B24" s="1283"/>
      <c r="C24" s="1429" t="s">
        <v>278</v>
      </c>
      <c r="D24" s="1274"/>
      <c r="E24" s="1429" t="s">
        <v>82</v>
      </c>
      <c r="F24" s="1429" t="s">
        <v>237</v>
      </c>
      <c r="G24" s="1430" t="s">
        <v>140</v>
      </c>
      <c r="H24" s="1438">
        <v>18</v>
      </c>
      <c r="I24" s="1438">
        <v>2648</v>
      </c>
      <c r="J24" s="1288"/>
      <c r="K24" s="1438">
        <v>5</v>
      </c>
      <c r="L24" s="1305">
        <f t="shared" si="0"/>
        <v>0.10052910052910052</v>
      </c>
      <c r="M24" s="1291"/>
      <c r="N24" s="1288"/>
      <c r="O24" s="1438">
        <v>756</v>
      </c>
      <c r="P24" s="1291"/>
      <c r="Q24" s="1288"/>
      <c r="R24" s="1438">
        <v>76</v>
      </c>
      <c r="S24" s="1313">
        <f t="shared" si="1"/>
        <v>3.4220105820105817</v>
      </c>
      <c r="T24" s="1313">
        <f t="shared" si="2"/>
        <v>3.2938792695971184</v>
      </c>
      <c r="U24" s="1291"/>
      <c r="V24" s="1288"/>
      <c r="W24" s="1532">
        <f t="shared" si="3"/>
        <v>279.37600000000003</v>
      </c>
      <c r="X24" s="834">
        <v>3.6760000000000002</v>
      </c>
      <c r="Y24" s="840">
        <v>1.1160093309824379</v>
      </c>
    </row>
    <row r="25" spans="1:25" s="844" customFormat="1">
      <c r="A25" s="834" t="s">
        <v>35</v>
      </c>
      <c r="B25" s="1283"/>
      <c r="C25" s="1429" t="s">
        <v>279</v>
      </c>
      <c r="D25" s="1274"/>
      <c r="E25" s="1429" t="s">
        <v>82</v>
      </c>
      <c r="F25" s="1429" t="s">
        <v>245</v>
      </c>
      <c r="G25" s="1430" t="s">
        <v>242</v>
      </c>
      <c r="H25" s="1438">
        <v>25</v>
      </c>
      <c r="I25" s="1438">
        <v>2668</v>
      </c>
      <c r="J25" s="1288"/>
      <c r="K25" s="1438">
        <v>7</v>
      </c>
      <c r="L25" s="1305">
        <f t="shared" si="0"/>
        <v>0.10946196660482375</v>
      </c>
      <c r="M25" s="1291"/>
      <c r="N25" s="1288"/>
      <c r="O25" s="1438">
        <v>1078</v>
      </c>
      <c r="P25" s="1291"/>
      <c r="Q25" s="1288"/>
      <c r="R25" s="1438">
        <v>118</v>
      </c>
      <c r="S25" s="1313">
        <f t="shared" si="1"/>
        <v>4.1004452690166975</v>
      </c>
      <c r="T25" s="1313">
        <f t="shared" si="2"/>
        <v>3.1482575905025789</v>
      </c>
      <c r="U25" s="1291"/>
      <c r="V25" s="1288"/>
      <c r="W25" s="1532">
        <f t="shared" si="3"/>
        <v>476.72</v>
      </c>
      <c r="X25" s="834">
        <v>4.04</v>
      </c>
      <c r="Y25" s="840">
        <v>1.2832495067073169</v>
      </c>
    </row>
    <row r="26" spans="1:25" s="844" customFormat="1" ht="15.75" thickBot="1">
      <c r="A26" s="834" t="s">
        <v>35</v>
      </c>
      <c r="B26" s="1294"/>
      <c r="C26" s="1429" t="s">
        <v>280</v>
      </c>
      <c r="D26" s="1293"/>
      <c r="E26" s="1429" t="s">
        <v>82</v>
      </c>
      <c r="F26" s="1429" t="s">
        <v>247</v>
      </c>
      <c r="G26" s="1430" t="s">
        <v>140</v>
      </c>
      <c r="H26" s="1438">
        <v>26</v>
      </c>
      <c r="I26" s="1438">
        <v>3184</v>
      </c>
      <c r="J26" s="1299"/>
      <c r="K26" s="1438">
        <v>7</v>
      </c>
      <c r="L26" s="1307">
        <f t="shared" si="0"/>
        <v>9.8253275109170299E-2</v>
      </c>
      <c r="M26" s="1302"/>
      <c r="N26" s="1299"/>
      <c r="O26" s="1438">
        <v>916</v>
      </c>
      <c r="P26" s="1302"/>
      <c r="Q26" s="1299"/>
      <c r="R26" s="1438">
        <v>90</v>
      </c>
      <c r="S26" s="1315">
        <f t="shared" si="1"/>
        <v>4.0283842794759828</v>
      </c>
      <c r="T26" s="1315">
        <f t="shared" si="2"/>
        <v>3.1622433712708884</v>
      </c>
      <c r="U26" s="1302"/>
      <c r="V26" s="1299"/>
      <c r="W26" s="1533">
        <f t="shared" si="3"/>
        <v>396.90000000000003</v>
      </c>
      <c r="X26" s="834">
        <v>4.41</v>
      </c>
      <c r="Y26" s="840">
        <v>1.3945795697020134</v>
      </c>
    </row>
    <row r="27" spans="1:25" s="844" customFormat="1" ht="15.75" thickTop="1">
      <c r="A27" s="834" t="s">
        <v>35</v>
      </c>
      <c r="B27" s="1273"/>
      <c r="C27" s="1429" t="s">
        <v>281</v>
      </c>
      <c r="D27" s="1272"/>
      <c r="E27" s="1429" t="s">
        <v>82</v>
      </c>
      <c r="F27" s="1429" t="s">
        <v>249</v>
      </c>
      <c r="G27" s="1439" t="s">
        <v>282</v>
      </c>
      <c r="H27" s="1438">
        <v>24</v>
      </c>
      <c r="I27" s="1438">
        <v>2862</v>
      </c>
      <c r="J27" s="1279"/>
      <c r="K27" s="1438">
        <v>6</v>
      </c>
      <c r="L27" s="1510">
        <f t="shared" si="0"/>
        <v>0.10837438423645321</v>
      </c>
      <c r="M27" s="1281"/>
      <c r="N27" s="1282"/>
      <c r="O27" s="1438">
        <v>812</v>
      </c>
      <c r="P27" s="1281"/>
      <c r="Q27" s="1282"/>
      <c r="R27" s="1438">
        <v>88</v>
      </c>
      <c r="S27" s="1519">
        <f t="shared" si="1"/>
        <v>3.9816748768472912</v>
      </c>
      <c r="T27" s="1519">
        <f t="shared" si="2"/>
        <v>3.1714769934173317</v>
      </c>
      <c r="U27" s="1281"/>
      <c r="V27" s="1282"/>
      <c r="W27" s="1519">
        <f t="shared" si="3"/>
        <v>362.64800000000002</v>
      </c>
      <c r="X27" s="834">
        <v>4.1210000000000004</v>
      </c>
      <c r="Y27" s="840">
        <v>1.2993945750051106</v>
      </c>
    </row>
    <row r="28" spans="1:25" s="844" customFormat="1">
      <c r="A28" s="834" t="s">
        <v>35</v>
      </c>
      <c r="B28" s="1283"/>
      <c r="C28" s="1429" t="s">
        <v>283</v>
      </c>
      <c r="D28" s="1274"/>
      <c r="E28" s="1429" t="s">
        <v>82</v>
      </c>
      <c r="F28" s="1429" t="s">
        <v>251</v>
      </c>
      <c r="G28" s="1430" t="s">
        <v>242</v>
      </c>
      <c r="H28" s="1438">
        <v>14</v>
      </c>
      <c r="I28" s="1438">
        <v>2894</v>
      </c>
      <c r="J28" s="1288"/>
      <c r="K28" s="1438">
        <v>4</v>
      </c>
      <c r="L28" s="1511">
        <f t="shared" si="0"/>
        <v>9.7701149425287362E-2</v>
      </c>
      <c r="M28" s="1291"/>
      <c r="N28" s="1288"/>
      <c r="O28" s="1438">
        <v>348</v>
      </c>
      <c r="P28" s="1291"/>
      <c r="Q28" s="1288"/>
      <c r="R28" s="1438">
        <v>34</v>
      </c>
      <c r="S28" s="1520">
        <f t="shared" si="1"/>
        <v>3.1674712643678165</v>
      </c>
      <c r="T28" s="1520">
        <f t="shared" si="2"/>
        <v>3.3581480826170909</v>
      </c>
      <c r="U28" s="1291"/>
      <c r="V28" s="1288"/>
      <c r="W28" s="1520">
        <f t="shared" si="3"/>
        <v>140.55600000000001</v>
      </c>
      <c r="X28" s="834">
        <v>4.1340000000000003</v>
      </c>
      <c r="Y28" s="840">
        <v>1.2310356477127917</v>
      </c>
    </row>
    <row r="29" spans="1:25" s="844" customFormat="1">
      <c r="A29" s="834" t="s">
        <v>35</v>
      </c>
      <c r="B29" s="1283"/>
      <c r="C29" s="1429" t="s">
        <v>284</v>
      </c>
      <c r="D29" s="1274"/>
      <c r="E29" s="1429" t="s">
        <v>82</v>
      </c>
      <c r="F29" s="1429" t="s">
        <v>253</v>
      </c>
      <c r="G29" s="1430" t="s">
        <v>140</v>
      </c>
      <c r="H29" s="1438">
        <v>15</v>
      </c>
      <c r="I29" s="1438">
        <v>2386</v>
      </c>
      <c r="J29" s="1288"/>
      <c r="K29" s="1438">
        <v>4</v>
      </c>
      <c r="L29" s="1511">
        <f t="shared" si="0"/>
        <v>0.1044776119402985</v>
      </c>
      <c r="M29" s="1291"/>
      <c r="N29" s="1288"/>
      <c r="O29" s="1438">
        <v>670</v>
      </c>
      <c r="P29" s="1291"/>
      <c r="Q29" s="1288"/>
      <c r="R29" s="1438">
        <v>70</v>
      </c>
      <c r="S29" s="1520">
        <f t="shared" si="1"/>
        <v>3.1928358208955223</v>
      </c>
      <c r="T29" s="1520">
        <f t="shared" si="2"/>
        <v>3.3514586632572807</v>
      </c>
      <c r="U29" s="1291"/>
      <c r="V29" s="1288"/>
      <c r="W29" s="1520">
        <f t="shared" si="3"/>
        <v>311.99</v>
      </c>
      <c r="X29" s="834">
        <v>4.4569999999999999</v>
      </c>
      <c r="Y29" s="840">
        <v>1.3298687072775184</v>
      </c>
    </row>
    <row r="30" spans="1:25" s="844" customFormat="1">
      <c r="A30" s="834" t="s">
        <v>35</v>
      </c>
      <c r="B30" s="1283"/>
      <c r="C30" s="1429" t="s">
        <v>285</v>
      </c>
      <c r="D30" s="1274"/>
      <c r="E30" s="1429" t="s">
        <v>82</v>
      </c>
      <c r="F30" s="1429" t="s">
        <v>255</v>
      </c>
      <c r="G30" s="1430" t="s">
        <v>242</v>
      </c>
      <c r="H30" s="1438">
        <v>28</v>
      </c>
      <c r="I30" s="1438">
        <v>2382</v>
      </c>
      <c r="J30" s="1288"/>
      <c r="K30" s="1438">
        <v>8</v>
      </c>
      <c r="L30" s="1511">
        <f t="shared" si="0"/>
        <v>0.10804020100502512</v>
      </c>
      <c r="M30" s="1291"/>
      <c r="N30" s="1288"/>
      <c r="O30" s="1438">
        <v>796</v>
      </c>
      <c r="P30" s="1291"/>
      <c r="Q30" s="1288"/>
      <c r="R30" s="1438">
        <v>86</v>
      </c>
      <c r="S30" s="1520">
        <f t="shared" si="1"/>
        <v>3.4335175879396984</v>
      </c>
      <c r="T30" s="1520">
        <f t="shared" si="2"/>
        <v>3.2911160380530626</v>
      </c>
      <c r="U30" s="1291"/>
      <c r="V30" s="1288"/>
      <c r="W30" s="1520">
        <f t="shared" si="3"/>
        <v>336.86199999999997</v>
      </c>
      <c r="X30" s="834">
        <v>3.9169999999999998</v>
      </c>
      <c r="Y30" s="840">
        <v>1.1901737753121562</v>
      </c>
    </row>
    <row r="31" spans="1:25" s="844" customFormat="1">
      <c r="A31" s="834" t="s">
        <v>35</v>
      </c>
      <c r="B31" s="1283"/>
      <c r="C31" s="1429" t="s">
        <v>286</v>
      </c>
      <c r="D31" s="1274"/>
      <c r="E31" s="1429" t="s">
        <v>82</v>
      </c>
      <c r="F31" s="1429" t="s">
        <v>238</v>
      </c>
      <c r="G31" s="1430" t="s">
        <v>140</v>
      </c>
      <c r="H31" s="1438">
        <v>19</v>
      </c>
      <c r="I31" s="1438">
        <v>3484</v>
      </c>
      <c r="J31" s="1288"/>
      <c r="K31" s="1438">
        <v>5</v>
      </c>
      <c r="L31" s="1511">
        <f t="shared" si="0"/>
        <v>0.10112359550561797</v>
      </c>
      <c r="M31" s="1291"/>
      <c r="N31" s="1288"/>
      <c r="O31" s="1438">
        <v>890</v>
      </c>
      <c r="P31" s="1291"/>
      <c r="Q31" s="1288"/>
      <c r="R31" s="1438">
        <v>90</v>
      </c>
      <c r="S31" s="1520">
        <f t="shared" si="1"/>
        <v>4.4231460674157299</v>
      </c>
      <c r="T31" s="1520">
        <f t="shared" si="2"/>
        <v>3.0891940780115834</v>
      </c>
      <c r="U31" s="1291"/>
      <c r="V31" s="1288"/>
      <c r="W31" s="1520">
        <f t="shared" si="3"/>
        <v>344.43</v>
      </c>
      <c r="X31" s="834">
        <v>3.827</v>
      </c>
      <c r="Y31" s="840">
        <v>1.2388344349226899</v>
      </c>
    </row>
    <row r="32" spans="1:25" s="844" customFormat="1">
      <c r="A32" s="834" t="s">
        <v>35</v>
      </c>
      <c r="B32" s="1283"/>
      <c r="C32" s="1429" t="s">
        <v>287</v>
      </c>
      <c r="D32" s="1274"/>
      <c r="E32" s="1429" t="s">
        <v>82</v>
      </c>
      <c r="F32" s="1429" t="s">
        <v>258</v>
      </c>
      <c r="G32" s="1430" t="s">
        <v>242</v>
      </c>
      <c r="H32" s="1438">
        <v>13</v>
      </c>
      <c r="I32" s="1438">
        <v>2622</v>
      </c>
      <c r="J32" s="1288"/>
      <c r="K32" s="1438">
        <v>4</v>
      </c>
      <c r="L32" s="1511">
        <f t="shared" si="0"/>
        <v>9.841269841269841E-2</v>
      </c>
      <c r="M32" s="1291"/>
      <c r="N32" s="1288"/>
      <c r="O32" s="1438">
        <v>1260</v>
      </c>
      <c r="P32" s="1291"/>
      <c r="Q32" s="1288"/>
      <c r="R32" s="1438">
        <v>124</v>
      </c>
      <c r="S32" s="1520">
        <f t="shared" si="1"/>
        <v>3.8203809523809524</v>
      </c>
      <c r="T32" s="1520">
        <f t="shared" si="2"/>
        <v>3.2044341117180415</v>
      </c>
      <c r="U32" s="1291"/>
      <c r="V32" s="1288"/>
      <c r="W32" s="1520">
        <f t="shared" si="3"/>
        <v>504.30799999999999</v>
      </c>
      <c r="X32" s="834">
        <v>4.0670000000000002</v>
      </c>
      <c r="Y32" s="840">
        <v>1.2691788497468897</v>
      </c>
    </row>
    <row r="33" spans="1:25" s="844" customFormat="1">
      <c r="A33" s="834" t="s">
        <v>35</v>
      </c>
      <c r="B33" s="1283"/>
      <c r="C33" s="1429" t="s">
        <v>288</v>
      </c>
      <c r="D33" s="1274"/>
      <c r="E33" s="1429" t="s">
        <v>82</v>
      </c>
      <c r="F33" s="1429" t="s">
        <v>260</v>
      </c>
      <c r="G33" s="1430" t="s">
        <v>242</v>
      </c>
      <c r="H33" s="1438">
        <v>14</v>
      </c>
      <c r="I33" s="1438">
        <v>2816</v>
      </c>
      <c r="J33" s="1288"/>
      <c r="K33" s="1438">
        <v>4</v>
      </c>
      <c r="L33" s="1511">
        <f t="shared" si="0"/>
        <v>0.1048951048951049</v>
      </c>
      <c r="M33" s="1291"/>
      <c r="N33" s="1442"/>
      <c r="O33" s="1438">
        <v>858</v>
      </c>
      <c r="P33" s="1291"/>
      <c r="Q33" s="1288"/>
      <c r="R33" s="1438">
        <v>90</v>
      </c>
      <c r="S33" s="1521">
        <f t="shared" si="1"/>
        <v>3.8538461538461535</v>
      </c>
      <c r="T33" s="1521">
        <f t="shared" si="2"/>
        <v>3.1974548493764137</v>
      </c>
      <c r="U33" s="1291"/>
      <c r="V33" s="1288"/>
      <c r="W33" s="1521">
        <f t="shared" si="3"/>
        <v>362.88</v>
      </c>
      <c r="X33" s="834">
        <v>4.032</v>
      </c>
      <c r="Y33" s="840">
        <v>1.2610029507645257</v>
      </c>
    </row>
    <row r="34" spans="1:25" s="844" customFormat="1">
      <c r="A34" s="834" t="s">
        <v>35</v>
      </c>
      <c r="B34" s="1283"/>
      <c r="C34" s="1429" t="s">
        <v>289</v>
      </c>
      <c r="D34" s="1274"/>
      <c r="E34" s="1429" t="s">
        <v>82</v>
      </c>
      <c r="F34" s="1429" t="s">
        <v>239</v>
      </c>
      <c r="G34" s="1430" t="s">
        <v>140</v>
      </c>
      <c r="H34" s="1438">
        <v>20</v>
      </c>
      <c r="I34" s="1438">
        <v>2410</v>
      </c>
      <c r="J34" s="1288"/>
      <c r="K34" s="1438">
        <v>5</v>
      </c>
      <c r="L34" s="1511">
        <f t="shared" si="0"/>
        <v>0.1027190332326284</v>
      </c>
      <c r="M34" s="1291"/>
      <c r="N34" s="1288"/>
      <c r="O34" s="1438">
        <v>662</v>
      </c>
      <c r="P34" s="1291"/>
      <c r="Q34" s="1288"/>
      <c r="R34" s="1438">
        <v>68</v>
      </c>
      <c r="S34" s="1521">
        <f t="shared" si="1"/>
        <v>3.1555287009063444</v>
      </c>
      <c r="T34" s="1521">
        <f t="shared" si="2"/>
        <v>3.361320934707404</v>
      </c>
      <c r="U34" s="1291"/>
      <c r="V34" s="1288"/>
      <c r="W34" s="1521">
        <f t="shared" si="3"/>
        <v>270.43599999999998</v>
      </c>
      <c r="X34" s="834">
        <v>3.9769999999999999</v>
      </c>
      <c r="Y34" s="840">
        <v>1.1831658081010314</v>
      </c>
    </row>
    <row r="35" spans="1:25" s="844" customFormat="1">
      <c r="A35" s="834" t="s">
        <v>35</v>
      </c>
      <c r="B35" s="1283"/>
      <c r="C35" s="1429" t="s">
        <v>290</v>
      </c>
      <c r="D35" s="1274"/>
      <c r="E35" s="1429" t="s">
        <v>82</v>
      </c>
      <c r="F35" s="1429" t="s">
        <v>240</v>
      </c>
      <c r="G35" s="1430" t="s">
        <v>242</v>
      </c>
      <c r="H35" s="1438">
        <v>20</v>
      </c>
      <c r="I35" s="1438">
        <v>3076</v>
      </c>
      <c r="J35" s="1288"/>
      <c r="K35" s="1438">
        <v>6</v>
      </c>
      <c r="L35" s="1511">
        <f t="shared" si="0"/>
        <v>9.2402464065708415E-2</v>
      </c>
      <c r="M35" s="1291"/>
      <c r="N35" s="1288"/>
      <c r="O35" s="1438">
        <v>974</v>
      </c>
      <c r="P35" s="1291"/>
      <c r="Q35" s="1288"/>
      <c r="R35" s="1438">
        <v>90</v>
      </c>
      <c r="S35" s="1521">
        <f t="shared" si="1"/>
        <v>3.7422997946611907</v>
      </c>
      <c r="T35" s="1521">
        <f t="shared" si="2"/>
        <v>3.2210196187770652</v>
      </c>
      <c r="U35" s="1291"/>
      <c r="V35" s="1288"/>
      <c r="W35" s="1521">
        <f t="shared" si="3"/>
        <v>373.14</v>
      </c>
      <c r="X35" s="834">
        <v>4.1459999999999999</v>
      </c>
      <c r="Y35" s="840">
        <v>1.2871700550442859</v>
      </c>
    </row>
    <row r="36" spans="1:25" s="844" customFormat="1">
      <c r="A36" s="834" t="s">
        <v>35</v>
      </c>
      <c r="B36" s="1283"/>
      <c r="C36" s="1429" t="s">
        <v>291</v>
      </c>
      <c r="D36" s="1274"/>
      <c r="E36" s="1429" t="s">
        <v>82</v>
      </c>
      <c r="F36" s="1429" t="s">
        <v>264</v>
      </c>
      <c r="G36" s="1430" t="s">
        <v>242</v>
      </c>
      <c r="H36" s="1438">
        <v>22</v>
      </c>
      <c r="I36" s="1438">
        <v>3478</v>
      </c>
      <c r="J36" s="1288"/>
      <c r="K36" s="1438">
        <v>6</v>
      </c>
      <c r="L36" s="1511">
        <f t="shared" si="0"/>
        <v>0.10682492581602374</v>
      </c>
      <c r="M36" s="1291"/>
      <c r="N36" s="1288"/>
      <c r="O36" s="1438">
        <v>674</v>
      </c>
      <c r="P36" s="1291"/>
      <c r="Q36" s="1288"/>
      <c r="R36" s="1438">
        <v>72</v>
      </c>
      <c r="S36" s="1521">
        <f t="shared" si="1"/>
        <v>4.4353709198813052</v>
      </c>
      <c r="T36" s="1521">
        <f t="shared" si="2"/>
        <v>3.0870632507050417</v>
      </c>
      <c r="U36" s="1291"/>
      <c r="V36" s="1288"/>
      <c r="W36" s="1521">
        <f t="shared" si="3"/>
        <v>258.048</v>
      </c>
      <c r="X36" s="834">
        <v>3.5840000000000001</v>
      </c>
      <c r="Y36" s="840">
        <v>1.160973944794123</v>
      </c>
    </row>
    <row r="37" spans="1:25" s="844" customFormat="1">
      <c r="A37" s="834" t="s">
        <v>35</v>
      </c>
      <c r="B37" s="1283"/>
      <c r="C37" s="1429" t="s">
        <v>292</v>
      </c>
      <c r="D37" s="1274"/>
      <c r="E37" s="1429" t="s">
        <v>82</v>
      </c>
      <c r="F37" s="1429" t="s">
        <v>266</v>
      </c>
      <c r="G37" s="1430" t="s">
        <v>242</v>
      </c>
      <c r="H37" s="1438">
        <v>23</v>
      </c>
      <c r="I37" s="1438">
        <v>3106</v>
      </c>
      <c r="J37" s="1288"/>
      <c r="K37" s="1438">
        <v>6</v>
      </c>
      <c r="L37" s="1511">
        <f t="shared" si="0"/>
        <v>0.1023391812865497</v>
      </c>
      <c r="M37" s="1291"/>
      <c r="N37" s="1288"/>
      <c r="O37" s="1438">
        <v>684</v>
      </c>
      <c r="P37" s="1291"/>
      <c r="Q37" s="1288"/>
      <c r="R37" s="1438">
        <v>70</v>
      </c>
      <c r="S37" s="1521">
        <f t="shared" si="1"/>
        <v>3.8786549707602336</v>
      </c>
      <c r="T37" s="1521">
        <f t="shared" si="2"/>
        <v>3.1923296156294101</v>
      </c>
      <c r="U37" s="1291"/>
      <c r="V37" s="1288"/>
      <c r="W37" s="1521">
        <f t="shared" si="3"/>
        <v>269.99</v>
      </c>
      <c r="X37" s="834">
        <v>3.8570000000000002</v>
      </c>
      <c r="Y37" s="840">
        <v>1.2082085700412681</v>
      </c>
    </row>
    <row r="38" spans="1:25" s="844" customFormat="1" ht="15.75" thickBot="1">
      <c r="A38" s="834" t="s">
        <v>35</v>
      </c>
      <c r="B38" s="1294"/>
      <c r="C38" s="1429" t="s">
        <v>293</v>
      </c>
      <c r="D38" s="1293"/>
      <c r="E38" s="1429" t="s">
        <v>82</v>
      </c>
      <c r="F38" s="1429" t="s">
        <v>268</v>
      </c>
      <c r="G38" s="1430" t="s">
        <v>140</v>
      </c>
      <c r="H38" s="1438">
        <v>17</v>
      </c>
      <c r="I38" s="1438">
        <v>1550</v>
      </c>
      <c r="J38" s="1299"/>
      <c r="K38" s="1438">
        <v>5</v>
      </c>
      <c r="L38" s="1512">
        <f t="shared" si="0"/>
        <v>0.11413043478260869</v>
      </c>
      <c r="M38" s="1295"/>
      <c r="N38" s="1299"/>
      <c r="O38" s="1438">
        <v>736</v>
      </c>
      <c r="P38" s="1302"/>
      <c r="Q38" s="1299"/>
      <c r="R38" s="1438">
        <v>84</v>
      </c>
      <c r="S38" s="1522">
        <f t="shared" si="1"/>
        <v>2.6090217391304349</v>
      </c>
      <c r="T38" s="1522">
        <f t="shared" si="2"/>
        <v>3.5249956837895549</v>
      </c>
      <c r="U38" s="1302"/>
      <c r="V38" s="1299"/>
      <c r="W38" s="1522">
        <f t="shared" si="3"/>
        <v>392.44799999999998</v>
      </c>
      <c r="X38" s="834">
        <v>4.6719999999999997</v>
      </c>
      <c r="Y38" s="840">
        <v>1.3253916938069423</v>
      </c>
    </row>
    <row r="39" spans="1:25" s="844" customFormat="1" ht="15.75" thickTop="1">
      <c r="A39" s="834" t="s">
        <v>35</v>
      </c>
      <c r="B39" s="772"/>
      <c r="C39" s="1429" t="s">
        <v>294</v>
      </c>
      <c r="D39" s="772"/>
      <c r="E39" s="1429" t="s">
        <v>82</v>
      </c>
      <c r="F39" s="1429" t="s">
        <v>270</v>
      </c>
      <c r="G39" s="1430" t="s">
        <v>242</v>
      </c>
      <c r="H39" s="1438">
        <v>16</v>
      </c>
      <c r="I39" s="1438">
        <v>2514</v>
      </c>
      <c r="J39" s="772"/>
      <c r="K39" s="1438">
        <v>4</v>
      </c>
      <c r="L39" s="1513">
        <f t="shared" si="0"/>
        <v>0.10093896713615023</v>
      </c>
      <c r="M39" s="772"/>
      <c r="N39" s="772"/>
      <c r="O39" s="1438">
        <v>852</v>
      </c>
      <c r="P39" s="772"/>
      <c r="Q39" s="772"/>
      <c r="R39" s="1438">
        <v>86</v>
      </c>
      <c r="S39" s="1523">
        <f t="shared" si="1"/>
        <v>3.3976056338028173</v>
      </c>
      <c r="T39" s="1523">
        <f t="shared" si="2"/>
        <v>3.2997783741880173</v>
      </c>
      <c r="U39" s="772"/>
      <c r="V39" s="772"/>
      <c r="W39" s="1523">
        <f t="shared" si="3"/>
        <v>349.15999999999997</v>
      </c>
      <c r="X39" s="834">
        <v>4.0599999999999996</v>
      </c>
      <c r="Y39" s="840">
        <v>1.2303856621883134</v>
      </c>
    </row>
    <row r="40" spans="1:25" s="844" customFormat="1">
      <c r="A40" s="834" t="s">
        <v>35</v>
      </c>
      <c r="C40" s="1429" t="s">
        <v>295</v>
      </c>
      <c r="D40" s="772"/>
      <c r="E40" s="1429" t="s">
        <v>82</v>
      </c>
      <c r="F40" s="1429" t="s">
        <v>272</v>
      </c>
      <c r="G40" s="1430" t="s">
        <v>242</v>
      </c>
      <c r="H40" s="1438">
        <v>22</v>
      </c>
      <c r="I40" s="1438">
        <v>2532</v>
      </c>
      <c r="K40" s="1438">
        <v>6</v>
      </c>
      <c r="L40" s="1514">
        <f t="shared" si="0"/>
        <v>0.11349693251533742</v>
      </c>
      <c r="O40" s="1438">
        <v>652</v>
      </c>
      <c r="R40" s="1438">
        <v>74</v>
      </c>
      <c r="S40" s="1523">
        <f t="shared" si="1"/>
        <v>3.6137423312883437</v>
      </c>
      <c r="T40" s="1523">
        <f t="shared" si="2"/>
        <v>3.2492918274872591</v>
      </c>
      <c r="U40" s="772"/>
      <c r="V40" s="772"/>
      <c r="W40" s="1523">
        <f t="shared" si="3"/>
        <v>283.86399999999998</v>
      </c>
      <c r="X40" s="834">
        <v>3.8359999999999999</v>
      </c>
      <c r="Y40" s="840">
        <v>1.1805649365038577</v>
      </c>
    </row>
    <row r="41" spans="1:25" s="844" customFormat="1">
      <c r="A41" s="834" t="s">
        <v>35</v>
      </c>
      <c r="B41" s="772"/>
      <c r="C41" s="1429" t="s">
        <v>296</v>
      </c>
      <c r="D41" s="772"/>
      <c r="E41" s="1429" t="s">
        <v>82</v>
      </c>
      <c r="F41" s="1429" t="s">
        <v>274</v>
      </c>
      <c r="G41" s="1439" t="s">
        <v>282</v>
      </c>
      <c r="H41" s="1438">
        <v>17</v>
      </c>
      <c r="I41" s="1438">
        <v>3030</v>
      </c>
      <c r="J41" s="772"/>
      <c r="K41" s="1438">
        <v>5</v>
      </c>
      <c r="L41" s="1513">
        <f t="shared" si="0"/>
        <v>0.11411992263056092</v>
      </c>
      <c r="M41" s="772"/>
      <c r="N41" s="772"/>
      <c r="O41" s="1438">
        <v>1034</v>
      </c>
      <c r="P41" s="772"/>
      <c r="Q41" s="772"/>
      <c r="R41" s="1438">
        <v>118</v>
      </c>
      <c r="S41" s="1523">
        <f t="shared" si="1"/>
        <v>4.6378336557059958</v>
      </c>
      <c r="T41" s="1523">
        <f t="shared" si="2"/>
        <v>3.0528061086228409</v>
      </c>
      <c r="U41" s="772"/>
      <c r="V41" s="772"/>
      <c r="W41" s="1523">
        <f t="shared" si="3"/>
        <v>419.13600000000002</v>
      </c>
      <c r="X41" s="834">
        <v>3.552</v>
      </c>
      <c r="Y41" s="840">
        <v>1.1635196843871463</v>
      </c>
    </row>
    <row r="42" spans="1:25" s="844" customFormat="1">
      <c r="A42" s="834" t="s">
        <v>35</v>
      </c>
      <c r="B42" s="772"/>
      <c r="C42" s="1429" t="s">
        <v>297</v>
      </c>
      <c r="D42" s="772"/>
      <c r="E42" s="1429" t="s">
        <v>82</v>
      </c>
      <c r="F42" s="1429" t="s">
        <v>276</v>
      </c>
      <c r="G42" s="1430" t="s">
        <v>242</v>
      </c>
      <c r="H42" s="1438">
        <v>24</v>
      </c>
      <c r="I42" s="1438">
        <v>2850</v>
      </c>
      <c r="J42" s="772"/>
      <c r="K42" s="1438">
        <v>6</v>
      </c>
      <c r="L42" s="1513">
        <f t="shared" si="0"/>
        <v>0.11273486430062631</v>
      </c>
      <c r="M42" s="772"/>
      <c r="N42" s="772"/>
      <c r="O42" s="1438">
        <v>958</v>
      </c>
      <c r="P42" s="772"/>
      <c r="Q42" s="772"/>
      <c r="R42" s="1438">
        <v>108</v>
      </c>
      <c r="S42" s="1523">
        <f t="shared" si="1"/>
        <v>4.2929436325678498</v>
      </c>
      <c r="T42" s="1523">
        <f t="shared" si="2"/>
        <v>3.1123556451834649</v>
      </c>
      <c r="U42" s="772"/>
      <c r="V42" s="772"/>
      <c r="W42" s="1523">
        <f t="shared" si="3"/>
        <v>440.74800000000005</v>
      </c>
      <c r="X42" s="834">
        <v>4.0810000000000004</v>
      </c>
      <c r="Y42" s="840">
        <v>1.3112254720361294</v>
      </c>
    </row>
    <row r="43" spans="1:25">
      <c r="A43" s="56" t="s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4"/>
      <c r="T43" s="4"/>
      <c r="U43" s="1"/>
      <c r="V43" s="1"/>
      <c r="W43" s="4"/>
      <c r="X43" s="4"/>
      <c r="Y43" s="4"/>
    </row>
    <row r="44" spans="1:25">
      <c r="A44" s="56" t="s">
        <v>42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4"/>
      <c r="T44" s="4"/>
      <c r="U44" s="1"/>
      <c r="V44" s="1"/>
      <c r="W44" s="4"/>
      <c r="X44" s="4"/>
      <c r="Y44" s="4"/>
    </row>
    <row r="45" spans="1:25">
      <c r="A45" s="55" t="s">
        <v>87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750" t="s">
        <v>390</v>
      </c>
      <c r="N45" s="751"/>
      <c r="O45" s="751"/>
      <c r="P45" s="1"/>
      <c r="Q45" s="1"/>
      <c r="R45" s="1"/>
      <c r="S45" s="4"/>
      <c r="T45" s="4"/>
      <c r="U45" s="1"/>
      <c r="V45" s="1"/>
      <c r="W45" s="4"/>
      <c r="X45" s="4"/>
      <c r="Y45" s="4"/>
    </row>
    <row r="46" spans="1:25">
      <c r="A46" s="55" t="s">
        <v>44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6"/>
      <c r="N46" s="752" t="s">
        <v>63</v>
      </c>
      <c r="O46" s="753" t="s">
        <v>64</v>
      </c>
      <c r="P46" s="1"/>
      <c r="Q46" s="1"/>
      <c r="R46" s="1"/>
      <c r="S46" s="4"/>
      <c r="T46" s="4"/>
      <c r="U46" s="1"/>
      <c r="V46" s="1"/>
      <c r="W46" s="4"/>
      <c r="X46" s="4"/>
      <c r="Y46" s="4"/>
    </row>
    <row r="47" spans="1:25">
      <c r="A47" s="55" t="s">
        <v>45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497" t="s">
        <v>391</v>
      </c>
      <c r="N47" s="774">
        <f>AVERAGE(Y3:Y22)</f>
        <v>0.81099486285445344</v>
      </c>
      <c r="O47" s="774">
        <f>AVERAGE(Y23:Y42)</f>
        <v>1.2438515161918198</v>
      </c>
      <c r="P47" s="1"/>
      <c r="Q47" s="1"/>
      <c r="R47" s="1"/>
      <c r="S47" s="4"/>
      <c r="T47" s="4"/>
      <c r="U47" s="1"/>
      <c r="V47" s="1"/>
      <c r="W47" s="4"/>
      <c r="X47" s="4"/>
      <c r="Y47" s="4"/>
    </row>
    <row r="48" spans="1:25">
      <c r="A48" s="56" t="s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497" t="s">
        <v>25</v>
      </c>
      <c r="N48" s="774">
        <f>AVERAGE(W3:W22)</f>
        <v>198.4195</v>
      </c>
      <c r="O48" s="774">
        <f>AVERAGE(W23:W42)</f>
        <v>338.73200000000008</v>
      </c>
      <c r="P48" s="1"/>
      <c r="Q48" s="1"/>
      <c r="R48" s="1"/>
      <c r="S48" s="4"/>
      <c r="T48" s="4"/>
      <c r="U48" s="1"/>
      <c r="V48" s="1"/>
      <c r="W48" s="4"/>
      <c r="X48" s="4"/>
      <c r="Y48" s="4"/>
    </row>
    <row r="49" spans="1:25">
      <c r="A49" s="56" t="s">
        <v>47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6" t="s">
        <v>392</v>
      </c>
      <c r="N49" s="774">
        <f>AVERAGE(X3:X22)</f>
        <v>2.69415</v>
      </c>
      <c r="O49" s="774">
        <f>AVERAGE(X23:X42)</f>
        <v>4.0233000000000008</v>
      </c>
      <c r="P49" s="1"/>
      <c r="Q49" s="1"/>
      <c r="R49" s="1"/>
      <c r="S49" s="4"/>
      <c r="T49" s="4"/>
      <c r="U49" s="1"/>
      <c r="V49" s="1"/>
      <c r="W49" s="4"/>
      <c r="X49" s="4"/>
      <c r="Y49" s="4"/>
    </row>
    <row r="50" spans="1:25">
      <c r="A50" s="56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497" t="s">
        <v>393</v>
      </c>
      <c r="N50" s="774">
        <f>AVERAGE(S3:S22)</f>
        <v>3.378939861638758</v>
      </c>
      <c r="O50" s="774">
        <f>AVERAGE(S23:S42)</f>
        <v>3.7263525183677357</v>
      </c>
      <c r="P50" s="1"/>
      <c r="Q50" s="1"/>
      <c r="R50" s="1"/>
      <c r="S50" s="4"/>
      <c r="T50" s="4"/>
      <c r="U50" s="1"/>
      <c r="V50" s="1"/>
      <c r="W50" s="4"/>
      <c r="X50" s="4"/>
      <c r="Y50" s="4"/>
    </row>
    <row r="51" spans="1:25">
      <c r="A51" s="56" t="s">
        <v>49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4"/>
      <c r="P51" s="1"/>
      <c r="Q51" s="1"/>
      <c r="R51" s="1"/>
      <c r="S51" s="4"/>
      <c r="T51" s="4"/>
      <c r="U51" s="1"/>
      <c r="V51" s="1"/>
      <c r="W51" s="4"/>
      <c r="X51" s="4"/>
      <c r="Y51" s="4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"/>
      <c r="P52" s="1"/>
      <c r="Q52" s="1"/>
      <c r="R52" s="1"/>
      <c r="S52" s="4"/>
      <c r="T52" s="4"/>
      <c r="U52" s="1"/>
      <c r="V52" s="1"/>
      <c r="W52" s="4"/>
      <c r="X52" s="4"/>
      <c r="Y52" s="4"/>
    </row>
    <row r="53" spans="1:25">
      <c r="A53" s="1" t="s">
        <v>50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"/>
      <c r="P53" s="1"/>
      <c r="Q53" s="1"/>
      <c r="R53" s="1"/>
      <c r="S53" s="4"/>
      <c r="T53" s="4"/>
      <c r="U53" s="1"/>
      <c r="V53" s="1"/>
      <c r="W53" s="4"/>
      <c r="X53" s="4"/>
      <c r="Y53" s="4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/>
      <c r="P54" s="1"/>
      <c r="Q54" s="1"/>
      <c r="R54" s="1"/>
      <c r="S54" s="4"/>
      <c r="T54" s="4"/>
      <c r="U54" s="1"/>
      <c r="V54" s="1"/>
      <c r="W54" s="4"/>
      <c r="X54" s="4"/>
      <c r="Y54" s="4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4"/>
      <c r="P55" s="1"/>
      <c r="Q55" s="1"/>
      <c r="R55" s="1"/>
      <c r="S55" s="4"/>
      <c r="T55" s="4"/>
      <c r="U55" s="1"/>
      <c r="V55" s="1"/>
      <c r="W55" s="4"/>
      <c r="X55" s="4"/>
      <c r="Y55" s="4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"/>
      <c r="P56" s="1"/>
      <c r="Q56" s="1"/>
      <c r="R56" s="1"/>
      <c r="S56" s="4"/>
      <c r="T56" s="4"/>
      <c r="U56" s="1"/>
      <c r="V56" s="1"/>
      <c r="W56" s="4"/>
      <c r="X56" s="4"/>
      <c r="Y56" s="4"/>
    </row>
  </sheetData>
  <mergeCells count="10">
    <mergeCell ref="M14:N14"/>
    <mergeCell ref="P14:Q14"/>
    <mergeCell ref="U14:V14"/>
    <mergeCell ref="H1:J1"/>
    <mergeCell ref="K1:R1"/>
    <mergeCell ref="S1:T1"/>
    <mergeCell ref="U1:W1"/>
    <mergeCell ref="M13:N13"/>
    <mergeCell ref="P13:Q13"/>
    <mergeCell ref="U13:V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150"/>
  <sheetViews>
    <sheetView topLeftCell="E19" workbookViewId="0">
      <selection activeCell="T48" sqref="T48"/>
    </sheetView>
  </sheetViews>
  <sheetFormatPr baseColWidth="10" defaultRowHeight="15"/>
  <cols>
    <col min="3" max="3" width="2.7109375" bestFit="1" customWidth="1"/>
    <col min="4" max="4" width="4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139</v>
      </c>
      <c r="B3" s="1102">
        <v>42823</v>
      </c>
      <c r="C3" s="856">
        <v>22</v>
      </c>
      <c r="D3" s="1070">
        <v>159</v>
      </c>
      <c r="E3" s="856" t="s">
        <v>79</v>
      </c>
      <c r="F3" s="856" t="s">
        <v>81</v>
      </c>
      <c r="G3" s="1073" t="s">
        <v>242</v>
      </c>
      <c r="H3" s="1087">
        <v>19</v>
      </c>
      <c r="I3" s="1087">
        <v>3050</v>
      </c>
      <c r="J3" s="1075"/>
      <c r="K3" s="1087">
        <v>6</v>
      </c>
      <c r="L3" s="1499">
        <f>R3/O3</f>
        <v>7.4909090909090911E-2</v>
      </c>
      <c r="M3" s="1077"/>
      <c r="N3" s="1075"/>
      <c r="O3" s="1087">
        <v>1650</v>
      </c>
      <c r="P3" s="1077"/>
      <c r="Q3" s="1075"/>
      <c r="R3" s="1087">
        <v>123.6</v>
      </c>
      <c r="S3" s="1502">
        <f>(R3+(I3*L3))/100</f>
        <v>3.5207272727272727</v>
      </c>
      <c r="T3" s="1502">
        <f>MIN(4.63,4.48*S3^(-0.25))</f>
        <v>3.2705434097915989</v>
      </c>
      <c r="U3" s="1077"/>
      <c r="V3" s="1075"/>
      <c r="W3" s="1537">
        <f>X3*R3</f>
        <v>286.99919999999997</v>
      </c>
      <c r="X3" s="856">
        <v>2.3220000000000001</v>
      </c>
      <c r="Y3" s="862">
        <v>0.70997375942120833</v>
      </c>
    </row>
    <row r="4" spans="1:25" s="866" customFormat="1">
      <c r="A4" s="856" t="s">
        <v>139</v>
      </c>
      <c r="B4" s="1102">
        <v>42823</v>
      </c>
      <c r="C4" s="856">
        <v>22</v>
      </c>
      <c r="D4" s="960">
        <v>167</v>
      </c>
      <c r="E4" s="856" t="s">
        <v>79</v>
      </c>
      <c r="F4" s="856" t="s">
        <v>237</v>
      </c>
      <c r="G4" s="1073" t="s">
        <v>242</v>
      </c>
      <c r="H4" s="1087">
        <v>17</v>
      </c>
      <c r="I4" s="1087">
        <v>4290</v>
      </c>
      <c r="J4" s="1080"/>
      <c r="K4" s="1087">
        <v>6</v>
      </c>
      <c r="L4" s="1500">
        <f t="shared" ref="L4:L42" si="0">R4/O4</f>
        <v>5.7763157894736843E-2</v>
      </c>
      <c r="M4" s="1082"/>
      <c r="N4" s="1080"/>
      <c r="O4" s="1087">
        <v>1520</v>
      </c>
      <c r="P4" s="1082"/>
      <c r="Q4" s="1080"/>
      <c r="R4" s="1087">
        <v>87.8</v>
      </c>
      <c r="S4" s="1503">
        <f t="shared" ref="S4:S42" si="1">(R4+(I4*L4))/100</f>
        <v>3.356039473684211</v>
      </c>
      <c r="T4" s="1503">
        <f t="shared" ref="T4:T42" si="2">MIN(4.63,4.48*S4^(-0.25))</f>
        <v>3.309948594024704</v>
      </c>
      <c r="U4" s="1082"/>
      <c r="V4" s="1080"/>
      <c r="W4" s="1537">
        <f t="shared" ref="W4:W42" si="3">X4*R4</f>
        <v>203.25699999999998</v>
      </c>
      <c r="X4" s="856">
        <v>2.3149999999999999</v>
      </c>
      <c r="Y4" s="862">
        <v>0.69940663253174429</v>
      </c>
    </row>
    <row r="5" spans="1:25" s="866" customFormat="1">
      <c r="A5" s="856" t="s">
        <v>139</v>
      </c>
      <c r="B5" s="1102">
        <v>42823</v>
      </c>
      <c r="C5" s="856">
        <v>22</v>
      </c>
      <c r="D5" s="960">
        <v>163</v>
      </c>
      <c r="E5" s="856" t="s">
        <v>79</v>
      </c>
      <c r="F5" s="856" t="s">
        <v>245</v>
      </c>
      <c r="G5" s="1073" t="s">
        <v>242</v>
      </c>
      <c r="H5" s="1087">
        <v>18</v>
      </c>
      <c r="I5" s="1087">
        <v>2880</v>
      </c>
      <c r="J5" s="1080"/>
      <c r="K5" s="1087">
        <v>6</v>
      </c>
      <c r="L5" s="1501">
        <f t="shared" si="0"/>
        <v>7.5390070921985811E-2</v>
      </c>
      <c r="M5" s="1082"/>
      <c r="N5" s="1080"/>
      <c r="O5" s="1087">
        <v>1410</v>
      </c>
      <c r="P5" s="1082"/>
      <c r="Q5" s="1080"/>
      <c r="R5" s="1087">
        <v>106.3</v>
      </c>
      <c r="S5" s="1504">
        <f t="shared" si="1"/>
        <v>3.2342340425531915</v>
      </c>
      <c r="T5" s="1504">
        <f t="shared" si="2"/>
        <v>3.3406821225641936</v>
      </c>
      <c r="U5" s="1082"/>
      <c r="V5" s="1080"/>
      <c r="W5" s="1537">
        <f t="shared" si="3"/>
        <v>269.57679999999999</v>
      </c>
      <c r="X5" s="856">
        <v>2.536</v>
      </c>
      <c r="Y5" s="862">
        <v>0.75912640202158865</v>
      </c>
    </row>
    <row r="6" spans="1:25" s="866" customFormat="1">
      <c r="A6" s="856" t="s">
        <v>139</v>
      </c>
      <c r="B6" s="1102">
        <v>42823</v>
      </c>
      <c r="C6" s="856">
        <v>22</v>
      </c>
      <c r="D6" s="960">
        <v>171</v>
      </c>
      <c r="E6" s="856" t="s">
        <v>79</v>
      </c>
      <c r="F6" s="856" t="s">
        <v>247</v>
      </c>
      <c r="G6" s="1073" t="s">
        <v>242</v>
      </c>
      <c r="H6" s="1087">
        <v>19</v>
      </c>
      <c r="I6" s="1087">
        <v>2660</v>
      </c>
      <c r="J6" s="1080"/>
      <c r="K6" s="1087">
        <v>6</v>
      </c>
      <c r="L6" s="1306">
        <f t="shared" si="0"/>
        <v>6.5522388059701495E-2</v>
      </c>
      <c r="M6" s="1082"/>
      <c r="N6" s="1080"/>
      <c r="O6" s="1087">
        <v>1340</v>
      </c>
      <c r="P6" s="1082"/>
      <c r="Q6" s="1080"/>
      <c r="R6" s="1087">
        <v>87.8</v>
      </c>
      <c r="S6" s="1314">
        <f t="shared" si="1"/>
        <v>2.6208955223880599</v>
      </c>
      <c r="T6" s="1314">
        <f t="shared" si="2"/>
        <v>3.5209964466137542</v>
      </c>
      <c r="U6" s="1082"/>
      <c r="V6" s="1080"/>
      <c r="W6" s="1537">
        <f t="shared" si="3"/>
        <v>246.4546</v>
      </c>
      <c r="X6" s="856">
        <v>2.8069999999999999</v>
      </c>
      <c r="Y6" s="862">
        <v>0.79721750435152361</v>
      </c>
    </row>
    <row r="7" spans="1:25" s="866" customFormat="1">
      <c r="A7" s="856" t="s">
        <v>139</v>
      </c>
      <c r="B7" s="1102">
        <v>42823</v>
      </c>
      <c r="C7" s="856">
        <v>22</v>
      </c>
      <c r="D7" s="960">
        <v>170</v>
      </c>
      <c r="E7" s="856" t="s">
        <v>79</v>
      </c>
      <c r="F7" s="856" t="s">
        <v>249</v>
      </c>
      <c r="G7" s="1073" t="s">
        <v>242</v>
      </c>
      <c r="H7" s="1087">
        <v>19</v>
      </c>
      <c r="I7" s="1087">
        <v>2940</v>
      </c>
      <c r="J7" s="1080"/>
      <c r="K7" s="1087">
        <v>6</v>
      </c>
      <c r="L7" s="1306">
        <f t="shared" si="0"/>
        <v>6.5131578947368415E-2</v>
      </c>
      <c r="M7" s="1082"/>
      <c r="N7" s="1080"/>
      <c r="O7" s="1087">
        <v>1520</v>
      </c>
      <c r="P7" s="1082"/>
      <c r="Q7" s="1080"/>
      <c r="R7" s="1087">
        <v>99</v>
      </c>
      <c r="S7" s="1314">
        <f t="shared" si="1"/>
        <v>2.9048684210526314</v>
      </c>
      <c r="T7" s="1314">
        <f t="shared" si="2"/>
        <v>3.4315979337661422</v>
      </c>
      <c r="U7" s="1082"/>
      <c r="V7" s="1080"/>
      <c r="W7" s="1537">
        <f t="shared" si="3"/>
        <v>201.267</v>
      </c>
      <c r="X7" s="856">
        <v>2.0329999999999999</v>
      </c>
      <c r="Y7" s="862">
        <v>0.59243537245309041</v>
      </c>
    </row>
    <row r="8" spans="1:25" s="866" customFormat="1" ht="15.75" thickBot="1">
      <c r="A8" s="856" t="s">
        <v>139</v>
      </c>
      <c r="B8" s="1102">
        <v>42823</v>
      </c>
      <c r="C8" s="856">
        <v>22</v>
      </c>
      <c r="D8" s="1089">
        <v>169</v>
      </c>
      <c r="E8" s="856" t="s">
        <v>79</v>
      </c>
      <c r="F8" s="856" t="s">
        <v>251</v>
      </c>
      <c r="G8" s="1073" t="s">
        <v>242</v>
      </c>
      <c r="H8" s="1087">
        <v>9</v>
      </c>
      <c r="I8" s="1087">
        <v>2500</v>
      </c>
      <c r="J8" s="1090"/>
      <c r="K8" s="1087">
        <v>6</v>
      </c>
      <c r="L8" s="1508">
        <f t="shared" si="0"/>
        <v>6.9178082191780815E-2</v>
      </c>
      <c r="M8" s="1092"/>
      <c r="N8" s="1090"/>
      <c r="O8" s="1087">
        <v>1460</v>
      </c>
      <c r="P8" s="1092"/>
      <c r="Q8" s="1090"/>
      <c r="R8" s="1087">
        <v>101</v>
      </c>
      <c r="S8" s="1515">
        <f t="shared" si="1"/>
        <v>2.7394520547945205</v>
      </c>
      <c r="T8" s="1515">
        <f t="shared" si="2"/>
        <v>3.4822671666331271</v>
      </c>
      <c r="U8" s="1092"/>
      <c r="V8" s="1090"/>
      <c r="W8" s="1537">
        <f t="shared" si="3"/>
        <v>258.964</v>
      </c>
      <c r="X8" s="856">
        <v>2.5640000000000001</v>
      </c>
      <c r="Y8" s="862">
        <v>0.73630191978607851</v>
      </c>
    </row>
    <row r="9" spans="1:25" s="866" customFormat="1" ht="15.75" thickTop="1">
      <c r="A9" s="856" t="s">
        <v>139</v>
      </c>
      <c r="B9" s="1102">
        <v>42823</v>
      </c>
      <c r="C9" s="856">
        <v>22</v>
      </c>
      <c r="D9" s="1070">
        <v>165</v>
      </c>
      <c r="E9" s="856" t="s">
        <v>79</v>
      </c>
      <c r="F9" s="856" t="s">
        <v>253</v>
      </c>
      <c r="G9" s="1073" t="s">
        <v>242</v>
      </c>
      <c r="H9" s="1087">
        <v>21</v>
      </c>
      <c r="I9" s="1087">
        <v>3080</v>
      </c>
      <c r="J9" s="1075"/>
      <c r="K9" s="1087">
        <v>6</v>
      </c>
      <c r="L9" s="1509">
        <f t="shared" si="0"/>
        <v>7.1911764705882356E-2</v>
      </c>
      <c r="M9" s="1077"/>
      <c r="N9" s="1075"/>
      <c r="O9" s="1087">
        <v>1360</v>
      </c>
      <c r="P9" s="1077"/>
      <c r="Q9" s="1075"/>
      <c r="R9" s="1087">
        <v>97.8</v>
      </c>
      <c r="S9" s="1516">
        <f t="shared" si="1"/>
        <v>3.1928823529411767</v>
      </c>
      <c r="T9" s="1516">
        <f t="shared" si="2"/>
        <v>3.3514464524190335</v>
      </c>
      <c r="U9" s="1077"/>
      <c r="V9" s="1075"/>
      <c r="W9" s="1537">
        <f t="shared" si="3"/>
        <v>252.12839999999997</v>
      </c>
      <c r="X9" s="856">
        <v>2.5779999999999998</v>
      </c>
      <c r="Y9" s="862">
        <v>0.76922010737758639</v>
      </c>
    </row>
    <row r="10" spans="1:25" s="866" customFormat="1">
      <c r="A10" s="856" t="s">
        <v>139</v>
      </c>
      <c r="B10" s="1102">
        <v>42823</v>
      </c>
      <c r="C10" s="856">
        <v>22</v>
      </c>
      <c r="D10" s="960">
        <v>161</v>
      </c>
      <c r="E10" s="856" t="s">
        <v>79</v>
      </c>
      <c r="F10" s="856" t="s">
        <v>255</v>
      </c>
      <c r="G10" s="1073" t="s">
        <v>242</v>
      </c>
      <c r="H10" s="1087">
        <v>14</v>
      </c>
      <c r="I10" s="1087">
        <v>2970</v>
      </c>
      <c r="J10" s="1080"/>
      <c r="K10" s="1087">
        <v>6</v>
      </c>
      <c r="L10" s="1306">
        <f t="shared" si="0"/>
        <v>7.3607594936708862E-2</v>
      </c>
      <c r="M10" s="1082"/>
      <c r="N10" s="1080"/>
      <c r="O10" s="1087">
        <v>1580</v>
      </c>
      <c r="P10" s="1082"/>
      <c r="Q10" s="1080"/>
      <c r="R10" s="1087">
        <v>116.3</v>
      </c>
      <c r="S10" s="1314">
        <f t="shared" si="1"/>
        <v>3.3491455696202532</v>
      </c>
      <c r="T10" s="1524">
        <f t="shared" si="2"/>
        <v>3.3116505860011287</v>
      </c>
      <c r="U10" s="1082"/>
      <c r="V10" s="1080"/>
      <c r="W10" s="1537">
        <f t="shared" si="3"/>
        <v>369.71769999999998</v>
      </c>
      <c r="X10" s="856">
        <v>3.1789999999999998</v>
      </c>
      <c r="Y10" s="862">
        <v>0.9599442687094274</v>
      </c>
    </row>
    <row r="11" spans="1:25" s="866" customFormat="1">
      <c r="A11" s="856" t="s">
        <v>139</v>
      </c>
      <c r="B11" s="1102">
        <v>42823</v>
      </c>
      <c r="C11" s="856">
        <v>22</v>
      </c>
      <c r="D11" s="960">
        <v>160</v>
      </c>
      <c r="E11" s="856" t="s">
        <v>79</v>
      </c>
      <c r="F11" s="856" t="s">
        <v>238</v>
      </c>
      <c r="G11" s="1073" t="s">
        <v>242</v>
      </c>
      <c r="H11" s="1087">
        <v>26</v>
      </c>
      <c r="I11" s="1087">
        <v>3630</v>
      </c>
      <c r="J11" s="1080"/>
      <c r="K11" s="1087">
        <v>6</v>
      </c>
      <c r="L11" s="1306">
        <f t="shared" si="0"/>
        <v>7.3141025641025634E-2</v>
      </c>
      <c r="M11" s="1082"/>
      <c r="N11" s="1080"/>
      <c r="O11" s="1087">
        <v>1560</v>
      </c>
      <c r="P11" s="1082"/>
      <c r="Q11" s="1080"/>
      <c r="R11" s="1087">
        <v>114.1</v>
      </c>
      <c r="S11" s="1314">
        <f t="shared" si="1"/>
        <v>3.7960192307692306</v>
      </c>
      <c r="T11" s="1524">
        <f t="shared" si="2"/>
        <v>3.2095630607411096</v>
      </c>
      <c r="U11" s="1082"/>
      <c r="V11" s="1080"/>
      <c r="W11" s="1537">
        <f t="shared" si="3"/>
        <v>281.37060000000002</v>
      </c>
      <c r="X11" s="856">
        <v>2.4660000000000002</v>
      </c>
      <c r="Y11" s="862">
        <v>0.76832888257088294</v>
      </c>
    </row>
    <row r="12" spans="1:25" s="866" customFormat="1">
      <c r="A12" s="856" t="s">
        <v>139</v>
      </c>
      <c r="B12" s="1102">
        <v>42823</v>
      </c>
      <c r="C12" s="856">
        <v>22</v>
      </c>
      <c r="D12" s="960">
        <v>158</v>
      </c>
      <c r="E12" s="856" t="s">
        <v>79</v>
      </c>
      <c r="F12" s="856" t="s">
        <v>258</v>
      </c>
      <c r="G12" s="1073" t="s">
        <v>242</v>
      </c>
      <c r="H12" s="1087">
        <v>12</v>
      </c>
      <c r="I12" s="1087">
        <v>2520</v>
      </c>
      <c r="J12" s="1080"/>
      <c r="K12" s="1087">
        <v>6</v>
      </c>
      <c r="L12" s="1306">
        <f t="shared" si="0"/>
        <v>8.7034883720930226E-2</v>
      </c>
      <c r="M12" s="1082"/>
      <c r="N12" s="1080"/>
      <c r="O12" s="1087">
        <v>1720</v>
      </c>
      <c r="P12" s="1082"/>
      <c r="Q12" s="1080"/>
      <c r="R12" s="1087">
        <v>149.69999999999999</v>
      </c>
      <c r="S12" s="1314">
        <f t="shared" si="1"/>
        <v>3.6902790697674415</v>
      </c>
      <c r="T12" s="1314">
        <f t="shared" si="2"/>
        <v>3.2323115306998482</v>
      </c>
      <c r="U12" s="1082"/>
      <c r="V12" s="1080"/>
      <c r="W12" s="1537">
        <f t="shared" si="3"/>
        <v>438.17189999999999</v>
      </c>
      <c r="X12" s="856">
        <v>2.927</v>
      </c>
      <c r="Y12" s="862">
        <v>0.90554390324074274</v>
      </c>
    </row>
    <row r="13" spans="1:25" s="866" customFormat="1">
      <c r="A13" s="856" t="s">
        <v>139</v>
      </c>
      <c r="B13" s="1102">
        <v>42823</v>
      </c>
      <c r="C13" s="856">
        <v>22</v>
      </c>
      <c r="D13" s="960">
        <v>174</v>
      </c>
      <c r="E13" s="856" t="s">
        <v>79</v>
      </c>
      <c r="F13" s="856" t="s">
        <v>260</v>
      </c>
      <c r="G13" s="1073" t="s">
        <v>242</v>
      </c>
      <c r="H13" s="1087">
        <v>17</v>
      </c>
      <c r="I13" s="1087">
        <v>3140</v>
      </c>
      <c r="J13" s="1080"/>
      <c r="K13" s="1087">
        <v>6</v>
      </c>
      <c r="L13" s="1306">
        <f t="shared" si="0"/>
        <v>0.08</v>
      </c>
      <c r="M13" s="1082"/>
      <c r="N13" s="1080"/>
      <c r="O13" s="1087">
        <v>1750</v>
      </c>
      <c r="P13" s="1082"/>
      <c r="Q13" s="1080"/>
      <c r="R13" s="1087">
        <v>140</v>
      </c>
      <c r="S13" s="1314">
        <f t="shared" si="1"/>
        <v>3.9120000000000004</v>
      </c>
      <c r="T13" s="1314">
        <f t="shared" si="2"/>
        <v>3.1855050834547254</v>
      </c>
      <c r="U13" s="1082"/>
      <c r="V13" s="1080"/>
      <c r="W13" s="1537">
        <f t="shared" si="3"/>
        <v>382.48</v>
      </c>
      <c r="X13" s="856">
        <v>2.7320000000000002</v>
      </c>
      <c r="Y13" s="862">
        <v>0.85763479524481157</v>
      </c>
    </row>
    <row r="14" spans="1:25" s="866" customFormat="1" ht="15.75" thickBot="1">
      <c r="A14" s="856" t="s">
        <v>139</v>
      </c>
      <c r="B14" s="1102">
        <v>42823</v>
      </c>
      <c r="C14" s="856">
        <v>22</v>
      </c>
      <c r="D14" s="1089">
        <v>166</v>
      </c>
      <c r="E14" s="856" t="s">
        <v>79</v>
      </c>
      <c r="F14" s="856" t="s">
        <v>239</v>
      </c>
      <c r="G14" s="1073" t="s">
        <v>242</v>
      </c>
      <c r="H14" s="1087">
        <v>23</v>
      </c>
      <c r="I14" s="1087">
        <v>3450</v>
      </c>
      <c r="J14" s="1090"/>
      <c r="K14" s="1087">
        <v>6</v>
      </c>
      <c r="L14" s="1508">
        <f t="shared" si="0"/>
        <v>7.3866666666666664E-2</v>
      </c>
      <c r="M14" s="1092"/>
      <c r="N14" s="1090"/>
      <c r="O14" s="1087">
        <v>1500</v>
      </c>
      <c r="P14" s="1092"/>
      <c r="Q14" s="1090"/>
      <c r="R14" s="1087">
        <v>110.8</v>
      </c>
      <c r="S14" s="1515">
        <f t="shared" si="1"/>
        <v>3.6563999999999997</v>
      </c>
      <c r="T14" s="1515">
        <f t="shared" si="2"/>
        <v>3.2397730538000169</v>
      </c>
      <c r="U14" s="1092"/>
      <c r="V14" s="1090"/>
      <c r="W14" s="1537">
        <f t="shared" si="3"/>
        <v>276.44600000000003</v>
      </c>
      <c r="X14" s="856">
        <v>2.4950000000000001</v>
      </c>
      <c r="Y14" s="862">
        <v>0.77011567124232583</v>
      </c>
    </row>
    <row r="15" spans="1:25" s="866" customFormat="1" ht="15.75" thickTop="1">
      <c r="A15" s="856" t="s">
        <v>139</v>
      </c>
      <c r="B15" s="1102">
        <v>42823</v>
      </c>
      <c r="C15" s="856">
        <v>22</v>
      </c>
      <c r="D15" s="960">
        <v>162</v>
      </c>
      <c r="E15" s="856" t="s">
        <v>79</v>
      </c>
      <c r="F15" s="856" t="s">
        <v>240</v>
      </c>
      <c r="G15" s="1073" t="s">
        <v>242</v>
      </c>
      <c r="H15" s="1087">
        <v>21</v>
      </c>
      <c r="I15" s="1087">
        <v>3350</v>
      </c>
      <c r="J15" s="1099"/>
      <c r="K15" s="1087">
        <v>6</v>
      </c>
      <c r="L15" s="1509">
        <f t="shared" si="0"/>
        <v>7.0143884892086325E-2</v>
      </c>
      <c r="M15" s="1100"/>
      <c r="N15" s="1101"/>
      <c r="O15" s="1087">
        <v>1390</v>
      </c>
      <c r="P15" s="1100"/>
      <c r="Q15" s="1101"/>
      <c r="R15" s="1087">
        <v>97.5</v>
      </c>
      <c r="S15" s="1516">
        <f t="shared" si="1"/>
        <v>3.3248201438848919</v>
      </c>
      <c r="T15" s="1516">
        <f t="shared" si="2"/>
        <v>3.3176913060269237</v>
      </c>
      <c r="U15" s="1100"/>
      <c r="V15" s="1101"/>
      <c r="W15" s="1537">
        <f t="shared" si="3"/>
        <v>241.89749999999998</v>
      </c>
      <c r="X15" s="856">
        <v>2.4809999999999999</v>
      </c>
      <c r="Y15" s="862">
        <v>0.7478091754627717</v>
      </c>
    </row>
    <row r="16" spans="1:25" s="866" customFormat="1">
      <c r="A16" s="856" t="s">
        <v>139</v>
      </c>
      <c r="B16" s="1102">
        <v>42823</v>
      </c>
      <c r="C16" s="856">
        <v>22</v>
      </c>
      <c r="D16" s="960">
        <v>175</v>
      </c>
      <c r="E16" s="856" t="s">
        <v>79</v>
      </c>
      <c r="F16" s="856" t="s">
        <v>264</v>
      </c>
      <c r="G16" s="1073" t="s">
        <v>242</v>
      </c>
      <c r="H16" s="1087">
        <v>22</v>
      </c>
      <c r="I16" s="1087">
        <v>3480</v>
      </c>
      <c r="J16" s="966"/>
      <c r="K16" s="1087">
        <v>6</v>
      </c>
      <c r="L16" s="1306">
        <f t="shared" si="0"/>
        <v>7.3121019108280255E-2</v>
      </c>
      <c r="M16" s="969"/>
      <c r="N16" s="966"/>
      <c r="O16" s="1087">
        <v>1570</v>
      </c>
      <c r="P16" s="969"/>
      <c r="Q16" s="966"/>
      <c r="R16" s="1087">
        <v>114.8</v>
      </c>
      <c r="S16" s="1314">
        <f t="shared" si="1"/>
        <v>3.6926114649681527</v>
      </c>
      <c r="T16" s="1314">
        <f t="shared" si="2"/>
        <v>3.2318009967350294</v>
      </c>
      <c r="U16" s="969"/>
      <c r="V16" s="966"/>
      <c r="W16" s="1537">
        <f t="shared" si="3"/>
        <v>317.53679999999997</v>
      </c>
      <c r="X16" s="856">
        <v>2.766</v>
      </c>
      <c r="Y16" s="862">
        <v>0.85586952996004029</v>
      </c>
    </row>
    <row r="17" spans="1:25" s="866" customFormat="1">
      <c r="A17" s="856" t="s">
        <v>139</v>
      </c>
      <c r="B17" s="1102">
        <v>42823</v>
      </c>
      <c r="C17" s="856">
        <v>22</v>
      </c>
      <c r="D17" s="960">
        <v>164</v>
      </c>
      <c r="E17" s="856" t="s">
        <v>79</v>
      </c>
      <c r="F17" s="856" t="s">
        <v>266</v>
      </c>
      <c r="G17" s="1073" t="s">
        <v>242</v>
      </c>
      <c r="H17" s="1087">
        <v>23</v>
      </c>
      <c r="I17" s="1087">
        <v>2850</v>
      </c>
      <c r="J17" s="966"/>
      <c r="K17" s="1087">
        <v>6</v>
      </c>
      <c r="L17" s="1306">
        <f t="shared" si="0"/>
        <v>7.1140939597315433E-2</v>
      </c>
      <c r="M17" s="969"/>
      <c r="N17" s="966"/>
      <c r="O17" s="1087">
        <v>1490</v>
      </c>
      <c r="P17" s="969"/>
      <c r="Q17" s="966"/>
      <c r="R17" s="1087">
        <v>106</v>
      </c>
      <c r="S17" s="1314">
        <f t="shared" si="1"/>
        <v>3.0875167785234896</v>
      </c>
      <c r="T17" s="1314">
        <f t="shared" si="2"/>
        <v>3.3796807837491256</v>
      </c>
      <c r="U17" s="969"/>
      <c r="V17" s="966"/>
      <c r="W17" s="1537">
        <f t="shared" si="3"/>
        <v>338.56400000000002</v>
      </c>
      <c r="X17" s="856">
        <v>3.194</v>
      </c>
      <c r="Y17" s="862">
        <v>0.9450596681669009</v>
      </c>
    </row>
    <row r="18" spans="1:25" s="866" customFormat="1">
      <c r="A18" s="856" t="s">
        <v>139</v>
      </c>
      <c r="B18" s="1102">
        <v>42823</v>
      </c>
      <c r="C18" s="856">
        <v>22</v>
      </c>
      <c r="D18" s="960">
        <v>176</v>
      </c>
      <c r="E18" s="856" t="s">
        <v>79</v>
      </c>
      <c r="F18" s="856" t="s">
        <v>268</v>
      </c>
      <c r="G18" s="1073" t="s">
        <v>242</v>
      </c>
      <c r="H18" s="1087">
        <v>20</v>
      </c>
      <c r="I18" s="1087">
        <v>3110</v>
      </c>
      <c r="J18" s="966"/>
      <c r="K18" s="1087">
        <v>6</v>
      </c>
      <c r="L18" s="1306">
        <f t="shared" si="0"/>
        <v>6.1629629629629631E-2</v>
      </c>
      <c r="M18" s="969"/>
      <c r="N18" s="966"/>
      <c r="O18" s="1087">
        <v>1350</v>
      </c>
      <c r="P18" s="969"/>
      <c r="Q18" s="966"/>
      <c r="R18" s="1087">
        <v>83.2</v>
      </c>
      <c r="S18" s="1314">
        <f t="shared" si="1"/>
        <v>2.7486814814814817</v>
      </c>
      <c r="T18" s="1314">
        <f t="shared" si="2"/>
        <v>3.4793403199064161</v>
      </c>
      <c r="U18" s="969"/>
      <c r="V18" s="966"/>
      <c r="W18" s="1537">
        <f t="shared" si="3"/>
        <v>258.66880000000003</v>
      </c>
      <c r="X18" s="856">
        <v>3.109</v>
      </c>
      <c r="Y18" s="862">
        <v>0.89356019076731863</v>
      </c>
    </row>
    <row r="19" spans="1:25" s="866" customFormat="1">
      <c r="A19" s="856" t="s">
        <v>139</v>
      </c>
      <c r="B19" s="1102">
        <v>42823</v>
      </c>
      <c r="C19" s="856">
        <v>22</v>
      </c>
      <c r="D19" s="960">
        <v>168</v>
      </c>
      <c r="E19" s="856" t="s">
        <v>79</v>
      </c>
      <c r="F19" s="856" t="s">
        <v>270</v>
      </c>
      <c r="G19" s="1073" t="s">
        <v>242</v>
      </c>
      <c r="H19" s="1087">
        <v>16</v>
      </c>
      <c r="I19" s="1087">
        <v>4290</v>
      </c>
      <c r="J19" s="966"/>
      <c r="K19" s="1087">
        <v>6</v>
      </c>
      <c r="L19" s="1306">
        <f t="shared" si="0"/>
        <v>7.9512195121951221E-2</v>
      </c>
      <c r="M19" s="969"/>
      <c r="N19" s="966"/>
      <c r="O19" s="1087">
        <v>1640</v>
      </c>
      <c r="P19" s="969"/>
      <c r="Q19" s="966"/>
      <c r="R19" s="1087">
        <v>130.4</v>
      </c>
      <c r="S19" s="1314">
        <f t="shared" si="1"/>
        <v>4.7150731707317073</v>
      </c>
      <c r="T19" s="1314">
        <f t="shared" si="2"/>
        <v>3.0402262523303794</v>
      </c>
      <c r="U19" s="969"/>
      <c r="V19" s="966"/>
      <c r="W19" s="1537">
        <f t="shared" si="3"/>
        <v>326.7824</v>
      </c>
      <c r="X19" s="856">
        <v>2.5059999999999998</v>
      </c>
      <c r="Y19" s="862">
        <v>0.82428075807815726</v>
      </c>
    </row>
    <row r="20" spans="1:25" s="866" customFormat="1">
      <c r="A20" s="856" t="s">
        <v>139</v>
      </c>
      <c r="B20" s="1102">
        <v>42823</v>
      </c>
      <c r="C20" s="856">
        <v>22</v>
      </c>
      <c r="D20" s="960">
        <v>172</v>
      </c>
      <c r="E20" s="856" t="s">
        <v>79</v>
      </c>
      <c r="F20" s="856" t="s">
        <v>272</v>
      </c>
      <c r="G20" s="1073" t="s">
        <v>242</v>
      </c>
      <c r="H20" s="1087">
        <v>18</v>
      </c>
      <c r="I20" s="1087">
        <v>2940</v>
      </c>
      <c r="J20" s="966"/>
      <c r="K20" s="1087">
        <v>6</v>
      </c>
      <c r="L20" s="1306">
        <f t="shared" si="0"/>
        <v>0.10153005464480874</v>
      </c>
      <c r="M20" s="969"/>
      <c r="N20" s="966"/>
      <c r="O20" s="1087">
        <v>1830</v>
      </c>
      <c r="P20" s="969"/>
      <c r="Q20" s="966"/>
      <c r="R20" s="1087">
        <v>185.8</v>
      </c>
      <c r="S20" s="1314">
        <f t="shared" si="1"/>
        <v>4.842983606557377</v>
      </c>
      <c r="T20" s="1314">
        <f t="shared" si="2"/>
        <v>3.0199500811126008</v>
      </c>
      <c r="U20" s="969"/>
      <c r="V20" s="966"/>
      <c r="W20" s="1537">
        <f t="shared" si="3"/>
        <v>546.8094000000001</v>
      </c>
      <c r="X20" s="856">
        <v>2.9430000000000001</v>
      </c>
      <c r="Y20" s="862">
        <v>0.97451941951164578</v>
      </c>
    </row>
    <row r="21" spans="1:25" s="866" customFormat="1">
      <c r="A21" s="856" t="s">
        <v>139</v>
      </c>
      <c r="B21" s="1102">
        <v>42823</v>
      </c>
      <c r="C21" s="856">
        <v>22</v>
      </c>
      <c r="D21" s="960">
        <v>177</v>
      </c>
      <c r="E21" s="856" t="s">
        <v>79</v>
      </c>
      <c r="F21" s="856" t="s">
        <v>274</v>
      </c>
      <c r="G21" s="1073" t="s">
        <v>242</v>
      </c>
      <c r="H21" s="1087">
        <v>16</v>
      </c>
      <c r="I21" s="1087">
        <v>2650</v>
      </c>
      <c r="J21" s="966"/>
      <c r="K21" s="1087">
        <v>6</v>
      </c>
      <c r="L21" s="1306">
        <f t="shared" si="0"/>
        <v>8.2339181286549712E-2</v>
      </c>
      <c r="M21" s="969"/>
      <c r="N21" s="974"/>
      <c r="O21" s="1087">
        <v>1710</v>
      </c>
      <c r="P21" s="969"/>
      <c r="Q21" s="966"/>
      <c r="R21" s="1087">
        <v>140.80000000000001</v>
      </c>
      <c r="S21" s="1314">
        <f t="shared" si="1"/>
        <v>3.5899883040935676</v>
      </c>
      <c r="T21" s="1314">
        <f t="shared" si="2"/>
        <v>3.2546534736375778</v>
      </c>
      <c r="U21" s="969"/>
      <c r="V21" s="966"/>
      <c r="W21" s="1537">
        <f t="shared" si="3"/>
        <v>365.51680000000005</v>
      </c>
      <c r="X21" s="856">
        <v>2.5960000000000001</v>
      </c>
      <c r="Y21" s="862">
        <v>0.79762715786100857</v>
      </c>
    </row>
    <row r="22" spans="1:25" s="866" customFormat="1">
      <c r="A22" s="856" t="s">
        <v>139</v>
      </c>
      <c r="B22" s="1102">
        <v>42823</v>
      </c>
      <c r="C22" s="856">
        <v>22</v>
      </c>
      <c r="D22" s="960">
        <v>173</v>
      </c>
      <c r="E22" s="856" t="s">
        <v>79</v>
      </c>
      <c r="F22" s="856" t="s">
        <v>276</v>
      </c>
      <c r="G22" s="1073" t="s">
        <v>242</v>
      </c>
      <c r="H22" s="1087">
        <v>15</v>
      </c>
      <c r="I22" s="1087">
        <v>2750</v>
      </c>
      <c r="J22" s="966"/>
      <c r="K22" s="1087">
        <v>6</v>
      </c>
      <c r="L22" s="1306">
        <f t="shared" si="0"/>
        <v>0.11189189189189189</v>
      </c>
      <c r="M22" s="969"/>
      <c r="N22" s="966"/>
      <c r="O22" s="1087">
        <v>1850</v>
      </c>
      <c r="P22" s="969"/>
      <c r="Q22" s="966"/>
      <c r="R22" s="1087">
        <v>207</v>
      </c>
      <c r="S22" s="1314">
        <f t="shared" si="1"/>
        <v>5.1470270270270273</v>
      </c>
      <c r="T22" s="1314">
        <f t="shared" si="2"/>
        <v>2.9743282896310914</v>
      </c>
      <c r="U22" s="969"/>
      <c r="V22" s="966"/>
      <c r="W22" s="1537">
        <f t="shared" si="3"/>
        <v>595.74599999999998</v>
      </c>
      <c r="X22" s="856">
        <v>2.8780000000000001</v>
      </c>
      <c r="Y22" s="862">
        <v>0.96761343057963556</v>
      </c>
    </row>
    <row r="23" spans="1:25" s="844" customFormat="1">
      <c r="A23" s="834" t="s">
        <v>139</v>
      </c>
      <c r="B23" s="1446">
        <v>42823</v>
      </c>
      <c r="C23" s="834">
        <v>20</v>
      </c>
      <c r="D23" s="1274">
        <v>174</v>
      </c>
      <c r="E23" s="834" t="s">
        <v>82</v>
      </c>
      <c r="F23" s="834" t="s">
        <v>81</v>
      </c>
      <c r="G23" s="1430" t="s">
        <v>242</v>
      </c>
      <c r="H23" s="1438">
        <v>22</v>
      </c>
      <c r="I23" s="1438">
        <v>2940</v>
      </c>
      <c r="J23" s="1288"/>
      <c r="K23" s="1438">
        <v>6</v>
      </c>
      <c r="L23" s="1305">
        <f t="shared" si="0"/>
        <v>6.0072992700729924E-2</v>
      </c>
      <c r="M23" s="1291"/>
      <c r="N23" s="1288"/>
      <c r="O23" s="1438">
        <v>1370</v>
      </c>
      <c r="P23" s="1291"/>
      <c r="Q23" s="1288"/>
      <c r="R23" s="1438">
        <v>82.3</v>
      </c>
      <c r="S23" s="1313">
        <f t="shared" si="1"/>
        <v>2.5891459854014598</v>
      </c>
      <c r="T23" s="1313">
        <f t="shared" si="2"/>
        <v>3.5317412629014284</v>
      </c>
      <c r="U23" s="1291"/>
      <c r="V23" s="1288"/>
      <c r="W23" s="1538">
        <f t="shared" si="3"/>
        <v>400.80099999999999</v>
      </c>
      <c r="X23" s="834">
        <v>4.87</v>
      </c>
      <c r="Y23" s="840">
        <v>1.378923210246481</v>
      </c>
    </row>
    <row r="24" spans="1:25" s="844" customFormat="1">
      <c r="A24" s="834" t="s">
        <v>139</v>
      </c>
      <c r="B24" s="1446">
        <v>42823</v>
      </c>
      <c r="C24" s="834">
        <v>20</v>
      </c>
      <c r="D24" s="1274">
        <v>160</v>
      </c>
      <c r="E24" s="834" t="s">
        <v>82</v>
      </c>
      <c r="F24" s="834" t="s">
        <v>237</v>
      </c>
      <c r="G24" s="1430" t="s">
        <v>242</v>
      </c>
      <c r="H24" s="1438">
        <v>22</v>
      </c>
      <c r="I24" s="1438">
        <v>3410</v>
      </c>
      <c r="J24" s="1288"/>
      <c r="K24" s="1438">
        <v>6</v>
      </c>
      <c r="L24" s="1305">
        <f t="shared" si="0"/>
        <v>6.5526315789473683E-2</v>
      </c>
      <c r="M24" s="1291"/>
      <c r="N24" s="1288"/>
      <c r="O24" s="1438">
        <v>1520</v>
      </c>
      <c r="P24" s="1291"/>
      <c r="Q24" s="1288"/>
      <c r="R24" s="1438">
        <v>99.6</v>
      </c>
      <c r="S24" s="1313">
        <f t="shared" si="1"/>
        <v>3.2304473684210531</v>
      </c>
      <c r="T24" s="1313">
        <f t="shared" si="2"/>
        <v>3.3416606648805023</v>
      </c>
      <c r="U24" s="1291"/>
      <c r="V24" s="1288"/>
      <c r="W24" s="1538">
        <f t="shared" si="3"/>
        <v>440.43119999999993</v>
      </c>
      <c r="X24" s="834">
        <v>4.4219999999999997</v>
      </c>
      <c r="Y24" s="840">
        <v>1.3232941472703754</v>
      </c>
    </row>
    <row r="25" spans="1:25" s="844" customFormat="1">
      <c r="A25" s="834" t="s">
        <v>139</v>
      </c>
      <c r="B25" s="1446">
        <v>42823</v>
      </c>
      <c r="C25" s="834">
        <v>20</v>
      </c>
      <c r="D25" s="1274">
        <v>166</v>
      </c>
      <c r="E25" s="834" t="s">
        <v>82</v>
      </c>
      <c r="F25" s="834" t="s">
        <v>245</v>
      </c>
      <c r="G25" s="1430" t="s">
        <v>242</v>
      </c>
      <c r="H25" s="1438">
        <v>22</v>
      </c>
      <c r="I25" s="1438">
        <v>3300</v>
      </c>
      <c r="J25" s="1288"/>
      <c r="K25" s="1438">
        <v>6</v>
      </c>
      <c r="L25" s="1305">
        <f t="shared" si="0"/>
        <v>5.4303030303030297E-2</v>
      </c>
      <c r="M25" s="1291"/>
      <c r="N25" s="1288"/>
      <c r="O25" s="1438">
        <v>1650</v>
      </c>
      <c r="P25" s="1291"/>
      <c r="Q25" s="1288"/>
      <c r="R25" s="1438">
        <v>89.6</v>
      </c>
      <c r="S25" s="1313">
        <f t="shared" si="1"/>
        <v>2.6879999999999997</v>
      </c>
      <c r="T25" s="1313">
        <f t="shared" si="2"/>
        <v>3.498812729350687</v>
      </c>
      <c r="U25" s="1291"/>
      <c r="V25" s="1288"/>
      <c r="W25" s="1538">
        <f t="shared" si="3"/>
        <v>422.64319999999992</v>
      </c>
      <c r="X25" s="834">
        <v>4.7169999999999996</v>
      </c>
      <c r="Y25" s="840">
        <v>1.348171612738869</v>
      </c>
    </row>
    <row r="26" spans="1:25" s="844" customFormat="1" ht="15.75" thickBot="1">
      <c r="A26" s="834" t="s">
        <v>139</v>
      </c>
      <c r="B26" s="1446">
        <v>42823</v>
      </c>
      <c r="C26" s="834">
        <v>20</v>
      </c>
      <c r="D26" s="1293">
        <v>169</v>
      </c>
      <c r="E26" s="834" t="s">
        <v>82</v>
      </c>
      <c r="F26" s="834" t="s">
        <v>247</v>
      </c>
      <c r="G26" s="1430" t="s">
        <v>242</v>
      </c>
      <c r="H26" s="1438">
        <v>16</v>
      </c>
      <c r="I26" s="1438">
        <v>2350</v>
      </c>
      <c r="J26" s="1299"/>
      <c r="K26" s="1438">
        <v>6</v>
      </c>
      <c r="L26" s="1307">
        <f t="shared" si="0"/>
        <v>5.1250000000000004E-2</v>
      </c>
      <c r="M26" s="1302"/>
      <c r="N26" s="1299"/>
      <c r="O26" s="1438">
        <v>1520</v>
      </c>
      <c r="P26" s="1302"/>
      <c r="Q26" s="1299"/>
      <c r="R26" s="1438">
        <v>77.900000000000006</v>
      </c>
      <c r="S26" s="1315">
        <f t="shared" si="1"/>
        <v>1.9833750000000003</v>
      </c>
      <c r="T26" s="1315">
        <f t="shared" si="2"/>
        <v>3.7750856140367994</v>
      </c>
      <c r="U26" s="1302"/>
      <c r="V26" s="1299"/>
      <c r="W26" s="1538">
        <f t="shared" si="3"/>
        <v>404.37890000000004</v>
      </c>
      <c r="X26" s="834">
        <v>5.1909999999999998</v>
      </c>
      <c r="Y26" s="840">
        <v>1.3750681522820156</v>
      </c>
    </row>
    <row r="27" spans="1:25" s="844" customFormat="1" ht="15.75" thickTop="1">
      <c r="A27" s="834" t="s">
        <v>139</v>
      </c>
      <c r="B27" s="1446">
        <v>42823</v>
      </c>
      <c r="C27" s="834">
        <v>20</v>
      </c>
      <c r="D27" s="1272">
        <v>162</v>
      </c>
      <c r="E27" s="834" t="s">
        <v>82</v>
      </c>
      <c r="F27" s="834" t="s">
        <v>249</v>
      </c>
      <c r="G27" s="1430" t="s">
        <v>242</v>
      </c>
      <c r="H27" s="1438">
        <v>16</v>
      </c>
      <c r="I27" s="1438">
        <v>3590</v>
      </c>
      <c r="J27" s="1279"/>
      <c r="K27" s="1438">
        <v>6</v>
      </c>
      <c r="L27" s="1510">
        <f t="shared" si="0"/>
        <v>6.9304812834224599E-2</v>
      </c>
      <c r="M27" s="1281"/>
      <c r="N27" s="1282"/>
      <c r="O27" s="1438">
        <v>1870</v>
      </c>
      <c r="P27" s="1281"/>
      <c r="Q27" s="1282"/>
      <c r="R27" s="1438">
        <v>129.6</v>
      </c>
      <c r="S27" s="1534">
        <f t="shared" si="1"/>
        <v>3.784042780748663</v>
      </c>
      <c r="T27" s="1534">
        <f t="shared" si="2"/>
        <v>3.2120996093174292</v>
      </c>
      <c r="U27" s="1281"/>
      <c r="V27" s="1282"/>
      <c r="W27" s="1538">
        <f t="shared" si="3"/>
        <v>518.65919999999994</v>
      </c>
      <c r="X27" s="834">
        <v>4.0019999999999998</v>
      </c>
      <c r="Y27" s="840">
        <v>1.24591403964911</v>
      </c>
    </row>
    <row r="28" spans="1:25" s="844" customFormat="1">
      <c r="A28" s="834" t="s">
        <v>139</v>
      </c>
      <c r="B28" s="1446">
        <v>42823</v>
      </c>
      <c r="C28" s="834">
        <v>20</v>
      </c>
      <c r="D28" s="1274">
        <v>163</v>
      </c>
      <c r="E28" s="834" t="s">
        <v>82</v>
      </c>
      <c r="F28" s="834" t="s">
        <v>251</v>
      </c>
      <c r="G28" s="1430" t="s">
        <v>242</v>
      </c>
      <c r="H28" s="1438">
        <v>11</v>
      </c>
      <c r="I28" s="1438">
        <v>2460</v>
      </c>
      <c r="J28" s="1288"/>
      <c r="K28" s="1438">
        <v>6</v>
      </c>
      <c r="L28" s="1511">
        <f t="shared" si="0"/>
        <v>6.5073891625615762E-2</v>
      </c>
      <c r="M28" s="1291"/>
      <c r="N28" s="1288"/>
      <c r="O28" s="1438">
        <v>2030</v>
      </c>
      <c r="P28" s="1291"/>
      <c r="Q28" s="1288"/>
      <c r="R28" s="1438">
        <v>132.1</v>
      </c>
      <c r="S28" s="1535">
        <f t="shared" si="1"/>
        <v>2.9218177339901477</v>
      </c>
      <c r="T28" s="1535">
        <f t="shared" si="2"/>
        <v>3.4266104406947586</v>
      </c>
      <c r="U28" s="1291"/>
      <c r="V28" s="1288"/>
      <c r="W28" s="1538">
        <f t="shared" si="3"/>
        <v>574.89920000000006</v>
      </c>
      <c r="X28" s="834">
        <v>4.3520000000000003</v>
      </c>
      <c r="Y28" s="840">
        <v>1.2700597501003394</v>
      </c>
    </row>
    <row r="29" spans="1:25" s="844" customFormat="1">
      <c r="A29" s="834" t="s">
        <v>139</v>
      </c>
      <c r="B29" s="1446">
        <v>42823</v>
      </c>
      <c r="C29" s="834">
        <v>20</v>
      </c>
      <c r="D29" s="1274">
        <v>177</v>
      </c>
      <c r="E29" s="834" t="s">
        <v>82</v>
      </c>
      <c r="F29" s="834" t="s">
        <v>253</v>
      </c>
      <c r="G29" s="1430" t="s">
        <v>242</v>
      </c>
      <c r="H29" s="1438">
        <v>20</v>
      </c>
      <c r="I29" s="1438">
        <v>3410</v>
      </c>
      <c r="J29" s="1288"/>
      <c r="K29" s="1438">
        <v>6</v>
      </c>
      <c r="L29" s="1511">
        <f t="shared" si="0"/>
        <v>6.147887323943662E-2</v>
      </c>
      <c r="M29" s="1291"/>
      <c r="N29" s="1288"/>
      <c r="O29" s="1438">
        <v>1420</v>
      </c>
      <c r="P29" s="1291"/>
      <c r="Q29" s="1288"/>
      <c r="R29" s="1438">
        <v>87.3</v>
      </c>
      <c r="S29" s="1535">
        <f t="shared" si="1"/>
        <v>2.9694295774647887</v>
      </c>
      <c r="T29" s="1535">
        <f t="shared" si="2"/>
        <v>3.4127915003118852</v>
      </c>
      <c r="U29" s="1291"/>
      <c r="V29" s="1288"/>
      <c r="W29" s="1538">
        <f t="shared" si="3"/>
        <v>431.69850000000002</v>
      </c>
      <c r="X29" s="834">
        <v>4.9450000000000003</v>
      </c>
      <c r="Y29" s="840">
        <v>1.4489604769433146</v>
      </c>
    </row>
    <row r="30" spans="1:25" s="844" customFormat="1">
      <c r="A30" s="834" t="s">
        <v>139</v>
      </c>
      <c r="B30" s="1446">
        <v>42823</v>
      </c>
      <c r="C30" s="834">
        <v>20</v>
      </c>
      <c r="D30" s="1274">
        <v>158</v>
      </c>
      <c r="E30" s="834" t="s">
        <v>82</v>
      </c>
      <c r="F30" s="834" t="s">
        <v>255</v>
      </c>
      <c r="G30" s="1430" t="s">
        <v>242</v>
      </c>
      <c r="H30" s="1438">
        <v>19</v>
      </c>
      <c r="I30" s="1438">
        <v>3050</v>
      </c>
      <c r="J30" s="1288"/>
      <c r="K30" s="1438">
        <v>6</v>
      </c>
      <c r="L30" s="1511">
        <f t="shared" si="0"/>
        <v>6.3314917127071824E-2</v>
      </c>
      <c r="M30" s="1291"/>
      <c r="N30" s="1288"/>
      <c r="O30" s="1438">
        <v>1810</v>
      </c>
      <c r="P30" s="1291"/>
      <c r="Q30" s="1288"/>
      <c r="R30" s="1438">
        <v>114.6</v>
      </c>
      <c r="S30" s="1535">
        <f t="shared" si="1"/>
        <v>3.0771049723756905</v>
      </c>
      <c r="T30" s="1535">
        <f t="shared" si="2"/>
        <v>3.382536066545982</v>
      </c>
      <c r="U30" s="1291"/>
      <c r="V30" s="1288"/>
      <c r="W30" s="1538">
        <f t="shared" si="3"/>
        <v>555.00779999999997</v>
      </c>
      <c r="X30" s="834">
        <v>4.843</v>
      </c>
      <c r="Y30" s="840">
        <v>1.4317659604278352</v>
      </c>
    </row>
    <row r="31" spans="1:25" s="844" customFormat="1">
      <c r="A31" s="834" t="s">
        <v>139</v>
      </c>
      <c r="B31" s="1446">
        <v>42823</v>
      </c>
      <c r="C31" s="834">
        <v>20</v>
      </c>
      <c r="D31" s="1274">
        <v>173</v>
      </c>
      <c r="E31" s="834" t="s">
        <v>82</v>
      </c>
      <c r="F31" s="834" t="s">
        <v>238</v>
      </c>
      <c r="G31" s="1430" t="s">
        <v>242</v>
      </c>
      <c r="H31" s="1438">
        <v>24</v>
      </c>
      <c r="I31" s="1438">
        <v>3790</v>
      </c>
      <c r="J31" s="1288"/>
      <c r="K31" s="1438">
        <v>6</v>
      </c>
      <c r="L31" s="1511">
        <f t="shared" si="0"/>
        <v>5.8972602739726022E-2</v>
      </c>
      <c r="M31" s="1291"/>
      <c r="N31" s="1288"/>
      <c r="O31" s="1438">
        <v>1460</v>
      </c>
      <c r="P31" s="1291"/>
      <c r="Q31" s="1288"/>
      <c r="R31" s="1438">
        <v>86.1</v>
      </c>
      <c r="S31" s="1535">
        <f t="shared" si="1"/>
        <v>3.0960616438356157</v>
      </c>
      <c r="T31" s="1535">
        <f t="shared" si="2"/>
        <v>3.3773464589371152</v>
      </c>
      <c r="U31" s="1291"/>
      <c r="V31" s="1288"/>
      <c r="W31" s="1538">
        <f t="shared" si="3"/>
        <v>376.08480000000003</v>
      </c>
      <c r="X31" s="834">
        <v>4.3680000000000003</v>
      </c>
      <c r="Y31" s="840">
        <v>1.2933230431368457</v>
      </c>
    </row>
    <row r="32" spans="1:25" s="844" customFormat="1">
      <c r="A32" s="834" t="s">
        <v>139</v>
      </c>
      <c r="B32" s="1446">
        <v>42823</v>
      </c>
      <c r="C32" s="834">
        <v>20</v>
      </c>
      <c r="D32" s="1274">
        <v>161</v>
      </c>
      <c r="E32" s="834" t="s">
        <v>82</v>
      </c>
      <c r="F32" s="834" t="s">
        <v>258</v>
      </c>
      <c r="G32" s="1430" t="s">
        <v>242</v>
      </c>
      <c r="H32" s="1438">
        <v>16</v>
      </c>
      <c r="I32" s="1438">
        <v>2950</v>
      </c>
      <c r="J32" s="1288"/>
      <c r="K32" s="1438">
        <v>6</v>
      </c>
      <c r="L32" s="1511">
        <f t="shared" si="0"/>
        <v>7.0114942528735638E-2</v>
      </c>
      <c r="M32" s="1291"/>
      <c r="N32" s="1288"/>
      <c r="O32" s="1438">
        <v>1740</v>
      </c>
      <c r="P32" s="1291"/>
      <c r="Q32" s="1288"/>
      <c r="R32" s="1438">
        <v>122</v>
      </c>
      <c r="S32" s="1535">
        <f t="shared" si="1"/>
        <v>3.2883908045977011</v>
      </c>
      <c r="T32" s="1535">
        <f t="shared" si="2"/>
        <v>3.3268418627859409</v>
      </c>
      <c r="U32" s="1291"/>
      <c r="V32" s="1288"/>
      <c r="W32" s="1538">
        <f t="shared" si="3"/>
        <v>531.18799999999999</v>
      </c>
      <c r="X32" s="834">
        <v>4.3540000000000001</v>
      </c>
      <c r="Y32" s="840">
        <v>1.3087487111136396</v>
      </c>
    </row>
    <row r="33" spans="1:25" s="844" customFormat="1">
      <c r="A33" s="834" t="s">
        <v>139</v>
      </c>
      <c r="B33" s="1446">
        <v>42823</v>
      </c>
      <c r="C33" s="834">
        <v>20</v>
      </c>
      <c r="D33" s="1274">
        <v>164</v>
      </c>
      <c r="E33" s="834" t="s">
        <v>82</v>
      </c>
      <c r="F33" s="834" t="s">
        <v>260</v>
      </c>
      <c r="G33" s="1430" t="s">
        <v>242</v>
      </c>
      <c r="H33" s="1438">
        <v>18</v>
      </c>
      <c r="I33" s="1438">
        <v>3270</v>
      </c>
      <c r="J33" s="1288"/>
      <c r="K33" s="1438">
        <v>6</v>
      </c>
      <c r="L33" s="1511">
        <f t="shared" si="0"/>
        <v>6.4970760233918123E-2</v>
      </c>
      <c r="M33" s="1291"/>
      <c r="N33" s="1442"/>
      <c r="O33" s="1438">
        <v>1710</v>
      </c>
      <c r="P33" s="1291"/>
      <c r="Q33" s="1288"/>
      <c r="R33" s="1438">
        <v>111.1</v>
      </c>
      <c r="S33" s="1532">
        <f t="shared" si="1"/>
        <v>3.2355438596491228</v>
      </c>
      <c r="T33" s="1532">
        <f t="shared" si="2"/>
        <v>3.340343976400324</v>
      </c>
      <c r="U33" s="1291"/>
      <c r="V33" s="1288"/>
      <c r="W33" s="1538">
        <f t="shared" si="3"/>
        <v>476.61899999999997</v>
      </c>
      <c r="X33" s="834">
        <v>4.29</v>
      </c>
      <c r="Y33" s="840">
        <v>1.2842988717057398</v>
      </c>
    </row>
    <row r="34" spans="1:25" s="844" customFormat="1">
      <c r="A34" s="834" t="s">
        <v>139</v>
      </c>
      <c r="B34" s="1446">
        <v>42823</v>
      </c>
      <c r="C34" s="834">
        <v>20</v>
      </c>
      <c r="D34" s="1274">
        <v>172</v>
      </c>
      <c r="E34" s="834" t="s">
        <v>82</v>
      </c>
      <c r="F34" s="834" t="s">
        <v>239</v>
      </c>
      <c r="G34" s="1430" t="s">
        <v>242</v>
      </c>
      <c r="H34" s="1438">
        <v>21</v>
      </c>
      <c r="I34" s="1438">
        <v>3830</v>
      </c>
      <c r="J34" s="1288"/>
      <c r="K34" s="1438">
        <v>6</v>
      </c>
      <c r="L34" s="1511">
        <f t="shared" si="0"/>
        <v>6.0214285714285713E-2</v>
      </c>
      <c r="M34" s="1291"/>
      <c r="N34" s="1288"/>
      <c r="O34" s="1438">
        <v>1400</v>
      </c>
      <c r="P34" s="1291"/>
      <c r="Q34" s="1288"/>
      <c r="R34" s="1438">
        <v>84.3</v>
      </c>
      <c r="S34" s="1532">
        <f t="shared" si="1"/>
        <v>3.1492071428571426</v>
      </c>
      <c r="T34" s="1532">
        <f>MIN(4.63,4.48*S34^(-0.25))</f>
        <v>3.3630065025346916</v>
      </c>
      <c r="U34" s="1291"/>
      <c r="V34" s="1288"/>
      <c r="W34" s="1538">
        <f t="shared" si="3"/>
        <v>339.39179999999999</v>
      </c>
      <c r="X34" s="834">
        <v>4.0259999999999998</v>
      </c>
      <c r="Y34" s="840">
        <v>1.1971430911494256</v>
      </c>
    </row>
    <row r="35" spans="1:25" s="844" customFormat="1">
      <c r="A35" s="834" t="s">
        <v>139</v>
      </c>
      <c r="B35" s="1446">
        <v>42823</v>
      </c>
      <c r="C35" s="834">
        <v>20</v>
      </c>
      <c r="D35" s="1274">
        <v>167</v>
      </c>
      <c r="E35" s="834" t="s">
        <v>82</v>
      </c>
      <c r="F35" s="834" t="s">
        <v>240</v>
      </c>
      <c r="G35" s="1430" t="s">
        <v>242</v>
      </c>
      <c r="H35" s="1438">
        <v>22</v>
      </c>
      <c r="I35" s="1438">
        <v>3230</v>
      </c>
      <c r="J35" s="1288"/>
      <c r="K35" s="1438">
        <v>6</v>
      </c>
      <c r="L35" s="1511">
        <f t="shared" si="0"/>
        <v>5.6503496503496502E-2</v>
      </c>
      <c r="M35" s="1291"/>
      <c r="N35" s="1288"/>
      <c r="O35" s="1438">
        <v>1430</v>
      </c>
      <c r="P35" s="1291"/>
      <c r="Q35" s="1288"/>
      <c r="R35" s="1438">
        <v>80.8</v>
      </c>
      <c r="S35" s="1532">
        <f t="shared" si="1"/>
        <v>2.6330629370629368</v>
      </c>
      <c r="T35" s="1532">
        <f t="shared" si="2"/>
        <v>3.516921737364775</v>
      </c>
      <c r="U35" s="1291"/>
      <c r="V35" s="1288"/>
      <c r="W35" s="1538">
        <f t="shared" si="3"/>
        <v>367.39759999999995</v>
      </c>
      <c r="X35" s="834">
        <v>4.5469999999999997</v>
      </c>
      <c r="Y35" s="840">
        <v>1.2928920060095113</v>
      </c>
    </row>
    <row r="36" spans="1:25" s="844" customFormat="1">
      <c r="A36" s="834" t="s">
        <v>139</v>
      </c>
      <c r="B36" s="1446">
        <v>42823</v>
      </c>
      <c r="C36" s="834">
        <v>20</v>
      </c>
      <c r="D36" s="1274">
        <v>165</v>
      </c>
      <c r="E36" s="834" t="s">
        <v>82</v>
      </c>
      <c r="F36" s="834" t="s">
        <v>264</v>
      </c>
      <c r="G36" s="1430" t="s">
        <v>242</v>
      </c>
      <c r="H36" s="1438">
        <v>22</v>
      </c>
      <c r="I36" s="1438">
        <v>3790</v>
      </c>
      <c r="J36" s="1288"/>
      <c r="K36" s="1438">
        <v>6</v>
      </c>
      <c r="L36" s="1511">
        <f t="shared" si="0"/>
        <v>5.4822695035460993E-2</v>
      </c>
      <c r="M36" s="1291"/>
      <c r="N36" s="1288"/>
      <c r="O36" s="1438">
        <v>1410</v>
      </c>
      <c r="P36" s="1291"/>
      <c r="Q36" s="1288"/>
      <c r="R36" s="1438">
        <v>77.3</v>
      </c>
      <c r="S36" s="1532">
        <f t="shared" si="1"/>
        <v>2.8507801418439715</v>
      </c>
      <c r="T36" s="1532">
        <f t="shared" si="2"/>
        <v>3.4477604444708545</v>
      </c>
      <c r="U36" s="1291"/>
      <c r="V36" s="1288"/>
      <c r="W36" s="1538">
        <f t="shared" si="3"/>
        <v>356.19839999999994</v>
      </c>
      <c r="X36" s="834">
        <v>4.6079999999999997</v>
      </c>
      <c r="Y36" s="840">
        <v>1.3365197710849699</v>
      </c>
    </row>
    <row r="37" spans="1:25" s="844" customFormat="1">
      <c r="A37" s="834" t="s">
        <v>139</v>
      </c>
      <c r="B37" s="1446">
        <v>42823</v>
      </c>
      <c r="C37" s="834">
        <v>20</v>
      </c>
      <c r="D37" s="1274">
        <v>170</v>
      </c>
      <c r="E37" s="834" t="s">
        <v>82</v>
      </c>
      <c r="F37" s="834" t="s">
        <v>266</v>
      </c>
      <c r="G37" s="1430" t="s">
        <v>242</v>
      </c>
      <c r="H37" s="1438">
        <v>25</v>
      </c>
      <c r="I37" s="1438">
        <v>3300</v>
      </c>
      <c r="J37" s="1288"/>
      <c r="K37" s="1438">
        <v>6</v>
      </c>
      <c r="L37" s="1511">
        <f t="shared" si="0"/>
        <v>5.2330827067669165E-2</v>
      </c>
      <c r="M37" s="1291"/>
      <c r="N37" s="1288"/>
      <c r="O37" s="1438">
        <v>1330</v>
      </c>
      <c r="P37" s="1291"/>
      <c r="Q37" s="1288"/>
      <c r="R37" s="1438">
        <v>69.599999999999994</v>
      </c>
      <c r="S37" s="1532">
        <f t="shared" si="1"/>
        <v>2.4229172932330822</v>
      </c>
      <c r="T37" s="1532">
        <f t="shared" si="2"/>
        <v>3.5908177770976644</v>
      </c>
      <c r="U37" s="1291"/>
      <c r="V37" s="1288"/>
      <c r="W37" s="1538">
        <f t="shared" si="3"/>
        <v>348.90479999999997</v>
      </c>
      <c r="X37" s="834">
        <v>5.0129999999999999</v>
      </c>
      <c r="Y37" s="840">
        <v>1.3960608171133195</v>
      </c>
    </row>
    <row r="38" spans="1:25" s="844" customFormat="1" ht="15.75" thickBot="1">
      <c r="A38" s="834" t="s">
        <v>139</v>
      </c>
      <c r="B38" s="1446">
        <v>42823</v>
      </c>
      <c r="C38" s="834">
        <v>20</v>
      </c>
      <c r="D38" s="1293">
        <v>171</v>
      </c>
      <c r="E38" s="834" t="s">
        <v>82</v>
      </c>
      <c r="F38" s="834" t="s">
        <v>268</v>
      </c>
      <c r="G38" s="1430" t="s">
        <v>242</v>
      </c>
      <c r="H38" s="1438">
        <v>22</v>
      </c>
      <c r="I38" s="1438">
        <v>3450</v>
      </c>
      <c r="J38" s="1299"/>
      <c r="K38" s="1438">
        <v>6</v>
      </c>
      <c r="L38" s="1512">
        <f t="shared" si="0"/>
        <v>6.6233766233766228E-2</v>
      </c>
      <c r="M38" s="1295"/>
      <c r="N38" s="1299"/>
      <c r="O38" s="1438">
        <v>1540</v>
      </c>
      <c r="P38" s="1302"/>
      <c r="Q38" s="1299"/>
      <c r="R38" s="1438">
        <v>102</v>
      </c>
      <c r="S38" s="1533">
        <f t="shared" si="1"/>
        <v>3.305064935064935</v>
      </c>
      <c r="T38" s="1533">
        <f t="shared" si="2"/>
        <v>3.3226379021049643</v>
      </c>
      <c r="U38" s="1302"/>
      <c r="V38" s="1299"/>
      <c r="W38" s="1538">
        <f t="shared" si="3"/>
        <v>478.27800000000002</v>
      </c>
      <c r="X38" s="834">
        <v>4.6890000000000001</v>
      </c>
      <c r="Y38" s="840">
        <v>1.411228107952845</v>
      </c>
    </row>
    <row r="39" spans="1:25" s="844" customFormat="1" ht="15.75" thickTop="1">
      <c r="A39" s="834" t="s">
        <v>139</v>
      </c>
      <c r="B39" s="1446">
        <v>42823</v>
      </c>
      <c r="C39" s="834">
        <v>20</v>
      </c>
      <c r="D39" s="772">
        <v>168</v>
      </c>
      <c r="E39" s="834" t="s">
        <v>82</v>
      </c>
      <c r="F39" s="834" t="s">
        <v>270</v>
      </c>
      <c r="G39" s="1430" t="s">
        <v>242</v>
      </c>
      <c r="H39" s="1438">
        <v>22</v>
      </c>
      <c r="I39" s="1438">
        <v>3460</v>
      </c>
      <c r="J39" s="772"/>
      <c r="K39" s="1438">
        <v>6</v>
      </c>
      <c r="L39" s="1513">
        <f t="shared" si="0"/>
        <v>6.7189189189189188E-2</v>
      </c>
      <c r="M39" s="772"/>
      <c r="N39" s="772"/>
      <c r="O39" s="1438">
        <v>1850</v>
      </c>
      <c r="P39" s="772"/>
      <c r="Q39" s="772"/>
      <c r="R39" s="1438">
        <v>124.3</v>
      </c>
      <c r="S39" s="1536">
        <f t="shared" si="1"/>
        <v>3.567745945945946</v>
      </c>
      <c r="T39" s="1536">
        <f t="shared" si="2"/>
        <v>3.2597142698557193</v>
      </c>
      <c r="U39" s="772"/>
      <c r="V39" s="772"/>
      <c r="W39" s="1538">
        <f t="shared" si="3"/>
        <v>586.44740000000002</v>
      </c>
      <c r="X39" s="834">
        <v>4.718</v>
      </c>
      <c r="Y39" s="840">
        <v>1.4473661215124927</v>
      </c>
    </row>
    <row r="40" spans="1:25" s="844" customFormat="1">
      <c r="A40" s="834" t="s">
        <v>139</v>
      </c>
      <c r="B40" s="1446">
        <v>42823</v>
      </c>
      <c r="C40" s="834">
        <v>20</v>
      </c>
      <c r="D40" s="772">
        <v>159</v>
      </c>
      <c r="E40" s="834" t="s">
        <v>82</v>
      </c>
      <c r="F40" s="834" t="s">
        <v>272</v>
      </c>
      <c r="G40" s="1430" t="s">
        <v>242</v>
      </c>
      <c r="H40" s="1438">
        <v>18</v>
      </c>
      <c r="I40" s="1438">
        <v>3730</v>
      </c>
      <c r="J40" s="772"/>
      <c r="K40" s="1438">
        <v>6</v>
      </c>
      <c r="L40" s="1513">
        <f t="shared" si="0"/>
        <v>5.9806451612903225E-2</v>
      </c>
      <c r="M40" s="772"/>
      <c r="N40" s="772"/>
      <c r="O40" s="1438">
        <v>1550</v>
      </c>
      <c r="P40" s="772"/>
      <c r="Q40" s="772"/>
      <c r="R40" s="1438">
        <v>92.7</v>
      </c>
      <c r="S40" s="1536">
        <f t="shared" si="1"/>
        <v>3.15778064516129</v>
      </c>
      <c r="T40" s="1536">
        <f t="shared" si="2"/>
        <v>3.3607215000601141</v>
      </c>
      <c r="U40" s="772"/>
      <c r="V40" s="772"/>
      <c r="W40" s="1538">
        <f t="shared" si="3"/>
        <v>427.16159999999996</v>
      </c>
      <c r="X40" s="834">
        <v>4.6079999999999997</v>
      </c>
      <c r="Y40" s="840">
        <v>1.3711341448309762</v>
      </c>
    </row>
    <row r="41" spans="1:25" s="844" customFormat="1">
      <c r="A41" s="834" t="s">
        <v>139</v>
      </c>
      <c r="B41" s="1446">
        <v>42823</v>
      </c>
      <c r="C41" s="834">
        <v>20</v>
      </c>
      <c r="D41" s="772">
        <v>176</v>
      </c>
      <c r="E41" s="834" t="s">
        <v>82</v>
      </c>
      <c r="F41" s="834" t="s">
        <v>274</v>
      </c>
      <c r="G41" s="1430" t="s">
        <v>242</v>
      </c>
      <c r="H41" s="1438">
        <v>21</v>
      </c>
      <c r="I41" s="1438">
        <v>2940</v>
      </c>
      <c r="J41" s="772"/>
      <c r="K41" s="1438">
        <v>6</v>
      </c>
      <c r="L41" s="1513">
        <f t="shared" si="0"/>
        <v>6.3758389261744972E-2</v>
      </c>
      <c r="M41" s="772"/>
      <c r="N41" s="772"/>
      <c r="O41" s="1438">
        <v>1490</v>
      </c>
      <c r="P41" s="772"/>
      <c r="Q41" s="772"/>
      <c r="R41" s="1438">
        <v>95</v>
      </c>
      <c r="S41" s="1536">
        <f t="shared" si="1"/>
        <v>2.8244966442953023</v>
      </c>
      <c r="T41" s="1536">
        <f t="shared" si="2"/>
        <v>3.4557534337611542</v>
      </c>
      <c r="U41" s="772"/>
      <c r="V41" s="772"/>
      <c r="W41" s="1538">
        <f t="shared" si="3"/>
        <v>347.51</v>
      </c>
      <c r="X41" s="834">
        <v>3.6579999999999999</v>
      </c>
      <c r="Y41" s="840">
        <v>1.0585245938737953</v>
      </c>
    </row>
    <row r="42" spans="1:25" s="844" customFormat="1">
      <c r="A42" s="834" t="s">
        <v>139</v>
      </c>
      <c r="B42" s="1446">
        <v>42823</v>
      </c>
      <c r="C42" s="834">
        <v>20</v>
      </c>
      <c r="D42" s="772">
        <v>175</v>
      </c>
      <c r="E42" s="834" t="s">
        <v>82</v>
      </c>
      <c r="F42" s="834" t="s">
        <v>276</v>
      </c>
      <c r="G42" s="1430" t="s">
        <v>242</v>
      </c>
      <c r="H42" s="1438">
        <v>21</v>
      </c>
      <c r="I42" s="1438">
        <v>2850</v>
      </c>
      <c r="J42" s="772"/>
      <c r="K42" s="1438">
        <v>6</v>
      </c>
      <c r="L42" s="1513">
        <f t="shared" si="0"/>
        <v>7.0662251655629144E-2</v>
      </c>
      <c r="M42" s="772"/>
      <c r="N42" s="772"/>
      <c r="O42" s="1438">
        <v>1510</v>
      </c>
      <c r="P42" s="772"/>
      <c r="Q42" s="772"/>
      <c r="R42" s="1438">
        <v>106.7</v>
      </c>
      <c r="S42" s="1536">
        <f t="shared" si="1"/>
        <v>3.0808741721854305</v>
      </c>
      <c r="T42" s="1536">
        <f t="shared" si="2"/>
        <v>3.3815010268961205</v>
      </c>
      <c r="U42" s="772"/>
      <c r="V42" s="772"/>
      <c r="W42" s="1538">
        <f t="shared" si="3"/>
        <v>498.1823</v>
      </c>
      <c r="X42" s="834">
        <v>4.6689999999999996</v>
      </c>
      <c r="Y42" s="840">
        <v>1.3807477693672841</v>
      </c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4"/>
      <c r="T43" s="4"/>
      <c r="U43" s="1"/>
      <c r="V43" s="1"/>
      <c r="W43" s="4"/>
      <c r="X43" s="4"/>
      <c r="Y43" s="4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4"/>
      <c r="T44" s="4"/>
      <c r="U44" s="1"/>
      <c r="V44" s="1"/>
      <c r="W44" s="4"/>
      <c r="X44" s="4"/>
      <c r="Y44" s="4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750" t="s">
        <v>390</v>
      </c>
      <c r="Q45" s="751"/>
      <c r="R45" s="751"/>
      <c r="S45" s="4"/>
      <c r="T45" s="4"/>
      <c r="U45" s="1"/>
      <c r="V45" s="1"/>
      <c r="W45" s="4"/>
      <c r="X45" s="4"/>
      <c r="Y45" s="4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6"/>
      <c r="Q46" s="752" t="s">
        <v>63</v>
      </c>
      <c r="R46" s="753" t="s">
        <v>64</v>
      </c>
      <c r="S46" s="4"/>
      <c r="T46" s="4"/>
      <c r="U46" s="1"/>
      <c r="V46" s="1"/>
      <c r="W46" s="4"/>
      <c r="X46" s="4"/>
      <c r="Y46" s="4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497" t="s">
        <v>391</v>
      </c>
      <c r="Q47" s="774">
        <f>AVERAGE(Y3:Y22)</f>
        <v>0.81657942746692436</v>
      </c>
      <c r="R47" s="774">
        <f>AVERAGE(Y23:Y42)</f>
        <v>1.3300072199254589</v>
      </c>
      <c r="S47" s="4"/>
      <c r="T47" s="4"/>
      <c r="U47" s="1"/>
      <c r="V47" s="1"/>
      <c r="W47" s="4"/>
      <c r="X47" s="4"/>
      <c r="Y47" s="4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497" t="s">
        <v>25</v>
      </c>
      <c r="Q48" s="774">
        <f>AVERAGE(W3:W22)</f>
        <v>322.91774500000008</v>
      </c>
      <c r="R48" s="774">
        <f>AVERAGE(W23:W42)</f>
        <v>444.09413500000011</v>
      </c>
      <c r="S48" s="4"/>
      <c r="T48" s="4"/>
      <c r="U48" s="1"/>
      <c r="V48" s="1"/>
      <c r="W48" s="4"/>
      <c r="X48" s="4"/>
      <c r="Y48" s="4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36" t="s">
        <v>392</v>
      </c>
      <c r="Q49" s="774">
        <f>AVERAGE(X3:X22)</f>
        <v>2.6713500000000003</v>
      </c>
      <c r="R49" s="774">
        <f>AVERAGE(X23:X42)</f>
        <v>4.5445000000000002</v>
      </c>
      <c r="S49" s="4"/>
      <c r="T49" s="4"/>
      <c r="U49" s="1"/>
      <c r="V49" s="1"/>
      <c r="W49" s="4"/>
      <c r="X49" s="4"/>
      <c r="Y49" s="4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497" t="s">
        <v>393</v>
      </c>
      <c r="Q50" s="774">
        <f>AVERAGE(S3:S22)</f>
        <v>3.5560822493782838</v>
      </c>
      <c r="R50" s="774">
        <f>AVERAGE(S23:S42)</f>
        <v>2.9927644792067136</v>
      </c>
      <c r="S50" s="4"/>
      <c r="T50" s="4"/>
      <c r="U50" s="1"/>
      <c r="V50" s="1"/>
      <c r="W50" s="4"/>
      <c r="X50" s="4"/>
      <c r="Y50" s="4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4"/>
      <c r="T51" s="4"/>
      <c r="U51" s="1"/>
      <c r="V51" s="1"/>
      <c r="W51" s="4"/>
      <c r="X51" s="4"/>
      <c r="Y51" s="4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4"/>
      <c r="T52" s="4"/>
      <c r="U52" s="1"/>
      <c r="V52" s="1"/>
      <c r="W52" s="4"/>
      <c r="X52" s="4"/>
      <c r="Y52" s="4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4"/>
      <c r="T53" s="4"/>
      <c r="U53" s="1"/>
      <c r="V53" s="1"/>
      <c r="W53" s="4"/>
      <c r="X53" s="4"/>
      <c r="Y53" s="4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4"/>
      <c r="T54" s="4"/>
      <c r="U54" s="1"/>
      <c r="V54" s="1"/>
      <c r="W54" s="4"/>
      <c r="X54" s="4"/>
      <c r="Y54" s="4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4"/>
      <c r="T55" s="4"/>
      <c r="U55" s="1"/>
      <c r="V55" s="1"/>
      <c r="W55" s="4"/>
      <c r="X55" s="4"/>
      <c r="Y55" s="4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4"/>
      <c r="T56" s="4"/>
      <c r="U56" s="1"/>
      <c r="V56" s="1"/>
      <c r="W56" s="4"/>
      <c r="X56" s="4"/>
      <c r="Y56" s="4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4"/>
      <c r="T57" s="4"/>
      <c r="U57" s="1"/>
      <c r="V57" s="1"/>
      <c r="W57" s="4"/>
      <c r="X57" s="4"/>
      <c r="Y57" s="4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4"/>
      <c r="T58" s="4"/>
      <c r="U58" s="1"/>
      <c r="V58" s="1"/>
      <c r="W58" s="4"/>
      <c r="X58" s="4"/>
      <c r="Y58" s="4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4"/>
      <c r="T59" s="4"/>
      <c r="U59" s="1"/>
      <c r="V59" s="1"/>
      <c r="W59" s="4"/>
      <c r="X59" s="4"/>
      <c r="Y59" s="4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4"/>
      <c r="T60" s="4"/>
      <c r="U60" s="1"/>
      <c r="V60" s="1"/>
      <c r="W60" s="4"/>
      <c r="X60" s="4"/>
      <c r="Y60" s="4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4"/>
      <c r="T61" s="4"/>
      <c r="U61" s="1"/>
      <c r="V61" s="1"/>
      <c r="W61" s="4"/>
      <c r="X61" s="4"/>
      <c r="Y61" s="4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4"/>
      <c r="T62" s="4"/>
      <c r="U62" s="1"/>
      <c r="V62" s="1"/>
      <c r="W62" s="4"/>
      <c r="X62" s="4"/>
      <c r="Y62" s="4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4"/>
      <c r="T63" s="4"/>
      <c r="U63" s="1"/>
      <c r="V63" s="1"/>
      <c r="W63" s="4"/>
      <c r="X63" s="4"/>
      <c r="Y63" s="4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4"/>
      <c r="T64" s="4"/>
      <c r="U64" s="1"/>
      <c r="V64" s="1"/>
      <c r="W64" s="4"/>
      <c r="X64" s="4"/>
      <c r="Y64" s="4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4"/>
      <c r="T65" s="4"/>
      <c r="U65" s="1"/>
      <c r="V65" s="1"/>
      <c r="W65" s="4"/>
      <c r="X65" s="4"/>
      <c r="Y65" s="4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4"/>
      <c r="T66" s="4"/>
      <c r="U66" s="1"/>
      <c r="V66" s="1"/>
      <c r="W66" s="4"/>
      <c r="X66" s="4"/>
      <c r="Y66" s="4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4"/>
      <c r="T67" s="4"/>
      <c r="U67" s="1"/>
      <c r="V67" s="1"/>
      <c r="W67" s="4"/>
      <c r="X67" s="4"/>
      <c r="Y67" s="4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4"/>
      <c r="T68" s="4"/>
      <c r="U68" s="1"/>
      <c r="V68" s="1"/>
      <c r="W68" s="4"/>
      <c r="X68" s="4"/>
      <c r="Y68" s="4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4"/>
      <c r="T69" s="4"/>
      <c r="U69" s="1"/>
      <c r="V69" s="1"/>
      <c r="W69" s="4"/>
      <c r="X69" s="4"/>
      <c r="Y69" s="4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4"/>
      <c r="T70" s="4"/>
      <c r="U70" s="1"/>
      <c r="V70" s="1"/>
      <c r="W70" s="4"/>
      <c r="X70" s="4"/>
      <c r="Y70" s="4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4"/>
      <c r="T71" s="4"/>
      <c r="U71" s="1"/>
      <c r="V71" s="1"/>
      <c r="W71" s="4"/>
      <c r="X71" s="4"/>
      <c r="Y71" s="4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4"/>
      <c r="T72" s="4"/>
      <c r="U72" s="1"/>
      <c r="V72" s="1"/>
      <c r="W72" s="4"/>
      <c r="X72" s="4"/>
      <c r="Y72" s="4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4"/>
      <c r="T73" s="4"/>
      <c r="U73" s="1"/>
      <c r="V73" s="1"/>
      <c r="W73" s="4"/>
      <c r="X73" s="4"/>
      <c r="Y73" s="4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4"/>
      <c r="T74" s="4"/>
      <c r="U74" s="1"/>
      <c r="V74" s="1"/>
      <c r="W74" s="4"/>
      <c r="X74" s="4"/>
      <c r="Y74" s="4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4"/>
      <c r="T75" s="4"/>
      <c r="U75" s="1"/>
      <c r="V75" s="1"/>
      <c r="W75" s="4"/>
      <c r="X75" s="4"/>
      <c r="Y75" s="4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4"/>
      <c r="T76" s="4"/>
      <c r="U76" s="1"/>
      <c r="V76" s="1"/>
      <c r="W76" s="4"/>
      <c r="X76" s="4"/>
      <c r="Y76" s="4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4"/>
      <c r="T77" s="4"/>
      <c r="U77" s="1"/>
      <c r="V77" s="1"/>
      <c r="W77" s="4"/>
      <c r="X77" s="4"/>
      <c r="Y77" s="4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4"/>
      <c r="T78" s="4"/>
      <c r="U78" s="1"/>
      <c r="V78" s="1"/>
      <c r="W78" s="4"/>
      <c r="X78" s="4"/>
      <c r="Y78" s="4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4"/>
      <c r="T79" s="4"/>
      <c r="U79" s="1"/>
      <c r="V79" s="1"/>
      <c r="W79" s="4"/>
      <c r="X79" s="4"/>
      <c r="Y79" s="4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4"/>
      <c r="T80" s="4"/>
      <c r="U80" s="1"/>
      <c r="V80" s="1"/>
      <c r="W80" s="4"/>
      <c r="X80" s="4"/>
      <c r="Y80" s="4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4"/>
      <c r="T81" s="4"/>
      <c r="U81" s="1"/>
      <c r="V81" s="1"/>
      <c r="W81" s="4"/>
      <c r="X81" s="4"/>
      <c r="Y81" s="4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4"/>
      <c r="T82" s="4"/>
      <c r="U82" s="1"/>
      <c r="V82" s="1"/>
      <c r="W82" s="4"/>
      <c r="X82" s="4"/>
      <c r="Y82" s="4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4"/>
      <c r="T83" s="4"/>
      <c r="U83" s="1"/>
      <c r="V83" s="1"/>
      <c r="W83" s="4"/>
      <c r="X83" s="4"/>
      <c r="Y83" s="4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4"/>
      <c r="T84" s="4"/>
      <c r="U84" s="1"/>
      <c r="V84" s="1"/>
      <c r="W84" s="4"/>
      <c r="X84" s="4"/>
      <c r="Y84" s="4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4"/>
      <c r="T85" s="4"/>
      <c r="U85" s="1"/>
      <c r="V85" s="1"/>
      <c r="W85" s="4"/>
      <c r="X85" s="4"/>
      <c r="Y85" s="4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4"/>
      <c r="T86" s="4"/>
      <c r="U86" s="1"/>
      <c r="V86" s="1"/>
      <c r="W86" s="4"/>
      <c r="X86" s="4"/>
      <c r="Y86" s="4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4"/>
      <c r="T87" s="4"/>
      <c r="U87" s="1"/>
      <c r="V87" s="1"/>
      <c r="W87" s="4"/>
      <c r="X87" s="4"/>
      <c r="Y87" s="4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4"/>
      <c r="T88" s="4"/>
      <c r="U88" s="1"/>
      <c r="V88" s="1"/>
      <c r="W88" s="4"/>
      <c r="X88" s="4"/>
      <c r="Y88" s="4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4"/>
      <c r="T89" s="4"/>
      <c r="U89" s="1"/>
      <c r="V89" s="1"/>
      <c r="W89" s="4"/>
      <c r="X89" s="4"/>
      <c r="Y89" s="4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4"/>
      <c r="T90" s="4"/>
      <c r="U90" s="1"/>
      <c r="V90" s="1"/>
      <c r="W90" s="4"/>
      <c r="X90" s="4"/>
      <c r="Y90" s="4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4"/>
      <c r="T91" s="4"/>
      <c r="U91" s="1"/>
      <c r="V91" s="1"/>
      <c r="W91" s="4"/>
      <c r="X91" s="4"/>
      <c r="Y91" s="4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4"/>
      <c r="T92" s="4"/>
      <c r="U92" s="1"/>
      <c r="V92" s="1"/>
      <c r="W92" s="4"/>
      <c r="X92" s="4"/>
      <c r="Y92" s="4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4"/>
      <c r="T93" s="4"/>
      <c r="U93" s="1"/>
      <c r="V93" s="1"/>
      <c r="W93" s="4"/>
      <c r="X93" s="4"/>
      <c r="Y93" s="4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4"/>
      <c r="T94" s="4"/>
      <c r="U94" s="1"/>
      <c r="V94" s="1"/>
      <c r="W94" s="4"/>
      <c r="X94" s="4"/>
      <c r="Y94" s="4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4"/>
      <c r="T95" s="4"/>
      <c r="U95" s="1"/>
      <c r="V95" s="1"/>
      <c r="W95" s="4"/>
      <c r="X95" s="4"/>
      <c r="Y95" s="4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4"/>
      <c r="T96" s="4"/>
      <c r="U96" s="1"/>
      <c r="V96" s="1"/>
      <c r="W96" s="4"/>
      <c r="X96" s="4"/>
      <c r="Y96" s="4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4"/>
      <c r="T97" s="4"/>
      <c r="U97" s="1"/>
      <c r="V97" s="1"/>
      <c r="W97" s="4"/>
      <c r="X97" s="4"/>
      <c r="Y97" s="4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4"/>
      <c r="T98" s="4"/>
      <c r="U98" s="1"/>
      <c r="V98" s="1"/>
      <c r="W98" s="4"/>
      <c r="X98" s="4"/>
      <c r="Y98" s="4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4"/>
      <c r="T99" s="4"/>
      <c r="U99" s="1"/>
      <c r="V99" s="1"/>
      <c r="W99" s="4"/>
      <c r="X99" s="4"/>
      <c r="Y99" s="4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4"/>
      <c r="T100" s="4"/>
      <c r="U100" s="1"/>
      <c r="V100" s="1"/>
      <c r="W100" s="4"/>
      <c r="X100" s="4"/>
      <c r="Y100" s="4"/>
    </row>
    <row r="10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4"/>
      <c r="T101" s="4"/>
      <c r="U101" s="1"/>
      <c r="V101" s="1"/>
      <c r="W101" s="4"/>
      <c r="X101" s="4"/>
      <c r="Y101" s="4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4"/>
      <c r="T102" s="4"/>
      <c r="U102" s="1"/>
      <c r="V102" s="1"/>
      <c r="W102" s="4"/>
      <c r="X102" s="4"/>
      <c r="Y102" s="4"/>
    </row>
    <row r="103" spans="1: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4"/>
      <c r="T103" s="4"/>
      <c r="U103" s="1"/>
      <c r="V103" s="1"/>
      <c r="W103" s="4"/>
      <c r="X103" s="4"/>
      <c r="Y103" s="4"/>
    </row>
    <row r="104" spans="1: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4"/>
      <c r="T104" s="4"/>
      <c r="U104" s="1"/>
      <c r="V104" s="1"/>
      <c r="W104" s="4"/>
      <c r="X104" s="4"/>
      <c r="Y104" s="4"/>
    </row>
    <row r="105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4"/>
      <c r="T105" s="4"/>
      <c r="U105" s="1"/>
      <c r="V105" s="1"/>
      <c r="W105" s="4"/>
      <c r="X105" s="4"/>
      <c r="Y105" s="4"/>
    </row>
    <row r="106" spans="1: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4"/>
      <c r="T106" s="4"/>
      <c r="U106" s="1"/>
      <c r="V106" s="1"/>
      <c r="W106" s="4"/>
      <c r="X106" s="4"/>
      <c r="Y106" s="4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4"/>
      <c r="T107" s="4"/>
      <c r="U107" s="1"/>
      <c r="V107" s="1"/>
      <c r="W107" s="4"/>
      <c r="X107" s="4"/>
      <c r="Y107" s="4"/>
    </row>
    <row r="108" spans="1: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4"/>
      <c r="T108" s="4"/>
      <c r="U108" s="1"/>
      <c r="V108" s="1"/>
      <c r="W108" s="4"/>
      <c r="X108" s="4"/>
      <c r="Y108" s="4"/>
    </row>
    <row r="109" spans="1: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4"/>
      <c r="T109" s="4"/>
      <c r="U109" s="1"/>
      <c r="V109" s="1"/>
      <c r="W109" s="4"/>
      <c r="X109" s="4"/>
      <c r="Y109" s="4"/>
    </row>
    <row r="110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4"/>
      <c r="T110" s="4"/>
      <c r="U110" s="1"/>
      <c r="V110" s="1"/>
      <c r="W110" s="4"/>
      <c r="X110" s="4"/>
      <c r="Y110" s="4"/>
    </row>
    <row r="111" spans="1: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4"/>
      <c r="T111" s="4"/>
      <c r="U111" s="1"/>
      <c r="V111" s="1"/>
      <c r="W111" s="4"/>
      <c r="X111" s="4"/>
      <c r="Y111" s="4"/>
    </row>
    <row r="112" spans="1: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4"/>
      <c r="T112" s="4"/>
      <c r="U112" s="1"/>
      <c r="V112" s="1"/>
      <c r="W112" s="4"/>
      <c r="X112" s="4"/>
      <c r="Y112" s="4"/>
    </row>
    <row r="113" spans="1: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4"/>
      <c r="T113" s="4"/>
      <c r="U113" s="1"/>
      <c r="V113" s="1"/>
      <c r="W113" s="4"/>
      <c r="X113" s="4"/>
      <c r="Y113" s="4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4"/>
      <c r="T114" s="4"/>
      <c r="U114" s="1"/>
      <c r="V114" s="1"/>
      <c r="W114" s="4"/>
      <c r="X114" s="4"/>
      <c r="Y114" s="4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4"/>
      <c r="T115" s="4"/>
      <c r="U115" s="1"/>
      <c r="V115" s="1"/>
      <c r="W115" s="4"/>
      <c r="X115" s="4"/>
      <c r="Y115" s="4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4"/>
      <c r="T116" s="4"/>
      <c r="U116" s="1"/>
      <c r="V116" s="1"/>
      <c r="W116" s="4"/>
      <c r="X116" s="4"/>
      <c r="Y116" s="4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4"/>
      <c r="T117" s="4"/>
      <c r="U117" s="1"/>
      <c r="V117" s="1"/>
      <c r="W117" s="4"/>
      <c r="X117" s="4"/>
      <c r="Y117" s="4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4"/>
      <c r="T118" s="4"/>
      <c r="U118" s="1"/>
      <c r="V118" s="1"/>
      <c r="W118" s="4"/>
      <c r="X118" s="4"/>
      <c r="Y118" s="4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4"/>
      <c r="T119" s="4"/>
      <c r="U119" s="1"/>
      <c r="V119" s="1"/>
      <c r="W119" s="4"/>
      <c r="X119" s="4"/>
      <c r="Y119" s="4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4"/>
      <c r="T120" s="4"/>
      <c r="U120" s="1"/>
      <c r="V120" s="1"/>
      <c r="W120" s="4"/>
      <c r="X120" s="4"/>
      <c r="Y120" s="4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4"/>
      <c r="T121" s="4"/>
      <c r="U121" s="1"/>
      <c r="V121" s="1"/>
      <c r="W121" s="4"/>
      <c r="X121" s="4"/>
      <c r="Y121" s="4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4"/>
      <c r="T122" s="4"/>
      <c r="U122" s="1"/>
      <c r="V122" s="1"/>
      <c r="W122" s="4"/>
      <c r="X122" s="4"/>
      <c r="Y122" s="4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4"/>
      <c r="T123" s="4"/>
      <c r="U123" s="1"/>
      <c r="V123" s="1"/>
      <c r="W123" s="4"/>
      <c r="X123" s="4"/>
      <c r="Y123" s="4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4"/>
      <c r="T124" s="4"/>
      <c r="U124" s="1"/>
      <c r="V124" s="1"/>
      <c r="W124" s="4"/>
      <c r="X124" s="4"/>
      <c r="Y124" s="4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4"/>
      <c r="T125" s="4"/>
      <c r="U125" s="1"/>
      <c r="V125" s="1"/>
      <c r="W125" s="4"/>
      <c r="X125" s="4"/>
      <c r="Y125" s="4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4"/>
      <c r="T126" s="4"/>
      <c r="U126" s="1"/>
      <c r="V126" s="1"/>
      <c r="W126" s="4"/>
      <c r="X126" s="4"/>
      <c r="Y126" s="4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4"/>
      <c r="T127" s="4"/>
      <c r="U127" s="1"/>
      <c r="V127" s="1"/>
      <c r="W127" s="4"/>
      <c r="X127" s="4"/>
      <c r="Y127" s="4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4"/>
      <c r="T128" s="4"/>
      <c r="U128" s="1"/>
      <c r="V128" s="1"/>
      <c r="W128" s="4"/>
      <c r="X128" s="4"/>
      <c r="Y128" s="4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4"/>
      <c r="T129" s="4"/>
      <c r="U129" s="1"/>
      <c r="V129" s="1"/>
      <c r="W129" s="4"/>
      <c r="X129" s="4"/>
      <c r="Y129" s="4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4"/>
      <c r="T130" s="4"/>
      <c r="U130" s="1"/>
      <c r="V130" s="1"/>
      <c r="W130" s="4"/>
      <c r="X130" s="4"/>
      <c r="Y130" s="4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4"/>
      <c r="T131" s="4"/>
      <c r="U131" s="1"/>
      <c r="V131" s="1"/>
      <c r="W131" s="4"/>
      <c r="X131" s="4"/>
      <c r="Y131" s="4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4"/>
      <c r="T132" s="4"/>
      <c r="U132" s="1"/>
      <c r="V132" s="1"/>
      <c r="W132" s="4"/>
      <c r="X132" s="4"/>
      <c r="Y132" s="4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4"/>
      <c r="T133" s="4"/>
      <c r="U133" s="1"/>
      <c r="V133" s="1"/>
      <c r="W133" s="4"/>
      <c r="X133" s="4"/>
      <c r="Y133" s="4"/>
    </row>
    <row r="134" spans="1:25">
      <c r="A134" s="1"/>
      <c r="C134" s="1"/>
      <c r="D134" s="1"/>
      <c r="E134" s="1"/>
      <c r="F134" s="1"/>
      <c r="R134" s="1"/>
      <c r="S134" s="4"/>
      <c r="T134" s="4"/>
      <c r="U134" s="1"/>
      <c r="V134" s="1"/>
      <c r="W134" s="4"/>
      <c r="X134" s="4"/>
      <c r="Y134" s="4"/>
    </row>
    <row r="135" spans="1:25">
      <c r="A135" s="55" t="s">
        <v>39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4"/>
      <c r="T135" s="4"/>
      <c r="U135" s="1"/>
      <c r="V135" s="1"/>
      <c r="W135" s="4"/>
      <c r="X135" s="4"/>
      <c r="Y135" s="4"/>
    </row>
    <row r="136" spans="1:25">
      <c r="A136" s="56" t="s">
        <v>40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4"/>
      <c r="T136" s="4"/>
      <c r="U136" s="1"/>
      <c r="V136" s="1"/>
      <c r="W136" s="4"/>
      <c r="X136" s="4"/>
      <c r="Y136" s="4"/>
    </row>
    <row r="137" spans="1:25">
      <c r="A137" s="56" t="s">
        <v>41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4"/>
      <c r="T137" s="4"/>
      <c r="U137" s="1"/>
      <c r="V137" s="1"/>
      <c r="W137" s="4"/>
      <c r="X137" s="4"/>
      <c r="Y137" s="4"/>
    </row>
    <row r="138" spans="1:25">
      <c r="A138" s="56" t="s">
        <v>42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4"/>
      <c r="T138" s="4"/>
      <c r="U138" s="1"/>
      <c r="V138" s="1"/>
      <c r="W138" s="4"/>
      <c r="X138" s="4"/>
      <c r="Y138" s="4"/>
    </row>
    <row r="139" spans="1:25">
      <c r="A139" s="55" t="s">
        <v>87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4"/>
      <c r="T139" s="4"/>
      <c r="U139" s="1"/>
      <c r="V139" s="1"/>
      <c r="W139" s="4"/>
      <c r="X139" s="4"/>
      <c r="Y139" s="4"/>
    </row>
    <row r="140" spans="1:25">
      <c r="A140" s="55" t="s">
        <v>44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4"/>
      <c r="T140" s="4"/>
      <c r="U140" s="1"/>
      <c r="V140" s="1"/>
      <c r="W140" s="4"/>
      <c r="X140" s="4"/>
      <c r="Y140" s="4"/>
    </row>
    <row r="141" spans="1:25">
      <c r="A141" s="55" t="s">
        <v>45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4"/>
      <c r="T141" s="4"/>
      <c r="U141" s="1"/>
      <c r="V141" s="1"/>
      <c r="W141" s="4"/>
      <c r="X141" s="4"/>
      <c r="Y141" s="4"/>
    </row>
    <row r="142" spans="1:25">
      <c r="A142" s="56" t="s">
        <v>46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4"/>
      <c r="T142" s="4"/>
      <c r="U142" s="1"/>
      <c r="V142" s="1"/>
      <c r="W142" s="4"/>
      <c r="X142" s="4"/>
      <c r="Y142" s="4"/>
    </row>
    <row r="143" spans="1:25">
      <c r="A143" s="56" t="s">
        <v>47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4"/>
      <c r="T143" s="4"/>
      <c r="U143" s="1"/>
      <c r="V143" s="1"/>
      <c r="W143" s="4"/>
      <c r="X143" s="4"/>
      <c r="Y143" s="4"/>
    </row>
    <row r="144" spans="1:25">
      <c r="A144" s="56" t="s">
        <v>48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4"/>
      <c r="T144" s="4"/>
      <c r="U144" s="1"/>
      <c r="V144" s="1"/>
      <c r="W144" s="4"/>
      <c r="X144" s="4"/>
      <c r="Y144" s="4"/>
    </row>
    <row r="145" spans="1:25">
      <c r="A145" s="56" t="s">
        <v>49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4"/>
      <c r="P145" s="1"/>
      <c r="Q145" s="1"/>
      <c r="R145" s="1"/>
      <c r="S145" s="4"/>
      <c r="T145" s="4"/>
      <c r="U145" s="1"/>
      <c r="V145" s="1"/>
      <c r="W145" s="4"/>
      <c r="X145" s="4"/>
      <c r="Y145" s="4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4"/>
      <c r="P146" s="1"/>
      <c r="Q146" s="1"/>
      <c r="R146" s="1"/>
      <c r="S146" s="4"/>
      <c r="T146" s="4"/>
      <c r="U146" s="1"/>
      <c r="V146" s="1"/>
      <c r="W146" s="4"/>
      <c r="X146" s="4"/>
      <c r="Y146" s="4"/>
    </row>
    <row r="147" spans="1:25">
      <c r="A147" s="1" t="s">
        <v>50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4"/>
      <c r="P147" s="1"/>
      <c r="Q147" s="1"/>
      <c r="R147" s="1"/>
      <c r="S147" s="4"/>
      <c r="T147" s="4"/>
      <c r="U147" s="1"/>
      <c r="V147" s="1"/>
      <c r="W147" s="4"/>
      <c r="X147" s="4"/>
      <c r="Y147" s="4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4"/>
      <c r="P148" s="1"/>
      <c r="Q148" s="1"/>
      <c r="R148" s="1"/>
      <c r="S148" s="4"/>
      <c r="T148" s="4"/>
      <c r="U148" s="1"/>
      <c r="V148" s="1"/>
      <c r="W148" s="4"/>
      <c r="X148" s="4"/>
      <c r="Y148" s="4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4"/>
      <c r="P149" s="1"/>
      <c r="Q149" s="1"/>
      <c r="R149" s="1"/>
      <c r="S149" s="4"/>
      <c r="T149" s="4"/>
      <c r="U149" s="1"/>
      <c r="V149" s="1"/>
      <c r="W149" s="4"/>
      <c r="X149" s="4"/>
      <c r="Y149" s="4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4"/>
      <c r="P150" s="1"/>
      <c r="Q150" s="1"/>
      <c r="R150" s="1"/>
      <c r="S150" s="4"/>
      <c r="T150" s="4"/>
      <c r="U150" s="1"/>
      <c r="V150" s="1"/>
      <c r="W150" s="4"/>
      <c r="X150" s="4"/>
      <c r="Y150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67"/>
  <sheetViews>
    <sheetView topLeftCell="E16" workbookViewId="0">
      <selection activeCell="P48" sqref="P48"/>
    </sheetView>
  </sheetViews>
  <sheetFormatPr baseColWidth="10" defaultRowHeight="15"/>
  <cols>
    <col min="3" max="3" width="6.42578125" customWidth="1"/>
    <col min="4" max="4" width="11.7109375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style="478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139</v>
      </c>
      <c r="B3" s="1102">
        <v>42823</v>
      </c>
      <c r="C3" s="856">
        <v>1</v>
      </c>
      <c r="D3" s="1070">
        <v>56</v>
      </c>
      <c r="E3" s="856" t="s">
        <v>79</v>
      </c>
      <c r="F3" s="856" t="s">
        <v>81</v>
      </c>
      <c r="G3" s="1073" t="s">
        <v>242</v>
      </c>
      <c r="H3" s="1087">
        <v>21</v>
      </c>
      <c r="I3" s="1087">
        <v>1240</v>
      </c>
      <c r="J3" s="1075"/>
      <c r="K3" s="1087">
        <v>6</v>
      </c>
      <c r="L3" s="1499">
        <f>R3/O3</f>
        <v>0.16368421052631579</v>
      </c>
      <c r="M3" s="1076"/>
      <c r="N3" s="1075"/>
      <c r="O3" s="1087">
        <v>380</v>
      </c>
      <c r="P3" s="1785"/>
      <c r="Q3" s="1786"/>
      <c r="R3" s="1087">
        <v>62.2</v>
      </c>
      <c r="S3" s="1502">
        <f>(R3+(I3*L3))/100</f>
        <v>2.6516842105263159</v>
      </c>
      <c r="T3" s="1502">
        <f>MIN(4.63,4.48*S3^(-0.25))</f>
        <v>3.5107310744578291</v>
      </c>
      <c r="U3" s="1785"/>
      <c r="V3" s="1786"/>
      <c r="W3" s="1527">
        <f>X3*R3</f>
        <v>128.25639999999999</v>
      </c>
      <c r="X3" s="856">
        <v>2.0619999999999998</v>
      </c>
      <c r="Y3" s="862">
        <v>0.58734205391064864</v>
      </c>
    </row>
    <row r="4" spans="1:25" s="866" customFormat="1">
      <c r="A4" s="1103" t="s">
        <v>139</v>
      </c>
      <c r="B4" s="1104">
        <v>42823</v>
      </c>
      <c r="C4" s="1103">
        <v>1</v>
      </c>
      <c r="D4" s="960">
        <v>60</v>
      </c>
      <c r="E4" s="1105" t="s">
        <v>79</v>
      </c>
      <c r="F4" s="1103" t="s">
        <v>237</v>
      </c>
      <c r="G4" s="1073" t="s">
        <v>242</v>
      </c>
      <c r="H4" s="1106">
        <v>21</v>
      </c>
      <c r="I4" s="1106">
        <v>1010</v>
      </c>
      <c r="J4" s="1080"/>
      <c r="K4" s="1106">
        <v>6</v>
      </c>
      <c r="L4" s="1500">
        <f t="shared" ref="L4:L42" si="0">R4/O4</f>
        <v>0.15451612903225806</v>
      </c>
      <c r="M4" s="1081"/>
      <c r="N4" s="1080"/>
      <c r="O4" s="1106">
        <v>310</v>
      </c>
      <c r="P4" s="1787"/>
      <c r="Q4" s="1788"/>
      <c r="R4" s="1087">
        <v>47.9</v>
      </c>
      <c r="S4" s="1503">
        <f t="shared" ref="S4:S42" si="1">(R4+(I4*L4))/100</f>
        <v>2.0396129032258066</v>
      </c>
      <c r="T4" s="1503">
        <f t="shared" ref="T4:T42" si="2">MIN(4.63,4.48*S4^(-0.25))</f>
        <v>3.7487896852772087</v>
      </c>
      <c r="U4" s="1787"/>
      <c r="V4" s="1788"/>
      <c r="W4" s="1528">
        <f t="shared" ref="W4:W42" si="3">X4*R4</f>
        <v>118.0256</v>
      </c>
      <c r="X4" s="856">
        <v>2.464</v>
      </c>
      <c r="Y4" s="862">
        <v>0.6572788037901881</v>
      </c>
    </row>
    <row r="5" spans="1:25" s="866" customFormat="1">
      <c r="A5" s="1103" t="s">
        <v>139</v>
      </c>
      <c r="B5" s="1104">
        <v>42823</v>
      </c>
      <c r="C5" s="1103">
        <v>1</v>
      </c>
      <c r="D5" s="960">
        <v>55</v>
      </c>
      <c r="E5" s="1105" t="s">
        <v>79</v>
      </c>
      <c r="F5" s="1103" t="s">
        <v>245</v>
      </c>
      <c r="G5" s="1073" t="s">
        <v>242</v>
      </c>
      <c r="H5" s="1106">
        <v>15</v>
      </c>
      <c r="I5" s="1106">
        <v>1310</v>
      </c>
      <c r="J5" s="1080"/>
      <c r="K5" s="1106">
        <v>6</v>
      </c>
      <c r="L5" s="1501">
        <f t="shared" si="0"/>
        <v>0.15457142857142858</v>
      </c>
      <c r="M5" s="1084"/>
      <c r="N5" s="1080"/>
      <c r="O5" s="1106">
        <v>350</v>
      </c>
      <c r="P5" s="1789"/>
      <c r="Q5" s="1790"/>
      <c r="R5" s="1087">
        <v>54.1</v>
      </c>
      <c r="S5" s="1504">
        <f t="shared" si="1"/>
        <v>2.5658857142857148</v>
      </c>
      <c r="T5" s="1504">
        <f t="shared" si="2"/>
        <v>3.5397181833163316</v>
      </c>
      <c r="U5" s="1789"/>
      <c r="V5" s="1790"/>
      <c r="W5" s="1529">
        <f t="shared" si="3"/>
        <v>131.46300000000002</v>
      </c>
      <c r="X5" s="856">
        <v>2.4300000000000002</v>
      </c>
      <c r="Y5" s="862">
        <v>0.68649532933250468</v>
      </c>
    </row>
    <row r="6" spans="1:25" s="866" customFormat="1">
      <c r="A6" s="1103" t="s">
        <v>139</v>
      </c>
      <c r="B6" s="1104">
        <v>42823</v>
      </c>
      <c r="C6" s="1103">
        <v>1</v>
      </c>
      <c r="D6" s="960">
        <v>52</v>
      </c>
      <c r="E6" s="1105" t="s">
        <v>79</v>
      </c>
      <c r="F6" s="1103" t="s">
        <v>247</v>
      </c>
      <c r="G6" s="1073" t="s">
        <v>242</v>
      </c>
      <c r="H6" s="1106">
        <v>23</v>
      </c>
      <c r="I6" s="1106">
        <v>950</v>
      </c>
      <c r="J6" s="1080"/>
      <c r="K6" s="1106">
        <v>6</v>
      </c>
      <c r="L6" s="1306">
        <f t="shared" si="0"/>
        <v>0.16678571428571429</v>
      </c>
      <c r="M6" s="968"/>
      <c r="N6" s="1080"/>
      <c r="O6" s="1106">
        <v>280</v>
      </c>
      <c r="P6" s="1783"/>
      <c r="Q6" s="1784"/>
      <c r="R6" s="1087">
        <v>46.7</v>
      </c>
      <c r="S6" s="1314">
        <f t="shared" si="1"/>
        <v>2.0514642857142862</v>
      </c>
      <c r="T6" s="1314">
        <f t="shared" si="2"/>
        <v>3.7433636932885093</v>
      </c>
      <c r="U6" s="1783"/>
      <c r="V6" s="1784"/>
      <c r="W6" s="1528">
        <f t="shared" si="3"/>
        <v>119.31850000000001</v>
      </c>
      <c r="X6" s="856">
        <v>2.5550000000000002</v>
      </c>
      <c r="Y6" s="862">
        <v>0.68254121409065027</v>
      </c>
    </row>
    <row r="7" spans="1:25" s="866" customFormat="1">
      <c r="A7" s="1103" t="s">
        <v>139</v>
      </c>
      <c r="B7" s="1104">
        <v>42823</v>
      </c>
      <c r="C7" s="1103">
        <v>1</v>
      </c>
      <c r="D7" s="960">
        <v>61</v>
      </c>
      <c r="E7" s="1105" t="s">
        <v>79</v>
      </c>
      <c r="F7" s="1103" t="s">
        <v>249</v>
      </c>
      <c r="G7" s="1073" t="s">
        <v>242</v>
      </c>
      <c r="H7" s="1106">
        <v>17</v>
      </c>
      <c r="I7" s="1106">
        <v>1350</v>
      </c>
      <c r="J7" s="1080"/>
      <c r="K7" s="1106">
        <v>6</v>
      </c>
      <c r="L7" s="1306">
        <f t="shared" si="0"/>
        <v>0</v>
      </c>
      <c r="M7" s="968"/>
      <c r="N7" s="1080"/>
      <c r="O7" s="1106">
        <v>420</v>
      </c>
      <c r="P7" s="1783"/>
      <c r="Q7" s="1784"/>
      <c r="R7" s="1087">
        <v>0</v>
      </c>
      <c r="S7" s="1314">
        <f t="shared" si="1"/>
        <v>0</v>
      </c>
      <c r="T7" s="1314" t="e">
        <f t="shared" si="2"/>
        <v>#DIV/0!</v>
      </c>
      <c r="U7" s="1783"/>
      <c r="V7" s="1784"/>
      <c r="W7" s="1528">
        <f t="shared" si="3"/>
        <v>0</v>
      </c>
      <c r="X7" s="856"/>
      <c r="Y7" s="862"/>
    </row>
    <row r="8" spans="1:25" s="866" customFormat="1" ht="15.75" thickBot="1">
      <c r="A8" s="1103" t="s">
        <v>139</v>
      </c>
      <c r="B8" s="1104">
        <v>42823</v>
      </c>
      <c r="C8" s="1103">
        <v>1</v>
      </c>
      <c r="D8" s="1089">
        <v>48</v>
      </c>
      <c r="E8" s="1105" t="s">
        <v>79</v>
      </c>
      <c r="F8" s="1103" t="s">
        <v>251</v>
      </c>
      <c r="G8" s="1073" t="s">
        <v>242</v>
      </c>
      <c r="H8" s="1106"/>
      <c r="I8" s="1106"/>
      <c r="J8" s="1090"/>
      <c r="K8" s="1106">
        <v>6</v>
      </c>
      <c r="L8" s="1508" t="e">
        <f t="shared" si="0"/>
        <v>#DIV/0!</v>
      </c>
      <c r="M8" s="1091"/>
      <c r="N8" s="1090"/>
      <c r="O8" s="1106">
        <v>0</v>
      </c>
      <c r="P8" s="1781"/>
      <c r="Q8" s="1782"/>
      <c r="R8" s="1087">
        <v>0</v>
      </c>
      <c r="S8" s="1515" t="e">
        <f t="shared" si="1"/>
        <v>#DIV/0!</v>
      </c>
      <c r="T8" s="1515" t="e">
        <f t="shared" si="2"/>
        <v>#DIV/0!</v>
      </c>
      <c r="U8" s="1781"/>
      <c r="V8" s="1782"/>
      <c r="W8" s="1530">
        <f t="shared" si="3"/>
        <v>0</v>
      </c>
      <c r="X8" s="856"/>
      <c r="Y8" s="862"/>
    </row>
    <row r="9" spans="1:25" s="866" customFormat="1" ht="15.75" thickTop="1">
      <c r="A9" s="1103" t="s">
        <v>139</v>
      </c>
      <c r="B9" s="1104">
        <v>42823</v>
      </c>
      <c r="C9" s="1103">
        <v>1</v>
      </c>
      <c r="D9" s="1070">
        <v>62</v>
      </c>
      <c r="E9" s="1105" t="s">
        <v>79</v>
      </c>
      <c r="F9" s="1103" t="s">
        <v>253</v>
      </c>
      <c r="G9" s="1073" t="s">
        <v>242</v>
      </c>
      <c r="H9" s="1106">
        <v>20</v>
      </c>
      <c r="I9" s="1106">
        <v>1500</v>
      </c>
      <c r="J9" s="1075"/>
      <c r="K9" s="1106">
        <v>6</v>
      </c>
      <c r="L9" s="1509">
        <f t="shared" si="0"/>
        <v>0.14661016949152542</v>
      </c>
      <c r="M9" s="1095"/>
      <c r="N9" s="1075"/>
      <c r="O9" s="1106">
        <v>590</v>
      </c>
      <c r="P9" s="1791"/>
      <c r="Q9" s="1792"/>
      <c r="R9" s="1087">
        <v>86.5</v>
      </c>
      <c r="S9" s="1516">
        <f t="shared" si="1"/>
        <v>3.0641525423728808</v>
      </c>
      <c r="T9" s="1516">
        <f t="shared" si="2"/>
        <v>3.3861049802021097</v>
      </c>
      <c r="U9" s="1791"/>
      <c r="V9" s="1792"/>
      <c r="W9" s="1531">
        <f t="shared" si="3"/>
        <v>238.39399999999998</v>
      </c>
      <c r="X9" s="856">
        <v>2.7559999999999998</v>
      </c>
      <c r="Y9" s="862">
        <v>0.81391451715578522</v>
      </c>
    </row>
    <row r="10" spans="1:25" s="866" customFormat="1">
      <c r="A10" s="1103" t="s">
        <v>139</v>
      </c>
      <c r="B10" s="1104">
        <v>42823</v>
      </c>
      <c r="C10" s="1103">
        <v>1</v>
      </c>
      <c r="D10" s="960">
        <v>59</v>
      </c>
      <c r="E10" s="1105" t="s">
        <v>79</v>
      </c>
      <c r="F10" s="1103" t="s">
        <v>255</v>
      </c>
      <c r="G10" s="1073" t="s">
        <v>242</v>
      </c>
      <c r="H10" s="1106">
        <v>22</v>
      </c>
      <c r="I10" s="1106">
        <v>950</v>
      </c>
      <c r="J10" s="1080"/>
      <c r="K10" s="1106">
        <v>6</v>
      </c>
      <c r="L10" s="1306">
        <f t="shared" si="0"/>
        <v>0.15441176470588236</v>
      </c>
      <c r="M10" s="968"/>
      <c r="N10" s="1080"/>
      <c r="O10" s="1106">
        <v>340</v>
      </c>
      <c r="P10" s="1783"/>
      <c r="Q10" s="1784"/>
      <c r="R10" s="1087">
        <v>52.5</v>
      </c>
      <c r="S10" s="1314">
        <f t="shared" si="1"/>
        <v>1.9919117647058824</v>
      </c>
      <c r="T10" s="1524">
        <f t="shared" si="2"/>
        <v>3.7710343626848286</v>
      </c>
      <c r="U10" s="1783"/>
      <c r="V10" s="1784"/>
      <c r="W10" s="1528">
        <f t="shared" si="3"/>
        <v>124.16250000000001</v>
      </c>
      <c r="X10" s="856">
        <v>2.3650000000000002</v>
      </c>
      <c r="Y10" s="862">
        <v>0.62714888609930697</v>
      </c>
    </row>
    <row r="11" spans="1:25" s="866" customFormat="1">
      <c r="A11" s="1103" t="s">
        <v>139</v>
      </c>
      <c r="B11" s="1104">
        <v>42823</v>
      </c>
      <c r="C11" s="1103">
        <v>1</v>
      </c>
      <c r="D11" s="960">
        <v>45</v>
      </c>
      <c r="E11" s="1105" t="s">
        <v>79</v>
      </c>
      <c r="F11" s="1103" t="s">
        <v>238</v>
      </c>
      <c r="G11" s="1073" t="s">
        <v>242</v>
      </c>
      <c r="H11" s="1106">
        <v>18</v>
      </c>
      <c r="I11" s="1106">
        <v>1030</v>
      </c>
      <c r="J11" s="1080"/>
      <c r="K11" s="1106">
        <v>6</v>
      </c>
      <c r="L11" s="1306">
        <f t="shared" si="0"/>
        <v>0.15047619047619049</v>
      </c>
      <c r="M11" s="968"/>
      <c r="N11" s="1080"/>
      <c r="O11" s="1106">
        <v>420</v>
      </c>
      <c r="P11" s="1783"/>
      <c r="Q11" s="1784"/>
      <c r="R11" s="1087">
        <v>63.2</v>
      </c>
      <c r="S11" s="1314">
        <f t="shared" si="1"/>
        <v>2.1819047619047622</v>
      </c>
      <c r="T11" s="1524">
        <f t="shared" si="2"/>
        <v>3.686116580269589</v>
      </c>
      <c r="U11" s="1783"/>
      <c r="V11" s="1784"/>
      <c r="W11" s="1528">
        <f t="shared" si="3"/>
        <v>151.23759999999999</v>
      </c>
      <c r="X11" s="856">
        <v>2.3929999999999998</v>
      </c>
      <c r="Y11" s="862">
        <v>0.6491927067116755</v>
      </c>
    </row>
    <row r="12" spans="1:25" s="866" customFormat="1">
      <c r="A12" s="1103" t="s">
        <v>139</v>
      </c>
      <c r="B12" s="1104">
        <v>42823</v>
      </c>
      <c r="C12" s="1103">
        <v>1</v>
      </c>
      <c r="D12" s="960">
        <v>63</v>
      </c>
      <c r="E12" s="1105" t="s">
        <v>79</v>
      </c>
      <c r="F12" s="1103" t="s">
        <v>258</v>
      </c>
      <c r="G12" s="1073" t="s">
        <v>242</v>
      </c>
      <c r="H12" s="1106">
        <v>16</v>
      </c>
      <c r="I12" s="1106">
        <v>1030</v>
      </c>
      <c r="J12" s="1080"/>
      <c r="K12" s="1106">
        <v>6</v>
      </c>
      <c r="L12" s="1306">
        <f t="shared" si="0"/>
        <v>0.15324324324324326</v>
      </c>
      <c r="M12" s="968"/>
      <c r="N12" s="1080"/>
      <c r="O12" s="1106">
        <v>370</v>
      </c>
      <c r="P12" s="1783"/>
      <c r="Q12" s="1784"/>
      <c r="R12" s="1087">
        <v>56.7</v>
      </c>
      <c r="S12" s="1314">
        <f t="shared" si="1"/>
        <v>2.1454054054054059</v>
      </c>
      <c r="T12" s="1314">
        <f t="shared" si="2"/>
        <v>3.701695332746922</v>
      </c>
      <c r="U12" s="1783"/>
      <c r="V12" s="1784"/>
      <c r="W12" s="1528">
        <f t="shared" si="3"/>
        <v>139.7088</v>
      </c>
      <c r="X12" s="856">
        <v>2.464</v>
      </c>
      <c r="Y12" s="862">
        <v>0.66564095056724626</v>
      </c>
    </row>
    <row r="13" spans="1:25" s="866" customFormat="1">
      <c r="A13" s="1103" t="s">
        <v>139</v>
      </c>
      <c r="B13" s="1104">
        <v>42823</v>
      </c>
      <c r="C13" s="1103">
        <v>1</v>
      </c>
      <c r="D13" s="960">
        <v>54</v>
      </c>
      <c r="E13" s="1105" t="s">
        <v>79</v>
      </c>
      <c r="F13" s="1103" t="s">
        <v>260</v>
      </c>
      <c r="G13" s="1073" t="s">
        <v>242</v>
      </c>
      <c r="H13" s="1106">
        <v>17</v>
      </c>
      <c r="I13" s="1106">
        <v>1050</v>
      </c>
      <c r="J13" s="1080"/>
      <c r="K13" s="1106">
        <v>6</v>
      </c>
      <c r="L13" s="1306">
        <f t="shared" si="0"/>
        <v>0.14599999999999999</v>
      </c>
      <c r="M13" s="968"/>
      <c r="N13" s="1080"/>
      <c r="O13" s="1106">
        <v>400</v>
      </c>
      <c r="P13" s="1783"/>
      <c r="Q13" s="1784"/>
      <c r="R13" s="1087">
        <v>58.4</v>
      </c>
      <c r="S13" s="1314">
        <f t="shared" si="1"/>
        <v>2.117</v>
      </c>
      <c r="T13" s="1314">
        <f t="shared" si="2"/>
        <v>3.7140504567344852</v>
      </c>
      <c r="U13" s="1783"/>
      <c r="V13" s="1784"/>
      <c r="W13" s="1528">
        <f t="shared" si="3"/>
        <v>154.76</v>
      </c>
      <c r="X13" s="856">
        <v>2.65</v>
      </c>
      <c r="Y13" s="862">
        <v>0.71350673095862205</v>
      </c>
    </row>
    <row r="14" spans="1:25" s="866" customFormat="1" ht="15.75" thickBot="1">
      <c r="A14" s="1103" t="s">
        <v>139</v>
      </c>
      <c r="B14" s="1104">
        <v>42823</v>
      </c>
      <c r="C14" s="1103">
        <v>1</v>
      </c>
      <c r="D14" s="1089">
        <v>57</v>
      </c>
      <c r="E14" s="1105" t="s">
        <v>79</v>
      </c>
      <c r="F14" s="1103" t="s">
        <v>239</v>
      </c>
      <c r="G14" s="1073" t="s">
        <v>242</v>
      </c>
      <c r="H14" s="1106">
        <v>18</v>
      </c>
      <c r="I14" s="1106">
        <v>1200</v>
      </c>
      <c r="J14" s="1090"/>
      <c r="K14" s="1106">
        <v>6</v>
      </c>
      <c r="L14" s="1508">
        <f t="shared" si="0"/>
        <v>0.14833333333333334</v>
      </c>
      <c r="M14" s="1091"/>
      <c r="N14" s="1090"/>
      <c r="O14" s="1106">
        <v>600</v>
      </c>
      <c r="P14" s="1781"/>
      <c r="Q14" s="1782"/>
      <c r="R14" s="1087">
        <v>89</v>
      </c>
      <c r="S14" s="1515">
        <f t="shared" si="1"/>
        <v>2.67</v>
      </c>
      <c r="T14" s="1515">
        <f t="shared" si="2"/>
        <v>3.5046947552621446</v>
      </c>
      <c r="U14" s="1781"/>
      <c r="V14" s="1782"/>
      <c r="W14" s="1530">
        <f t="shared" si="3"/>
        <v>172.126</v>
      </c>
      <c r="X14" s="856">
        <v>1.9339999999999999</v>
      </c>
      <c r="Y14" s="862">
        <v>0.55183122498647963</v>
      </c>
    </row>
    <row r="15" spans="1:25" s="866" customFormat="1" ht="15.75" thickTop="1">
      <c r="A15" s="1103" t="s">
        <v>139</v>
      </c>
      <c r="B15" s="1104">
        <v>42823</v>
      </c>
      <c r="C15" s="1103">
        <v>1</v>
      </c>
      <c r="D15" s="960">
        <v>49</v>
      </c>
      <c r="E15" s="1105" t="s">
        <v>79</v>
      </c>
      <c r="F15" s="1103" t="s">
        <v>240</v>
      </c>
      <c r="G15" s="1073" t="s">
        <v>242</v>
      </c>
      <c r="H15" s="1106">
        <v>18</v>
      </c>
      <c r="I15" s="1106">
        <v>850</v>
      </c>
      <c r="J15" s="1099"/>
      <c r="K15" s="1106">
        <v>6</v>
      </c>
      <c r="L15" s="1509">
        <f t="shared" si="0"/>
        <v>0.17194444444444443</v>
      </c>
      <c r="M15" s="1095"/>
      <c r="N15" s="1101"/>
      <c r="O15" s="1106">
        <v>360</v>
      </c>
      <c r="P15" s="1100"/>
      <c r="Q15" s="1101"/>
      <c r="R15" s="1087">
        <v>61.9</v>
      </c>
      <c r="S15" s="1516">
        <f t="shared" si="1"/>
        <v>2.0805277777777778</v>
      </c>
      <c r="T15" s="1516">
        <f t="shared" si="2"/>
        <v>3.7302216154335865</v>
      </c>
      <c r="U15" s="1100"/>
      <c r="V15" s="1101"/>
      <c r="W15" s="1531">
        <f t="shared" si="3"/>
        <v>154.68809999999999</v>
      </c>
      <c r="X15" s="856">
        <v>2.4990000000000001</v>
      </c>
      <c r="Y15" s="862">
        <v>0.66993338670831926</v>
      </c>
    </row>
    <row r="16" spans="1:25" s="866" customFormat="1">
      <c r="A16" s="1103" t="s">
        <v>139</v>
      </c>
      <c r="B16" s="1104">
        <v>42823</v>
      </c>
      <c r="C16" s="1103">
        <v>1</v>
      </c>
      <c r="D16" s="960">
        <v>47</v>
      </c>
      <c r="E16" s="1105" t="s">
        <v>79</v>
      </c>
      <c r="F16" s="1103" t="s">
        <v>264</v>
      </c>
      <c r="G16" s="1073" t="s">
        <v>242</v>
      </c>
      <c r="H16" s="1106">
        <v>18</v>
      </c>
      <c r="I16" s="1106">
        <v>1140</v>
      </c>
      <c r="J16" s="966"/>
      <c r="K16" s="1106">
        <v>6</v>
      </c>
      <c r="L16" s="1306">
        <f t="shared" si="0"/>
        <v>0.15891304347826085</v>
      </c>
      <c r="M16" s="968"/>
      <c r="N16" s="966"/>
      <c r="O16" s="1106">
        <v>460</v>
      </c>
      <c r="P16" s="969"/>
      <c r="Q16" s="966"/>
      <c r="R16" s="1087">
        <v>73.099999999999994</v>
      </c>
      <c r="S16" s="1314">
        <f t="shared" si="1"/>
        <v>2.5426086956521736</v>
      </c>
      <c r="T16" s="1314">
        <f t="shared" si="2"/>
        <v>3.5477918524018577</v>
      </c>
      <c r="U16" s="969"/>
      <c r="V16" s="966"/>
      <c r="W16" s="1528">
        <f t="shared" si="3"/>
        <v>159.94280000000001</v>
      </c>
      <c r="X16" s="856">
        <v>2.1880000000000002</v>
      </c>
      <c r="Y16" s="862">
        <v>0.61672163729637153</v>
      </c>
    </row>
    <row r="17" spans="1:25" s="866" customFormat="1">
      <c r="A17" s="1103" t="s">
        <v>139</v>
      </c>
      <c r="B17" s="1104">
        <v>42823</v>
      </c>
      <c r="C17" s="1103">
        <v>1</v>
      </c>
      <c r="D17" s="960">
        <v>53</v>
      </c>
      <c r="E17" s="1105" t="s">
        <v>79</v>
      </c>
      <c r="F17" s="1103" t="s">
        <v>266</v>
      </c>
      <c r="G17" s="1073" t="s">
        <v>242</v>
      </c>
      <c r="H17" s="1106">
        <v>14</v>
      </c>
      <c r="I17" s="1106">
        <v>1010</v>
      </c>
      <c r="J17" s="966"/>
      <c r="K17" s="1106">
        <v>6</v>
      </c>
      <c r="L17" s="1306">
        <f t="shared" si="0"/>
        <v>0.15926829268292683</v>
      </c>
      <c r="M17" s="968"/>
      <c r="N17" s="966"/>
      <c r="O17" s="1106">
        <v>410</v>
      </c>
      <c r="P17" s="969"/>
      <c r="Q17" s="966"/>
      <c r="R17" s="1087">
        <v>65.3</v>
      </c>
      <c r="S17" s="1314">
        <f t="shared" si="1"/>
        <v>2.2616097560975614</v>
      </c>
      <c r="T17" s="1314">
        <f t="shared" si="2"/>
        <v>3.6532012431611389</v>
      </c>
      <c r="U17" s="969"/>
      <c r="V17" s="966"/>
      <c r="W17" s="1528">
        <f t="shared" si="3"/>
        <v>140.13379999999998</v>
      </c>
      <c r="X17" s="856">
        <v>2.1459999999999999</v>
      </c>
      <c r="Y17" s="862">
        <v>0.58742999828365661</v>
      </c>
    </row>
    <row r="18" spans="1:25" s="866" customFormat="1">
      <c r="A18" s="1103" t="s">
        <v>139</v>
      </c>
      <c r="B18" s="1104">
        <v>42823</v>
      </c>
      <c r="C18" s="1103">
        <v>1</v>
      </c>
      <c r="D18" s="960">
        <v>64</v>
      </c>
      <c r="E18" s="1105" t="s">
        <v>79</v>
      </c>
      <c r="F18" s="1103" t="s">
        <v>268</v>
      </c>
      <c r="G18" s="1073" t="s">
        <v>242</v>
      </c>
      <c r="H18" s="1106">
        <v>10</v>
      </c>
      <c r="I18" s="1106">
        <v>800</v>
      </c>
      <c r="J18" s="966"/>
      <c r="K18" s="1106">
        <v>6</v>
      </c>
      <c r="L18" s="1306">
        <f t="shared" si="0"/>
        <v>0.159</v>
      </c>
      <c r="M18" s="968"/>
      <c r="N18" s="966"/>
      <c r="O18" s="1106">
        <v>400</v>
      </c>
      <c r="P18" s="969"/>
      <c r="Q18" s="966"/>
      <c r="R18" s="1087">
        <v>63.6</v>
      </c>
      <c r="S18" s="1314">
        <f t="shared" si="1"/>
        <v>1.9080000000000001</v>
      </c>
      <c r="T18" s="1314">
        <f t="shared" si="2"/>
        <v>3.8118291018774499</v>
      </c>
      <c r="U18" s="969"/>
      <c r="V18" s="966"/>
      <c r="W18" s="1528">
        <f t="shared" si="3"/>
        <v>161.6712</v>
      </c>
      <c r="X18" s="856">
        <v>2.5419999999999998</v>
      </c>
      <c r="Y18" s="862">
        <v>0.66687144991573255</v>
      </c>
    </row>
    <row r="19" spans="1:25" s="866" customFormat="1">
      <c r="A19" s="1103" t="s">
        <v>139</v>
      </c>
      <c r="B19" s="1104">
        <v>42823</v>
      </c>
      <c r="C19" s="1103">
        <v>1</v>
      </c>
      <c r="D19" s="960">
        <v>51</v>
      </c>
      <c r="E19" s="1105" t="s">
        <v>79</v>
      </c>
      <c r="F19" s="1103" t="s">
        <v>270</v>
      </c>
      <c r="G19" s="1073" t="s">
        <v>242</v>
      </c>
      <c r="H19" s="1106">
        <v>21</v>
      </c>
      <c r="I19" s="1106">
        <v>1630</v>
      </c>
      <c r="J19" s="966"/>
      <c r="K19" s="1106">
        <v>6</v>
      </c>
      <c r="L19" s="1306">
        <f t="shared" si="0"/>
        <v>0.152</v>
      </c>
      <c r="M19" s="968"/>
      <c r="N19" s="966"/>
      <c r="O19" s="1106">
        <v>400</v>
      </c>
      <c r="P19" s="969"/>
      <c r="Q19" s="966"/>
      <c r="R19" s="1087">
        <v>60.8</v>
      </c>
      <c r="S19" s="1314">
        <f t="shared" si="1"/>
        <v>3.0855999999999999</v>
      </c>
      <c r="T19" s="1314">
        <f t="shared" si="2"/>
        <v>3.3802055269929738</v>
      </c>
      <c r="U19" s="969"/>
      <c r="V19" s="966"/>
      <c r="W19" s="1528">
        <f t="shared" si="3"/>
        <v>134.976</v>
      </c>
      <c r="X19" s="856">
        <v>2.2200000000000002</v>
      </c>
      <c r="Y19" s="862">
        <v>0.65676479796035037</v>
      </c>
    </row>
    <row r="20" spans="1:25" s="866" customFormat="1">
      <c r="A20" s="1103" t="s">
        <v>139</v>
      </c>
      <c r="B20" s="1104">
        <v>42823</v>
      </c>
      <c r="C20" s="1103">
        <v>1</v>
      </c>
      <c r="D20" s="960">
        <v>50</v>
      </c>
      <c r="E20" s="1105" t="s">
        <v>79</v>
      </c>
      <c r="F20" s="1103" t="s">
        <v>272</v>
      </c>
      <c r="G20" s="1073" t="s">
        <v>242</v>
      </c>
      <c r="H20" s="1106">
        <v>19</v>
      </c>
      <c r="I20" s="1106">
        <v>1180</v>
      </c>
      <c r="J20" s="966"/>
      <c r="K20" s="1106">
        <v>6</v>
      </c>
      <c r="L20" s="1306">
        <f t="shared" si="0"/>
        <v>0.16880952380952383</v>
      </c>
      <c r="M20" s="968"/>
      <c r="N20" s="966"/>
      <c r="O20" s="1106">
        <v>420</v>
      </c>
      <c r="P20" s="969"/>
      <c r="Q20" s="966"/>
      <c r="R20" s="1087">
        <v>70.900000000000006</v>
      </c>
      <c r="S20" s="1314">
        <f t="shared" si="1"/>
        <v>2.7009523809523812</v>
      </c>
      <c r="T20" s="1314">
        <f t="shared" si="2"/>
        <v>3.4946105375592729</v>
      </c>
      <c r="U20" s="969"/>
      <c r="V20" s="966"/>
      <c r="W20" s="1528">
        <f t="shared" si="3"/>
        <v>176.54100000000003</v>
      </c>
      <c r="X20" s="856">
        <v>2.4900000000000002</v>
      </c>
      <c r="Y20" s="862">
        <v>0.71252575165044885</v>
      </c>
    </row>
    <row r="21" spans="1:25" s="866" customFormat="1">
      <c r="A21" s="1103" t="s">
        <v>139</v>
      </c>
      <c r="B21" s="1104">
        <v>42823</v>
      </c>
      <c r="C21" s="1103">
        <v>1</v>
      </c>
      <c r="D21" s="960">
        <v>58</v>
      </c>
      <c r="E21" s="1105" t="s">
        <v>79</v>
      </c>
      <c r="F21" s="1103" t="s">
        <v>274</v>
      </c>
      <c r="G21" s="1073" t="s">
        <v>242</v>
      </c>
      <c r="H21" s="1106">
        <v>16</v>
      </c>
      <c r="I21" s="1106">
        <v>1060</v>
      </c>
      <c r="J21" s="966"/>
      <c r="K21" s="1106">
        <v>6</v>
      </c>
      <c r="L21" s="1306">
        <f t="shared" si="0"/>
        <v>0.15552631578947368</v>
      </c>
      <c r="M21" s="968"/>
      <c r="N21" s="974"/>
      <c r="O21" s="1106">
        <v>380</v>
      </c>
      <c r="P21" s="969"/>
      <c r="Q21" s="966"/>
      <c r="R21" s="1087">
        <v>59.1</v>
      </c>
      <c r="S21" s="1314">
        <f t="shared" si="1"/>
        <v>2.2395789473684209</v>
      </c>
      <c r="T21" s="1314">
        <f t="shared" si="2"/>
        <v>3.6621524544531985</v>
      </c>
      <c r="U21" s="969"/>
      <c r="V21" s="966"/>
      <c r="W21" s="1528">
        <f t="shared" si="3"/>
        <v>112.8219</v>
      </c>
      <c r="X21" s="856">
        <v>1.909</v>
      </c>
      <c r="Y21" s="862">
        <v>0.52127813457865335</v>
      </c>
    </row>
    <row r="22" spans="1:25" s="866" customFormat="1">
      <c r="A22" s="1103" t="s">
        <v>139</v>
      </c>
      <c r="B22" s="1104">
        <v>42823</v>
      </c>
      <c r="C22" s="1103">
        <v>1</v>
      </c>
      <c r="D22" s="960">
        <v>46</v>
      </c>
      <c r="E22" s="1105" t="s">
        <v>79</v>
      </c>
      <c r="F22" s="1103" t="s">
        <v>276</v>
      </c>
      <c r="G22" s="1073" t="s">
        <v>242</v>
      </c>
      <c r="H22" s="1106">
        <v>16</v>
      </c>
      <c r="I22" s="1106">
        <v>1020</v>
      </c>
      <c r="J22" s="966"/>
      <c r="K22" s="1106">
        <v>6</v>
      </c>
      <c r="L22" s="1306">
        <f t="shared" si="0"/>
        <v>0.16347826086956521</v>
      </c>
      <c r="M22" s="968"/>
      <c r="N22" s="966"/>
      <c r="O22" s="1106">
        <v>460</v>
      </c>
      <c r="P22" s="969"/>
      <c r="Q22" s="966"/>
      <c r="R22" s="1087">
        <v>75.2</v>
      </c>
      <c r="S22" s="1314">
        <f t="shared" si="1"/>
        <v>2.4194782608695653</v>
      </c>
      <c r="T22" s="1314">
        <f t="shared" si="2"/>
        <v>3.5920930894173466</v>
      </c>
      <c r="U22" s="969"/>
      <c r="V22" s="966"/>
      <c r="W22" s="1528">
        <f t="shared" si="3"/>
        <v>152.58080000000001</v>
      </c>
      <c r="X22" s="856">
        <v>2.0289999999999999</v>
      </c>
      <c r="Y22" s="862">
        <v>0.56485173114739984</v>
      </c>
    </row>
    <row r="23" spans="1:25" s="844" customFormat="1">
      <c r="A23" s="1447" t="s">
        <v>139</v>
      </c>
      <c r="B23" s="1448">
        <v>42823</v>
      </c>
      <c r="C23" s="1447">
        <v>2</v>
      </c>
      <c r="D23" s="1274">
        <v>58</v>
      </c>
      <c r="E23" s="1447" t="s">
        <v>82</v>
      </c>
      <c r="F23" s="1447" t="s">
        <v>81</v>
      </c>
      <c r="G23" s="1430" t="s">
        <v>242</v>
      </c>
      <c r="H23" s="1449">
        <v>23</v>
      </c>
      <c r="I23" s="1449">
        <v>2180</v>
      </c>
      <c r="J23" s="1288"/>
      <c r="K23" s="1449">
        <v>6</v>
      </c>
      <c r="L23" s="1305">
        <f t="shared" si="0"/>
        <v>0.11302325581395349</v>
      </c>
      <c r="M23" s="1290"/>
      <c r="N23" s="1288"/>
      <c r="O23" s="1449">
        <v>860</v>
      </c>
      <c r="P23" s="1291"/>
      <c r="Q23" s="1288"/>
      <c r="R23" s="1438">
        <v>97.2</v>
      </c>
      <c r="S23" s="1313">
        <f t="shared" si="1"/>
        <v>3.4359069767441861</v>
      </c>
      <c r="T23" s="1313">
        <f t="shared" si="2"/>
        <v>3.290543714106084</v>
      </c>
      <c r="U23" s="1291"/>
      <c r="V23" s="1288"/>
      <c r="W23" s="1532">
        <f t="shared" si="3"/>
        <v>402.21359999999999</v>
      </c>
      <c r="X23" s="834">
        <v>4.1379999999999999</v>
      </c>
      <c r="Y23" s="840">
        <v>1.2575429350052376</v>
      </c>
    </row>
    <row r="24" spans="1:25" s="844" customFormat="1">
      <c r="A24" s="1447" t="s">
        <v>139</v>
      </c>
      <c r="B24" s="1448">
        <v>42823</v>
      </c>
      <c r="C24" s="1447">
        <v>2</v>
      </c>
      <c r="D24" s="1274">
        <v>57</v>
      </c>
      <c r="E24" s="1447" t="s">
        <v>82</v>
      </c>
      <c r="F24" s="1447" t="s">
        <v>237</v>
      </c>
      <c r="G24" s="1430" t="s">
        <v>242</v>
      </c>
      <c r="H24" s="1449">
        <v>27</v>
      </c>
      <c r="I24" s="1449">
        <v>2700</v>
      </c>
      <c r="J24" s="1288"/>
      <c r="K24" s="1449">
        <v>6</v>
      </c>
      <c r="L24" s="1305">
        <f t="shared" si="0"/>
        <v>0.11084507042253522</v>
      </c>
      <c r="M24" s="1290"/>
      <c r="N24" s="1288"/>
      <c r="O24" s="1449">
        <v>710</v>
      </c>
      <c r="P24" s="1291"/>
      <c r="Q24" s="1288"/>
      <c r="R24" s="1438">
        <v>78.7</v>
      </c>
      <c r="S24" s="1313">
        <f t="shared" si="1"/>
        <v>3.7798169014084508</v>
      </c>
      <c r="T24" s="1313">
        <f t="shared" si="2"/>
        <v>3.2129970243579149</v>
      </c>
      <c r="U24" s="1291"/>
      <c r="V24" s="1288"/>
      <c r="W24" s="1532">
        <f t="shared" si="3"/>
        <v>323.69310000000007</v>
      </c>
      <c r="X24" s="834">
        <v>4.1130000000000004</v>
      </c>
      <c r="Y24" s="840">
        <v>1.2801132303637732</v>
      </c>
    </row>
    <row r="25" spans="1:25" s="844" customFormat="1">
      <c r="A25" s="1447" t="s">
        <v>139</v>
      </c>
      <c r="B25" s="1448">
        <v>42823</v>
      </c>
      <c r="C25" s="1447">
        <v>2</v>
      </c>
      <c r="D25" s="1274">
        <v>64</v>
      </c>
      <c r="E25" s="1447" t="s">
        <v>82</v>
      </c>
      <c r="F25" s="1447" t="s">
        <v>245</v>
      </c>
      <c r="G25" s="1430" t="s">
        <v>242</v>
      </c>
      <c r="H25" s="1449">
        <v>18</v>
      </c>
      <c r="I25" s="1449">
        <v>2700</v>
      </c>
      <c r="J25" s="1288"/>
      <c r="K25" s="1449">
        <v>6</v>
      </c>
      <c r="L25" s="1305">
        <f t="shared" si="0"/>
        <v>0.1086153846153846</v>
      </c>
      <c r="M25" s="1290"/>
      <c r="N25" s="1288"/>
      <c r="O25" s="1449">
        <v>650</v>
      </c>
      <c r="P25" s="1291"/>
      <c r="Q25" s="1288"/>
      <c r="R25" s="1438">
        <v>70.599999999999994</v>
      </c>
      <c r="S25" s="1313">
        <f t="shared" si="1"/>
        <v>3.6386153846153841</v>
      </c>
      <c r="T25" s="1313">
        <f t="shared" si="2"/>
        <v>3.2437246125159653</v>
      </c>
      <c r="U25" s="1291"/>
      <c r="V25" s="1288"/>
      <c r="W25" s="1532">
        <f t="shared" si="3"/>
        <v>250.84179999999998</v>
      </c>
      <c r="X25" s="834">
        <v>3.5529999999999999</v>
      </c>
      <c r="Y25" s="840">
        <v>1.0953457597142158</v>
      </c>
    </row>
    <row r="26" spans="1:25" s="844" customFormat="1" ht="15.75" thickBot="1">
      <c r="A26" s="834" t="s">
        <v>139</v>
      </c>
      <c r="B26" s="1446">
        <v>42823</v>
      </c>
      <c r="C26" s="834">
        <v>2</v>
      </c>
      <c r="D26" s="1293">
        <v>52</v>
      </c>
      <c r="E26" s="1447" t="s">
        <v>82</v>
      </c>
      <c r="F26" s="834" t="s">
        <v>247</v>
      </c>
      <c r="G26" s="1430" t="s">
        <v>242</v>
      </c>
      <c r="H26" s="1438">
        <v>15</v>
      </c>
      <c r="I26" s="1438">
        <v>2000</v>
      </c>
      <c r="J26" s="1299"/>
      <c r="K26" s="1438">
        <v>6</v>
      </c>
      <c r="L26" s="1307">
        <f t="shared" si="0"/>
        <v>0.11448979591836735</v>
      </c>
      <c r="M26" s="1301"/>
      <c r="N26" s="1299"/>
      <c r="O26" s="1438">
        <v>490</v>
      </c>
      <c r="P26" s="1302"/>
      <c r="Q26" s="1299"/>
      <c r="R26" s="1438">
        <v>56.1</v>
      </c>
      <c r="S26" s="1315">
        <f t="shared" si="1"/>
        <v>2.8507959183673472</v>
      </c>
      <c r="T26" s="1315">
        <f t="shared" si="2"/>
        <v>3.4477556744182372</v>
      </c>
      <c r="U26" s="1302"/>
      <c r="V26" s="1299"/>
      <c r="W26" s="1533">
        <f t="shared" si="3"/>
        <v>282.57569999999998</v>
      </c>
      <c r="X26" s="834">
        <v>5.0369999999999999</v>
      </c>
      <c r="Y26" s="840">
        <v>1.4609503908219734</v>
      </c>
    </row>
    <row r="27" spans="1:25" s="844" customFormat="1" ht="15.75" thickTop="1">
      <c r="A27" s="834" t="s">
        <v>139</v>
      </c>
      <c r="B27" s="1446">
        <v>42823</v>
      </c>
      <c r="C27" s="834">
        <v>2</v>
      </c>
      <c r="D27" s="1272">
        <v>47</v>
      </c>
      <c r="E27" s="1447" t="s">
        <v>82</v>
      </c>
      <c r="F27" s="834" t="s">
        <v>249</v>
      </c>
      <c r="G27" s="1430" t="s">
        <v>242</v>
      </c>
      <c r="H27" s="1438">
        <v>20</v>
      </c>
      <c r="I27" s="1438">
        <v>2000</v>
      </c>
      <c r="J27" s="1279"/>
      <c r="K27" s="1438">
        <v>6</v>
      </c>
      <c r="L27" s="1510">
        <f t="shared" si="0"/>
        <v>0.11349999999999999</v>
      </c>
      <c r="M27" s="1440"/>
      <c r="N27" s="1282"/>
      <c r="O27" s="1438">
        <v>800</v>
      </c>
      <c r="P27" s="1281"/>
      <c r="Q27" s="1282"/>
      <c r="R27" s="1438">
        <v>90.8</v>
      </c>
      <c r="S27" s="1534">
        <f t="shared" si="1"/>
        <v>3.1779999999999995</v>
      </c>
      <c r="T27" s="1534">
        <f t="shared" si="2"/>
        <v>3.3553632285208619</v>
      </c>
      <c r="U27" s="1281"/>
      <c r="V27" s="1282"/>
      <c r="W27" s="1534">
        <f t="shared" si="3"/>
        <v>349.30759999999998</v>
      </c>
      <c r="X27" s="834">
        <v>3.847</v>
      </c>
      <c r="Y27" s="840">
        <v>1.1465226677398694</v>
      </c>
    </row>
    <row r="28" spans="1:25" s="844" customFormat="1">
      <c r="A28" s="834" t="s">
        <v>139</v>
      </c>
      <c r="B28" s="1446">
        <v>42823</v>
      </c>
      <c r="C28" s="834">
        <v>2</v>
      </c>
      <c r="D28" s="1274">
        <v>59</v>
      </c>
      <c r="E28" s="1447" t="s">
        <v>82</v>
      </c>
      <c r="F28" s="834" t="s">
        <v>251</v>
      </c>
      <c r="G28" s="1430" t="s">
        <v>242</v>
      </c>
      <c r="H28" s="1438"/>
      <c r="I28" s="1438"/>
      <c r="J28" s="1288"/>
      <c r="K28" s="1438">
        <v>6</v>
      </c>
      <c r="L28" s="1511" t="e">
        <f t="shared" si="0"/>
        <v>#DIV/0!</v>
      </c>
      <c r="M28" s="1441"/>
      <c r="N28" s="1288"/>
      <c r="O28" s="1438">
        <v>0</v>
      </c>
      <c r="P28" s="1291"/>
      <c r="Q28" s="1288"/>
      <c r="R28" s="1438">
        <v>0</v>
      </c>
      <c r="S28" s="1535" t="e">
        <f t="shared" si="1"/>
        <v>#DIV/0!</v>
      </c>
      <c r="T28" s="1535" t="e">
        <f t="shared" si="2"/>
        <v>#DIV/0!</v>
      </c>
      <c r="U28" s="1291"/>
      <c r="V28" s="1288"/>
      <c r="W28" s="1535">
        <f t="shared" si="3"/>
        <v>0</v>
      </c>
      <c r="X28" s="834"/>
      <c r="Y28" s="840"/>
    </row>
    <row r="29" spans="1:25" s="844" customFormat="1">
      <c r="A29" s="834" t="s">
        <v>139</v>
      </c>
      <c r="B29" s="1446">
        <v>42823</v>
      </c>
      <c r="C29" s="834">
        <v>2</v>
      </c>
      <c r="D29" s="1274">
        <v>49</v>
      </c>
      <c r="E29" s="1447" t="s">
        <v>82</v>
      </c>
      <c r="F29" s="834" t="s">
        <v>253</v>
      </c>
      <c r="G29" s="1430" t="s">
        <v>242</v>
      </c>
      <c r="H29" s="1438">
        <v>14</v>
      </c>
      <c r="I29" s="1438">
        <v>1920</v>
      </c>
      <c r="J29" s="1288"/>
      <c r="K29" s="1438">
        <v>6</v>
      </c>
      <c r="L29" s="1511">
        <f t="shared" si="0"/>
        <v>0.10886075949367088</v>
      </c>
      <c r="M29" s="1441"/>
      <c r="N29" s="1288"/>
      <c r="O29" s="1438">
        <v>790</v>
      </c>
      <c r="P29" s="1291"/>
      <c r="Q29" s="1288"/>
      <c r="R29" s="1438">
        <v>86</v>
      </c>
      <c r="S29" s="1535">
        <f t="shared" si="1"/>
        <v>2.9501265822784806</v>
      </c>
      <c r="T29" s="1535">
        <f t="shared" si="2"/>
        <v>3.4183604199760316</v>
      </c>
      <c r="U29" s="1291"/>
      <c r="V29" s="1288"/>
      <c r="W29" s="1535">
        <f t="shared" si="3"/>
        <v>406.178</v>
      </c>
      <c r="X29" s="834">
        <v>4.7229999999999999</v>
      </c>
      <c r="Y29" s="840">
        <v>1.3816565311252686</v>
      </c>
    </row>
    <row r="30" spans="1:25" s="844" customFormat="1">
      <c r="A30" s="834" t="s">
        <v>139</v>
      </c>
      <c r="B30" s="1446">
        <v>42823</v>
      </c>
      <c r="C30" s="834">
        <v>2</v>
      </c>
      <c r="D30" s="1274">
        <v>60</v>
      </c>
      <c r="E30" s="1447" t="s">
        <v>82</v>
      </c>
      <c r="F30" s="834" t="s">
        <v>255</v>
      </c>
      <c r="G30" s="1430" t="s">
        <v>242</v>
      </c>
      <c r="H30" s="1438">
        <v>19</v>
      </c>
      <c r="I30" s="1438">
        <v>2200</v>
      </c>
      <c r="J30" s="1288"/>
      <c r="K30" s="1438">
        <v>6</v>
      </c>
      <c r="L30" s="1511">
        <f t="shared" si="0"/>
        <v>0.11938461538461538</v>
      </c>
      <c r="M30" s="1441"/>
      <c r="N30" s="1288"/>
      <c r="O30" s="1438">
        <v>650</v>
      </c>
      <c r="P30" s="1291"/>
      <c r="Q30" s="1288"/>
      <c r="R30" s="1438">
        <v>77.599999999999994</v>
      </c>
      <c r="S30" s="1535">
        <f t="shared" si="1"/>
        <v>3.4024615384615378</v>
      </c>
      <c r="T30" s="1535">
        <f t="shared" si="2"/>
        <v>3.2986004040833259</v>
      </c>
      <c r="U30" s="1291"/>
      <c r="V30" s="1288"/>
      <c r="W30" s="1535">
        <f t="shared" si="3"/>
        <v>315.44400000000002</v>
      </c>
      <c r="X30" s="834">
        <v>4.0650000000000004</v>
      </c>
      <c r="Y30" s="840">
        <v>1.2323408421850528</v>
      </c>
    </row>
    <row r="31" spans="1:25" s="844" customFormat="1">
      <c r="A31" s="834" t="s">
        <v>139</v>
      </c>
      <c r="B31" s="1446">
        <v>42823</v>
      </c>
      <c r="C31" s="834">
        <v>2</v>
      </c>
      <c r="D31" s="1274">
        <v>55</v>
      </c>
      <c r="E31" s="1447" t="s">
        <v>82</v>
      </c>
      <c r="F31" s="834" t="s">
        <v>238</v>
      </c>
      <c r="G31" s="1430" t="s">
        <v>242</v>
      </c>
      <c r="H31" s="1438">
        <v>19</v>
      </c>
      <c r="I31" s="1438">
        <v>2220</v>
      </c>
      <c r="J31" s="1288"/>
      <c r="K31" s="1438">
        <v>6</v>
      </c>
      <c r="L31" s="1511">
        <f t="shared" si="0"/>
        <v>0.10390909090909091</v>
      </c>
      <c r="M31" s="1441"/>
      <c r="N31" s="1288"/>
      <c r="O31" s="1438">
        <v>1100</v>
      </c>
      <c r="P31" s="1291"/>
      <c r="Q31" s="1288"/>
      <c r="R31" s="1438">
        <v>114.3</v>
      </c>
      <c r="S31" s="1535">
        <f t="shared" si="1"/>
        <v>3.4497818181818185</v>
      </c>
      <c r="T31" s="1535">
        <f t="shared" si="2"/>
        <v>3.2872301137026079</v>
      </c>
      <c r="U31" s="1291"/>
      <c r="V31" s="1288"/>
      <c r="W31" s="1535">
        <f t="shared" si="3"/>
        <v>498.91950000000003</v>
      </c>
      <c r="X31" s="834">
        <v>4.3650000000000002</v>
      </c>
      <c r="Y31" s="840">
        <v>1.3278656647141243</v>
      </c>
    </row>
    <row r="32" spans="1:25" s="844" customFormat="1">
      <c r="A32" s="834" t="s">
        <v>139</v>
      </c>
      <c r="B32" s="1446">
        <v>42823</v>
      </c>
      <c r="C32" s="834">
        <v>2</v>
      </c>
      <c r="D32" s="1274">
        <v>56</v>
      </c>
      <c r="E32" s="1447" t="s">
        <v>82</v>
      </c>
      <c r="F32" s="834" t="s">
        <v>258</v>
      </c>
      <c r="G32" s="1430" t="s">
        <v>242</v>
      </c>
      <c r="H32" s="1438">
        <v>21</v>
      </c>
      <c r="I32" s="1438">
        <v>2400</v>
      </c>
      <c r="J32" s="1288"/>
      <c r="K32" s="1438">
        <v>6</v>
      </c>
      <c r="L32" s="1511">
        <f t="shared" si="0"/>
        <v>0.10743589743589743</v>
      </c>
      <c r="M32" s="1441"/>
      <c r="N32" s="1288"/>
      <c r="O32" s="1438">
        <v>780</v>
      </c>
      <c r="P32" s="1291"/>
      <c r="Q32" s="1288"/>
      <c r="R32" s="1438">
        <v>83.8</v>
      </c>
      <c r="S32" s="1535">
        <f t="shared" si="1"/>
        <v>3.4164615384615384</v>
      </c>
      <c r="T32" s="1535">
        <f t="shared" si="2"/>
        <v>3.2952159418521321</v>
      </c>
      <c r="U32" s="1291"/>
      <c r="V32" s="1288"/>
      <c r="W32" s="1535">
        <f t="shared" si="3"/>
        <v>316.9316</v>
      </c>
      <c r="X32" s="834">
        <v>3.782</v>
      </c>
      <c r="Y32" s="840">
        <v>1.1477244789833903</v>
      </c>
    </row>
    <row r="33" spans="1:25" s="844" customFormat="1">
      <c r="A33" s="834" t="s">
        <v>139</v>
      </c>
      <c r="B33" s="1446">
        <v>42823</v>
      </c>
      <c r="C33" s="834">
        <v>2</v>
      </c>
      <c r="D33" s="1274">
        <v>46</v>
      </c>
      <c r="E33" s="1447" t="s">
        <v>82</v>
      </c>
      <c r="F33" s="834" t="s">
        <v>260</v>
      </c>
      <c r="G33" s="1430" t="s">
        <v>242</v>
      </c>
      <c r="H33" s="1438">
        <v>16</v>
      </c>
      <c r="I33" s="1438">
        <v>1800</v>
      </c>
      <c r="J33" s="1288"/>
      <c r="K33" s="1438">
        <v>6</v>
      </c>
      <c r="L33" s="1511">
        <f t="shared" si="0"/>
        <v>0.11699999999999999</v>
      </c>
      <c r="M33" s="1441"/>
      <c r="N33" s="1442"/>
      <c r="O33" s="1438">
        <v>800</v>
      </c>
      <c r="P33" s="1291"/>
      <c r="Q33" s="1288"/>
      <c r="R33" s="1438">
        <v>93.6</v>
      </c>
      <c r="S33" s="1532">
        <f t="shared" si="1"/>
        <v>3.0419999999999998</v>
      </c>
      <c r="T33" s="1532">
        <f t="shared" si="2"/>
        <v>3.3922528153098175</v>
      </c>
      <c r="U33" s="1291"/>
      <c r="V33" s="1288"/>
      <c r="W33" s="1532">
        <f t="shared" si="3"/>
        <v>422.69759999999997</v>
      </c>
      <c r="X33" s="834">
        <v>4.516</v>
      </c>
      <c r="Y33" s="840">
        <v>1.3312687013239459</v>
      </c>
    </row>
    <row r="34" spans="1:25" s="844" customFormat="1">
      <c r="A34" s="834" t="s">
        <v>139</v>
      </c>
      <c r="B34" s="1446">
        <v>42823</v>
      </c>
      <c r="C34" s="834">
        <v>2</v>
      </c>
      <c r="D34" s="1274">
        <v>63</v>
      </c>
      <c r="E34" s="1447" t="s">
        <v>82</v>
      </c>
      <c r="F34" s="834" t="s">
        <v>239</v>
      </c>
      <c r="G34" s="1430" t="s">
        <v>242</v>
      </c>
      <c r="H34" s="1438">
        <v>25</v>
      </c>
      <c r="I34" s="1438">
        <v>3600</v>
      </c>
      <c r="J34" s="1288"/>
      <c r="K34" s="1438">
        <v>6</v>
      </c>
      <c r="L34" s="1511">
        <f t="shared" si="0"/>
        <v>0.10552941176470589</v>
      </c>
      <c r="M34" s="1441"/>
      <c r="N34" s="1288"/>
      <c r="O34" s="1438">
        <v>850</v>
      </c>
      <c r="P34" s="1291"/>
      <c r="Q34" s="1288"/>
      <c r="R34" s="1438">
        <v>89.7</v>
      </c>
      <c r="S34" s="1532">
        <f t="shared" si="1"/>
        <v>4.6960588235294116</v>
      </c>
      <c r="T34" s="1532">
        <f t="shared" si="2"/>
        <v>3.0432990604192605</v>
      </c>
      <c r="U34" s="1291"/>
      <c r="V34" s="1288"/>
      <c r="W34" s="1532">
        <f t="shared" si="3"/>
        <v>354.04590000000002</v>
      </c>
      <c r="X34" s="834">
        <v>3.9470000000000001</v>
      </c>
      <c r="Y34" s="840">
        <v>1.2969477930493767</v>
      </c>
    </row>
    <row r="35" spans="1:25" s="844" customFormat="1">
      <c r="A35" s="834" t="s">
        <v>139</v>
      </c>
      <c r="B35" s="1446">
        <v>42823</v>
      </c>
      <c r="C35" s="834">
        <v>2</v>
      </c>
      <c r="D35" s="1274">
        <v>61</v>
      </c>
      <c r="E35" s="1447" t="s">
        <v>82</v>
      </c>
      <c r="F35" s="834" t="s">
        <v>240</v>
      </c>
      <c r="G35" s="1430" t="s">
        <v>242</v>
      </c>
      <c r="H35" s="1438">
        <v>18</v>
      </c>
      <c r="I35" s="1438">
        <v>2650</v>
      </c>
      <c r="J35" s="1288"/>
      <c r="K35" s="1438">
        <v>6</v>
      </c>
      <c r="L35" s="1511">
        <f t="shared" si="0"/>
        <v>0.1152</v>
      </c>
      <c r="M35" s="1441"/>
      <c r="N35" s="1288"/>
      <c r="O35" s="1438">
        <v>1000</v>
      </c>
      <c r="P35" s="1291"/>
      <c r="Q35" s="1288"/>
      <c r="R35" s="1438">
        <v>115.2</v>
      </c>
      <c r="S35" s="1532">
        <f t="shared" si="1"/>
        <v>4.2047999999999996</v>
      </c>
      <c r="T35" s="1532">
        <f t="shared" si="2"/>
        <v>3.1285397556775716</v>
      </c>
      <c r="U35" s="1291"/>
      <c r="V35" s="1288"/>
      <c r="W35" s="1532">
        <f t="shared" si="3"/>
        <v>393.06240000000003</v>
      </c>
      <c r="X35" s="834">
        <v>3.4119999999999999</v>
      </c>
      <c r="Y35" s="840">
        <v>1.0906046483213181</v>
      </c>
    </row>
    <row r="36" spans="1:25" s="844" customFormat="1">
      <c r="A36" s="834" t="s">
        <v>139</v>
      </c>
      <c r="B36" s="1446">
        <v>42823</v>
      </c>
      <c r="C36" s="834">
        <v>2</v>
      </c>
      <c r="D36" s="1274">
        <v>54</v>
      </c>
      <c r="E36" s="1447" t="s">
        <v>82</v>
      </c>
      <c r="F36" s="834" t="s">
        <v>264</v>
      </c>
      <c r="G36" s="1430" t="s">
        <v>242</v>
      </c>
      <c r="H36" s="1438">
        <v>18</v>
      </c>
      <c r="I36" s="1438">
        <v>2400</v>
      </c>
      <c r="J36" s="1288"/>
      <c r="K36" s="1438">
        <v>6</v>
      </c>
      <c r="L36" s="1511">
        <f t="shared" si="0"/>
        <v>0.11119047619047619</v>
      </c>
      <c r="M36" s="1441"/>
      <c r="N36" s="1288"/>
      <c r="O36" s="1438">
        <v>1260</v>
      </c>
      <c r="P36" s="1291"/>
      <c r="Q36" s="1288"/>
      <c r="R36" s="1438">
        <v>140.1</v>
      </c>
      <c r="S36" s="1532">
        <f t="shared" si="1"/>
        <v>4.069571428571428</v>
      </c>
      <c r="T36" s="1532">
        <f t="shared" si="2"/>
        <v>3.1542117491152903</v>
      </c>
      <c r="U36" s="1291"/>
      <c r="V36" s="1288"/>
      <c r="W36" s="1532">
        <f t="shared" si="3"/>
        <v>503.93969999999996</v>
      </c>
      <c r="X36" s="834">
        <v>3.597</v>
      </c>
      <c r="Y36" s="840">
        <v>1.1403800017576198</v>
      </c>
    </row>
    <row r="37" spans="1:25" s="844" customFormat="1">
      <c r="A37" s="834" t="s">
        <v>139</v>
      </c>
      <c r="B37" s="1446">
        <v>42823</v>
      </c>
      <c r="C37" s="834">
        <v>2</v>
      </c>
      <c r="D37" s="1274">
        <v>62</v>
      </c>
      <c r="E37" s="1447" t="s">
        <v>82</v>
      </c>
      <c r="F37" s="834" t="s">
        <v>266</v>
      </c>
      <c r="G37" s="1430" t="s">
        <v>242</v>
      </c>
      <c r="H37" s="1438">
        <v>20</v>
      </c>
      <c r="I37" s="1438">
        <v>3200</v>
      </c>
      <c r="J37" s="1288"/>
      <c r="K37" s="1438">
        <v>6</v>
      </c>
      <c r="L37" s="1511">
        <f t="shared" si="0"/>
        <v>0.11117647058823528</v>
      </c>
      <c r="M37" s="1441"/>
      <c r="N37" s="1288"/>
      <c r="O37" s="1438">
        <v>680</v>
      </c>
      <c r="P37" s="1291"/>
      <c r="Q37" s="1288"/>
      <c r="R37" s="1438">
        <v>75.599999999999994</v>
      </c>
      <c r="S37" s="1532">
        <f t="shared" si="1"/>
        <v>4.3136470588235287</v>
      </c>
      <c r="T37" s="1532">
        <f t="shared" si="2"/>
        <v>3.1086144533110494</v>
      </c>
      <c r="U37" s="1291"/>
      <c r="V37" s="1288"/>
      <c r="W37" s="1532">
        <f t="shared" si="3"/>
        <v>297.86399999999998</v>
      </c>
      <c r="X37" s="834">
        <v>3.94</v>
      </c>
      <c r="Y37" s="840">
        <v>1.2674456929849971</v>
      </c>
    </row>
    <row r="38" spans="1:25" s="844" customFormat="1" ht="15.75" thickBot="1">
      <c r="A38" s="834" t="s">
        <v>139</v>
      </c>
      <c r="B38" s="1446">
        <v>42823</v>
      </c>
      <c r="C38" s="834">
        <v>2</v>
      </c>
      <c r="D38" s="1293">
        <v>51</v>
      </c>
      <c r="E38" s="1447" t="s">
        <v>82</v>
      </c>
      <c r="F38" s="834" t="s">
        <v>268</v>
      </c>
      <c r="G38" s="1430" t="s">
        <v>242</v>
      </c>
      <c r="H38" s="1438">
        <v>20</v>
      </c>
      <c r="I38" s="1438">
        <v>1940</v>
      </c>
      <c r="J38" s="1299"/>
      <c r="K38" s="1438">
        <v>6</v>
      </c>
      <c r="L38" s="1512">
        <f t="shared" si="0"/>
        <v>0.11094594594594594</v>
      </c>
      <c r="M38" s="1444"/>
      <c r="N38" s="1299"/>
      <c r="O38" s="1438">
        <v>740</v>
      </c>
      <c r="P38" s="1302"/>
      <c r="Q38" s="1299"/>
      <c r="R38" s="1438">
        <v>82.1</v>
      </c>
      <c r="S38" s="1533">
        <f t="shared" si="1"/>
        <v>2.9733513513513516</v>
      </c>
      <c r="T38" s="1533">
        <f t="shared" si="2"/>
        <v>3.4116655972372927</v>
      </c>
      <c r="U38" s="1302"/>
      <c r="V38" s="1299"/>
      <c r="W38" s="1533">
        <f t="shared" si="3"/>
        <v>345.96940000000001</v>
      </c>
      <c r="X38" s="834">
        <v>4.2140000000000004</v>
      </c>
      <c r="Y38" s="840">
        <v>1.2351738117042963</v>
      </c>
    </row>
    <row r="39" spans="1:25" s="844" customFormat="1" ht="15.75" thickTop="1">
      <c r="A39" s="834" t="s">
        <v>139</v>
      </c>
      <c r="B39" s="1446">
        <v>42823</v>
      </c>
      <c r="C39" s="834">
        <v>2</v>
      </c>
      <c r="D39" s="772">
        <v>50</v>
      </c>
      <c r="E39" s="1447" t="s">
        <v>82</v>
      </c>
      <c r="F39" s="834" t="s">
        <v>270</v>
      </c>
      <c r="G39" s="1430" t="s">
        <v>242</v>
      </c>
      <c r="H39" s="1438">
        <v>20</v>
      </c>
      <c r="I39" s="1438">
        <v>2400</v>
      </c>
      <c r="J39" s="772"/>
      <c r="K39" s="1438">
        <v>6</v>
      </c>
      <c r="L39" s="1513">
        <f t="shared" si="0"/>
        <v>0.11698630136986302</v>
      </c>
      <c r="M39" s="772"/>
      <c r="N39" s="772"/>
      <c r="O39" s="1438">
        <v>730</v>
      </c>
      <c r="P39" s="772"/>
      <c r="Q39" s="772"/>
      <c r="R39" s="1438">
        <v>85.4</v>
      </c>
      <c r="S39" s="1536">
        <f t="shared" si="1"/>
        <v>3.6616712328767118</v>
      </c>
      <c r="T39" s="1536">
        <f t="shared" si="2"/>
        <v>3.2386064536297838</v>
      </c>
      <c r="U39" s="772"/>
      <c r="V39" s="772"/>
      <c r="W39" s="1536">
        <f t="shared" si="3"/>
        <v>368.07400000000001</v>
      </c>
      <c r="X39" s="834">
        <v>4.3099999999999996</v>
      </c>
      <c r="Y39" s="840">
        <v>1.3308193081531758</v>
      </c>
    </row>
    <row r="40" spans="1:25" s="844" customFormat="1">
      <c r="A40" s="834" t="s">
        <v>139</v>
      </c>
      <c r="B40" s="1446">
        <v>42823</v>
      </c>
      <c r="C40" s="834">
        <v>2</v>
      </c>
      <c r="D40" s="772">
        <v>53</v>
      </c>
      <c r="E40" s="1447" t="s">
        <v>82</v>
      </c>
      <c r="F40" s="834" t="s">
        <v>272</v>
      </c>
      <c r="G40" s="1430" t="s">
        <v>242</v>
      </c>
      <c r="H40" s="1438">
        <v>16</v>
      </c>
      <c r="I40" s="1438">
        <v>1940</v>
      </c>
      <c r="K40" s="1438">
        <v>6</v>
      </c>
      <c r="L40" s="1514">
        <f t="shared" si="0"/>
        <v>0.10840909090909091</v>
      </c>
      <c r="O40" s="1438">
        <v>880</v>
      </c>
      <c r="R40" s="1438">
        <v>95.4</v>
      </c>
      <c r="S40" s="1536">
        <f t="shared" si="1"/>
        <v>3.057136363636364</v>
      </c>
      <c r="T40" s="1536">
        <f t="shared" si="2"/>
        <v>3.3880461022037425</v>
      </c>
      <c r="U40" s="772"/>
      <c r="V40" s="772"/>
      <c r="W40" s="1536">
        <f t="shared" si="3"/>
        <v>439.60320000000002</v>
      </c>
      <c r="X40" s="834">
        <v>4.6079999999999997</v>
      </c>
      <c r="Y40" s="840">
        <v>1.3600759437726488</v>
      </c>
    </row>
    <row r="41" spans="1:25" s="844" customFormat="1">
      <c r="A41" s="834" t="s">
        <v>139</v>
      </c>
      <c r="B41" s="1446">
        <v>42823</v>
      </c>
      <c r="C41" s="834">
        <v>2</v>
      </c>
      <c r="D41" s="772">
        <v>45</v>
      </c>
      <c r="E41" s="1447" t="s">
        <v>82</v>
      </c>
      <c r="F41" s="834" t="s">
        <v>274</v>
      </c>
      <c r="G41" s="1430" t="s">
        <v>242</v>
      </c>
      <c r="H41" s="1438">
        <v>14</v>
      </c>
      <c r="I41" s="1438">
        <v>1700</v>
      </c>
      <c r="J41" s="772"/>
      <c r="K41" s="1438">
        <v>6</v>
      </c>
      <c r="L41" s="1513">
        <f t="shared" si="0"/>
        <v>0.14733333333333334</v>
      </c>
      <c r="M41" s="772"/>
      <c r="N41" s="772"/>
      <c r="O41" s="1438">
        <v>600</v>
      </c>
      <c r="P41" s="772"/>
      <c r="Q41" s="772"/>
      <c r="R41" s="1438">
        <v>88.4</v>
      </c>
      <c r="S41" s="1536">
        <f t="shared" si="1"/>
        <v>3.3886666666666669</v>
      </c>
      <c r="T41" s="1536">
        <f t="shared" si="2"/>
        <v>3.3019523470019005</v>
      </c>
      <c r="U41" s="772"/>
      <c r="V41" s="772"/>
      <c r="W41" s="1536">
        <f t="shared" si="3"/>
        <v>304.62640000000005</v>
      </c>
      <c r="X41" s="834">
        <v>3.4460000000000002</v>
      </c>
      <c r="Y41" s="840">
        <v>1.0436249945063234</v>
      </c>
    </row>
    <row r="42" spans="1:25" s="844" customFormat="1">
      <c r="A42" s="834" t="s">
        <v>139</v>
      </c>
      <c r="B42" s="1446">
        <v>42823</v>
      </c>
      <c r="C42" s="834">
        <v>2</v>
      </c>
      <c r="D42" s="772">
        <v>48</v>
      </c>
      <c r="E42" s="1447" t="s">
        <v>82</v>
      </c>
      <c r="F42" s="834" t="s">
        <v>276</v>
      </c>
      <c r="G42" s="1430" t="s">
        <v>242</v>
      </c>
      <c r="H42" s="1438">
        <v>15</v>
      </c>
      <c r="I42" s="1438">
        <v>1600</v>
      </c>
      <c r="J42" s="772"/>
      <c r="K42" s="1438">
        <v>6</v>
      </c>
      <c r="L42" s="1513">
        <f t="shared" si="0"/>
        <v>0.11378048780487804</v>
      </c>
      <c r="M42" s="772"/>
      <c r="N42" s="772"/>
      <c r="O42" s="1438">
        <v>820</v>
      </c>
      <c r="P42" s="772"/>
      <c r="Q42" s="772"/>
      <c r="R42" s="1438">
        <v>93.3</v>
      </c>
      <c r="S42" s="1536">
        <f t="shared" si="1"/>
        <v>2.7534878048780485</v>
      </c>
      <c r="T42" s="1536">
        <f t="shared" si="2"/>
        <v>3.4778209930089128</v>
      </c>
      <c r="U42" s="772"/>
      <c r="V42" s="772"/>
      <c r="W42" s="1536">
        <f t="shared" si="3"/>
        <v>413.69220000000001</v>
      </c>
      <c r="X42" s="834">
        <v>4.4340000000000002</v>
      </c>
      <c r="Y42" s="840">
        <v>1.2749362341860579</v>
      </c>
    </row>
    <row r="43" spans="1:25">
      <c r="A43" s="672"/>
      <c r="B43" s="673"/>
      <c r="C43" s="672"/>
      <c r="D43" s="1"/>
      <c r="E43" s="674"/>
      <c r="F43" s="672"/>
      <c r="G43" s="67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539"/>
      <c r="T43" s="4"/>
      <c r="U43" s="1"/>
      <c r="V43" s="1"/>
      <c r="W43" s="4"/>
      <c r="X43" s="4"/>
      <c r="Y43" s="4"/>
    </row>
    <row r="44" spans="1:25">
      <c r="A44" s="672"/>
      <c r="B44" s="673"/>
      <c r="C44" s="672"/>
      <c r="D44" s="1"/>
      <c r="E44" s="674"/>
      <c r="F44" s="672"/>
      <c r="G44" s="67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539"/>
      <c r="T44" s="4"/>
      <c r="U44" s="1"/>
      <c r="V44" s="1"/>
      <c r="W44" s="4"/>
      <c r="X44" s="4"/>
      <c r="Y44" s="4"/>
    </row>
    <row r="45" spans="1:25">
      <c r="A45" s="672"/>
      <c r="B45" s="673"/>
      <c r="C45" s="672"/>
      <c r="D45" s="1"/>
      <c r="E45" s="674"/>
      <c r="F45" s="672"/>
      <c r="G45" s="675"/>
      <c r="H45" s="1"/>
      <c r="I45" s="1"/>
      <c r="J45" s="1"/>
      <c r="K45" s="1"/>
      <c r="L45" s="1"/>
      <c r="M45" s="750" t="s">
        <v>390</v>
      </c>
      <c r="N45" s="751"/>
      <c r="O45" s="751"/>
      <c r="P45" s="1"/>
      <c r="Q45" s="1"/>
      <c r="R45" s="1"/>
      <c r="S45" s="1539"/>
      <c r="T45" s="4"/>
      <c r="U45" s="1"/>
      <c r="V45" s="1"/>
      <c r="W45" s="4"/>
      <c r="X45" s="4"/>
      <c r="Y45" s="4"/>
    </row>
    <row r="46" spans="1:25">
      <c r="A46" s="672"/>
      <c r="B46" s="673"/>
      <c r="C46" s="672"/>
      <c r="D46" s="1"/>
      <c r="E46" s="674"/>
      <c r="F46" s="672"/>
      <c r="G46" s="675"/>
      <c r="H46" s="1"/>
      <c r="I46" s="1"/>
      <c r="J46" s="1"/>
      <c r="K46" s="1"/>
      <c r="L46" s="1"/>
      <c r="M46" s="36"/>
      <c r="N46" s="752" t="s">
        <v>63</v>
      </c>
      <c r="O46" s="753" t="s">
        <v>64</v>
      </c>
      <c r="P46" s="1"/>
      <c r="Q46" s="1"/>
      <c r="R46" s="1"/>
      <c r="S46" s="1539"/>
      <c r="T46" s="4"/>
      <c r="U46" s="1"/>
      <c r="V46" s="1"/>
      <c r="W46" s="4"/>
      <c r="X46" s="4"/>
      <c r="Y46" s="4"/>
    </row>
    <row r="47" spans="1:25">
      <c r="A47" s="672"/>
      <c r="B47" s="673"/>
      <c r="C47" s="672"/>
      <c r="D47" s="1"/>
      <c r="E47" s="674"/>
      <c r="F47" s="672"/>
      <c r="G47" s="675"/>
      <c r="H47" s="1"/>
      <c r="I47" s="1"/>
      <c r="J47" s="1"/>
      <c r="K47" s="1"/>
      <c r="L47" s="1"/>
      <c r="M47" s="36" t="s">
        <v>391</v>
      </c>
      <c r="N47" s="774">
        <f>AVERAGE(Y3:Y6,Y9:Y22)</f>
        <v>0.6461816280635575</v>
      </c>
      <c r="O47" s="774">
        <f>AVERAGE(Y23:Y27,Y29:Y42)</f>
        <v>1.2474389279164559</v>
      </c>
      <c r="P47" s="1"/>
      <c r="Q47" s="1"/>
      <c r="R47" s="1"/>
      <c r="S47" s="1539"/>
      <c r="T47" s="4"/>
      <c r="U47" s="1"/>
      <c r="V47" s="1"/>
      <c r="W47" s="4"/>
      <c r="X47" s="4"/>
      <c r="Y47" s="4"/>
    </row>
    <row r="48" spans="1:25">
      <c r="A48" s="672"/>
      <c r="B48" s="673"/>
      <c r="C48" s="672"/>
      <c r="D48" s="1"/>
      <c r="E48" s="674"/>
      <c r="F48" s="672"/>
      <c r="G48" s="675"/>
      <c r="H48" s="1"/>
      <c r="I48" s="1"/>
      <c r="J48" s="1"/>
      <c r="K48" s="1"/>
      <c r="L48" s="1"/>
      <c r="M48" s="36" t="s">
        <v>25</v>
      </c>
      <c r="N48" s="774">
        <f>AVERAGE(W3:W6,W9:W22)</f>
        <v>148.37822222222226</v>
      </c>
      <c r="O48" s="774">
        <f>AVERAGE(W23:W27,W29:W42)</f>
        <v>367.87787894736834</v>
      </c>
      <c r="P48" s="1"/>
      <c r="Q48" s="1"/>
      <c r="R48" s="1"/>
      <c r="S48" s="1539"/>
      <c r="T48" s="4"/>
      <c r="U48" s="1"/>
      <c r="V48" s="1"/>
      <c r="W48" s="4"/>
      <c r="X48" s="4"/>
      <c r="Y48" s="4"/>
    </row>
    <row r="49" spans="1:25">
      <c r="A49" s="672"/>
      <c r="B49" s="673"/>
      <c r="C49" s="672"/>
      <c r="D49" s="1"/>
      <c r="E49" s="674"/>
      <c r="F49" s="672"/>
      <c r="G49" s="675"/>
      <c r="H49" s="1"/>
      <c r="I49" s="1"/>
      <c r="J49" s="1"/>
      <c r="K49" s="1"/>
      <c r="L49" s="1"/>
      <c r="M49" s="36" t="s">
        <v>392</v>
      </c>
      <c r="N49" s="774">
        <f>AVERAGE(X3:X6,X9:X22)</f>
        <v>2.3386666666666662</v>
      </c>
      <c r="O49" s="774">
        <f>AVERAGE(X23:X27,X29:X42)</f>
        <v>4.1077368421052629</v>
      </c>
      <c r="P49" s="1"/>
      <c r="Q49" s="1"/>
      <c r="R49" s="1"/>
      <c r="S49" s="1539"/>
      <c r="T49" s="4"/>
      <c r="U49" s="1"/>
      <c r="V49" s="1"/>
      <c r="W49" s="4"/>
      <c r="X49" s="4"/>
      <c r="Y49" s="4"/>
    </row>
    <row r="50" spans="1:25">
      <c r="A50" s="672"/>
      <c r="B50" s="673"/>
      <c r="C50" s="672"/>
      <c r="D50" s="1"/>
      <c r="E50" s="674"/>
      <c r="F50" s="672"/>
      <c r="G50" s="675"/>
      <c r="H50" s="1"/>
      <c r="I50" s="1"/>
      <c r="J50" s="1"/>
      <c r="K50" s="1"/>
      <c r="L50" s="1"/>
      <c r="M50" s="36" t="s">
        <v>393</v>
      </c>
      <c r="N50" s="774">
        <f>AVERAGE(S3:S6,S9:S22)</f>
        <v>2.3731876337143856</v>
      </c>
      <c r="O50" s="774">
        <f>AVERAGE(S23:S27,S29:S42)</f>
        <v>3.4874924941501191</v>
      </c>
      <c r="P50" s="1"/>
      <c r="Q50" s="1"/>
      <c r="R50" s="1"/>
      <c r="S50" s="1539"/>
      <c r="T50" s="4"/>
      <c r="U50" s="1"/>
      <c r="V50" s="1"/>
      <c r="W50" s="4"/>
      <c r="X50" s="4"/>
      <c r="Y50" s="4"/>
    </row>
    <row r="51" spans="1:25">
      <c r="A51" s="672"/>
      <c r="B51" s="673"/>
      <c r="C51" s="672"/>
      <c r="D51" s="1"/>
      <c r="E51" s="674"/>
      <c r="F51" s="672"/>
      <c r="G51" s="67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539"/>
      <c r="T51" s="4"/>
      <c r="U51" s="1"/>
      <c r="V51" s="1"/>
      <c r="W51" s="4"/>
      <c r="X51" s="4"/>
      <c r="Y51" s="4"/>
    </row>
    <row r="52" spans="1:25">
      <c r="A52" s="672"/>
      <c r="B52" s="673"/>
      <c r="C52" s="672"/>
      <c r="D52" s="1"/>
      <c r="E52" s="674"/>
      <c r="F52" s="672"/>
      <c r="G52" s="67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539"/>
      <c r="T52" s="4"/>
      <c r="U52" s="1"/>
      <c r="V52" s="1"/>
      <c r="W52" s="4"/>
      <c r="X52" s="4"/>
      <c r="Y52" s="4"/>
    </row>
    <row r="53" spans="1:25">
      <c r="A53" s="672"/>
      <c r="B53" s="673"/>
      <c r="C53" s="672"/>
      <c r="D53" s="1"/>
      <c r="E53" s="674"/>
      <c r="F53" s="672"/>
      <c r="G53" s="67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539"/>
      <c r="T53" s="4"/>
      <c r="U53" s="1"/>
      <c r="V53" s="1"/>
      <c r="W53" s="4"/>
      <c r="X53" s="4"/>
      <c r="Y53" s="4"/>
    </row>
    <row r="54" spans="1:25">
      <c r="A54" s="55" t="s">
        <v>39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539"/>
      <c r="T54" s="4"/>
      <c r="U54" s="1"/>
      <c r="V54" s="1"/>
      <c r="W54" s="4"/>
      <c r="X54" s="4"/>
      <c r="Y54" s="4"/>
    </row>
    <row r="55" spans="1:25">
      <c r="A55" s="56" t="s">
        <v>40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539"/>
      <c r="T55" s="4"/>
      <c r="U55" s="1"/>
      <c r="V55" s="1"/>
      <c r="W55" s="4"/>
      <c r="X55" s="4"/>
      <c r="Y55" s="4"/>
    </row>
    <row r="56" spans="1:25">
      <c r="A56" s="56" t="s">
        <v>41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539"/>
      <c r="T56" s="4"/>
      <c r="U56" s="1"/>
      <c r="V56" s="1"/>
      <c r="W56" s="4"/>
      <c r="X56" s="4"/>
      <c r="Y56" s="4"/>
    </row>
    <row r="57" spans="1:25">
      <c r="A57" s="56" t="s">
        <v>42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539"/>
      <c r="T57" s="4"/>
      <c r="U57" s="1"/>
      <c r="V57" s="1"/>
      <c r="W57" s="4"/>
      <c r="X57" s="4"/>
      <c r="Y57" s="4"/>
    </row>
    <row r="58" spans="1:25">
      <c r="A58" s="55" t="s">
        <v>87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539"/>
      <c r="T58" s="4"/>
      <c r="U58" s="1"/>
      <c r="V58" s="1"/>
      <c r="W58" s="4"/>
      <c r="X58" s="4"/>
      <c r="Y58" s="4"/>
    </row>
    <row r="59" spans="1:25">
      <c r="A59" s="55" t="s">
        <v>44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539"/>
      <c r="T59" s="4"/>
      <c r="U59" s="1"/>
      <c r="V59" s="1"/>
      <c r="W59" s="4"/>
      <c r="X59" s="4"/>
      <c r="Y59" s="4"/>
    </row>
    <row r="60" spans="1:25">
      <c r="A60" s="55" t="s">
        <v>45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539"/>
      <c r="T60" s="4"/>
      <c r="U60" s="1"/>
      <c r="V60" s="1"/>
      <c r="W60" s="4"/>
      <c r="X60" s="4"/>
      <c r="Y60" s="4"/>
    </row>
    <row r="61" spans="1:25">
      <c r="A61" s="56" t="s">
        <v>46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539"/>
      <c r="T61" s="4"/>
      <c r="U61" s="1"/>
      <c r="V61" s="1"/>
      <c r="W61" s="4"/>
      <c r="X61" s="4"/>
      <c r="Y61" s="4"/>
    </row>
    <row r="62" spans="1:25">
      <c r="A62" s="56" t="s">
        <v>47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539"/>
      <c r="T62" s="4"/>
      <c r="U62" s="1"/>
      <c r="V62" s="1"/>
      <c r="W62" s="4"/>
      <c r="X62" s="4"/>
      <c r="Y62" s="4"/>
    </row>
    <row r="63" spans="1:25">
      <c r="A63" s="56" t="s">
        <v>48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539"/>
      <c r="T63" s="4"/>
      <c r="U63" s="1"/>
      <c r="V63" s="1"/>
      <c r="W63" s="4"/>
      <c r="X63" s="4"/>
      <c r="Y63" s="4"/>
    </row>
    <row r="64" spans="1:25">
      <c r="A64" s="56" t="s">
        <v>49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4"/>
      <c r="P64" s="1"/>
      <c r="Q64" s="1"/>
      <c r="R64" s="1"/>
      <c r="S64" s="1539"/>
      <c r="T64" s="4"/>
      <c r="U64" s="1"/>
      <c r="V64" s="1"/>
      <c r="W64" s="4"/>
      <c r="X64" s="4"/>
      <c r="Y64" s="4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4"/>
      <c r="P65" s="1"/>
      <c r="Q65" s="1"/>
      <c r="R65" s="1"/>
      <c r="S65" s="1539"/>
      <c r="T65" s="4"/>
      <c r="U65" s="1"/>
      <c r="V65" s="1"/>
      <c r="W65" s="4"/>
      <c r="X65" s="4"/>
      <c r="Y65" s="4"/>
    </row>
    <row r="66" spans="1:25">
      <c r="A66" s="1" t="s">
        <v>50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4"/>
      <c r="P66" s="1"/>
      <c r="Q66" s="1"/>
      <c r="R66" s="1"/>
      <c r="S66" s="1539"/>
      <c r="T66" s="4"/>
      <c r="U66" s="1"/>
      <c r="V66" s="1"/>
      <c r="W66" s="4"/>
      <c r="X66" s="4"/>
      <c r="Y66" s="4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4"/>
      <c r="P67" s="1"/>
      <c r="Q67" s="1"/>
      <c r="R67" s="1"/>
      <c r="S67" s="1539"/>
      <c r="T67" s="4"/>
      <c r="U67" s="1"/>
      <c r="V67" s="1"/>
      <c r="W67" s="4"/>
      <c r="X67" s="4"/>
      <c r="Y67" s="4"/>
    </row>
  </sheetData>
  <mergeCells count="28">
    <mergeCell ref="P13:Q13"/>
    <mergeCell ref="U13:V13"/>
    <mergeCell ref="P14:Q14"/>
    <mergeCell ref="U14:V14"/>
    <mergeCell ref="P10:Q10"/>
    <mergeCell ref="U10:V10"/>
    <mergeCell ref="P11:Q11"/>
    <mergeCell ref="U11:V11"/>
    <mergeCell ref="P12:Q12"/>
    <mergeCell ref="U12:V12"/>
    <mergeCell ref="P7:Q7"/>
    <mergeCell ref="U7:V7"/>
    <mergeCell ref="P8:Q8"/>
    <mergeCell ref="U8:V8"/>
    <mergeCell ref="P9:Q9"/>
    <mergeCell ref="U9:V9"/>
    <mergeCell ref="P4:Q4"/>
    <mergeCell ref="U4:V4"/>
    <mergeCell ref="P5:Q5"/>
    <mergeCell ref="U5:V5"/>
    <mergeCell ref="P6:Q6"/>
    <mergeCell ref="U6:V6"/>
    <mergeCell ref="H1:J1"/>
    <mergeCell ref="K1:R1"/>
    <mergeCell ref="S1:T1"/>
    <mergeCell ref="U1:W1"/>
    <mergeCell ref="P3:Q3"/>
    <mergeCell ref="U3:V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CC"/>
  </sheetPr>
  <dimension ref="A1:AD44"/>
  <sheetViews>
    <sheetView workbookViewId="0">
      <selection activeCell="S35" sqref="S35"/>
    </sheetView>
  </sheetViews>
  <sheetFormatPr baseColWidth="10" defaultRowHeight="12.75"/>
  <cols>
    <col min="1" max="1" width="9.42578125" style="1" customWidth="1"/>
    <col min="2" max="2" width="10.140625" style="1" bestFit="1" customWidth="1"/>
    <col min="3" max="4" width="3" style="1" bestFit="1" customWidth="1"/>
    <col min="5" max="5" width="6.5703125" style="1" customWidth="1"/>
    <col min="6" max="6" width="8.85546875" style="1" bestFit="1" customWidth="1"/>
    <col min="7" max="7" width="11.140625" style="1" bestFit="1" customWidth="1"/>
    <col min="8" max="8" width="0.85546875" style="1" customWidth="1"/>
    <col min="9" max="9" width="4.140625" style="1" bestFit="1" customWidth="1"/>
    <col min="10" max="10" width="8.42578125" style="1" customWidth="1"/>
    <col min="11" max="11" width="12" style="1" bestFit="1" customWidth="1"/>
    <col min="12" max="12" width="4.140625" style="1" bestFit="1" customWidth="1"/>
    <col min="13" max="13" width="12" style="1" bestFit="1" customWidth="1"/>
    <col min="14" max="14" width="7.42578125" style="1" bestFit="1" customWidth="1"/>
    <col min="15" max="15" width="12.140625" style="1" bestFit="1" customWidth="1"/>
    <col min="16" max="16" width="6.85546875" style="1" bestFit="1" customWidth="1"/>
    <col min="17" max="17" width="10" style="1" bestFit="1" customWidth="1"/>
    <col min="18" max="18" width="13.140625" style="1" bestFit="1" customWidth="1"/>
    <col min="19" max="19" width="11.42578125" style="1" bestFit="1" customWidth="1"/>
    <col min="20" max="20" width="10.42578125" style="1" bestFit="1" customWidth="1"/>
    <col min="21" max="21" width="13" style="4" bestFit="1" customWidth="1"/>
    <col min="22" max="22" width="11.42578125" style="4"/>
    <col min="23" max="23" width="5.85546875" style="1" bestFit="1" customWidth="1"/>
    <col min="24" max="24" width="7.5703125" style="1" customWidth="1"/>
    <col min="25" max="25" width="7" style="1" bestFit="1" customWidth="1"/>
    <col min="26" max="26" width="9.7109375" style="1" bestFit="1" customWidth="1"/>
    <col min="27" max="27" width="12.5703125" style="1" bestFit="1" customWidth="1"/>
    <col min="28" max="28" width="12.140625" style="4" customWidth="1"/>
    <col min="29" max="29" width="15.85546875" style="4" bestFit="1" customWidth="1"/>
    <col min="30" max="16384" width="11.42578125" style="4"/>
  </cols>
  <sheetData>
    <row r="1" spans="1:30" ht="15.75">
      <c r="C1" s="2"/>
      <c r="D1" s="2"/>
      <c r="E1" s="2"/>
      <c r="F1" s="2"/>
      <c r="G1" s="2"/>
      <c r="H1" s="2"/>
      <c r="I1" s="1617" t="s">
        <v>407</v>
      </c>
      <c r="J1" s="1618"/>
      <c r="K1" s="1619"/>
      <c r="L1" s="1620" t="s">
        <v>408</v>
      </c>
      <c r="M1" s="1618"/>
      <c r="N1" s="1618"/>
      <c r="O1" s="1618"/>
      <c r="P1" s="1618"/>
      <c r="Q1" s="1618"/>
      <c r="R1" s="1618"/>
      <c r="S1" s="1618"/>
      <c r="T1" s="1619"/>
      <c r="U1" s="1621" t="s">
        <v>2</v>
      </c>
      <c r="V1" s="1622"/>
      <c r="W1" s="1623" t="s">
        <v>414</v>
      </c>
      <c r="X1" s="1623"/>
      <c r="Y1" s="1624"/>
      <c r="Z1" s="1624"/>
      <c r="AA1" s="1624"/>
      <c r="AB1" s="1624"/>
      <c r="AC1" s="3"/>
    </row>
    <row r="2" spans="1:30">
      <c r="A2" s="5" t="s">
        <v>4</v>
      </c>
      <c r="B2" s="5" t="s">
        <v>5</v>
      </c>
      <c r="C2" s="5" t="s">
        <v>6</v>
      </c>
      <c r="D2" s="5" t="s">
        <v>7</v>
      </c>
      <c r="E2" s="5" t="s">
        <v>401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6" t="s">
        <v>13</v>
      </c>
      <c r="L2" s="7" t="s">
        <v>11</v>
      </c>
      <c r="M2" s="5" t="s">
        <v>14</v>
      </c>
      <c r="N2" s="5" t="s">
        <v>17</v>
      </c>
      <c r="O2" s="8" t="s">
        <v>409</v>
      </c>
      <c r="P2" s="8" t="s">
        <v>410</v>
      </c>
      <c r="Q2" s="8" t="s">
        <v>411</v>
      </c>
      <c r="R2" s="8" t="s">
        <v>412</v>
      </c>
      <c r="S2" s="8" t="s">
        <v>413</v>
      </c>
      <c r="T2" s="9" t="s">
        <v>20</v>
      </c>
      <c r="U2" s="10" t="s">
        <v>21</v>
      </c>
      <c r="V2" s="8" t="s">
        <v>22</v>
      </c>
      <c r="W2" s="11" t="s">
        <v>415</v>
      </c>
      <c r="X2" s="11" t="s">
        <v>416</v>
      </c>
      <c r="Y2" s="12" t="s">
        <v>24</v>
      </c>
      <c r="Z2" s="12" t="s">
        <v>417</v>
      </c>
      <c r="AA2" s="12" t="s">
        <v>418</v>
      </c>
      <c r="AB2" s="12" t="s">
        <v>25</v>
      </c>
      <c r="AC2" s="13" t="s">
        <v>26</v>
      </c>
      <c r="AD2" s="14" t="s">
        <v>27</v>
      </c>
    </row>
    <row r="3" spans="1:30" s="771" customFormat="1">
      <c r="A3" s="867" t="s">
        <v>419</v>
      </c>
      <c r="B3" s="880">
        <v>42814</v>
      </c>
      <c r="C3" s="869">
        <v>12</v>
      </c>
      <c r="D3" s="869">
        <v>5</v>
      </c>
      <c r="E3" s="869" t="s">
        <v>406</v>
      </c>
      <c r="F3" s="867" t="s">
        <v>63</v>
      </c>
      <c r="G3" s="870" t="s">
        <v>30</v>
      </c>
      <c r="H3" s="870"/>
      <c r="I3" s="870">
        <f>20+9</f>
        <v>29</v>
      </c>
      <c r="J3" s="875">
        <f>1713+1003</f>
        <v>2716</v>
      </c>
      <c r="K3" s="1327">
        <f>J3*M3</f>
        <v>257.3271814887093</v>
      </c>
      <c r="L3" s="874">
        <v>13</v>
      </c>
      <c r="M3" s="1329">
        <f>T3/N3</f>
        <v>9.4744912182882654E-2</v>
      </c>
      <c r="N3" s="876">
        <v>1434.8</v>
      </c>
      <c r="O3" s="1610">
        <v>5.39</v>
      </c>
      <c r="P3" s="1611">
        <v>72.37</v>
      </c>
      <c r="Q3" s="1611">
        <v>56.6</v>
      </c>
      <c r="R3" s="1611">
        <v>0.78</v>
      </c>
      <c r="S3" s="1611">
        <v>0.8</v>
      </c>
      <c r="T3" s="1327">
        <f>O3+P3+Q3+R3+S3</f>
        <v>135.94000000000003</v>
      </c>
      <c r="U3" s="1333">
        <f>(T3+K3)/100</f>
        <v>3.9326718148870929</v>
      </c>
      <c r="V3" s="1334">
        <f>MIN(4.63,4.48*U3^(-0.25))</f>
        <v>3.1813107103115255</v>
      </c>
      <c r="W3" s="1612">
        <v>2.052</v>
      </c>
      <c r="X3" s="1612">
        <v>4.1894999999999998</v>
      </c>
      <c r="Y3" s="1613">
        <v>2.8811</v>
      </c>
      <c r="Z3" s="1613">
        <v>5.6738999999999997</v>
      </c>
      <c r="AA3" s="1613">
        <v>6.0907</v>
      </c>
      <c r="AB3" s="1337">
        <f>(W3*O3)+(X3*P3)+(Y3*Q3)+(Z3*R3)+(AA3*S3)</f>
        <v>486.62285700000001</v>
      </c>
      <c r="AC3" s="1337">
        <f>AB3/T3</f>
        <v>3.5796885169927903</v>
      </c>
      <c r="AD3" s="1337">
        <f>AC3/V3</f>
        <v>1.125224425702906</v>
      </c>
    </row>
    <row r="4" spans="1:30" s="771" customFormat="1">
      <c r="A4" s="867" t="s">
        <v>419</v>
      </c>
      <c r="B4" s="880">
        <v>42814</v>
      </c>
      <c r="C4" s="869">
        <v>42</v>
      </c>
      <c r="D4" s="869">
        <v>12</v>
      </c>
      <c r="E4" s="869" t="s">
        <v>406</v>
      </c>
      <c r="F4" s="867" t="s">
        <v>63</v>
      </c>
      <c r="G4" s="870" t="s">
        <v>30</v>
      </c>
      <c r="H4" s="870"/>
      <c r="I4" s="870">
        <f>19+10</f>
        <v>29</v>
      </c>
      <c r="J4" s="875">
        <f>2381+842</f>
        <v>3223</v>
      </c>
      <c r="K4" s="1327">
        <f t="shared" ref="K4:K14" si="0">J4*M4</f>
        <v>297.32867921466823</v>
      </c>
      <c r="L4" s="874">
        <v>12</v>
      </c>
      <c r="M4" s="1329">
        <f t="shared" ref="M4:M14" si="1">T4/N4</f>
        <v>9.225214992698362E-2</v>
      </c>
      <c r="N4" s="876">
        <v>1232.5999999999999</v>
      </c>
      <c r="O4" s="1610">
        <v>4.68</v>
      </c>
      <c r="P4" s="1611">
        <v>67.77</v>
      </c>
      <c r="Q4" s="1611">
        <v>40.200000000000003</v>
      </c>
      <c r="R4" s="1611">
        <v>0.59</v>
      </c>
      <c r="S4" s="1611">
        <v>0.47</v>
      </c>
      <c r="T4" s="1327">
        <f t="shared" ref="T4:T14" si="2">O4+P4+Q4+R4+S4</f>
        <v>113.71</v>
      </c>
      <c r="U4" s="1333">
        <f t="shared" ref="U4:U8" si="3">(T4+K4)/100</f>
        <v>4.1103867921466817</v>
      </c>
      <c r="V4" s="1334">
        <f t="shared" ref="V4:V14" si="4">MIN(4.63,4.48*U4^(-0.25))</f>
        <v>3.1463522404287163</v>
      </c>
      <c r="W4" s="1612">
        <v>1.8512999999999999</v>
      </c>
      <c r="X4" s="1612">
        <v>4.2361000000000004</v>
      </c>
      <c r="Y4" s="1613">
        <v>3.2471000000000001</v>
      </c>
      <c r="Z4" s="1613">
        <v>5.6703000000000001</v>
      </c>
      <c r="AA4" s="1613">
        <v>6.4086999999999996</v>
      </c>
      <c r="AB4" s="1337">
        <f t="shared" ref="AB4:AB8" si="5">(W4*O4)+(X4*P4)+(Y4*Q4)+(Z4*R4)+(AA4*S4)</f>
        <v>432.63556700000004</v>
      </c>
      <c r="AC4" s="1337">
        <f t="shared" ref="AC4:AC8" si="6">AB4/T4</f>
        <v>3.8047275261630471</v>
      </c>
      <c r="AD4" s="1337">
        <f t="shared" ref="AD4:AD8" si="7">AC4/V4</f>
        <v>1.2092503430717667</v>
      </c>
    </row>
    <row r="5" spans="1:30" s="771" customFormat="1">
      <c r="A5" s="867" t="s">
        <v>419</v>
      </c>
      <c r="B5" s="880">
        <v>42814</v>
      </c>
      <c r="C5" s="869">
        <v>63</v>
      </c>
      <c r="D5" s="869">
        <v>3</v>
      </c>
      <c r="E5" s="869" t="s">
        <v>406</v>
      </c>
      <c r="F5" s="867" t="s">
        <v>63</v>
      </c>
      <c r="G5" s="870" t="s">
        <v>30</v>
      </c>
      <c r="H5" s="870"/>
      <c r="I5" s="870">
        <f>21+12</f>
        <v>33</v>
      </c>
      <c r="J5" s="875">
        <f>1603+885.2</f>
        <v>2488.1999999999998</v>
      </c>
      <c r="K5" s="1327">
        <f t="shared" si="0"/>
        <v>229.4289351851852</v>
      </c>
      <c r="L5" s="874">
        <v>7</v>
      </c>
      <c r="M5" s="1329">
        <f t="shared" si="1"/>
        <v>9.2206790123456797E-2</v>
      </c>
      <c r="N5" s="876">
        <v>596.16</v>
      </c>
      <c r="O5" s="1610">
        <v>1.78</v>
      </c>
      <c r="P5" s="1611">
        <v>30.19</v>
      </c>
      <c r="Q5" s="1611">
        <v>22.38</v>
      </c>
      <c r="R5" s="1611">
        <v>0.33</v>
      </c>
      <c r="S5" s="1611">
        <v>0.28999999999999998</v>
      </c>
      <c r="T5" s="1327">
        <f t="shared" si="2"/>
        <v>54.97</v>
      </c>
      <c r="U5" s="1333">
        <f t="shared" si="3"/>
        <v>2.8439893518518522</v>
      </c>
      <c r="V5" s="1334">
        <f t="shared" si="4"/>
        <v>3.4498167181633956</v>
      </c>
      <c r="W5" s="1612">
        <v>2.0674999999999999</v>
      </c>
      <c r="X5" s="1612">
        <v>3.6745999999999999</v>
      </c>
      <c r="Y5" s="1613">
        <v>3.0470000000000002</v>
      </c>
      <c r="Z5" s="1613">
        <v>5.4753999999999996</v>
      </c>
      <c r="AA5" s="1613"/>
      <c r="AB5" s="1337">
        <f t="shared" si="5"/>
        <v>184.61506599999998</v>
      </c>
      <c r="AC5" s="1337">
        <f t="shared" si="6"/>
        <v>3.3584694560669455</v>
      </c>
      <c r="AD5" s="1337">
        <f t="shared" si="7"/>
        <v>0.97352112603098484</v>
      </c>
    </row>
    <row r="6" spans="1:30" s="771" customFormat="1">
      <c r="A6" s="867" t="s">
        <v>419</v>
      </c>
      <c r="B6" s="880">
        <v>42814</v>
      </c>
      <c r="C6" s="869">
        <v>5</v>
      </c>
      <c r="D6" s="869">
        <v>6</v>
      </c>
      <c r="E6" s="869" t="s">
        <v>406</v>
      </c>
      <c r="F6" s="867" t="s">
        <v>63</v>
      </c>
      <c r="G6" s="870" t="s">
        <v>33</v>
      </c>
      <c r="H6" s="870"/>
      <c r="I6" s="870">
        <f>23+15</f>
        <v>38</v>
      </c>
      <c r="J6" s="875">
        <f>1740+1028</f>
        <v>2768</v>
      </c>
      <c r="K6" s="1327">
        <f t="shared" si="0"/>
        <v>364.59832233530915</v>
      </c>
      <c r="L6" s="874">
        <v>10</v>
      </c>
      <c r="M6" s="1329">
        <f t="shared" si="1"/>
        <v>0.13171904708645563</v>
      </c>
      <c r="N6" s="876">
        <v>894.1</v>
      </c>
      <c r="O6" s="1610">
        <v>0.83</v>
      </c>
      <c r="P6" s="1611">
        <v>34.9</v>
      </c>
      <c r="Q6" s="1611">
        <v>80.44</v>
      </c>
      <c r="R6" s="1611">
        <v>0.85</v>
      </c>
      <c r="S6" s="1611">
        <v>0.75</v>
      </c>
      <c r="T6" s="1327">
        <f t="shared" si="2"/>
        <v>117.76999999999998</v>
      </c>
      <c r="U6" s="1333">
        <f t="shared" si="3"/>
        <v>4.8236832233530915</v>
      </c>
      <c r="V6" s="1334">
        <f t="shared" si="4"/>
        <v>3.0229663935338422</v>
      </c>
      <c r="W6" s="1612">
        <v>2.1585000000000001</v>
      </c>
      <c r="X6" s="1612">
        <v>4.2900999999999998</v>
      </c>
      <c r="Y6" s="1613">
        <v>2.6238000000000001</v>
      </c>
      <c r="Z6" s="1613">
        <v>5.9241999999999999</v>
      </c>
      <c r="AA6" s="1613">
        <v>6.3997999999999999</v>
      </c>
      <c r="AB6" s="1337">
        <f t="shared" si="5"/>
        <v>372.40993699999996</v>
      </c>
      <c r="AC6" s="1337">
        <f t="shared" si="6"/>
        <v>3.1621799864141971</v>
      </c>
      <c r="AD6" s="1337">
        <f t="shared" si="7"/>
        <v>1.0460519816489307</v>
      </c>
    </row>
    <row r="7" spans="1:30" s="771" customFormat="1">
      <c r="A7" s="867" t="s">
        <v>419</v>
      </c>
      <c r="B7" s="880">
        <v>42814</v>
      </c>
      <c r="C7" s="869">
        <v>63</v>
      </c>
      <c r="D7" s="869">
        <v>4</v>
      </c>
      <c r="E7" s="869" t="s">
        <v>406</v>
      </c>
      <c r="F7" s="867" t="s">
        <v>63</v>
      </c>
      <c r="G7" s="870" t="s">
        <v>33</v>
      </c>
      <c r="H7" s="870"/>
      <c r="I7" s="870">
        <f>19+9</f>
        <v>28</v>
      </c>
      <c r="J7" s="875">
        <f>1258+937</f>
        <v>2195</v>
      </c>
      <c r="K7" s="1327">
        <f t="shared" si="0"/>
        <v>259.1575630252101</v>
      </c>
      <c r="L7" s="874">
        <v>11</v>
      </c>
      <c r="M7" s="1329">
        <f t="shared" si="1"/>
        <v>0.1180672268907563</v>
      </c>
      <c r="N7" s="876">
        <v>999.6</v>
      </c>
      <c r="O7" s="1610">
        <v>3.84</v>
      </c>
      <c r="P7" s="1611">
        <v>52.71</v>
      </c>
      <c r="Q7" s="1611">
        <v>59.5</v>
      </c>
      <c r="R7" s="1611">
        <v>1.01</v>
      </c>
      <c r="S7" s="1611">
        <v>0.96</v>
      </c>
      <c r="T7" s="1327">
        <f t="shared" si="2"/>
        <v>118.02</v>
      </c>
      <c r="U7" s="1333">
        <f t="shared" si="3"/>
        <v>3.7717756302521006</v>
      </c>
      <c r="V7" s="1334">
        <f t="shared" si="4"/>
        <v>3.2147081514589195</v>
      </c>
      <c r="W7" s="1612">
        <v>1.7803</v>
      </c>
      <c r="X7" s="1612">
        <v>3.6431</v>
      </c>
      <c r="Y7" s="1613">
        <v>2.5387</v>
      </c>
      <c r="Z7" s="1613">
        <v>5.7576000000000001</v>
      </c>
      <c r="AA7" s="1613">
        <v>6.2717000000000001</v>
      </c>
      <c r="AB7" s="1337">
        <f t="shared" si="5"/>
        <v>361.75281100000001</v>
      </c>
      <c r="AC7" s="1337">
        <f t="shared" si="6"/>
        <v>3.065182265717675</v>
      </c>
      <c r="AD7" s="1337">
        <f t="shared" si="7"/>
        <v>0.95348694852023019</v>
      </c>
    </row>
    <row r="8" spans="1:30" s="771" customFormat="1">
      <c r="A8" s="867" t="s">
        <v>419</v>
      </c>
      <c r="B8" s="880">
        <v>42814</v>
      </c>
      <c r="C8" s="869">
        <v>63</v>
      </c>
      <c r="D8" s="869">
        <v>12</v>
      </c>
      <c r="E8" s="869" t="s">
        <v>406</v>
      </c>
      <c r="F8" s="867" t="s">
        <v>63</v>
      </c>
      <c r="G8" s="870" t="s">
        <v>33</v>
      </c>
      <c r="H8" s="870"/>
      <c r="I8" s="870">
        <f>20+10</f>
        <v>30</v>
      </c>
      <c r="J8" s="875">
        <f>1010+664.33</f>
        <v>1674.33</v>
      </c>
      <c r="K8" s="1327">
        <f t="shared" si="0"/>
        <v>154.24118665540539</v>
      </c>
      <c r="L8" s="874">
        <v>12</v>
      </c>
      <c r="M8" s="1329">
        <f t="shared" si="1"/>
        <v>9.2121138996138982E-2</v>
      </c>
      <c r="N8" s="876">
        <v>828.8</v>
      </c>
      <c r="O8" s="1610">
        <v>2.65</v>
      </c>
      <c r="P8" s="1611">
        <v>39.049999999999997</v>
      </c>
      <c r="Q8" s="1611">
        <v>33.47</v>
      </c>
      <c r="R8" s="1611">
        <v>0.56999999999999995</v>
      </c>
      <c r="S8" s="1611">
        <v>0.61</v>
      </c>
      <c r="T8" s="1327">
        <f t="shared" si="2"/>
        <v>76.34999999999998</v>
      </c>
      <c r="U8" s="1333">
        <f t="shared" si="3"/>
        <v>2.3059118665540534</v>
      </c>
      <c r="V8" s="1334">
        <f t="shared" si="4"/>
        <v>3.6355266949805554</v>
      </c>
      <c r="W8" s="1612">
        <v>2.0390999999999999</v>
      </c>
      <c r="X8" s="1612">
        <v>4.2272999999999996</v>
      </c>
      <c r="Y8" s="1613">
        <v>3.1269</v>
      </c>
      <c r="Z8" s="1613">
        <v>5.8162000000000003</v>
      </c>
      <c r="AA8" s="1613">
        <v>6.2980999999999998</v>
      </c>
      <c r="AB8" s="1337">
        <f t="shared" si="5"/>
        <v>282.29409799999996</v>
      </c>
      <c r="AC8" s="1337">
        <f t="shared" si="6"/>
        <v>3.6973686705959401</v>
      </c>
      <c r="AD8" s="1337">
        <f t="shared" si="7"/>
        <v>1.0170104584022908</v>
      </c>
    </row>
    <row r="9" spans="1:30" s="773" customFormat="1">
      <c r="A9" s="1213" t="s">
        <v>419</v>
      </c>
      <c r="B9" s="1224">
        <v>42814</v>
      </c>
      <c r="C9" s="1214">
        <v>5</v>
      </c>
      <c r="D9" s="1214">
        <v>4</v>
      </c>
      <c r="E9" s="1214" t="s">
        <v>406</v>
      </c>
      <c r="F9" s="1213" t="s">
        <v>64</v>
      </c>
      <c r="G9" s="1215" t="s">
        <v>30</v>
      </c>
      <c r="H9" s="1215"/>
      <c r="I9" s="1215">
        <f>18+10</f>
        <v>28</v>
      </c>
      <c r="J9" s="1219">
        <f>2186+1613</f>
        <v>3799</v>
      </c>
      <c r="K9" s="1328">
        <f t="shared" si="0"/>
        <v>275.14051867713539</v>
      </c>
      <c r="L9" s="1218"/>
      <c r="M9" s="1330">
        <f t="shared" si="1"/>
        <v>7.2424458719961934E-2</v>
      </c>
      <c r="N9" s="1220">
        <v>1260.9000000000001</v>
      </c>
      <c r="O9" s="1606">
        <v>8.92</v>
      </c>
      <c r="P9" s="1607">
        <v>58.75</v>
      </c>
      <c r="Q9" s="1607">
        <v>23.12</v>
      </c>
      <c r="R9" s="1607">
        <v>0.37</v>
      </c>
      <c r="S9" s="1607">
        <v>0.16</v>
      </c>
      <c r="T9" s="1328">
        <f t="shared" si="2"/>
        <v>91.320000000000007</v>
      </c>
      <c r="U9" s="1335">
        <f t="shared" ref="U9:U14" si="8">(T9+K9)/100</f>
        <v>3.6646051867713538</v>
      </c>
      <c r="V9" s="1336">
        <f t="shared" si="4"/>
        <v>3.2379580361570937</v>
      </c>
      <c r="W9" s="1608">
        <v>2.0779999999999998</v>
      </c>
      <c r="X9" s="1608">
        <v>4.8913000000000002</v>
      </c>
      <c r="Y9" s="1609">
        <v>4.2731000000000003</v>
      </c>
      <c r="Z9" s="1609">
        <v>6.0883000000000003</v>
      </c>
      <c r="AA9" s="1609"/>
      <c r="AB9" s="1338">
        <f t="shared" ref="AB9:AB14" si="9">(W9*O9)+(X9*P9)+(Y9*Q9)+(Z9*R9)+(AA9*S9)</f>
        <v>406.94637800000004</v>
      </c>
      <c r="AC9" s="1338">
        <f t="shared" ref="AC9:AC14" si="10">AB9/T9</f>
        <v>4.4562678274200618</v>
      </c>
      <c r="AD9" s="1338">
        <f t="shared" ref="AD9:AD14" si="11">AC9/V9</f>
        <v>1.3762586721812167</v>
      </c>
    </row>
    <row r="10" spans="1:30" s="773" customFormat="1">
      <c r="A10" s="1213" t="s">
        <v>419</v>
      </c>
      <c r="B10" s="1224">
        <v>42814</v>
      </c>
      <c r="C10" s="1214">
        <v>12</v>
      </c>
      <c r="D10" s="1214">
        <v>9</v>
      </c>
      <c r="E10" s="1214" t="s">
        <v>406</v>
      </c>
      <c r="F10" s="1213" t="s">
        <v>64</v>
      </c>
      <c r="G10" s="1215" t="s">
        <v>30</v>
      </c>
      <c r="H10" s="1215"/>
      <c r="I10" s="1215">
        <f>18+10</f>
        <v>28</v>
      </c>
      <c r="J10" s="1219">
        <f>1923+1081</f>
        <v>3004</v>
      </c>
      <c r="K10" s="1328">
        <f t="shared" si="0"/>
        <v>220.23161787365171</v>
      </c>
      <c r="L10" s="1218"/>
      <c r="M10" s="1330">
        <f t="shared" si="1"/>
        <v>7.331278890600923E-2</v>
      </c>
      <c r="N10" s="1220">
        <v>1947</v>
      </c>
      <c r="O10" s="1606">
        <v>6.21</v>
      </c>
      <c r="P10" s="1607">
        <v>86.44</v>
      </c>
      <c r="Q10" s="1607">
        <v>48.71</v>
      </c>
      <c r="R10" s="1607">
        <v>0.64</v>
      </c>
      <c r="S10" s="1607">
        <v>0.74</v>
      </c>
      <c r="T10" s="1328">
        <f t="shared" si="2"/>
        <v>142.73999999999998</v>
      </c>
      <c r="U10" s="1335">
        <f t="shared" si="8"/>
        <v>3.6297161787365169</v>
      </c>
      <c r="V10" s="1336">
        <f t="shared" si="4"/>
        <v>3.2457109985968775</v>
      </c>
      <c r="W10" s="1608">
        <v>2.3959999999999999</v>
      </c>
      <c r="X10" s="1608">
        <v>4.9649000000000001</v>
      </c>
      <c r="Y10" s="1609">
        <v>3.9571000000000001</v>
      </c>
      <c r="Z10" s="1609">
        <v>5.9371</v>
      </c>
      <c r="AA10" s="1609">
        <v>6.0345000000000004</v>
      </c>
      <c r="AB10" s="1338">
        <f t="shared" si="9"/>
        <v>645.06073100000003</v>
      </c>
      <c r="AC10" s="1338">
        <f t="shared" si="10"/>
        <v>4.5191308042594933</v>
      </c>
      <c r="AD10" s="1338">
        <f t="shared" si="11"/>
        <v>1.3923392459196509</v>
      </c>
    </row>
    <row r="11" spans="1:30" s="773" customFormat="1">
      <c r="A11" s="1213" t="s">
        <v>419</v>
      </c>
      <c r="B11" s="1224">
        <v>42814</v>
      </c>
      <c r="C11" s="1214">
        <v>70</v>
      </c>
      <c r="D11" s="1214">
        <v>7</v>
      </c>
      <c r="E11" s="1214" t="s">
        <v>406</v>
      </c>
      <c r="F11" s="1213" t="s">
        <v>64</v>
      </c>
      <c r="G11" s="1215" t="s">
        <v>30</v>
      </c>
      <c r="H11" s="1215"/>
      <c r="I11" s="1215">
        <f>17+10</f>
        <v>27</v>
      </c>
      <c r="J11" s="1219">
        <f>1772+1223</f>
        <v>2995</v>
      </c>
      <c r="K11" s="1328">
        <f t="shared" si="0"/>
        <v>276.76732867957924</v>
      </c>
      <c r="L11" s="1218"/>
      <c r="M11" s="1330">
        <f t="shared" si="1"/>
        <v>9.2409792547438807E-2</v>
      </c>
      <c r="N11" s="1220">
        <v>1017.1</v>
      </c>
      <c r="O11" s="1606">
        <v>2.7</v>
      </c>
      <c r="P11" s="1607">
        <v>64.34</v>
      </c>
      <c r="Q11" s="1607">
        <v>26.06</v>
      </c>
      <c r="R11" s="1607">
        <v>0.41</v>
      </c>
      <c r="S11" s="1607">
        <v>0.48</v>
      </c>
      <c r="T11" s="1328">
        <f t="shared" si="2"/>
        <v>93.990000000000009</v>
      </c>
      <c r="U11" s="1335">
        <f t="shared" si="8"/>
        <v>3.7075732867957925</v>
      </c>
      <c r="V11" s="1336">
        <f t="shared" si="4"/>
        <v>3.2285355874366455</v>
      </c>
      <c r="W11" s="1608">
        <v>2.2414000000000001</v>
      </c>
      <c r="X11" s="1608">
        <v>4.4019000000000004</v>
      </c>
      <c r="Y11" s="1609">
        <v>3.6625999999999999</v>
      </c>
      <c r="Z11" s="1609">
        <v>5.8383000000000003</v>
      </c>
      <c r="AA11" s="1609">
        <v>6.5964</v>
      </c>
      <c r="AB11" s="1338">
        <f t="shared" si="9"/>
        <v>390.27735700000005</v>
      </c>
      <c r="AC11" s="1338">
        <f t="shared" si="10"/>
        <v>4.1523285136716677</v>
      </c>
      <c r="AD11" s="1338">
        <f t="shared" si="11"/>
        <v>1.2861337288118557</v>
      </c>
    </row>
    <row r="12" spans="1:30" s="773" customFormat="1">
      <c r="A12" s="1213" t="s">
        <v>419</v>
      </c>
      <c r="B12" s="1224">
        <v>42814</v>
      </c>
      <c r="C12" s="1214">
        <v>5</v>
      </c>
      <c r="D12" s="1214">
        <v>11</v>
      </c>
      <c r="E12" s="1214" t="s">
        <v>406</v>
      </c>
      <c r="F12" s="1213" t="s">
        <v>64</v>
      </c>
      <c r="G12" s="1215" t="s">
        <v>33</v>
      </c>
      <c r="H12" s="1215"/>
      <c r="I12" s="1215">
        <f>21+11</f>
        <v>32</v>
      </c>
      <c r="J12" s="1219">
        <f>2079+1160</f>
        <v>3239</v>
      </c>
      <c r="K12" s="1328">
        <f t="shared" si="0"/>
        <v>368.47479498538968</v>
      </c>
      <c r="L12" s="1218"/>
      <c r="M12" s="1330">
        <f t="shared" si="1"/>
        <v>0.11376190027335278</v>
      </c>
      <c r="N12" s="1220">
        <v>1060.9000000000001</v>
      </c>
      <c r="O12" s="1606">
        <v>2.75</v>
      </c>
      <c r="P12" s="1607">
        <v>49.41</v>
      </c>
      <c r="Q12" s="1607">
        <v>66.58</v>
      </c>
      <c r="R12" s="1607">
        <v>0.74</v>
      </c>
      <c r="S12" s="1607">
        <v>1.21</v>
      </c>
      <c r="T12" s="1328">
        <f t="shared" si="2"/>
        <v>120.68999999999998</v>
      </c>
      <c r="U12" s="1335">
        <f t="shared" si="8"/>
        <v>4.8916479498538967</v>
      </c>
      <c r="V12" s="1336">
        <f t="shared" si="4"/>
        <v>3.0124109365030853</v>
      </c>
      <c r="W12" s="1608">
        <v>2.2399</v>
      </c>
      <c r="X12" s="1608">
        <v>5.1132999999999997</v>
      </c>
      <c r="Y12" s="1609">
        <v>3.0706000000000002</v>
      </c>
      <c r="Z12" s="1609">
        <v>5.88</v>
      </c>
      <c r="AA12" s="1609">
        <v>6.4146000000000001</v>
      </c>
      <c r="AB12" s="1338">
        <f t="shared" si="9"/>
        <v>475.36129199999999</v>
      </c>
      <c r="AC12" s="1338">
        <f t="shared" si="10"/>
        <v>3.9386965945811587</v>
      </c>
      <c r="AD12" s="1338">
        <f t="shared" si="11"/>
        <v>1.3074898072018484</v>
      </c>
    </row>
    <row r="13" spans="1:30" s="773" customFormat="1">
      <c r="A13" s="1213" t="s">
        <v>419</v>
      </c>
      <c r="B13" s="1224">
        <v>42814</v>
      </c>
      <c r="C13" s="1214">
        <v>33</v>
      </c>
      <c r="D13" s="1214">
        <v>2</v>
      </c>
      <c r="E13" s="1214" t="s">
        <v>406</v>
      </c>
      <c r="F13" s="1213" t="s">
        <v>64</v>
      </c>
      <c r="G13" s="1215" t="s">
        <v>33</v>
      </c>
      <c r="H13" s="1215"/>
      <c r="I13" s="1215">
        <f>20+10</f>
        <v>30</v>
      </c>
      <c r="J13" s="1219">
        <f>2079+1208</f>
        <v>3287</v>
      </c>
      <c r="K13" s="1328">
        <f t="shared" si="0"/>
        <v>326.56793095866317</v>
      </c>
      <c r="L13" s="1218"/>
      <c r="M13" s="1330">
        <f t="shared" si="1"/>
        <v>9.9351363236587512E-2</v>
      </c>
      <c r="N13" s="1220">
        <v>909.6</v>
      </c>
      <c r="O13" s="1606">
        <v>3.25</v>
      </c>
      <c r="P13" s="1607">
        <v>41.99</v>
      </c>
      <c r="Q13" s="1607">
        <v>43.85</v>
      </c>
      <c r="R13" s="1607">
        <v>0.57999999999999996</v>
      </c>
      <c r="S13" s="1607">
        <v>0.7</v>
      </c>
      <c r="T13" s="1328">
        <f t="shared" si="2"/>
        <v>90.37</v>
      </c>
      <c r="U13" s="1335">
        <f t="shared" si="8"/>
        <v>4.1693793095866321</v>
      </c>
      <c r="V13" s="1336">
        <f t="shared" si="4"/>
        <v>3.1351632681997446</v>
      </c>
      <c r="W13" s="1608">
        <v>2.3064</v>
      </c>
      <c r="X13" s="1608">
        <v>5.1710000000000003</v>
      </c>
      <c r="Y13" s="1609">
        <v>3.3035000000000001</v>
      </c>
      <c r="Z13" s="1609">
        <v>5.8807</v>
      </c>
      <c r="AA13" s="1609">
        <v>6.0075000000000003</v>
      </c>
      <c r="AB13" s="1338">
        <f t="shared" si="9"/>
        <v>377.10062099999999</v>
      </c>
      <c r="AC13" s="1338">
        <f t="shared" si="10"/>
        <v>4.1728518424255832</v>
      </c>
      <c r="AD13" s="1338">
        <f t="shared" si="11"/>
        <v>1.3309839027368084</v>
      </c>
    </row>
    <row r="14" spans="1:30" s="773" customFormat="1">
      <c r="A14" s="1213" t="s">
        <v>419</v>
      </c>
      <c r="B14" s="1224">
        <v>42814</v>
      </c>
      <c r="C14" s="1214">
        <v>56</v>
      </c>
      <c r="D14" s="1214">
        <v>8</v>
      </c>
      <c r="E14" s="1214" t="s">
        <v>406</v>
      </c>
      <c r="F14" s="1213" t="s">
        <v>64</v>
      </c>
      <c r="G14" s="1215" t="s">
        <v>33</v>
      </c>
      <c r="H14" s="1215"/>
      <c r="I14" s="1215">
        <f>19+10</f>
        <v>29</v>
      </c>
      <c r="J14" s="1219">
        <f>1411+984</f>
        <v>2395</v>
      </c>
      <c r="K14" s="1328">
        <f t="shared" si="0"/>
        <v>321.75286786574145</v>
      </c>
      <c r="L14" s="1218"/>
      <c r="M14" s="1330">
        <f t="shared" si="1"/>
        <v>0.13434357739696928</v>
      </c>
      <c r="N14" s="1220">
        <v>1412.2</v>
      </c>
      <c r="O14" s="1606">
        <v>5.38</v>
      </c>
      <c r="P14" s="1607">
        <v>67.540000000000006</v>
      </c>
      <c r="Q14" s="1607">
        <v>114.69</v>
      </c>
      <c r="R14" s="1607">
        <v>0.81</v>
      </c>
      <c r="S14" s="1607">
        <v>1.3</v>
      </c>
      <c r="T14" s="1328">
        <f t="shared" si="2"/>
        <v>189.72000000000003</v>
      </c>
      <c r="U14" s="1335">
        <f t="shared" si="8"/>
        <v>5.1147286786574151</v>
      </c>
      <c r="V14" s="1336">
        <f t="shared" si="4"/>
        <v>2.9790127628356831</v>
      </c>
      <c r="W14" s="1608">
        <v>2.6208999999999998</v>
      </c>
      <c r="X14" s="1608">
        <v>4.9452999999999996</v>
      </c>
      <c r="Y14" s="1609">
        <v>2.9619</v>
      </c>
      <c r="Z14" s="1609">
        <v>5.8842999999999996</v>
      </c>
      <c r="AA14" s="1609">
        <v>6.6775000000000002</v>
      </c>
      <c r="AB14" s="1338">
        <f t="shared" si="9"/>
        <v>701.25334800000007</v>
      </c>
      <c r="AC14" s="1338">
        <f t="shared" si="10"/>
        <v>3.6962542061986081</v>
      </c>
      <c r="AD14" s="1338">
        <f t="shared" si="11"/>
        <v>1.2407648105140014</v>
      </c>
    </row>
    <row r="15" spans="1:30">
      <c r="A15" s="17"/>
      <c r="B15" s="156"/>
      <c r="C15" s="34"/>
      <c r="D15" s="34"/>
      <c r="E15" s="34"/>
      <c r="F15" s="17"/>
      <c r="G15" s="19"/>
      <c r="H15" s="19"/>
      <c r="I15" s="19"/>
      <c r="J15" s="158"/>
      <c r="K15" s="157"/>
      <c r="L15" s="187"/>
      <c r="M15" s="158"/>
      <c r="N15" s="159"/>
      <c r="O15" s="179"/>
      <c r="P15" s="179"/>
      <c r="Q15" s="179"/>
      <c r="R15" s="179"/>
      <c r="S15" s="179"/>
      <c r="T15" s="157"/>
      <c r="U15" s="160"/>
      <c r="V15" s="161"/>
      <c r="W15" s="645"/>
      <c r="X15" s="645"/>
      <c r="Y15" s="1492"/>
      <c r="Z15" s="1492"/>
      <c r="AA15" s="1492"/>
      <c r="AB15" s="645"/>
      <c r="AC15" s="645"/>
      <c r="AD15" s="645"/>
    </row>
    <row r="16" spans="1:30">
      <c r="A16" s="17"/>
      <c r="B16" s="156"/>
      <c r="C16" s="34"/>
      <c r="D16" s="34"/>
      <c r="E16" s="34"/>
      <c r="F16" s="17"/>
      <c r="G16" s="19"/>
      <c r="H16" s="19"/>
      <c r="I16" s="19"/>
      <c r="J16" s="158"/>
      <c r="K16" s="157"/>
      <c r="L16" s="187"/>
      <c r="M16" s="158"/>
      <c r="N16" s="159"/>
      <c r="O16" s="19"/>
      <c r="P16" s="19"/>
      <c r="Q16" s="19"/>
      <c r="R16" s="19"/>
      <c r="S16" s="19"/>
      <c r="T16" s="157"/>
      <c r="U16" s="160"/>
      <c r="V16" s="161"/>
      <c r="W16" s="645"/>
      <c r="X16" s="645"/>
      <c r="Y16" s="1492"/>
      <c r="Z16" s="1492"/>
      <c r="AA16" s="1492"/>
      <c r="AB16" s="645"/>
      <c r="AC16" s="645"/>
      <c r="AD16" s="645"/>
    </row>
    <row r="17" spans="1:30">
      <c r="A17" s="17"/>
      <c r="B17" s="156"/>
      <c r="C17" s="34"/>
      <c r="D17" s="34"/>
      <c r="E17" s="34"/>
      <c r="F17" s="17"/>
      <c r="G17" s="19"/>
      <c r="H17" s="19"/>
      <c r="I17" s="19"/>
      <c r="J17" s="158"/>
      <c r="K17" s="157"/>
      <c r="L17" s="187"/>
      <c r="M17" s="158"/>
      <c r="N17" s="159"/>
      <c r="O17" s="19"/>
      <c r="P17" s="19"/>
      <c r="Q17" s="19"/>
      <c r="R17" s="19"/>
      <c r="S17" s="19"/>
      <c r="T17" s="157"/>
      <c r="U17" s="160"/>
      <c r="V17" s="161"/>
      <c r="W17" s="645"/>
      <c r="X17" s="645"/>
      <c r="Y17" s="1492"/>
      <c r="Z17" s="1492"/>
      <c r="AA17" s="1492"/>
      <c r="AB17" s="645"/>
      <c r="AC17" s="645"/>
      <c r="AD17" s="645"/>
    </row>
    <row r="18" spans="1:30">
      <c r="A18" s="17"/>
      <c r="B18" s="156"/>
      <c r="C18" s="34"/>
      <c r="D18" s="34"/>
      <c r="E18" s="34"/>
      <c r="F18" s="17"/>
      <c r="G18" s="19"/>
      <c r="H18" s="19"/>
      <c r="I18" s="19"/>
      <c r="J18" s="158"/>
      <c r="K18" s="157"/>
      <c r="L18" s="187"/>
      <c r="M18" s="158"/>
      <c r="N18" s="159"/>
      <c r="O18" s="19"/>
      <c r="P18" s="19"/>
      <c r="Q18" s="19"/>
      <c r="R18" s="19"/>
      <c r="S18" s="19"/>
      <c r="T18" s="157"/>
      <c r="U18" s="160"/>
      <c r="V18" s="161"/>
      <c r="W18" s="645"/>
      <c r="X18" s="645"/>
      <c r="Y18" s="1492"/>
      <c r="Z18" s="1492"/>
      <c r="AA18" s="1492"/>
      <c r="AB18" s="645"/>
      <c r="AC18" s="645"/>
      <c r="AD18" s="645"/>
    </row>
    <row r="19" spans="1:30">
      <c r="A19" s="17"/>
      <c r="B19" s="156"/>
      <c r="C19" s="34"/>
      <c r="D19" s="34"/>
      <c r="E19" s="34"/>
      <c r="F19" s="17"/>
      <c r="G19" s="19"/>
      <c r="H19" s="19"/>
      <c r="I19" s="19"/>
      <c r="J19" s="158"/>
      <c r="K19" s="157"/>
      <c r="L19" s="187"/>
      <c r="M19" s="158"/>
      <c r="N19" s="159"/>
      <c r="O19" s="19"/>
      <c r="P19" s="19"/>
      <c r="Q19" s="19"/>
      <c r="R19" s="19"/>
      <c r="S19" s="19"/>
      <c r="T19" s="157"/>
      <c r="U19" s="160"/>
      <c r="V19" s="161"/>
      <c r="W19" s="645"/>
      <c r="X19" s="645"/>
      <c r="Y19" s="1492"/>
      <c r="Z19" s="1492"/>
      <c r="AA19" s="1492"/>
      <c r="AB19" s="645"/>
      <c r="AC19" s="645"/>
      <c r="AD19" s="645"/>
    </row>
    <row r="20" spans="1:30">
      <c r="A20" s="17"/>
      <c r="B20" s="156"/>
      <c r="C20" s="34"/>
      <c r="D20" s="34"/>
      <c r="E20" s="34"/>
      <c r="F20" s="17"/>
      <c r="G20" s="19"/>
      <c r="H20" s="19"/>
      <c r="I20" s="19"/>
      <c r="J20" s="158"/>
      <c r="K20" s="157"/>
      <c r="L20" s="187"/>
      <c r="M20" s="158"/>
      <c r="N20" s="159"/>
      <c r="O20" s="19"/>
      <c r="P20" s="19"/>
      <c r="Q20" s="19"/>
      <c r="R20" s="19"/>
      <c r="S20" s="19"/>
      <c r="T20" s="157"/>
      <c r="U20" s="160"/>
      <c r="V20" s="161"/>
      <c r="W20" s="645"/>
      <c r="X20" s="645"/>
      <c r="Y20" s="1492"/>
      <c r="Z20" s="1492"/>
      <c r="AA20" s="1492"/>
      <c r="AB20" s="645"/>
      <c r="AC20" s="645"/>
      <c r="AD20" s="645"/>
    </row>
    <row r="21" spans="1:30">
      <c r="A21" s="17"/>
      <c r="B21" s="156"/>
      <c r="C21" s="34"/>
      <c r="D21" s="34"/>
      <c r="E21" s="34"/>
      <c r="F21" s="17"/>
      <c r="G21" s="19"/>
      <c r="H21" s="19"/>
      <c r="I21" s="19"/>
      <c r="J21" s="158"/>
      <c r="K21" s="157"/>
      <c r="L21" s="187"/>
      <c r="M21" s="158"/>
      <c r="N21" s="159"/>
      <c r="O21" s="19"/>
      <c r="P21" s="19"/>
      <c r="Q21" s="19"/>
      <c r="R21" s="19"/>
      <c r="S21" s="19"/>
      <c r="T21" s="157"/>
      <c r="U21" s="160"/>
      <c r="V21" s="161"/>
      <c r="W21" s="193"/>
      <c r="X21" s="193"/>
      <c r="Y21" s="193"/>
      <c r="Z21" s="193"/>
      <c r="AA21" s="193"/>
      <c r="AB21" s="645"/>
      <c r="AC21" s="645"/>
      <c r="AD21" s="645"/>
    </row>
    <row r="22" spans="1:30">
      <c r="A22" s="17"/>
      <c r="B22" s="156"/>
      <c r="C22" s="34"/>
      <c r="D22" s="34"/>
      <c r="E22" s="34"/>
      <c r="F22" s="17"/>
      <c r="G22" s="19"/>
      <c r="H22" s="19"/>
      <c r="I22" s="19"/>
      <c r="J22" s="158"/>
      <c r="K22" s="157"/>
      <c r="L22" s="187"/>
      <c r="M22" s="158"/>
      <c r="N22" s="159"/>
      <c r="O22" s="19"/>
      <c r="P22" s="19"/>
      <c r="Q22" s="19"/>
      <c r="R22" s="19"/>
      <c r="S22" s="19"/>
      <c r="T22" s="157"/>
      <c r="U22" s="160"/>
      <c r="V22" s="161"/>
      <c r="W22" s="645"/>
      <c r="X22" s="645"/>
      <c r="Y22" s="1492"/>
      <c r="Z22" s="1492"/>
      <c r="AA22" s="1492"/>
      <c r="AB22" s="645"/>
      <c r="AC22" s="645"/>
      <c r="AD22" s="645"/>
    </row>
    <row r="23" spans="1:30">
      <c r="A23" s="17"/>
      <c r="B23" s="156"/>
      <c r="C23" s="34"/>
      <c r="D23" s="34"/>
      <c r="E23" s="34"/>
      <c r="F23" s="17"/>
      <c r="G23" s="19"/>
      <c r="H23" s="19"/>
      <c r="I23" s="19"/>
      <c r="J23" s="158"/>
      <c r="K23" s="157"/>
      <c r="L23" s="187"/>
      <c r="M23" s="158"/>
      <c r="N23" s="159"/>
      <c r="O23" s="19"/>
      <c r="P23" s="19"/>
      <c r="Q23" s="19"/>
      <c r="R23" s="19"/>
      <c r="S23" s="19"/>
      <c r="T23" s="157"/>
      <c r="U23" s="160"/>
      <c r="V23" s="161"/>
      <c r="W23" s="645"/>
      <c r="X23" s="645"/>
      <c r="Y23" s="1492"/>
      <c r="Z23" s="1492"/>
      <c r="AA23" s="1492"/>
      <c r="AB23" s="645"/>
      <c r="AC23" s="645"/>
      <c r="AD23" s="645"/>
    </row>
    <row r="24" spans="1:30">
      <c r="A24" s="17"/>
      <c r="B24" s="156"/>
      <c r="C24" s="34"/>
      <c r="D24" s="34"/>
      <c r="E24" s="34"/>
      <c r="F24" s="17"/>
      <c r="G24" s="19"/>
      <c r="H24" s="19"/>
      <c r="I24" s="19"/>
      <c r="J24" s="158"/>
      <c r="K24" s="157"/>
      <c r="L24" s="187"/>
      <c r="M24" s="158"/>
      <c r="N24" s="159"/>
      <c r="O24" s="19"/>
      <c r="P24" s="19"/>
      <c r="Q24" s="19"/>
      <c r="R24" s="19"/>
      <c r="S24" s="19"/>
      <c r="T24" s="157"/>
      <c r="U24" s="160"/>
      <c r="V24" s="161"/>
      <c r="W24" s="645"/>
      <c r="X24" s="645"/>
      <c r="Y24" s="1492"/>
      <c r="Z24" s="1492"/>
      <c r="AA24" s="1492"/>
      <c r="AB24" s="645"/>
      <c r="AC24" s="645"/>
      <c r="AD24" s="645"/>
    </row>
    <row r="25" spans="1:30">
      <c r="A25" s="17"/>
      <c r="B25" s="156"/>
      <c r="C25" s="34"/>
      <c r="D25" s="34"/>
      <c r="E25" s="34"/>
      <c r="F25" s="17"/>
      <c r="G25" s="19"/>
      <c r="H25" s="19"/>
      <c r="I25" s="19"/>
      <c r="J25" s="158"/>
      <c r="K25" s="157"/>
      <c r="L25" s="187"/>
      <c r="M25" s="158"/>
      <c r="N25" s="159"/>
      <c r="O25" s="19"/>
      <c r="P25" s="19"/>
      <c r="Q25" s="19"/>
      <c r="R25" s="19"/>
      <c r="S25" s="19"/>
      <c r="T25" s="157"/>
      <c r="U25" s="160"/>
      <c r="V25" s="161"/>
      <c r="W25" s="645"/>
      <c r="X25" s="645"/>
      <c r="Y25" s="1492"/>
      <c r="Z25" s="1492"/>
      <c r="AA25" s="1492"/>
      <c r="AB25" s="645"/>
      <c r="AC25" s="645"/>
      <c r="AD25" s="645"/>
    </row>
    <row r="26" spans="1:30">
      <c r="A26" s="17"/>
      <c r="B26" s="156"/>
      <c r="C26" s="34"/>
      <c r="D26" s="34"/>
      <c r="E26" s="34"/>
      <c r="F26" s="17"/>
      <c r="G26" s="19"/>
      <c r="H26" s="19"/>
      <c r="I26" s="19"/>
      <c r="J26" s="158"/>
      <c r="K26" s="157"/>
      <c r="L26" s="187"/>
      <c r="M26" s="158"/>
      <c r="N26" s="159"/>
      <c r="O26" s="19"/>
      <c r="P26" s="19"/>
      <c r="Q26" s="19"/>
      <c r="R26" s="19"/>
      <c r="S26" s="19"/>
      <c r="T26" s="157"/>
      <c r="U26" s="160"/>
      <c r="V26" s="161"/>
      <c r="W26" s="645"/>
      <c r="X26" s="645"/>
      <c r="Y26" s="1492"/>
      <c r="Z26" s="1492"/>
      <c r="AA26" s="1492"/>
      <c r="AB26" s="645"/>
      <c r="AC26" s="645"/>
      <c r="AD26" s="645"/>
    </row>
    <row r="27" spans="1:30">
      <c r="A27" s="17"/>
      <c r="B27" s="156"/>
      <c r="C27" s="34"/>
      <c r="D27" s="34"/>
      <c r="E27" s="34"/>
      <c r="F27" s="17"/>
      <c r="G27" s="19"/>
      <c r="H27" s="19"/>
      <c r="I27" s="19"/>
      <c r="J27" s="158"/>
      <c r="K27" s="157"/>
      <c r="L27" s="187"/>
      <c r="M27" s="158"/>
      <c r="N27" s="159"/>
      <c r="O27" s="19"/>
      <c r="P27" s="19"/>
      <c r="Q27" s="19"/>
      <c r="R27" s="19"/>
      <c r="S27" s="19"/>
      <c r="T27" s="157"/>
      <c r="U27" s="160"/>
      <c r="V27" s="161"/>
      <c r="W27" s="645"/>
      <c r="X27" s="645"/>
      <c r="Y27" s="1492"/>
      <c r="Z27" s="1492"/>
      <c r="AA27" s="1492"/>
      <c r="AB27" s="645"/>
      <c r="AC27" s="645"/>
      <c r="AD27" s="645"/>
    </row>
    <row r="28" spans="1:30">
      <c r="A28" s="17"/>
      <c r="B28" s="156"/>
      <c r="C28" s="34"/>
      <c r="D28" s="34"/>
      <c r="E28" s="34"/>
      <c r="F28" s="17"/>
      <c r="G28" s="19"/>
      <c r="H28" s="19"/>
      <c r="I28" s="19"/>
      <c r="J28" s="158"/>
      <c r="K28" s="157"/>
      <c r="L28" s="187"/>
      <c r="M28" s="158"/>
      <c r="N28" s="159"/>
      <c r="O28" s="19"/>
      <c r="P28" s="19"/>
      <c r="Q28" s="19"/>
      <c r="R28" s="19"/>
      <c r="S28" s="19"/>
      <c r="T28" s="157"/>
      <c r="U28" s="160"/>
      <c r="V28" s="161"/>
      <c r="W28" s="645"/>
      <c r="X28" s="645"/>
      <c r="Y28" s="1492"/>
      <c r="Z28" s="1492"/>
      <c r="AA28" s="1492"/>
      <c r="AB28" s="645"/>
      <c r="AC28" s="645"/>
      <c r="AD28" s="645"/>
    </row>
    <row r="29" spans="1:30">
      <c r="A29" s="17"/>
      <c r="B29" s="156"/>
      <c r="C29" s="34"/>
      <c r="D29" s="34"/>
      <c r="E29" s="34"/>
      <c r="F29" s="17"/>
      <c r="G29" s="19"/>
      <c r="H29" s="19"/>
      <c r="I29" s="19"/>
      <c r="J29" s="158"/>
      <c r="K29" s="157"/>
      <c r="L29" s="187"/>
      <c r="M29" s="158"/>
      <c r="N29" s="159"/>
      <c r="O29" s="19"/>
      <c r="P29" s="19"/>
      <c r="Q29" s="19"/>
      <c r="R29" s="19"/>
      <c r="S29" s="19"/>
      <c r="T29" s="157"/>
      <c r="U29" s="160"/>
      <c r="V29" s="161"/>
      <c r="W29" s="193"/>
      <c r="X29" s="193"/>
      <c r="Y29" s="193"/>
      <c r="Z29" s="193"/>
      <c r="AA29" s="193"/>
      <c r="AB29" s="645"/>
      <c r="AC29" s="645"/>
      <c r="AD29" s="645"/>
    </row>
    <row r="30" spans="1:30">
      <c r="A30" s="17"/>
      <c r="B30" s="156"/>
      <c r="C30" s="34"/>
      <c r="D30" s="34"/>
      <c r="E30" s="34"/>
      <c r="F30" s="17"/>
      <c r="G30" s="19"/>
      <c r="H30" s="19"/>
      <c r="I30" s="19"/>
      <c r="J30" s="158"/>
      <c r="K30" s="157"/>
      <c r="L30" s="187"/>
      <c r="M30" s="158"/>
      <c r="N30" s="159"/>
      <c r="O30" s="19"/>
      <c r="P30" s="19"/>
      <c r="Q30" s="19"/>
      <c r="R30" s="19"/>
      <c r="S30" s="19"/>
      <c r="T30" s="157"/>
      <c r="U30" s="160"/>
      <c r="V30" s="161"/>
      <c r="W30" s="645"/>
      <c r="X30" s="645"/>
      <c r="Y30" s="1492"/>
      <c r="Z30" s="1492"/>
      <c r="AA30" s="1492"/>
      <c r="AB30" s="645"/>
      <c r="AC30" s="645"/>
      <c r="AD30" s="645"/>
    </row>
    <row r="31" spans="1:30">
      <c r="O31" s="54"/>
      <c r="P31" s="54"/>
      <c r="Q31" s="54"/>
      <c r="R31" s="54"/>
      <c r="S31" s="54"/>
    </row>
    <row r="32" spans="1:30">
      <c r="A32" s="55" t="s">
        <v>39</v>
      </c>
      <c r="O32" s="54"/>
      <c r="P32" s="54"/>
      <c r="Q32" s="54"/>
      <c r="R32" s="750" t="s">
        <v>390</v>
      </c>
      <c r="S32" s="751"/>
      <c r="T32" s="751"/>
    </row>
    <row r="33" spans="1:20">
      <c r="A33" s="56" t="s">
        <v>40</v>
      </c>
      <c r="M33" s="1727" t="s">
        <v>161</v>
      </c>
      <c r="N33" s="1727"/>
      <c r="O33" s="54"/>
      <c r="P33" s="54"/>
      <c r="Q33" s="54"/>
      <c r="R33" s="36"/>
      <c r="S33" s="752" t="s">
        <v>63</v>
      </c>
      <c r="T33" s="753" t="s">
        <v>64</v>
      </c>
    </row>
    <row r="34" spans="1:20">
      <c r="A34" s="56" t="s">
        <v>41</v>
      </c>
      <c r="M34" s="1727"/>
      <c r="N34" s="1727"/>
      <c r="R34" s="36" t="s">
        <v>391</v>
      </c>
      <c r="S34" s="774">
        <f>AVERAGE(AD3:AD8)</f>
        <v>1.0540908805628515</v>
      </c>
      <c r="T34" s="774">
        <f>AVERAGE(AD9:AD14)</f>
        <v>1.3223283612275636</v>
      </c>
    </row>
    <row r="35" spans="1:20">
      <c r="A35" s="56" t="s">
        <v>42</v>
      </c>
      <c r="R35" s="36" t="s">
        <v>25</v>
      </c>
      <c r="S35" s="774">
        <f>AVERAGE(AB3:AB8)</f>
        <v>353.38838933333335</v>
      </c>
      <c r="T35" s="774">
        <f>AVERAGE(AB9:AB14)</f>
        <v>499.33328783333337</v>
      </c>
    </row>
    <row r="36" spans="1:20">
      <c r="A36" s="55" t="s">
        <v>87</v>
      </c>
      <c r="O36" s="54"/>
      <c r="P36" s="54"/>
      <c r="Q36" s="54"/>
      <c r="R36" s="36" t="s">
        <v>392</v>
      </c>
      <c r="S36" s="774">
        <f>AVERAGE(AC3:AC8)</f>
        <v>3.4446027369917656</v>
      </c>
      <c r="T36" s="774">
        <f>AVERAGE(AC9:AC14)</f>
        <v>4.1559216314260956</v>
      </c>
    </row>
    <row r="37" spans="1:20">
      <c r="A37" s="55" t="s">
        <v>44</v>
      </c>
      <c r="O37" s="54"/>
      <c r="P37" s="54"/>
      <c r="Q37" s="54"/>
      <c r="R37" s="36" t="s">
        <v>393</v>
      </c>
      <c r="S37" s="774">
        <f>AVERAGE(U3:U8)</f>
        <v>3.6314031131741458</v>
      </c>
      <c r="T37" s="774">
        <f>AVERAGE(U9:U14)</f>
        <v>4.1962750984002675</v>
      </c>
    </row>
    <row r="38" spans="1:20">
      <c r="A38" s="55" t="s">
        <v>45</v>
      </c>
    </row>
    <row r="39" spans="1:20">
      <c r="A39" s="56" t="s">
        <v>46</v>
      </c>
    </row>
    <row r="40" spans="1:20">
      <c r="A40" s="56" t="s">
        <v>47</v>
      </c>
    </row>
    <row r="41" spans="1:20">
      <c r="A41" s="56" t="s">
        <v>48</v>
      </c>
    </row>
    <row r="42" spans="1:20">
      <c r="A42" s="56" t="s">
        <v>49</v>
      </c>
    </row>
    <row r="44" spans="1:20">
      <c r="A44" s="1" t="s">
        <v>50</v>
      </c>
    </row>
  </sheetData>
  <mergeCells count="5">
    <mergeCell ref="I1:K1"/>
    <mergeCell ref="L1:T1"/>
    <mergeCell ref="U1:V1"/>
    <mergeCell ref="W1:AB1"/>
    <mergeCell ref="M33:N34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56"/>
  <sheetViews>
    <sheetView topLeftCell="D1" workbookViewId="0">
      <selection activeCell="P20" sqref="P20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35</v>
      </c>
      <c r="B3" s="1069"/>
      <c r="C3" s="1070"/>
      <c r="D3" s="1070"/>
      <c r="E3" s="856" t="s">
        <v>79</v>
      </c>
      <c r="F3" s="856" t="s">
        <v>81</v>
      </c>
      <c r="G3" s="856">
        <v>57</v>
      </c>
      <c r="H3" s="1087">
        <v>33</v>
      </c>
      <c r="I3" s="1087">
        <v>1962</v>
      </c>
      <c r="J3" s="1075"/>
      <c r="K3" s="1087">
        <v>7</v>
      </c>
      <c r="L3" s="1499">
        <f>R3/O3</f>
        <v>0.13251028806584361</v>
      </c>
      <c r="M3" s="1077"/>
      <c r="N3" s="1075"/>
      <c r="O3" s="1087">
        <v>486.00000000000006</v>
      </c>
      <c r="P3" s="1077"/>
      <c r="Q3" s="1075"/>
      <c r="R3" s="1087">
        <v>64.400000000000006</v>
      </c>
      <c r="S3" s="1502">
        <f>(R3+(I3*L3))/100</f>
        <v>3.2438518518518515</v>
      </c>
      <c r="T3" s="1502">
        <f>MIN(4.63,4.48*S3^(-0.25))</f>
        <v>3.338203138414308</v>
      </c>
      <c r="U3" s="1077"/>
      <c r="V3" s="1075"/>
      <c r="W3" s="1527">
        <f>X3*R3</f>
        <v>212.52</v>
      </c>
      <c r="X3" s="856">
        <v>3.3</v>
      </c>
      <c r="Y3" s="862">
        <v>0.98855577781511061</v>
      </c>
    </row>
    <row r="4" spans="1:25" s="866" customFormat="1">
      <c r="A4" s="856" t="s">
        <v>35</v>
      </c>
      <c r="B4" s="961"/>
      <c r="C4" s="960"/>
      <c r="D4" s="960"/>
      <c r="E4" s="856" t="s">
        <v>79</v>
      </c>
      <c r="F4" s="856" t="s">
        <v>237</v>
      </c>
      <c r="G4" s="856">
        <v>57</v>
      </c>
      <c r="H4" s="1087">
        <v>34</v>
      </c>
      <c r="I4" s="1087">
        <v>2116</v>
      </c>
      <c r="J4" s="1080"/>
      <c r="K4" s="1087">
        <v>8</v>
      </c>
      <c r="L4" s="1500">
        <f t="shared" ref="L4:L38" si="0">R4/O4</f>
        <v>0.12923976608187135</v>
      </c>
      <c r="M4" s="1082"/>
      <c r="N4" s="1080"/>
      <c r="O4" s="1087">
        <v>342</v>
      </c>
      <c r="P4" s="1082"/>
      <c r="Q4" s="1080"/>
      <c r="R4" s="1087">
        <v>44.2</v>
      </c>
      <c r="S4" s="1503">
        <f t="shared" ref="S4:S38" si="1">(R4+(I4*L4))/100</f>
        <v>3.1767134502923979</v>
      </c>
      <c r="T4" s="1503">
        <f t="shared" ref="T4:T38" si="2">MIN(4.63,4.48*S4^(-0.25))</f>
        <v>3.3557029023844644</v>
      </c>
      <c r="U4" s="1082"/>
      <c r="V4" s="1080"/>
      <c r="W4" s="1528">
        <f t="shared" ref="W4:W38" si="3">X4*R4</f>
        <v>158.23600000000002</v>
      </c>
      <c r="X4" s="856">
        <v>3.58</v>
      </c>
      <c r="Y4" s="862">
        <v>1.0668405708551123</v>
      </c>
    </row>
    <row r="5" spans="1:25" s="866" customFormat="1">
      <c r="A5" s="856" t="s">
        <v>35</v>
      </c>
      <c r="B5" s="961"/>
      <c r="C5" s="960"/>
      <c r="D5" s="960"/>
      <c r="E5" s="856" t="s">
        <v>79</v>
      </c>
      <c r="F5" s="856" t="s">
        <v>245</v>
      </c>
      <c r="G5" s="856">
        <v>57</v>
      </c>
      <c r="H5" s="1087">
        <v>27</v>
      </c>
      <c r="I5" s="1087">
        <v>1972</v>
      </c>
      <c r="J5" s="1080"/>
      <c r="K5" s="1087">
        <v>8</v>
      </c>
      <c r="L5" s="1501">
        <f t="shared" si="0"/>
        <v>0.12830188679245283</v>
      </c>
      <c r="M5" s="1082"/>
      <c r="N5" s="1080"/>
      <c r="O5" s="1087">
        <v>530</v>
      </c>
      <c r="P5" s="1082"/>
      <c r="Q5" s="1080"/>
      <c r="R5" s="1087">
        <v>68</v>
      </c>
      <c r="S5" s="1504">
        <f t="shared" si="1"/>
        <v>3.2101132075471694</v>
      </c>
      <c r="T5" s="1504">
        <f t="shared" si="2"/>
        <v>3.3469399998077334</v>
      </c>
      <c r="U5" s="1082"/>
      <c r="V5" s="1080"/>
      <c r="W5" s="1529">
        <f t="shared" si="3"/>
        <v>238</v>
      </c>
      <c r="X5" s="856">
        <v>3.5</v>
      </c>
      <c r="Y5" s="862">
        <v>1.0457313247925146</v>
      </c>
    </row>
    <row r="6" spans="1:25" s="866" customFormat="1">
      <c r="A6" s="856" t="s">
        <v>35</v>
      </c>
      <c r="B6" s="961"/>
      <c r="C6" s="960"/>
      <c r="D6" s="960"/>
      <c r="E6" s="856" t="s">
        <v>79</v>
      </c>
      <c r="F6" s="856" t="s">
        <v>247</v>
      </c>
      <c r="G6" s="856">
        <v>57</v>
      </c>
      <c r="H6" s="1087">
        <v>30</v>
      </c>
      <c r="I6" s="1087">
        <v>1096</v>
      </c>
      <c r="J6" s="1080"/>
      <c r="K6" s="1087">
        <v>7</v>
      </c>
      <c r="L6" s="1306">
        <f t="shared" si="0"/>
        <v>0.13300000000000001</v>
      </c>
      <c r="M6" s="1082"/>
      <c r="N6" s="1080"/>
      <c r="O6" s="1087">
        <v>300</v>
      </c>
      <c r="P6" s="1082"/>
      <c r="Q6" s="1080"/>
      <c r="R6" s="1087">
        <v>39.900000000000006</v>
      </c>
      <c r="S6" s="1314">
        <f t="shared" si="1"/>
        <v>1.8566800000000001</v>
      </c>
      <c r="T6" s="1314">
        <f t="shared" si="2"/>
        <v>3.8379008357967339</v>
      </c>
      <c r="U6" s="1082"/>
      <c r="V6" s="1080"/>
      <c r="W6" s="1528">
        <f t="shared" si="3"/>
        <v>158.40300000000002</v>
      </c>
      <c r="X6" s="856">
        <v>3.97</v>
      </c>
      <c r="Y6" s="862">
        <v>1.0344196397601406</v>
      </c>
    </row>
    <row r="7" spans="1:25" s="866" customFormat="1">
      <c r="A7" s="856" t="s">
        <v>35</v>
      </c>
      <c r="B7" s="961"/>
      <c r="C7" s="960"/>
      <c r="D7" s="960"/>
      <c r="E7" s="856" t="s">
        <v>79</v>
      </c>
      <c r="F7" s="856" t="s">
        <v>249</v>
      </c>
      <c r="G7" s="856">
        <v>57</v>
      </c>
      <c r="H7" s="1087">
        <v>26</v>
      </c>
      <c r="I7" s="1087">
        <v>1526</v>
      </c>
      <c r="J7" s="1080"/>
      <c r="K7" s="1087">
        <v>6</v>
      </c>
      <c r="L7" s="1306">
        <f t="shared" si="0"/>
        <v>0.1464705882352941</v>
      </c>
      <c r="M7" s="1082"/>
      <c r="N7" s="1080"/>
      <c r="O7" s="1087">
        <v>340</v>
      </c>
      <c r="P7" s="1082"/>
      <c r="Q7" s="1080"/>
      <c r="R7" s="1087">
        <v>49.8</v>
      </c>
      <c r="S7" s="1314">
        <f t="shared" si="1"/>
        <v>2.7331411764705882</v>
      </c>
      <c r="T7" s="1314">
        <f t="shared" si="2"/>
        <v>3.484275584765772</v>
      </c>
      <c r="U7" s="1082"/>
      <c r="V7" s="1080"/>
      <c r="W7" s="1528">
        <f t="shared" si="3"/>
        <v>162.34799999999998</v>
      </c>
      <c r="X7" s="856">
        <v>3.26</v>
      </c>
      <c r="Y7" s="862">
        <v>0.93563207636434731</v>
      </c>
    </row>
    <row r="8" spans="1:25" s="866" customFormat="1" ht="15.75" thickBot="1">
      <c r="A8" s="856" t="s">
        <v>35</v>
      </c>
      <c r="B8" s="1088"/>
      <c r="C8" s="1089"/>
      <c r="D8" s="1089"/>
      <c r="E8" s="856" t="s">
        <v>79</v>
      </c>
      <c r="F8" s="856" t="s">
        <v>251</v>
      </c>
      <c r="G8" s="856">
        <v>57</v>
      </c>
      <c r="H8" s="1087">
        <v>25</v>
      </c>
      <c r="I8" s="1087">
        <v>1179</v>
      </c>
      <c r="J8" s="1090"/>
      <c r="K8" s="1087">
        <v>6</v>
      </c>
      <c r="L8" s="1508">
        <f t="shared" si="0"/>
        <v>0.13651452282157675</v>
      </c>
      <c r="M8" s="1092"/>
      <c r="N8" s="1090"/>
      <c r="O8" s="1087">
        <v>241</v>
      </c>
      <c r="P8" s="1092"/>
      <c r="Q8" s="1090"/>
      <c r="R8" s="1087">
        <v>32.9</v>
      </c>
      <c r="S8" s="1515">
        <f t="shared" si="1"/>
        <v>1.9385062240663899</v>
      </c>
      <c r="T8" s="1515">
        <f t="shared" si="2"/>
        <v>3.7967431148912532</v>
      </c>
      <c r="U8" s="1092"/>
      <c r="V8" s="1090"/>
      <c r="W8" s="1530">
        <f t="shared" si="3"/>
        <v>120.74299999999999</v>
      </c>
      <c r="X8" s="856">
        <v>3.67</v>
      </c>
      <c r="Y8" s="862">
        <v>0.96661793778089666</v>
      </c>
    </row>
    <row r="9" spans="1:25" s="866" customFormat="1" ht="15.75" thickTop="1">
      <c r="A9" s="856" t="s">
        <v>35</v>
      </c>
      <c r="B9" s="1069"/>
      <c r="C9" s="1070"/>
      <c r="D9" s="1070"/>
      <c r="E9" s="856" t="s">
        <v>79</v>
      </c>
      <c r="F9" s="856" t="s">
        <v>253</v>
      </c>
      <c r="G9" s="856">
        <v>57</v>
      </c>
      <c r="H9" s="1087">
        <v>29</v>
      </c>
      <c r="I9" s="1087">
        <v>1809</v>
      </c>
      <c r="J9" s="1075"/>
      <c r="K9" s="1087">
        <v>7</v>
      </c>
      <c r="L9" s="1509">
        <f t="shared" si="0"/>
        <v>0.1336986301369863</v>
      </c>
      <c r="M9" s="1077"/>
      <c r="N9" s="1075"/>
      <c r="O9" s="1087">
        <v>730</v>
      </c>
      <c r="P9" s="1077"/>
      <c r="Q9" s="1075"/>
      <c r="R9" s="1087">
        <v>97.6</v>
      </c>
      <c r="S9" s="1516">
        <f t="shared" si="1"/>
        <v>3.3946082191780818</v>
      </c>
      <c r="T9" s="1516">
        <f t="shared" si="2"/>
        <v>3.3005065532545625</v>
      </c>
      <c r="U9" s="1077"/>
      <c r="V9" s="1075"/>
      <c r="W9" s="1531">
        <f t="shared" si="3"/>
        <v>345.50399999999996</v>
      </c>
      <c r="X9" s="856">
        <v>3.54</v>
      </c>
      <c r="Y9" s="862">
        <v>1.072562633305266</v>
      </c>
    </row>
    <row r="10" spans="1:25" s="866" customFormat="1">
      <c r="A10" s="856" t="s">
        <v>35</v>
      </c>
      <c r="B10" s="961"/>
      <c r="C10" s="960"/>
      <c r="D10" s="960"/>
      <c r="E10" s="856" t="s">
        <v>79</v>
      </c>
      <c r="F10" s="856" t="s">
        <v>255</v>
      </c>
      <c r="G10" s="856">
        <v>57</v>
      </c>
      <c r="H10" s="1087">
        <v>41</v>
      </c>
      <c r="I10" s="1087">
        <v>2444</v>
      </c>
      <c r="J10" s="1080"/>
      <c r="K10" s="1087">
        <v>10</v>
      </c>
      <c r="L10" s="1306">
        <f t="shared" si="0"/>
        <v>0.13403846153846152</v>
      </c>
      <c r="M10" s="1082"/>
      <c r="N10" s="1080"/>
      <c r="O10" s="1087">
        <v>520</v>
      </c>
      <c r="P10" s="1082"/>
      <c r="Q10" s="1080"/>
      <c r="R10" s="1087">
        <v>69.699999999999989</v>
      </c>
      <c r="S10" s="1314">
        <f t="shared" si="1"/>
        <v>3.9728999999999997</v>
      </c>
      <c r="T10" s="1524">
        <f t="shared" si="2"/>
        <v>3.1732267417050042</v>
      </c>
      <c r="U10" s="1082"/>
      <c r="V10" s="1080"/>
      <c r="W10" s="1528">
        <f t="shared" si="3"/>
        <v>235.58599999999996</v>
      </c>
      <c r="X10" s="856">
        <v>3.38</v>
      </c>
      <c r="Y10" s="862">
        <v>1.0651618289917393</v>
      </c>
    </row>
    <row r="11" spans="1:25" s="866" customFormat="1">
      <c r="A11" s="856" t="s">
        <v>35</v>
      </c>
      <c r="B11" s="961"/>
      <c r="C11" s="960"/>
      <c r="D11" s="960"/>
      <c r="E11" s="856" t="s">
        <v>79</v>
      </c>
      <c r="F11" s="856" t="s">
        <v>238</v>
      </c>
      <c r="G11" s="856">
        <v>57</v>
      </c>
      <c r="H11" s="1087">
        <v>38</v>
      </c>
      <c r="I11" s="1087">
        <v>1449</v>
      </c>
      <c r="J11" s="1080"/>
      <c r="K11" s="1087">
        <v>9</v>
      </c>
      <c r="L11" s="1306">
        <f t="shared" si="0"/>
        <v>0.13051282051282051</v>
      </c>
      <c r="M11" s="1082"/>
      <c r="N11" s="1080"/>
      <c r="O11" s="1087">
        <v>390</v>
      </c>
      <c r="P11" s="1082"/>
      <c r="Q11" s="1080"/>
      <c r="R11" s="1087">
        <v>50.9</v>
      </c>
      <c r="S11" s="1314">
        <f t="shared" si="1"/>
        <v>2.4001307692307692</v>
      </c>
      <c r="T11" s="1524">
        <f t="shared" si="2"/>
        <v>3.59931028880737</v>
      </c>
      <c r="U11" s="1082"/>
      <c r="V11" s="1080"/>
      <c r="W11" s="1528">
        <f t="shared" si="3"/>
        <v>199.52799999999999</v>
      </c>
      <c r="X11" s="856">
        <v>3.92</v>
      </c>
      <c r="Y11" s="862">
        <v>1.0890975452129996</v>
      </c>
    </row>
    <row r="12" spans="1:25" s="866" customFormat="1">
      <c r="A12" s="856" t="s">
        <v>35</v>
      </c>
      <c r="B12" s="961"/>
      <c r="C12" s="960"/>
      <c r="D12" s="960"/>
      <c r="E12" s="856" t="s">
        <v>79</v>
      </c>
      <c r="F12" s="856" t="s">
        <v>258</v>
      </c>
      <c r="G12" s="856">
        <v>57</v>
      </c>
      <c r="H12" s="1087">
        <v>38</v>
      </c>
      <c r="I12" s="1087">
        <v>1989.9999999999998</v>
      </c>
      <c r="J12" s="1080"/>
      <c r="K12" s="1087">
        <v>9</v>
      </c>
      <c r="L12" s="1306">
        <f t="shared" si="0"/>
        <v>0.13654390934844191</v>
      </c>
      <c r="M12" s="1082"/>
      <c r="N12" s="1080"/>
      <c r="O12" s="1087">
        <v>353</v>
      </c>
      <c r="P12" s="1082"/>
      <c r="Q12" s="1080"/>
      <c r="R12" s="1087">
        <v>48.199999999999996</v>
      </c>
      <c r="S12" s="1314">
        <f t="shared" si="1"/>
        <v>3.1992237960339933</v>
      </c>
      <c r="T12" s="1314">
        <f t="shared" si="2"/>
        <v>3.3497844224744133</v>
      </c>
      <c r="U12" s="1082"/>
      <c r="V12" s="1080"/>
      <c r="W12" s="1528">
        <f t="shared" si="3"/>
        <v>173.51999999999998</v>
      </c>
      <c r="X12" s="856">
        <v>3.6</v>
      </c>
      <c r="Y12" s="862">
        <v>1.0746960239730163</v>
      </c>
    </row>
    <row r="13" spans="1:25" s="866" customFormat="1">
      <c r="A13" s="856" t="s">
        <v>35</v>
      </c>
      <c r="B13" s="961"/>
      <c r="C13" s="960"/>
      <c r="D13" s="960"/>
      <c r="E13" s="856" t="s">
        <v>79</v>
      </c>
      <c r="F13" s="856" t="s">
        <v>260</v>
      </c>
      <c r="G13" s="856">
        <v>57</v>
      </c>
      <c r="H13" s="1087">
        <v>37</v>
      </c>
      <c r="I13" s="1087">
        <v>1980</v>
      </c>
      <c r="J13" s="1080"/>
      <c r="K13" s="1087">
        <v>9</v>
      </c>
      <c r="L13" s="1306">
        <f t="shared" si="0"/>
        <v>0.13673036093418262</v>
      </c>
      <c r="M13" s="1082"/>
      <c r="N13" s="1080"/>
      <c r="O13" s="1087">
        <v>471</v>
      </c>
      <c r="P13" s="1082"/>
      <c r="Q13" s="1080"/>
      <c r="R13" s="1087">
        <v>64.400000000000006</v>
      </c>
      <c r="S13" s="1314">
        <f t="shared" si="1"/>
        <v>3.3512611464968156</v>
      </c>
      <c r="T13" s="1314">
        <f t="shared" si="2"/>
        <v>3.3111278193287825</v>
      </c>
      <c r="U13" s="1082"/>
      <c r="V13" s="1080"/>
      <c r="W13" s="1528">
        <f t="shared" si="3"/>
        <v>208.65600000000003</v>
      </c>
      <c r="X13" s="856">
        <v>3.24</v>
      </c>
      <c r="Y13" s="862">
        <v>0.97851855222454054</v>
      </c>
    </row>
    <row r="14" spans="1:25" s="866" customFormat="1" ht="15.75" thickBot="1">
      <c r="A14" s="856" t="s">
        <v>35</v>
      </c>
      <c r="B14" s="1088"/>
      <c r="C14" s="1089"/>
      <c r="D14" s="1089"/>
      <c r="E14" s="856" t="s">
        <v>79</v>
      </c>
      <c r="F14" s="856" t="s">
        <v>239</v>
      </c>
      <c r="G14" s="856">
        <v>57</v>
      </c>
      <c r="H14" s="1087">
        <v>38</v>
      </c>
      <c r="I14" s="1087">
        <v>2049</v>
      </c>
      <c r="J14" s="1090"/>
      <c r="K14" s="1087">
        <v>11</v>
      </c>
      <c r="L14" s="1508">
        <f t="shared" si="0"/>
        <v>0.12598425196850394</v>
      </c>
      <c r="M14" s="1092"/>
      <c r="N14" s="1090"/>
      <c r="O14" s="1087">
        <v>508</v>
      </c>
      <c r="P14" s="1092"/>
      <c r="Q14" s="1090"/>
      <c r="R14" s="1087">
        <v>64</v>
      </c>
      <c r="S14" s="1515">
        <f t="shared" si="1"/>
        <v>3.2214173228346459</v>
      </c>
      <c r="T14" s="1515">
        <f t="shared" si="2"/>
        <v>3.3439999830571807</v>
      </c>
      <c r="U14" s="1092"/>
      <c r="V14" s="1090"/>
      <c r="W14" s="1530">
        <f t="shared" si="3"/>
        <v>202.24</v>
      </c>
      <c r="X14" s="856">
        <v>3.16</v>
      </c>
      <c r="Y14" s="862">
        <v>0.94497608134287059</v>
      </c>
    </row>
    <row r="15" spans="1:25" s="866" customFormat="1" ht="15.75" thickTop="1">
      <c r="A15" s="856" t="s">
        <v>35</v>
      </c>
      <c r="B15" s="1069"/>
      <c r="C15" s="960"/>
      <c r="D15" s="960"/>
      <c r="E15" s="856" t="s">
        <v>79</v>
      </c>
      <c r="F15" s="856" t="s">
        <v>240</v>
      </c>
      <c r="G15" s="856">
        <v>57</v>
      </c>
      <c r="H15" s="1087">
        <v>31</v>
      </c>
      <c r="I15" s="1087">
        <v>1787</v>
      </c>
      <c r="J15" s="1099"/>
      <c r="K15" s="1087">
        <v>6</v>
      </c>
      <c r="L15" s="1509">
        <f t="shared" si="0"/>
        <v>0.13796610169491524</v>
      </c>
      <c r="M15" s="1100"/>
      <c r="N15" s="1101"/>
      <c r="O15" s="1087">
        <v>590</v>
      </c>
      <c r="P15" s="1100"/>
      <c r="Q15" s="1101"/>
      <c r="R15" s="1087">
        <v>81.399999999999991</v>
      </c>
      <c r="S15" s="1516">
        <f t="shared" si="1"/>
        <v>3.2794542372881352</v>
      </c>
      <c r="T15" s="1516">
        <f t="shared" si="2"/>
        <v>3.3291059752877548</v>
      </c>
      <c r="U15" s="1100"/>
      <c r="V15" s="1101"/>
      <c r="W15" s="1531">
        <f t="shared" si="3"/>
        <v>242.57199999999997</v>
      </c>
      <c r="X15" s="856">
        <v>2.98</v>
      </c>
      <c r="Y15" s="862">
        <v>0.89513521711859001</v>
      </c>
    </row>
    <row r="16" spans="1:25" s="866" customFormat="1">
      <c r="A16" s="856" t="s">
        <v>35</v>
      </c>
      <c r="B16" s="961"/>
      <c r="C16" s="960"/>
      <c r="D16" s="960"/>
      <c r="E16" s="856" t="s">
        <v>79</v>
      </c>
      <c r="F16" s="856" t="s">
        <v>264</v>
      </c>
      <c r="G16" s="856">
        <v>57</v>
      </c>
      <c r="H16" s="1087">
        <v>34</v>
      </c>
      <c r="I16" s="1087">
        <v>2710</v>
      </c>
      <c r="J16" s="966"/>
      <c r="K16" s="1087">
        <v>8</v>
      </c>
      <c r="L16" s="1306">
        <f t="shared" si="0"/>
        <v>0.12700617283950616</v>
      </c>
      <c r="M16" s="969"/>
      <c r="N16" s="966"/>
      <c r="O16" s="1087">
        <v>648</v>
      </c>
      <c r="P16" s="969"/>
      <c r="Q16" s="966"/>
      <c r="R16" s="1087">
        <v>82.3</v>
      </c>
      <c r="S16" s="1314">
        <f t="shared" si="1"/>
        <v>4.2648672839506174</v>
      </c>
      <c r="T16" s="1314">
        <f t="shared" si="2"/>
        <v>3.1174653401699843</v>
      </c>
      <c r="U16" s="969"/>
      <c r="V16" s="966"/>
      <c r="W16" s="1528">
        <f t="shared" si="3"/>
        <v>275.70499999999998</v>
      </c>
      <c r="X16" s="856">
        <v>3.35</v>
      </c>
      <c r="Y16" s="862">
        <v>1.0745909366926067</v>
      </c>
    </row>
    <row r="17" spans="1:25" s="866" customFormat="1">
      <c r="A17" s="856" t="s">
        <v>35</v>
      </c>
      <c r="B17" s="961"/>
      <c r="C17" s="960"/>
      <c r="D17" s="960"/>
      <c r="E17" s="856" t="s">
        <v>79</v>
      </c>
      <c r="F17" s="856" t="s">
        <v>266</v>
      </c>
      <c r="G17" s="856">
        <v>57</v>
      </c>
      <c r="H17" s="1087">
        <v>31</v>
      </c>
      <c r="I17" s="1087">
        <v>1850</v>
      </c>
      <c r="J17" s="966"/>
      <c r="K17" s="1087">
        <v>8</v>
      </c>
      <c r="L17" s="1306">
        <f t="shared" si="0"/>
        <v>0.13494897959183674</v>
      </c>
      <c r="M17" s="969"/>
      <c r="N17" s="966"/>
      <c r="O17" s="1087">
        <v>392</v>
      </c>
      <c r="P17" s="969"/>
      <c r="Q17" s="966"/>
      <c r="R17" s="1087">
        <v>52.900000000000006</v>
      </c>
      <c r="S17" s="1314">
        <f t="shared" si="1"/>
        <v>3.0255561224489798</v>
      </c>
      <c r="T17" s="1314">
        <f t="shared" si="2"/>
        <v>3.3968526687454226</v>
      </c>
      <c r="U17" s="969"/>
      <c r="V17" s="966"/>
      <c r="W17" s="1528">
        <f t="shared" si="3"/>
        <v>177.21500000000003</v>
      </c>
      <c r="X17" s="856">
        <v>3.35</v>
      </c>
      <c r="Y17" s="862">
        <v>0.98620703536055132</v>
      </c>
    </row>
    <row r="18" spans="1:25" s="866" customFormat="1">
      <c r="A18" s="856" t="s">
        <v>35</v>
      </c>
      <c r="B18" s="961"/>
      <c r="C18" s="960"/>
      <c r="D18" s="960"/>
      <c r="E18" s="856" t="s">
        <v>79</v>
      </c>
      <c r="F18" s="856" t="s">
        <v>268</v>
      </c>
      <c r="G18" s="856">
        <v>57</v>
      </c>
      <c r="H18" s="1087">
        <v>34</v>
      </c>
      <c r="I18" s="1087">
        <v>2016</v>
      </c>
      <c r="J18" s="966"/>
      <c r="K18" s="1087">
        <v>9</v>
      </c>
      <c r="L18" s="1306">
        <f t="shared" si="0"/>
        <v>0.15031712473572936</v>
      </c>
      <c r="M18" s="969"/>
      <c r="N18" s="966"/>
      <c r="O18" s="1087">
        <v>473.00000000000006</v>
      </c>
      <c r="P18" s="969"/>
      <c r="Q18" s="966"/>
      <c r="R18" s="1087">
        <v>71.099999999999994</v>
      </c>
      <c r="S18" s="1314">
        <f t="shared" si="1"/>
        <v>3.7413932346723038</v>
      </c>
      <c r="T18" s="1314">
        <f t="shared" si="2"/>
        <v>3.221214718706114</v>
      </c>
      <c r="U18" s="969"/>
      <c r="V18" s="966"/>
      <c r="W18" s="1528">
        <f t="shared" si="3"/>
        <v>254.53799999999998</v>
      </c>
      <c r="X18" s="856">
        <v>3.58</v>
      </c>
      <c r="Y18" s="862">
        <v>1.1113819824584688</v>
      </c>
    </row>
    <row r="19" spans="1:25" s="866" customFormat="1">
      <c r="A19" s="856" t="s">
        <v>35</v>
      </c>
      <c r="B19" s="961"/>
      <c r="C19" s="960"/>
      <c r="D19" s="960"/>
      <c r="E19" s="856" t="s">
        <v>79</v>
      </c>
      <c r="F19" s="856" t="s">
        <v>270</v>
      </c>
      <c r="G19" s="856">
        <v>57</v>
      </c>
      <c r="H19" s="1087">
        <v>38</v>
      </c>
      <c r="I19" s="1087">
        <v>1898</v>
      </c>
      <c r="J19" s="966"/>
      <c r="K19" s="1087">
        <v>10</v>
      </c>
      <c r="L19" s="1306">
        <f t="shared" si="0"/>
        <v>0.12213438735177866</v>
      </c>
      <c r="M19" s="969"/>
      <c r="N19" s="966"/>
      <c r="O19" s="1087">
        <v>759</v>
      </c>
      <c r="P19" s="969"/>
      <c r="Q19" s="966"/>
      <c r="R19" s="1087">
        <v>92.7</v>
      </c>
      <c r="S19" s="1314">
        <f t="shared" si="1"/>
        <v>3.2451106719367591</v>
      </c>
      <c r="T19" s="1314">
        <f t="shared" si="2"/>
        <v>3.3378793583491801</v>
      </c>
      <c r="U19" s="969"/>
      <c r="V19" s="966"/>
      <c r="W19" s="1528">
        <f t="shared" si="3"/>
        <v>307.76400000000001</v>
      </c>
      <c r="X19" s="856">
        <v>3.32</v>
      </c>
      <c r="Y19" s="862">
        <v>0.99464349773323668</v>
      </c>
    </row>
    <row r="20" spans="1:25" s="866" customFormat="1">
      <c r="A20" s="856" t="s">
        <v>35</v>
      </c>
      <c r="B20" s="961"/>
      <c r="C20" s="960"/>
      <c r="D20" s="960"/>
      <c r="E20" s="856" t="s">
        <v>79</v>
      </c>
      <c r="F20" s="856" t="s">
        <v>272</v>
      </c>
      <c r="G20" s="856">
        <v>57</v>
      </c>
      <c r="H20" s="1087">
        <v>33</v>
      </c>
      <c r="I20" s="1087">
        <v>2356</v>
      </c>
      <c r="J20" s="966"/>
      <c r="K20" s="1087">
        <v>7</v>
      </c>
      <c r="L20" s="1306">
        <f t="shared" si="0"/>
        <v>0.1277777777777778</v>
      </c>
      <c r="M20" s="969"/>
      <c r="N20" s="966"/>
      <c r="O20" s="1087">
        <v>252</v>
      </c>
      <c r="P20" s="969"/>
      <c r="Q20" s="966"/>
      <c r="R20" s="1087">
        <v>32.200000000000003</v>
      </c>
      <c r="S20" s="1314">
        <f t="shared" si="1"/>
        <v>3.3324444444444445</v>
      </c>
      <c r="T20" s="1314">
        <f t="shared" si="2"/>
        <v>3.3157920390367601</v>
      </c>
      <c r="U20" s="969"/>
      <c r="V20" s="966"/>
      <c r="W20" s="1528">
        <f t="shared" si="3"/>
        <v>113.34400000000001</v>
      </c>
      <c r="X20" s="856">
        <v>3.52</v>
      </c>
      <c r="Y20" s="862">
        <v>1.061586480261459</v>
      </c>
    </row>
    <row r="21" spans="1:25" s="866" customFormat="1">
      <c r="A21" s="856" t="s">
        <v>35</v>
      </c>
      <c r="B21" s="961"/>
      <c r="C21" s="960"/>
      <c r="D21" s="960"/>
      <c r="E21" s="856" t="s">
        <v>79</v>
      </c>
      <c r="F21" s="856" t="s">
        <v>274</v>
      </c>
      <c r="G21" s="856">
        <v>57</v>
      </c>
      <c r="H21" s="1087">
        <v>34</v>
      </c>
      <c r="I21" s="1087">
        <v>1820</v>
      </c>
      <c r="J21" s="966"/>
      <c r="K21" s="1087">
        <v>11</v>
      </c>
      <c r="L21" s="1306">
        <f t="shared" si="0"/>
        <v>0.128</v>
      </c>
      <c r="M21" s="969"/>
      <c r="N21" s="974"/>
      <c r="O21" s="1087">
        <v>625</v>
      </c>
      <c r="P21" s="969"/>
      <c r="Q21" s="966"/>
      <c r="R21" s="1087">
        <v>80</v>
      </c>
      <c r="S21" s="1314">
        <f t="shared" si="1"/>
        <v>3.1296000000000004</v>
      </c>
      <c r="T21" s="1314">
        <f t="shared" si="2"/>
        <v>3.3682615347888625</v>
      </c>
      <c r="U21" s="969"/>
      <c r="V21" s="966"/>
      <c r="W21" s="1528">
        <f t="shared" si="3"/>
        <v>260</v>
      </c>
      <c r="X21" s="856">
        <v>3.25</v>
      </c>
      <c r="Y21" s="862">
        <v>0.9648894441338931</v>
      </c>
    </row>
    <row r="22" spans="1:25" s="866" customFormat="1">
      <c r="A22" s="856" t="s">
        <v>35</v>
      </c>
      <c r="B22" s="961"/>
      <c r="C22" s="960"/>
      <c r="D22" s="960"/>
      <c r="E22" s="856" t="s">
        <v>79</v>
      </c>
      <c r="F22" s="856" t="s">
        <v>276</v>
      </c>
      <c r="G22" s="856">
        <v>57</v>
      </c>
      <c r="H22" s="1087">
        <v>36</v>
      </c>
      <c r="I22" s="1087">
        <v>1771</v>
      </c>
      <c r="J22" s="966"/>
      <c r="K22" s="1087">
        <v>10</v>
      </c>
      <c r="L22" s="1306">
        <f t="shared" si="0"/>
        <v>0.13645320197044339</v>
      </c>
      <c r="M22" s="969"/>
      <c r="N22" s="966"/>
      <c r="O22" s="1087">
        <v>405.99999999999994</v>
      </c>
      <c r="P22" s="969"/>
      <c r="Q22" s="966"/>
      <c r="R22" s="1087">
        <v>55.400000000000006</v>
      </c>
      <c r="S22" s="1314">
        <f t="shared" si="1"/>
        <v>2.9705862068965523</v>
      </c>
      <c r="T22" s="1314">
        <f t="shared" si="2"/>
        <v>3.4124592501008917</v>
      </c>
      <c r="U22" s="969"/>
      <c r="V22" s="966"/>
      <c r="W22" s="1528">
        <f t="shared" si="3"/>
        <v>181.71200000000002</v>
      </c>
      <c r="X22" s="856">
        <v>3.28</v>
      </c>
      <c r="Y22" s="862">
        <v>0.96118363901430448</v>
      </c>
    </row>
    <row r="23" spans="1:25" s="844" customFormat="1">
      <c r="A23" s="834" t="s">
        <v>35</v>
      </c>
      <c r="B23" s="1283"/>
      <c r="C23" s="1274"/>
      <c r="D23" s="1274"/>
      <c r="E23" s="1450" t="s">
        <v>82</v>
      </c>
      <c r="F23" s="834" t="s">
        <v>81</v>
      </c>
      <c r="G23" s="834">
        <v>57</v>
      </c>
      <c r="H23" s="1438">
        <v>33</v>
      </c>
      <c r="I23" s="1438">
        <v>1707</v>
      </c>
      <c r="J23" s="1288"/>
      <c r="K23" s="1438">
        <v>7</v>
      </c>
      <c r="L23" s="1305">
        <f t="shared" si="0"/>
        <v>0.13078324225865209</v>
      </c>
      <c r="M23" s="1291"/>
      <c r="N23" s="1288"/>
      <c r="O23" s="1438">
        <v>549</v>
      </c>
      <c r="P23" s="1291"/>
      <c r="Q23" s="1288"/>
      <c r="R23" s="1438">
        <v>71.8</v>
      </c>
      <c r="S23" s="1313">
        <f t="shared" si="1"/>
        <v>2.950469945355191</v>
      </c>
      <c r="T23" s="1313">
        <f t="shared" si="2"/>
        <v>3.4182609620931061</v>
      </c>
      <c r="U23" s="1291"/>
      <c r="V23" s="1288"/>
      <c r="W23" s="1532">
        <f t="shared" si="3"/>
        <v>325.25400000000002</v>
      </c>
      <c r="X23" s="834">
        <v>4.53</v>
      </c>
      <c r="Y23" s="840">
        <v>1.3252352732092585</v>
      </c>
    </row>
    <row r="24" spans="1:25" s="844" customFormat="1">
      <c r="A24" s="834" t="s">
        <v>35</v>
      </c>
      <c r="B24" s="1283"/>
      <c r="C24" s="1274"/>
      <c r="D24" s="1274"/>
      <c r="E24" s="1450" t="s">
        <v>82</v>
      </c>
      <c r="F24" s="834" t="s">
        <v>237</v>
      </c>
      <c r="G24" s="834">
        <v>57</v>
      </c>
      <c r="H24" s="1438">
        <v>34</v>
      </c>
      <c r="I24" s="1438">
        <v>2327</v>
      </c>
      <c r="J24" s="1288"/>
      <c r="K24" s="1438">
        <v>8</v>
      </c>
      <c r="L24" s="1305">
        <f t="shared" si="0"/>
        <v>0.1152258064516129</v>
      </c>
      <c r="M24" s="1291"/>
      <c r="N24" s="1288"/>
      <c r="O24" s="1438">
        <v>775</v>
      </c>
      <c r="P24" s="1291"/>
      <c r="Q24" s="1288"/>
      <c r="R24" s="1438">
        <v>89.3</v>
      </c>
      <c r="S24" s="1313">
        <f t="shared" si="1"/>
        <v>3.5743045161290325</v>
      </c>
      <c r="T24" s="1313">
        <f t="shared" si="2"/>
        <v>3.2582179094218819</v>
      </c>
      <c r="U24" s="1291"/>
      <c r="V24" s="1288"/>
      <c r="W24" s="1532">
        <f t="shared" si="3"/>
        <v>409.887</v>
      </c>
      <c r="X24" s="834">
        <v>4.59</v>
      </c>
      <c r="Y24" s="840">
        <v>1.4087455558840813</v>
      </c>
    </row>
    <row r="25" spans="1:25" s="844" customFormat="1">
      <c r="A25" s="834" t="s">
        <v>35</v>
      </c>
      <c r="B25" s="1283"/>
      <c r="C25" s="1274"/>
      <c r="D25" s="1274"/>
      <c r="E25" s="1450" t="s">
        <v>82</v>
      </c>
      <c r="F25" s="834" t="s">
        <v>245</v>
      </c>
      <c r="G25" s="834">
        <v>57</v>
      </c>
      <c r="H25" s="1438"/>
      <c r="I25" s="1438"/>
      <c r="J25" s="1288"/>
      <c r="K25" s="1438"/>
      <c r="L25" s="1305" t="e">
        <f t="shared" si="0"/>
        <v>#DIV/0!</v>
      </c>
      <c r="M25" s="1291"/>
      <c r="N25" s="1288"/>
      <c r="O25" s="1438"/>
      <c r="P25" s="1291"/>
      <c r="Q25" s="1288"/>
      <c r="R25" s="1438"/>
      <c r="S25" s="1313" t="e">
        <f t="shared" si="1"/>
        <v>#DIV/0!</v>
      </c>
      <c r="T25" s="1313" t="e">
        <f t="shared" si="2"/>
        <v>#DIV/0!</v>
      </c>
      <c r="U25" s="1291"/>
      <c r="V25" s="1288"/>
      <c r="W25" s="1532">
        <f t="shared" si="3"/>
        <v>0</v>
      </c>
      <c r="X25" s="834"/>
      <c r="Y25" s="840"/>
    </row>
    <row r="26" spans="1:25" s="844" customFormat="1" ht="15.75" thickBot="1">
      <c r="A26" s="834" t="s">
        <v>35</v>
      </c>
      <c r="B26" s="1294"/>
      <c r="C26" s="1293"/>
      <c r="D26" s="1293"/>
      <c r="E26" s="1450" t="s">
        <v>82</v>
      </c>
      <c r="F26" s="834" t="s">
        <v>247</v>
      </c>
      <c r="G26" s="834">
        <v>57</v>
      </c>
      <c r="H26" s="1438"/>
      <c r="I26" s="1438"/>
      <c r="J26" s="1299"/>
      <c r="K26" s="1438"/>
      <c r="L26" s="1307" t="e">
        <f t="shared" si="0"/>
        <v>#DIV/0!</v>
      </c>
      <c r="M26" s="1302"/>
      <c r="N26" s="1299"/>
      <c r="O26" s="1438"/>
      <c r="P26" s="1302"/>
      <c r="Q26" s="1299"/>
      <c r="R26" s="1438"/>
      <c r="S26" s="1315" t="e">
        <f t="shared" si="1"/>
        <v>#DIV/0!</v>
      </c>
      <c r="T26" s="1315" t="e">
        <f t="shared" si="2"/>
        <v>#DIV/0!</v>
      </c>
      <c r="U26" s="1302"/>
      <c r="V26" s="1299"/>
      <c r="W26" s="1533">
        <f t="shared" si="3"/>
        <v>0</v>
      </c>
      <c r="X26" s="834"/>
      <c r="Y26" s="840"/>
    </row>
    <row r="27" spans="1:25" s="844" customFormat="1" ht="15.75" thickTop="1">
      <c r="A27" s="834" t="s">
        <v>35</v>
      </c>
      <c r="B27" s="1273"/>
      <c r="C27" s="1272"/>
      <c r="D27" s="1272"/>
      <c r="E27" s="1450" t="s">
        <v>82</v>
      </c>
      <c r="F27" s="834" t="s">
        <v>249</v>
      </c>
      <c r="G27" s="834">
        <v>57</v>
      </c>
      <c r="H27" s="1438"/>
      <c r="I27" s="1438"/>
      <c r="J27" s="1279"/>
      <c r="K27" s="1438"/>
      <c r="L27" s="1510" t="e">
        <f t="shared" si="0"/>
        <v>#DIV/0!</v>
      </c>
      <c r="M27" s="1281"/>
      <c r="N27" s="1282"/>
      <c r="O27" s="1438"/>
      <c r="P27" s="1281"/>
      <c r="Q27" s="1282"/>
      <c r="R27" s="1438"/>
      <c r="S27" s="1510" t="e">
        <f t="shared" si="1"/>
        <v>#DIV/0!</v>
      </c>
      <c r="T27" s="1534" t="e">
        <f t="shared" si="2"/>
        <v>#DIV/0!</v>
      </c>
      <c r="U27" s="1281"/>
      <c r="V27" s="1282"/>
      <c r="W27" s="1534">
        <f t="shared" si="3"/>
        <v>0</v>
      </c>
      <c r="X27" s="834"/>
      <c r="Y27" s="840"/>
    </row>
    <row r="28" spans="1:25" s="844" customFormat="1">
      <c r="A28" s="834" t="s">
        <v>35</v>
      </c>
      <c r="B28" s="1283"/>
      <c r="C28" s="1274"/>
      <c r="D28" s="1274"/>
      <c r="E28" s="1450" t="s">
        <v>82</v>
      </c>
      <c r="F28" s="834" t="s">
        <v>251</v>
      </c>
      <c r="G28" s="834">
        <v>57</v>
      </c>
      <c r="H28" s="1438"/>
      <c r="I28" s="1438"/>
      <c r="J28" s="1288"/>
      <c r="K28" s="1438"/>
      <c r="L28" s="1511" t="e">
        <f t="shared" si="0"/>
        <v>#DIV/0!</v>
      </c>
      <c r="M28" s="1291"/>
      <c r="N28" s="1288"/>
      <c r="O28" s="1438"/>
      <c r="P28" s="1291"/>
      <c r="Q28" s="1288"/>
      <c r="R28" s="1438"/>
      <c r="S28" s="1511" t="e">
        <f t="shared" si="1"/>
        <v>#DIV/0!</v>
      </c>
      <c r="T28" s="1535" t="e">
        <f t="shared" si="2"/>
        <v>#DIV/0!</v>
      </c>
      <c r="U28" s="1291"/>
      <c r="V28" s="1288"/>
      <c r="W28" s="1535">
        <f t="shared" si="3"/>
        <v>0</v>
      </c>
      <c r="X28" s="834"/>
      <c r="Y28" s="840"/>
    </row>
    <row r="29" spans="1:25" s="844" customFormat="1">
      <c r="A29" s="834" t="s">
        <v>35</v>
      </c>
      <c r="B29" s="1283"/>
      <c r="C29" s="1274"/>
      <c r="D29" s="1274"/>
      <c r="E29" s="1450" t="s">
        <v>82</v>
      </c>
      <c r="F29" s="834" t="s">
        <v>253</v>
      </c>
      <c r="G29" s="834">
        <v>57</v>
      </c>
      <c r="H29" s="1438"/>
      <c r="I29" s="1438"/>
      <c r="J29" s="1288"/>
      <c r="K29" s="1438"/>
      <c r="L29" s="1511" t="e">
        <f t="shared" si="0"/>
        <v>#DIV/0!</v>
      </c>
      <c r="M29" s="1291"/>
      <c r="N29" s="1288"/>
      <c r="O29" s="1438"/>
      <c r="P29" s="1291"/>
      <c r="Q29" s="1288"/>
      <c r="R29" s="1438"/>
      <c r="S29" s="1511" t="e">
        <f t="shared" si="1"/>
        <v>#DIV/0!</v>
      </c>
      <c r="T29" s="1535" t="e">
        <f t="shared" si="2"/>
        <v>#DIV/0!</v>
      </c>
      <c r="U29" s="1291"/>
      <c r="V29" s="1288"/>
      <c r="W29" s="1535">
        <f t="shared" si="3"/>
        <v>0</v>
      </c>
      <c r="X29" s="834"/>
      <c r="Y29" s="840"/>
    </row>
    <row r="30" spans="1:25" s="844" customFormat="1">
      <c r="A30" s="834" t="s">
        <v>35</v>
      </c>
      <c r="B30" s="1283"/>
      <c r="C30" s="1274"/>
      <c r="D30" s="1274"/>
      <c r="E30" s="1450" t="s">
        <v>82</v>
      </c>
      <c r="F30" s="834" t="s">
        <v>255</v>
      </c>
      <c r="G30" s="834">
        <v>57</v>
      </c>
      <c r="H30" s="1438"/>
      <c r="I30" s="1438"/>
      <c r="J30" s="1288"/>
      <c r="K30" s="1438"/>
      <c r="L30" s="1511" t="e">
        <f t="shared" si="0"/>
        <v>#DIV/0!</v>
      </c>
      <c r="M30" s="1291"/>
      <c r="N30" s="1288"/>
      <c r="O30" s="1438"/>
      <c r="P30" s="1291"/>
      <c r="Q30" s="1288"/>
      <c r="R30" s="1438"/>
      <c r="S30" s="1511" t="e">
        <f t="shared" si="1"/>
        <v>#DIV/0!</v>
      </c>
      <c r="T30" s="1535" t="e">
        <f t="shared" si="2"/>
        <v>#DIV/0!</v>
      </c>
      <c r="U30" s="1291"/>
      <c r="V30" s="1288"/>
      <c r="W30" s="1535">
        <f t="shared" si="3"/>
        <v>0</v>
      </c>
      <c r="X30" s="834"/>
      <c r="Y30" s="840"/>
    </row>
    <row r="31" spans="1:25" s="844" customFormat="1">
      <c r="A31" s="834" t="s">
        <v>35</v>
      </c>
      <c r="B31" s="1283"/>
      <c r="C31" s="1274"/>
      <c r="D31" s="1274"/>
      <c r="E31" s="1450" t="s">
        <v>82</v>
      </c>
      <c r="F31" s="834" t="s">
        <v>238</v>
      </c>
      <c r="G31" s="834">
        <v>57</v>
      </c>
      <c r="H31" s="1438">
        <v>32</v>
      </c>
      <c r="I31" s="1438">
        <v>1838</v>
      </c>
      <c r="J31" s="1288"/>
      <c r="K31" s="1438">
        <v>7</v>
      </c>
      <c r="L31" s="1511">
        <f t="shared" si="0"/>
        <v>0.13141361256544504</v>
      </c>
      <c r="M31" s="1291"/>
      <c r="N31" s="1288"/>
      <c r="O31" s="1438">
        <v>382</v>
      </c>
      <c r="P31" s="1291"/>
      <c r="Q31" s="1288"/>
      <c r="R31" s="1438">
        <v>50.2</v>
      </c>
      <c r="S31" s="1511">
        <f t="shared" si="1"/>
        <v>2.9173821989528794</v>
      </c>
      <c r="T31" s="1535">
        <f t="shared" si="2"/>
        <v>3.4279121378832618</v>
      </c>
      <c r="U31" s="1291"/>
      <c r="V31" s="1288"/>
      <c r="W31" s="1535">
        <f t="shared" si="3"/>
        <v>262.04399999999998</v>
      </c>
      <c r="X31" s="834">
        <v>5.22</v>
      </c>
      <c r="Y31" s="840">
        <v>1.5227928225789806</v>
      </c>
    </row>
    <row r="32" spans="1:25" s="844" customFormat="1">
      <c r="A32" s="834" t="s">
        <v>35</v>
      </c>
      <c r="B32" s="1283"/>
      <c r="C32" s="1274"/>
      <c r="D32" s="1274"/>
      <c r="E32" s="1450" t="s">
        <v>82</v>
      </c>
      <c r="F32" s="834" t="s">
        <v>258</v>
      </c>
      <c r="G32" s="834">
        <v>57</v>
      </c>
      <c r="H32" s="1438"/>
      <c r="I32" s="1438"/>
      <c r="J32" s="1288"/>
      <c r="K32" s="1438"/>
      <c r="L32" s="1511" t="e">
        <f t="shared" si="0"/>
        <v>#DIV/0!</v>
      </c>
      <c r="M32" s="1291"/>
      <c r="N32" s="1288"/>
      <c r="O32" s="1438"/>
      <c r="P32" s="1291"/>
      <c r="Q32" s="1288"/>
      <c r="R32" s="1438"/>
      <c r="S32" s="1511" t="e">
        <f t="shared" si="1"/>
        <v>#DIV/0!</v>
      </c>
      <c r="T32" s="1535" t="e">
        <f t="shared" si="2"/>
        <v>#DIV/0!</v>
      </c>
      <c r="U32" s="1291"/>
      <c r="V32" s="1288"/>
      <c r="W32" s="1535">
        <f t="shared" si="3"/>
        <v>0</v>
      </c>
      <c r="X32" s="834"/>
      <c r="Y32" s="840"/>
    </row>
    <row r="33" spans="1:25" s="844" customFormat="1">
      <c r="A33" s="834" t="s">
        <v>35</v>
      </c>
      <c r="B33" s="1283"/>
      <c r="C33" s="1274"/>
      <c r="D33" s="1274"/>
      <c r="E33" s="1450" t="s">
        <v>82</v>
      </c>
      <c r="F33" s="834" t="s">
        <v>260</v>
      </c>
      <c r="G33" s="834">
        <v>57</v>
      </c>
      <c r="H33" s="1438">
        <v>33</v>
      </c>
      <c r="I33" s="1438">
        <v>1852</v>
      </c>
      <c r="J33" s="1288"/>
      <c r="K33" s="1438">
        <v>8</v>
      </c>
      <c r="L33" s="1511">
        <f t="shared" si="0"/>
        <v>0.11731123388581953</v>
      </c>
      <c r="M33" s="1291"/>
      <c r="N33" s="1442"/>
      <c r="O33" s="1438">
        <v>543</v>
      </c>
      <c r="P33" s="1291"/>
      <c r="Q33" s="1288"/>
      <c r="R33" s="1438">
        <v>63.7</v>
      </c>
      <c r="S33" s="1517">
        <f t="shared" si="1"/>
        <v>2.809604051565378</v>
      </c>
      <c r="T33" s="1532">
        <f t="shared" si="2"/>
        <v>3.4603237525785033</v>
      </c>
      <c r="U33" s="1291"/>
      <c r="V33" s="1288"/>
      <c r="W33" s="1532">
        <f t="shared" si="3"/>
        <v>284.10200000000003</v>
      </c>
      <c r="X33" s="834">
        <v>4.46</v>
      </c>
      <c r="Y33" s="840">
        <v>1.2888967388316126</v>
      </c>
    </row>
    <row r="34" spans="1:25" s="844" customFormat="1">
      <c r="A34" s="834" t="s">
        <v>35</v>
      </c>
      <c r="B34" s="1283"/>
      <c r="C34" s="1274"/>
      <c r="D34" s="1274"/>
      <c r="E34" s="1450" t="s">
        <v>82</v>
      </c>
      <c r="F34" s="834" t="s">
        <v>239</v>
      </c>
      <c r="G34" s="834">
        <v>57</v>
      </c>
      <c r="H34" s="1438">
        <v>39</v>
      </c>
      <c r="I34" s="1438">
        <v>2586</v>
      </c>
      <c r="J34" s="1288"/>
      <c r="K34" s="1438">
        <v>8</v>
      </c>
      <c r="L34" s="1511">
        <f t="shared" si="0"/>
        <v>0.12595419847328243</v>
      </c>
      <c r="M34" s="1291"/>
      <c r="N34" s="1288"/>
      <c r="O34" s="1438">
        <v>524</v>
      </c>
      <c r="P34" s="1291"/>
      <c r="Q34" s="1288"/>
      <c r="R34" s="1438">
        <v>66</v>
      </c>
      <c r="S34" s="1517">
        <f t="shared" si="1"/>
        <v>3.9171755725190835</v>
      </c>
      <c r="T34" s="1532">
        <f t="shared" si="2"/>
        <v>3.1844523486926031</v>
      </c>
      <c r="U34" s="1291"/>
      <c r="V34" s="1288"/>
      <c r="W34" s="1532">
        <f t="shared" si="3"/>
        <v>304.92</v>
      </c>
      <c r="X34" s="834">
        <v>4.62</v>
      </c>
      <c r="Y34" s="840">
        <v>1.4507989111210193</v>
      </c>
    </row>
    <row r="35" spans="1:25" s="844" customFormat="1">
      <c r="A35" s="834" t="s">
        <v>35</v>
      </c>
      <c r="B35" s="1283"/>
      <c r="C35" s="1274"/>
      <c r="D35" s="1274"/>
      <c r="E35" s="1450" t="s">
        <v>82</v>
      </c>
      <c r="F35" s="834" t="s">
        <v>240</v>
      </c>
      <c r="G35" s="834">
        <v>57</v>
      </c>
      <c r="H35" s="1286"/>
      <c r="I35" s="1287"/>
      <c r="J35" s="1288"/>
      <c r="K35" s="1438"/>
      <c r="L35" s="1511" t="e">
        <f t="shared" si="0"/>
        <v>#DIV/0!</v>
      </c>
      <c r="M35" s="1291"/>
      <c r="N35" s="1288"/>
      <c r="O35" s="1441"/>
      <c r="P35" s="1291"/>
      <c r="Q35" s="1288"/>
      <c r="R35" s="1451"/>
      <c r="S35" s="1517" t="e">
        <f t="shared" si="1"/>
        <v>#DIV/0!</v>
      </c>
      <c r="T35" s="1532" t="e">
        <f t="shared" si="2"/>
        <v>#DIV/0!</v>
      </c>
      <c r="U35" s="1291"/>
      <c r="V35" s="1288"/>
      <c r="W35" s="1532">
        <f t="shared" si="3"/>
        <v>0</v>
      </c>
      <c r="X35" s="1443"/>
      <c r="Y35" s="1452"/>
    </row>
    <row r="36" spans="1:25" s="844" customFormat="1">
      <c r="A36" s="834" t="s">
        <v>35</v>
      </c>
      <c r="B36" s="1283"/>
      <c r="C36" s="1274"/>
      <c r="D36" s="1274"/>
      <c r="E36" s="1450" t="s">
        <v>82</v>
      </c>
      <c r="F36" s="834" t="s">
        <v>264</v>
      </c>
      <c r="G36" s="834">
        <v>57</v>
      </c>
      <c r="H36" s="1286"/>
      <c r="I36" s="1287"/>
      <c r="J36" s="1288"/>
      <c r="K36" s="1438"/>
      <c r="L36" s="1511" t="e">
        <f t="shared" si="0"/>
        <v>#DIV/0!</v>
      </c>
      <c r="M36" s="1291"/>
      <c r="N36" s="1288"/>
      <c r="O36" s="1441"/>
      <c r="P36" s="1291"/>
      <c r="Q36" s="1288"/>
      <c r="R36" s="1451"/>
      <c r="S36" s="1517" t="e">
        <f t="shared" si="1"/>
        <v>#DIV/0!</v>
      </c>
      <c r="T36" s="1532" t="e">
        <f t="shared" si="2"/>
        <v>#DIV/0!</v>
      </c>
      <c r="U36" s="1291"/>
      <c r="V36" s="1288"/>
      <c r="W36" s="1532">
        <f t="shared" si="3"/>
        <v>0</v>
      </c>
      <c r="X36" s="1443"/>
      <c r="Y36" s="1452"/>
    </row>
    <row r="37" spans="1:25" s="844" customFormat="1">
      <c r="A37" s="834" t="s">
        <v>35</v>
      </c>
      <c r="B37" s="1283"/>
      <c r="C37" s="1274"/>
      <c r="D37" s="1274"/>
      <c r="E37" s="1450" t="s">
        <v>82</v>
      </c>
      <c r="F37" s="834" t="s">
        <v>266</v>
      </c>
      <c r="G37" s="834">
        <v>57</v>
      </c>
      <c r="H37" s="1286"/>
      <c r="I37" s="1287"/>
      <c r="J37" s="1288"/>
      <c r="K37" s="1438"/>
      <c r="L37" s="1511" t="e">
        <f t="shared" si="0"/>
        <v>#DIV/0!</v>
      </c>
      <c r="M37" s="1291"/>
      <c r="N37" s="1288"/>
      <c r="O37" s="1441"/>
      <c r="P37" s="1291"/>
      <c r="Q37" s="1288"/>
      <c r="R37" s="1451"/>
      <c r="S37" s="1517" t="e">
        <f t="shared" si="1"/>
        <v>#DIV/0!</v>
      </c>
      <c r="T37" s="1532" t="e">
        <f t="shared" si="2"/>
        <v>#DIV/0!</v>
      </c>
      <c r="U37" s="1291"/>
      <c r="V37" s="1288"/>
      <c r="W37" s="1532">
        <f t="shared" si="3"/>
        <v>0</v>
      </c>
      <c r="X37" s="1443"/>
      <c r="Y37" s="1452"/>
    </row>
    <row r="38" spans="1:25" s="844" customFormat="1" ht="15.75" thickBot="1">
      <c r="A38" s="834" t="s">
        <v>35</v>
      </c>
      <c r="B38" s="1294"/>
      <c r="C38" s="1293"/>
      <c r="D38" s="1293"/>
      <c r="E38" s="1450" t="s">
        <v>82</v>
      </c>
      <c r="F38" s="834" t="s">
        <v>268</v>
      </c>
      <c r="G38" s="834">
        <v>57</v>
      </c>
      <c r="H38" s="1297"/>
      <c r="I38" s="1298"/>
      <c r="J38" s="1299"/>
      <c r="K38" s="1438"/>
      <c r="L38" s="1512" t="e">
        <f t="shared" si="0"/>
        <v>#DIV/0!</v>
      </c>
      <c r="M38" s="1295"/>
      <c r="N38" s="1299"/>
      <c r="O38" s="1453"/>
      <c r="P38" s="1302"/>
      <c r="Q38" s="1299"/>
      <c r="R38" s="1454"/>
      <c r="S38" s="1518" t="e">
        <f t="shared" si="1"/>
        <v>#DIV/0!</v>
      </c>
      <c r="T38" s="1533" t="e">
        <f t="shared" si="2"/>
        <v>#DIV/0!</v>
      </c>
      <c r="U38" s="1302"/>
      <c r="V38" s="1299"/>
      <c r="W38" s="1533">
        <f t="shared" si="3"/>
        <v>0</v>
      </c>
      <c r="X38" s="1445"/>
      <c r="Y38" s="1455"/>
    </row>
    <row r="39" spans="1:25" s="844" customFormat="1" ht="15.75" thickTop="1">
      <c r="A39" s="834" t="s">
        <v>35</v>
      </c>
      <c r="B39" s="772"/>
      <c r="C39" s="772"/>
      <c r="D39" s="772"/>
      <c r="E39" s="1450" t="s">
        <v>82</v>
      </c>
      <c r="F39" s="834" t="s">
        <v>270</v>
      </c>
      <c r="G39" s="834">
        <v>57</v>
      </c>
      <c r="H39" s="772"/>
      <c r="I39" s="772"/>
      <c r="J39" s="772"/>
      <c r="K39" s="1438"/>
      <c r="L39" s="1513"/>
      <c r="M39" s="772"/>
      <c r="N39" s="772"/>
      <c r="O39" s="772"/>
      <c r="P39" s="772"/>
      <c r="Q39" s="772"/>
      <c r="R39" s="772"/>
      <c r="S39" s="773"/>
      <c r="T39" s="1536"/>
      <c r="U39" s="772"/>
      <c r="V39" s="772"/>
      <c r="W39" s="773"/>
      <c r="X39" s="773"/>
      <c r="Y39" s="773"/>
    </row>
    <row r="40" spans="1:25" s="844" customFormat="1">
      <c r="A40" s="834" t="s">
        <v>35</v>
      </c>
      <c r="C40" s="772"/>
      <c r="D40" s="772"/>
      <c r="E40" s="1450" t="s">
        <v>82</v>
      </c>
      <c r="F40" s="834" t="s">
        <v>272</v>
      </c>
      <c r="G40" s="834">
        <v>57</v>
      </c>
      <c r="K40" s="1438"/>
      <c r="L40" s="1514"/>
      <c r="R40" s="772"/>
      <c r="S40" s="773"/>
      <c r="T40" s="1536"/>
      <c r="U40" s="772"/>
      <c r="V40" s="772"/>
      <c r="W40" s="773"/>
      <c r="X40" s="773"/>
      <c r="Y40" s="773"/>
    </row>
    <row r="41" spans="1:25" s="844" customFormat="1">
      <c r="A41" s="834" t="s">
        <v>35</v>
      </c>
      <c r="B41" s="772"/>
      <c r="C41" s="772"/>
      <c r="D41" s="772"/>
      <c r="E41" s="1450" t="s">
        <v>82</v>
      </c>
      <c r="F41" s="834" t="s">
        <v>274</v>
      </c>
      <c r="G41" s="834">
        <v>57</v>
      </c>
      <c r="H41" s="772"/>
      <c r="I41" s="772"/>
      <c r="J41" s="772"/>
      <c r="K41" s="1438"/>
      <c r="L41" s="1513"/>
      <c r="M41" s="772"/>
      <c r="N41" s="772"/>
      <c r="O41" s="772"/>
      <c r="P41" s="772"/>
      <c r="Q41" s="772"/>
      <c r="R41" s="772"/>
      <c r="S41" s="773"/>
      <c r="T41" s="1536"/>
      <c r="U41" s="772"/>
      <c r="V41" s="772"/>
      <c r="W41" s="773"/>
      <c r="X41" s="773"/>
      <c r="Y41" s="773"/>
    </row>
    <row r="42" spans="1:25" s="844" customFormat="1">
      <c r="A42" s="834" t="s">
        <v>35</v>
      </c>
      <c r="B42" s="772"/>
      <c r="C42" s="772"/>
      <c r="D42" s="772"/>
      <c r="E42" s="1450" t="s">
        <v>82</v>
      </c>
      <c r="F42" s="834" t="s">
        <v>276</v>
      </c>
      <c r="G42" s="834">
        <v>57</v>
      </c>
      <c r="H42" s="772"/>
      <c r="I42" s="772"/>
      <c r="J42" s="772"/>
      <c r="K42" s="1438"/>
      <c r="L42" s="1513"/>
      <c r="M42" s="772"/>
      <c r="N42" s="772"/>
      <c r="O42" s="772"/>
      <c r="P42" s="772"/>
      <c r="Q42" s="772"/>
      <c r="R42" s="772"/>
      <c r="S42" s="773"/>
      <c r="T42" s="1536"/>
      <c r="U42" s="772"/>
      <c r="V42" s="772"/>
      <c r="W42" s="773"/>
      <c r="X42" s="773"/>
      <c r="Y42" s="773"/>
    </row>
    <row r="43" spans="1:25">
      <c r="A43" s="56" t="s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542"/>
      <c r="M43" s="1"/>
      <c r="N43" s="1"/>
      <c r="O43" s="1"/>
      <c r="P43" s="1"/>
      <c r="Q43" s="1"/>
      <c r="R43" s="1"/>
      <c r="S43" s="4"/>
      <c r="T43" s="1543"/>
      <c r="U43" s="1"/>
      <c r="V43" s="1"/>
      <c r="W43" s="4"/>
      <c r="X43" s="4"/>
      <c r="Y43" s="4"/>
    </row>
    <row r="44" spans="1:25">
      <c r="A44" s="56" t="s">
        <v>42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542"/>
      <c r="M44" s="1"/>
      <c r="N44" s="1"/>
      <c r="O44" s="750" t="s">
        <v>390</v>
      </c>
      <c r="P44" s="751"/>
      <c r="Q44" s="751"/>
      <c r="R44" s="1"/>
      <c r="S44" s="4"/>
      <c r="T44" s="1543"/>
      <c r="U44" s="1"/>
      <c r="V44" s="1"/>
      <c r="W44" s="4"/>
      <c r="X44" s="4"/>
      <c r="Y44" s="4"/>
    </row>
    <row r="45" spans="1:25">
      <c r="A45" s="55" t="s">
        <v>87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542"/>
      <c r="M45" s="1"/>
      <c r="N45" s="1"/>
      <c r="O45" s="36"/>
      <c r="P45" s="752" t="s">
        <v>63</v>
      </c>
      <c r="Q45" s="753" t="s">
        <v>64</v>
      </c>
      <c r="R45" s="1"/>
      <c r="S45" s="4"/>
      <c r="T45" s="1543"/>
      <c r="U45" s="1"/>
      <c r="V45" s="1"/>
      <c r="W45" s="4"/>
      <c r="X45" s="4"/>
      <c r="Y45" s="4"/>
    </row>
    <row r="46" spans="1:25">
      <c r="A46" s="55" t="s">
        <v>44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542"/>
      <c r="M46" s="1"/>
      <c r="N46" s="1"/>
      <c r="O46" s="36" t="s">
        <v>391</v>
      </c>
      <c r="P46" s="774">
        <f>AVERAGE(Y3:Y22)</f>
        <v>1.0156214112595832</v>
      </c>
      <c r="Q46" s="774">
        <f>AVERAGE(Y23:Y24,Y31,Y33:Y34)</f>
        <v>1.3992938603249905</v>
      </c>
      <c r="R46" s="1"/>
      <c r="S46" s="4"/>
      <c r="T46" s="1543"/>
      <c r="U46" s="1"/>
      <c r="V46" s="1"/>
      <c r="W46" s="4"/>
      <c r="X46" s="4"/>
      <c r="Y46" s="4"/>
    </row>
    <row r="47" spans="1:25">
      <c r="A47" s="55" t="s">
        <v>45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542"/>
      <c r="M47" s="1"/>
      <c r="N47" s="1"/>
      <c r="O47" s="36" t="s">
        <v>25</v>
      </c>
      <c r="P47" s="774">
        <f>AVERAGE(W3:W22)</f>
        <v>211.4067</v>
      </c>
      <c r="Q47" s="774">
        <f>AVERAGE(W23:W24,W31,W33:W34)</f>
        <v>317.2414</v>
      </c>
      <c r="R47" s="1"/>
      <c r="S47" s="4"/>
      <c r="T47" s="1543"/>
      <c r="U47" s="1"/>
      <c r="V47" s="1"/>
      <c r="W47" s="4"/>
      <c r="X47" s="4"/>
      <c r="Y47" s="4"/>
    </row>
    <row r="48" spans="1:25">
      <c r="A48" s="56" t="s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542"/>
      <c r="M48" s="1"/>
      <c r="N48" s="1"/>
      <c r="O48" s="36" t="s">
        <v>392</v>
      </c>
      <c r="P48" s="774">
        <f>AVERAGE(X3:X22)</f>
        <v>3.4375</v>
      </c>
      <c r="Q48" s="774">
        <f>AVERAGE(X23:X24,X31,X33:X34)</f>
        <v>4.6840000000000002</v>
      </c>
      <c r="R48" s="1"/>
      <c r="S48" s="4"/>
      <c r="T48" s="1543"/>
      <c r="U48" s="1"/>
      <c r="V48" s="1"/>
      <c r="W48" s="4"/>
      <c r="X48" s="4"/>
      <c r="Y48" s="4"/>
    </row>
    <row r="49" spans="1:25">
      <c r="A49" s="56" t="s">
        <v>47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542"/>
      <c r="M49" s="1"/>
      <c r="N49" s="1"/>
      <c r="O49" s="36" t="s">
        <v>393</v>
      </c>
      <c r="P49" s="774">
        <f>AVERAGE(S3:S22)</f>
        <v>3.134377968282025</v>
      </c>
      <c r="Q49" s="774">
        <f>AVERAGE(S23:S24,S31,S33:S34)</f>
        <v>3.2337872569043129</v>
      </c>
      <c r="R49" s="1"/>
      <c r="S49" s="4"/>
      <c r="T49" s="1543"/>
      <c r="U49" s="1"/>
      <c r="V49" s="1"/>
      <c r="W49" s="4"/>
      <c r="X49" s="4"/>
      <c r="Y49" s="4"/>
    </row>
    <row r="50" spans="1:25">
      <c r="A50" s="56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542"/>
      <c r="M50" s="1"/>
      <c r="N50" s="1"/>
      <c r="O50" s="1"/>
      <c r="P50" s="1"/>
      <c r="Q50" s="1"/>
      <c r="R50" s="1"/>
      <c r="S50" s="4"/>
      <c r="T50" s="1543"/>
      <c r="U50" s="1"/>
      <c r="V50" s="1"/>
      <c r="W50" s="4"/>
      <c r="X50" s="4"/>
      <c r="Y50" s="4"/>
    </row>
    <row r="51" spans="1:25">
      <c r="A51" s="56" t="s">
        <v>49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542"/>
      <c r="M51" s="1"/>
      <c r="N51" s="1"/>
      <c r="O51" s="4"/>
      <c r="P51" s="1"/>
      <c r="Q51" s="1"/>
      <c r="R51" s="1"/>
      <c r="S51" s="4"/>
      <c r="T51" s="1543"/>
      <c r="U51" s="1"/>
      <c r="V51" s="1"/>
      <c r="W51" s="4"/>
      <c r="X51" s="4"/>
      <c r="Y51" s="4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"/>
      <c r="P52" s="1"/>
      <c r="Q52" s="1"/>
      <c r="R52" s="1"/>
      <c r="S52" s="4"/>
      <c r="T52" s="4"/>
      <c r="U52" s="1"/>
      <c r="V52" s="1"/>
      <c r="W52" s="4"/>
      <c r="X52" s="4"/>
      <c r="Y52" s="4"/>
    </row>
    <row r="53" spans="1:25">
      <c r="A53" s="1" t="s">
        <v>50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"/>
      <c r="P53" s="1"/>
      <c r="Q53" s="1"/>
      <c r="R53" s="1"/>
      <c r="S53" s="4"/>
      <c r="T53" s="4"/>
      <c r="U53" s="1"/>
      <c r="V53" s="1"/>
      <c r="W53" s="4"/>
      <c r="X53" s="4"/>
      <c r="Y53" s="4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/>
      <c r="P54" s="1"/>
      <c r="Q54" s="1"/>
      <c r="R54" s="1"/>
      <c r="S54" s="4"/>
      <c r="T54" s="4"/>
      <c r="U54" s="1"/>
      <c r="V54" s="1"/>
      <c r="W54" s="4"/>
      <c r="X54" s="4"/>
      <c r="Y54" s="4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4"/>
      <c r="P55" s="1"/>
      <c r="Q55" s="1"/>
      <c r="R55" s="1"/>
      <c r="S55" s="4"/>
      <c r="T55" s="4"/>
      <c r="U55" s="1"/>
      <c r="V55" s="1"/>
      <c r="W55" s="4"/>
      <c r="X55" s="4"/>
      <c r="Y55" s="4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"/>
      <c r="P56" s="1"/>
      <c r="Q56" s="1"/>
      <c r="R56" s="1"/>
      <c r="S56" s="4"/>
      <c r="T56" s="4"/>
      <c r="U56" s="1"/>
      <c r="V56" s="1"/>
      <c r="W56" s="4"/>
      <c r="X56" s="4"/>
      <c r="Y56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56"/>
  <sheetViews>
    <sheetView topLeftCell="D22" workbookViewId="0">
      <selection activeCell="Q48" sqref="Q48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35</v>
      </c>
      <c r="B3" s="1069"/>
      <c r="C3" s="1070"/>
      <c r="D3" s="1070"/>
      <c r="E3" s="856" t="s">
        <v>79</v>
      </c>
      <c r="F3" s="856" t="s">
        <v>81</v>
      </c>
      <c r="G3" s="856">
        <v>57</v>
      </c>
      <c r="H3" s="1087">
        <v>29</v>
      </c>
      <c r="I3" s="1106">
        <v>924</v>
      </c>
      <c r="J3" s="1075"/>
      <c r="K3" s="1087">
        <v>8</v>
      </c>
      <c r="L3" s="1499">
        <f>R3/O3</f>
        <v>0.17202380952380952</v>
      </c>
      <c r="M3" s="1077"/>
      <c r="N3" s="1075"/>
      <c r="O3" s="1087">
        <v>168</v>
      </c>
      <c r="P3" s="1077"/>
      <c r="Q3" s="1075"/>
      <c r="R3" s="1087">
        <v>28.9</v>
      </c>
      <c r="S3" s="1502">
        <f>(R3+(I3*L3))/100</f>
        <v>1.8784999999999998</v>
      </c>
      <c r="T3" s="1502">
        <f>MIN(4.63,4.48*S3^(-0.25))</f>
        <v>3.8267070293947403</v>
      </c>
      <c r="U3" s="1077"/>
      <c r="V3" s="1075"/>
      <c r="W3" s="1527">
        <f>X3*R3</f>
        <v>103.05739999999999</v>
      </c>
      <c r="X3" s="856">
        <v>3.5659999999999998</v>
      </c>
      <c r="Y3" s="862">
        <v>0.93187170395012564</v>
      </c>
    </row>
    <row r="4" spans="1:25" s="866" customFormat="1">
      <c r="A4" s="856" t="s">
        <v>35</v>
      </c>
      <c r="B4" s="961"/>
      <c r="C4" s="960"/>
      <c r="D4" s="960"/>
      <c r="E4" s="856" t="s">
        <v>79</v>
      </c>
      <c r="F4" s="856" t="s">
        <v>237</v>
      </c>
      <c r="G4" s="856">
        <v>57</v>
      </c>
      <c r="H4" s="1087">
        <v>38</v>
      </c>
      <c r="I4" s="1106">
        <v>547</v>
      </c>
      <c r="J4" s="1080"/>
      <c r="K4" s="1087">
        <v>8</v>
      </c>
      <c r="L4" s="1500">
        <f t="shared" ref="L4:L42" si="0">R4/O4</f>
        <v>0.17532467532467533</v>
      </c>
      <c r="M4" s="1082"/>
      <c r="N4" s="1080"/>
      <c r="O4" s="1087">
        <v>154</v>
      </c>
      <c r="P4" s="1082"/>
      <c r="Q4" s="1080"/>
      <c r="R4" s="1087">
        <v>27</v>
      </c>
      <c r="S4" s="1503">
        <f t="shared" ref="S4:S42" si="1">(R4+(I4*L4))/100</f>
        <v>1.2290259740259741</v>
      </c>
      <c r="T4" s="1503">
        <f t="shared" ref="T4:T42" si="2">MIN(4.63,4.48*S4^(-0.25))</f>
        <v>4.2548842368205806</v>
      </c>
      <c r="U4" s="1082"/>
      <c r="V4" s="1080"/>
      <c r="W4" s="1528">
        <f t="shared" ref="W4:W42" si="3">X4*R4</f>
        <v>93.069000000000003</v>
      </c>
      <c r="X4" s="856">
        <v>3.4470000000000001</v>
      </c>
      <c r="Y4" s="862">
        <v>0.81012779858277317</v>
      </c>
    </row>
    <row r="5" spans="1:25" s="866" customFormat="1">
      <c r="A5" s="856" t="s">
        <v>35</v>
      </c>
      <c r="B5" s="961"/>
      <c r="C5" s="960"/>
      <c r="D5" s="960"/>
      <c r="E5" s="856" t="s">
        <v>79</v>
      </c>
      <c r="F5" s="856" t="s">
        <v>245</v>
      </c>
      <c r="G5" s="856">
        <v>57</v>
      </c>
      <c r="H5" s="1087">
        <v>43</v>
      </c>
      <c r="I5" s="1106">
        <v>678</v>
      </c>
      <c r="J5" s="1080"/>
      <c r="K5" s="1087">
        <v>10</v>
      </c>
      <c r="L5" s="1501">
        <f t="shared" si="0"/>
        <v>0.16483516483516483</v>
      </c>
      <c r="M5" s="1082"/>
      <c r="N5" s="1080"/>
      <c r="O5" s="1087">
        <v>182</v>
      </c>
      <c r="P5" s="1082"/>
      <c r="Q5" s="1080"/>
      <c r="R5" s="1087">
        <v>30</v>
      </c>
      <c r="S5" s="1504">
        <f t="shared" si="1"/>
        <v>1.4175824175824174</v>
      </c>
      <c r="T5" s="1504">
        <f t="shared" si="2"/>
        <v>4.1057351853728115</v>
      </c>
      <c r="U5" s="1082"/>
      <c r="V5" s="1080"/>
      <c r="W5" s="1529">
        <f t="shared" si="3"/>
        <v>102.96</v>
      </c>
      <c r="X5" s="856">
        <v>3.4319999999999999</v>
      </c>
      <c r="Y5" s="862">
        <v>0.83590388689142037</v>
      </c>
    </row>
    <row r="6" spans="1:25" s="866" customFormat="1">
      <c r="A6" s="856" t="s">
        <v>35</v>
      </c>
      <c r="B6" s="961"/>
      <c r="C6" s="960"/>
      <c r="D6" s="960"/>
      <c r="E6" s="856" t="s">
        <v>79</v>
      </c>
      <c r="F6" s="856" t="s">
        <v>247</v>
      </c>
      <c r="G6" s="856">
        <v>57</v>
      </c>
      <c r="H6" s="1087">
        <v>28</v>
      </c>
      <c r="I6" s="1106">
        <v>394.00000000000006</v>
      </c>
      <c r="J6" s="1080"/>
      <c r="K6" s="1087">
        <v>7</v>
      </c>
      <c r="L6" s="1306">
        <f t="shared" si="0"/>
        <v>0.19423076923076926</v>
      </c>
      <c r="M6" s="1082"/>
      <c r="N6" s="1080"/>
      <c r="O6" s="1087">
        <v>104</v>
      </c>
      <c r="P6" s="1082"/>
      <c r="Q6" s="1080"/>
      <c r="R6" s="1087">
        <v>20.200000000000003</v>
      </c>
      <c r="S6" s="1314">
        <f t="shared" si="1"/>
        <v>0.96726923076923099</v>
      </c>
      <c r="T6" s="1314">
        <f t="shared" si="2"/>
        <v>4.5174272863046516</v>
      </c>
      <c r="U6" s="1082"/>
      <c r="V6" s="1080"/>
      <c r="W6" s="1528">
        <f t="shared" si="3"/>
        <v>76.962000000000018</v>
      </c>
      <c r="X6" s="856">
        <v>3.81</v>
      </c>
      <c r="Y6" s="862">
        <v>0.84340040437411412</v>
      </c>
    </row>
    <row r="7" spans="1:25" s="866" customFormat="1">
      <c r="A7" s="856" t="s">
        <v>35</v>
      </c>
      <c r="B7" s="961"/>
      <c r="C7" s="960"/>
      <c r="D7" s="960"/>
      <c r="E7" s="856" t="s">
        <v>79</v>
      </c>
      <c r="F7" s="856" t="s">
        <v>249</v>
      </c>
      <c r="G7" s="856">
        <v>57</v>
      </c>
      <c r="H7" s="1087">
        <v>38</v>
      </c>
      <c r="I7" s="1106">
        <v>663</v>
      </c>
      <c r="J7" s="1080"/>
      <c r="K7" s="1087">
        <v>7</v>
      </c>
      <c r="L7" s="1306">
        <f t="shared" si="0"/>
        <v>0.16226415094339622</v>
      </c>
      <c r="M7" s="1082"/>
      <c r="N7" s="1080"/>
      <c r="O7" s="1087">
        <v>212</v>
      </c>
      <c r="P7" s="1082"/>
      <c r="Q7" s="1080"/>
      <c r="R7" s="1087">
        <v>34.4</v>
      </c>
      <c r="S7" s="1314">
        <f t="shared" si="1"/>
        <v>1.4198113207547169</v>
      </c>
      <c r="T7" s="1314">
        <f t="shared" si="2"/>
        <v>4.1041228798644829</v>
      </c>
      <c r="U7" s="1082"/>
      <c r="V7" s="1080"/>
      <c r="W7" s="1528">
        <f t="shared" si="3"/>
        <v>127.52079999999999</v>
      </c>
      <c r="X7" s="856">
        <v>3.7069999999999999</v>
      </c>
      <c r="Y7" s="862">
        <v>0.90323806292135289</v>
      </c>
    </row>
    <row r="8" spans="1:25" s="866" customFormat="1" ht="15.75" thickBot="1">
      <c r="A8" s="856" t="s">
        <v>35</v>
      </c>
      <c r="B8" s="1088"/>
      <c r="C8" s="1089"/>
      <c r="D8" s="1089"/>
      <c r="E8" s="856" t="s">
        <v>79</v>
      </c>
      <c r="F8" s="856" t="s">
        <v>251</v>
      </c>
      <c r="G8" s="856">
        <v>57</v>
      </c>
      <c r="H8" s="1087">
        <v>23</v>
      </c>
      <c r="I8" s="1106">
        <v>518</v>
      </c>
      <c r="J8" s="1090"/>
      <c r="K8" s="1087">
        <v>6</v>
      </c>
      <c r="L8" s="1508">
        <f t="shared" si="0"/>
        <v>0.17427184466019416</v>
      </c>
      <c r="M8" s="1092"/>
      <c r="N8" s="1090"/>
      <c r="O8" s="1087">
        <v>206</v>
      </c>
      <c r="P8" s="1092"/>
      <c r="Q8" s="1090"/>
      <c r="R8" s="1087">
        <v>35.9</v>
      </c>
      <c r="S8" s="1515">
        <f t="shared" si="1"/>
        <v>1.2617281553398059</v>
      </c>
      <c r="T8" s="1515">
        <f t="shared" si="2"/>
        <v>4.2270420232112098</v>
      </c>
      <c r="U8" s="1092"/>
      <c r="V8" s="1090"/>
      <c r="W8" s="1530">
        <f t="shared" si="3"/>
        <v>131.5017</v>
      </c>
      <c r="X8" s="856">
        <v>3.6629999999999998</v>
      </c>
      <c r="Y8" s="862">
        <v>0.86656342186474966</v>
      </c>
    </row>
    <row r="9" spans="1:25" s="866" customFormat="1" ht="15.75" thickTop="1">
      <c r="A9" s="856" t="s">
        <v>35</v>
      </c>
      <c r="B9" s="1069"/>
      <c r="C9" s="1070"/>
      <c r="D9" s="1070"/>
      <c r="E9" s="856" t="s">
        <v>79</v>
      </c>
      <c r="F9" s="856" t="s">
        <v>253</v>
      </c>
      <c r="G9" s="856">
        <v>57</v>
      </c>
      <c r="H9" s="1087">
        <v>35</v>
      </c>
      <c r="I9" s="1106">
        <v>876</v>
      </c>
      <c r="J9" s="1075"/>
      <c r="K9" s="1087">
        <v>10</v>
      </c>
      <c r="L9" s="1509">
        <f t="shared" si="0"/>
        <v>0.16036036036036036</v>
      </c>
      <c r="M9" s="1077"/>
      <c r="N9" s="1075"/>
      <c r="O9" s="1087">
        <v>222.00000000000003</v>
      </c>
      <c r="P9" s="1077"/>
      <c r="Q9" s="1075"/>
      <c r="R9" s="1087">
        <v>35.6</v>
      </c>
      <c r="S9" s="1516">
        <f t="shared" si="1"/>
        <v>1.7607567567567568</v>
      </c>
      <c r="T9" s="1516">
        <f t="shared" si="2"/>
        <v>3.8891363827631293</v>
      </c>
      <c r="U9" s="1077"/>
      <c r="V9" s="1075"/>
      <c r="W9" s="1531">
        <f t="shared" si="3"/>
        <v>142.6848</v>
      </c>
      <c r="X9" s="856">
        <v>4.008</v>
      </c>
      <c r="Y9" s="862">
        <v>1.0305629850790732</v>
      </c>
    </row>
    <row r="10" spans="1:25" s="866" customFormat="1">
      <c r="A10" s="856" t="s">
        <v>35</v>
      </c>
      <c r="B10" s="961"/>
      <c r="C10" s="960"/>
      <c r="D10" s="960"/>
      <c r="E10" s="856" t="s">
        <v>79</v>
      </c>
      <c r="F10" s="856" t="s">
        <v>255</v>
      </c>
      <c r="G10" s="856">
        <v>57</v>
      </c>
      <c r="H10" s="1087">
        <v>24</v>
      </c>
      <c r="I10" s="1106">
        <v>323</v>
      </c>
      <c r="J10" s="1080"/>
      <c r="K10" s="1087">
        <v>6</v>
      </c>
      <c r="L10" s="1306">
        <f t="shared" si="0"/>
        <v>0.17272727272727273</v>
      </c>
      <c r="M10" s="1082"/>
      <c r="N10" s="1080"/>
      <c r="O10" s="1087">
        <v>99</v>
      </c>
      <c r="P10" s="1082"/>
      <c r="Q10" s="1080"/>
      <c r="R10" s="1087">
        <v>17.100000000000001</v>
      </c>
      <c r="S10" s="1314">
        <f t="shared" si="1"/>
        <v>0.72890909090909095</v>
      </c>
      <c r="T10" s="1524">
        <f t="shared" si="2"/>
        <v>4.63</v>
      </c>
      <c r="U10" s="1082"/>
      <c r="V10" s="1080"/>
      <c r="W10" s="1528">
        <f t="shared" si="3"/>
        <v>70.50330000000001</v>
      </c>
      <c r="X10" s="856">
        <v>4.1230000000000002</v>
      </c>
      <c r="Y10" s="862">
        <v>0.85036164323948893</v>
      </c>
    </row>
    <row r="11" spans="1:25" s="866" customFormat="1">
      <c r="A11" s="856" t="s">
        <v>35</v>
      </c>
      <c r="B11" s="961"/>
      <c r="C11" s="960"/>
      <c r="D11" s="960"/>
      <c r="E11" s="856" t="s">
        <v>79</v>
      </c>
      <c r="F11" s="856" t="s">
        <v>238</v>
      </c>
      <c r="G11" s="856">
        <v>57</v>
      </c>
      <c r="H11" s="1087">
        <v>24</v>
      </c>
      <c r="I11" s="1106">
        <v>655.99999999999989</v>
      </c>
      <c r="J11" s="1080"/>
      <c r="K11" s="1087">
        <v>8</v>
      </c>
      <c r="L11" s="1306">
        <f t="shared" si="0"/>
        <v>0.17127071823204421</v>
      </c>
      <c r="M11" s="1082"/>
      <c r="N11" s="1080"/>
      <c r="O11" s="1087">
        <v>181</v>
      </c>
      <c r="P11" s="1082"/>
      <c r="Q11" s="1080"/>
      <c r="R11" s="1087">
        <v>31</v>
      </c>
      <c r="S11" s="1314">
        <f t="shared" si="1"/>
        <v>1.4335359116022099</v>
      </c>
      <c r="T11" s="1524">
        <f t="shared" si="2"/>
        <v>4.0942642547657337</v>
      </c>
      <c r="U11" s="1082"/>
      <c r="V11" s="1080"/>
      <c r="W11" s="1528">
        <f t="shared" si="3"/>
        <v>105.121</v>
      </c>
      <c r="X11" s="856">
        <v>3.391</v>
      </c>
      <c r="Y11" s="862">
        <v>0.82823183580612014</v>
      </c>
    </row>
    <row r="12" spans="1:25" s="866" customFormat="1">
      <c r="A12" s="856" t="s">
        <v>35</v>
      </c>
      <c r="B12" s="961"/>
      <c r="C12" s="960"/>
      <c r="D12" s="960"/>
      <c r="E12" s="856" t="s">
        <v>79</v>
      </c>
      <c r="F12" s="856" t="s">
        <v>258</v>
      </c>
      <c r="G12" s="856">
        <v>57</v>
      </c>
      <c r="H12" s="1087">
        <v>30</v>
      </c>
      <c r="I12" s="1087">
        <v>1338</v>
      </c>
      <c r="J12" s="1080"/>
      <c r="K12" s="1087">
        <v>8</v>
      </c>
      <c r="L12" s="1306">
        <f t="shared" si="0"/>
        <v>0.16413043478260869</v>
      </c>
      <c r="M12" s="1082"/>
      <c r="N12" s="1080"/>
      <c r="O12" s="1087">
        <v>184</v>
      </c>
      <c r="P12" s="1082"/>
      <c r="Q12" s="1080"/>
      <c r="R12" s="1087">
        <v>30.2</v>
      </c>
      <c r="S12" s="1314">
        <f t="shared" si="1"/>
        <v>2.4980652173913045</v>
      </c>
      <c r="T12" s="1314">
        <f t="shared" si="2"/>
        <v>3.5635025253313342</v>
      </c>
      <c r="U12" s="1082"/>
      <c r="V12" s="1080"/>
      <c r="W12" s="1528">
        <f t="shared" si="3"/>
        <v>91.1738</v>
      </c>
      <c r="X12" s="856">
        <v>3.0190000000000001</v>
      </c>
      <c r="Y12" s="862">
        <v>0.84720018536237562</v>
      </c>
    </row>
    <row r="13" spans="1:25" s="866" customFormat="1">
      <c r="A13" s="856" t="s">
        <v>35</v>
      </c>
      <c r="B13" s="961"/>
      <c r="C13" s="960"/>
      <c r="D13" s="960"/>
      <c r="E13" s="856" t="s">
        <v>79</v>
      </c>
      <c r="F13" s="856" t="s">
        <v>260</v>
      </c>
      <c r="G13" s="856">
        <v>57</v>
      </c>
      <c r="H13" s="1087">
        <v>32</v>
      </c>
      <c r="I13" s="1087">
        <v>767</v>
      </c>
      <c r="J13" s="1080"/>
      <c r="K13" s="1087">
        <v>8</v>
      </c>
      <c r="L13" s="1306">
        <f t="shared" si="0"/>
        <v>0.17757847533632287</v>
      </c>
      <c r="M13" s="1082"/>
      <c r="N13" s="1080"/>
      <c r="O13" s="1087">
        <v>223</v>
      </c>
      <c r="P13" s="1082"/>
      <c r="Q13" s="1080"/>
      <c r="R13" s="1087">
        <v>39.6</v>
      </c>
      <c r="S13" s="1314">
        <f t="shared" si="1"/>
        <v>1.7580269058295963</v>
      </c>
      <c r="T13" s="1314">
        <f t="shared" si="2"/>
        <v>3.8906452598468766</v>
      </c>
      <c r="U13" s="1082"/>
      <c r="V13" s="1080"/>
      <c r="W13" s="1528">
        <f t="shared" si="3"/>
        <v>124.3836</v>
      </c>
      <c r="X13" s="856">
        <v>3.141</v>
      </c>
      <c r="Y13" s="862">
        <v>0.80732109720114131</v>
      </c>
    </row>
    <row r="14" spans="1:25" s="866" customFormat="1" ht="15.75" thickBot="1">
      <c r="A14" s="856" t="s">
        <v>35</v>
      </c>
      <c r="B14" s="1088"/>
      <c r="C14" s="1089"/>
      <c r="D14" s="1089"/>
      <c r="E14" s="856" t="s">
        <v>79</v>
      </c>
      <c r="F14" s="856" t="s">
        <v>239</v>
      </c>
      <c r="G14" s="856">
        <v>57</v>
      </c>
      <c r="H14" s="1087">
        <v>40</v>
      </c>
      <c r="I14" s="1087">
        <v>1262</v>
      </c>
      <c r="J14" s="1090"/>
      <c r="K14" s="1087">
        <v>11</v>
      </c>
      <c r="L14" s="1508">
        <f t="shared" si="0"/>
        <v>0.16591928251121077</v>
      </c>
      <c r="M14" s="1092"/>
      <c r="N14" s="1090"/>
      <c r="O14" s="1087">
        <v>223</v>
      </c>
      <c r="P14" s="1092"/>
      <c r="Q14" s="1090"/>
      <c r="R14" s="1087">
        <v>37</v>
      </c>
      <c r="S14" s="1515">
        <f t="shared" si="1"/>
        <v>2.4639013452914797</v>
      </c>
      <c r="T14" s="1515">
        <f t="shared" si="2"/>
        <v>3.5757914806062452</v>
      </c>
      <c r="U14" s="1092"/>
      <c r="V14" s="1090"/>
      <c r="W14" s="1530">
        <f t="shared" si="3"/>
        <v>113.405</v>
      </c>
      <c r="X14" s="856">
        <v>3.0649999999999999</v>
      </c>
      <c r="Y14" s="862">
        <v>0.85715288954163382</v>
      </c>
    </row>
    <row r="15" spans="1:25" s="866" customFormat="1" ht="15.75" thickTop="1">
      <c r="A15" s="856" t="s">
        <v>35</v>
      </c>
      <c r="B15" s="1069"/>
      <c r="C15" s="960"/>
      <c r="D15" s="960"/>
      <c r="E15" s="856" t="s">
        <v>79</v>
      </c>
      <c r="F15" s="856" t="s">
        <v>240</v>
      </c>
      <c r="G15" s="856">
        <v>57</v>
      </c>
      <c r="H15" s="1087">
        <v>27</v>
      </c>
      <c r="I15" s="1087">
        <v>409</v>
      </c>
      <c r="J15" s="1099"/>
      <c r="K15" s="1087">
        <v>8</v>
      </c>
      <c r="L15" s="1509">
        <f t="shared" si="0"/>
        <v>0.23636363636363636</v>
      </c>
      <c r="M15" s="1100"/>
      <c r="N15" s="1101"/>
      <c r="O15" s="1087">
        <v>66</v>
      </c>
      <c r="P15" s="1100"/>
      <c r="Q15" s="1101"/>
      <c r="R15" s="1087">
        <v>15.6</v>
      </c>
      <c r="S15" s="1516">
        <f t="shared" si="1"/>
        <v>1.1227272727272726</v>
      </c>
      <c r="T15" s="1516">
        <f t="shared" si="2"/>
        <v>4.3522060255290391</v>
      </c>
      <c r="U15" s="1100"/>
      <c r="V15" s="1101"/>
      <c r="W15" s="1531">
        <f t="shared" si="3"/>
        <v>55.504799999999996</v>
      </c>
      <c r="X15" s="856">
        <v>3.5579999999999998</v>
      </c>
      <c r="Y15" s="862">
        <v>0.81751644548295521</v>
      </c>
    </row>
    <row r="16" spans="1:25" s="866" customFormat="1">
      <c r="A16" s="856" t="s">
        <v>35</v>
      </c>
      <c r="B16" s="961"/>
      <c r="C16" s="960"/>
      <c r="D16" s="960"/>
      <c r="E16" s="856" t="s">
        <v>79</v>
      </c>
      <c r="F16" s="856" t="s">
        <v>264</v>
      </c>
      <c r="G16" s="856">
        <v>57</v>
      </c>
      <c r="H16" s="1087">
        <v>41</v>
      </c>
      <c r="I16" s="1087">
        <v>1161</v>
      </c>
      <c r="J16" s="966"/>
      <c r="K16" s="1087">
        <v>11</v>
      </c>
      <c r="L16" s="1306">
        <f t="shared" si="0"/>
        <v>0.1589080459770115</v>
      </c>
      <c r="M16" s="969"/>
      <c r="N16" s="966"/>
      <c r="O16" s="1087">
        <v>348</v>
      </c>
      <c r="P16" s="969"/>
      <c r="Q16" s="966"/>
      <c r="R16" s="1087">
        <v>55.300000000000004</v>
      </c>
      <c r="S16" s="1314">
        <f t="shared" si="1"/>
        <v>2.3979224137931037</v>
      </c>
      <c r="T16" s="1314">
        <f t="shared" si="2"/>
        <v>3.6001386947648029</v>
      </c>
      <c r="U16" s="969"/>
      <c r="V16" s="966"/>
      <c r="W16" s="1528">
        <f t="shared" si="3"/>
        <v>183.596</v>
      </c>
      <c r="X16" s="856">
        <v>3.32</v>
      </c>
      <c r="Y16" s="862">
        <v>0.92218669375927931</v>
      </c>
    </row>
    <row r="17" spans="1:25" s="866" customFormat="1">
      <c r="A17" s="856" t="s">
        <v>35</v>
      </c>
      <c r="B17" s="961"/>
      <c r="C17" s="960"/>
      <c r="D17" s="960"/>
      <c r="E17" s="856" t="s">
        <v>79</v>
      </c>
      <c r="F17" s="856" t="s">
        <v>266</v>
      </c>
      <c r="G17" s="856">
        <v>57</v>
      </c>
      <c r="H17" s="1087">
        <v>27</v>
      </c>
      <c r="I17" s="1087">
        <v>819</v>
      </c>
      <c r="J17" s="966"/>
      <c r="K17" s="1087">
        <v>6</v>
      </c>
      <c r="L17" s="1306">
        <f t="shared" si="0"/>
        <v>0.16267942583732056</v>
      </c>
      <c r="M17" s="969"/>
      <c r="N17" s="966"/>
      <c r="O17" s="1087">
        <v>209</v>
      </c>
      <c r="P17" s="969"/>
      <c r="Q17" s="966"/>
      <c r="R17" s="1087">
        <v>34</v>
      </c>
      <c r="S17" s="1314">
        <f t="shared" si="1"/>
        <v>1.6723444976076554</v>
      </c>
      <c r="T17" s="1314">
        <f t="shared" si="2"/>
        <v>3.9395496441335811</v>
      </c>
      <c r="U17" s="969"/>
      <c r="V17" s="966"/>
      <c r="W17" s="1528">
        <f t="shared" si="3"/>
        <v>107.13399999999999</v>
      </c>
      <c r="X17" s="856">
        <v>3.1509999999999998</v>
      </c>
      <c r="Y17" s="862">
        <v>0.79983761714798607</v>
      </c>
    </row>
    <row r="18" spans="1:25" s="866" customFormat="1">
      <c r="A18" s="856" t="s">
        <v>35</v>
      </c>
      <c r="B18" s="961"/>
      <c r="C18" s="960"/>
      <c r="D18" s="960"/>
      <c r="E18" s="856" t="s">
        <v>79</v>
      </c>
      <c r="F18" s="856" t="s">
        <v>268</v>
      </c>
      <c r="G18" s="856">
        <v>57</v>
      </c>
      <c r="H18" s="1087">
        <v>34</v>
      </c>
      <c r="I18" s="1087">
        <v>1262</v>
      </c>
      <c r="J18" s="966"/>
      <c r="K18" s="1087">
        <v>8</v>
      </c>
      <c r="L18" s="1306">
        <f t="shared" si="0"/>
        <v>0.16550000000000001</v>
      </c>
      <c r="M18" s="969"/>
      <c r="N18" s="966"/>
      <c r="O18" s="1087">
        <v>200</v>
      </c>
      <c r="P18" s="969"/>
      <c r="Q18" s="966"/>
      <c r="R18" s="1087">
        <v>33.1</v>
      </c>
      <c r="S18" s="1314">
        <f t="shared" si="1"/>
        <v>2.41961</v>
      </c>
      <c r="T18" s="1314">
        <f t="shared" si="2"/>
        <v>3.5920441942563226</v>
      </c>
      <c r="U18" s="969"/>
      <c r="V18" s="966"/>
      <c r="W18" s="1528">
        <f t="shared" si="3"/>
        <v>111.61320000000001</v>
      </c>
      <c r="X18" s="856">
        <v>3.3719999999999999</v>
      </c>
      <c r="Y18" s="862">
        <v>0.9387412341395539</v>
      </c>
    </row>
    <row r="19" spans="1:25" s="866" customFormat="1">
      <c r="A19" s="856" t="s">
        <v>35</v>
      </c>
      <c r="B19" s="961"/>
      <c r="C19" s="960"/>
      <c r="D19" s="960"/>
      <c r="E19" s="856" t="s">
        <v>79</v>
      </c>
      <c r="F19" s="856" t="s">
        <v>270</v>
      </c>
      <c r="G19" s="856">
        <v>57</v>
      </c>
      <c r="H19" s="1087">
        <v>41</v>
      </c>
      <c r="I19" s="1087">
        <v>803.99999999999989</v>
      </c>
      <c r="J19" s="966"/>
      <c r="K19" s="1087">
        <v>11</v>
      </c>
      <c r="L19" s="1306">
        <f t="shared" si="0"/>
        <v>0.15588235294117647</v>
      </c>
      <c r="M19" s="969"/>
      <c r="N19" s="966"/>
      <c r="O19" s="1087">
        <v>204</v>
      </c>
      <c r="P19" s="969"/>
      <c r="Q19" s="966"/>
      <c r="R19" s="1087">
        <v>31.8</v>
      </c>
      <c r="S19" s="1314">
        <f t="shared" si="1"/>
        <v>1.5712941176470587</v>
      </c>
      <c r="T19" s="1314">
        <f t="shared" si="2"/>
        <v>4.0014154330151408</v>
      </c>
      <c r="U19" s="969"/>
      <c r="V19" s="966"/>
      <c r="W19" s="1528">
        <f t="shared" si="3"/>
        <v>120.9036</v>
      </c>
      <c r="X19" s="856">
        <v>3.802</v>
      </c>
      <c r="Y19" s="862">
        <v>0.95016377670516516</v>
      </c>
    </row>
    <row r="20" spans="1:25" s="866" customFormat="1">
      <c r="A20" s="856" t="s">
        <v>35</v>
      </c>
      <c r="B20" s="961"/>
      <c r="C20" s="960"/>
      <c r="D20" s="960"/>
      <c r="E20" s="856" t="s">
        <v>79</v>
      </c>
      <c r="F20" s="856" t="s">
        <v>272</v>
      </c>
      <c r="G20" s="856">
        <v>57</v>
      </c>
      <c r="H20" s="1087">
        <v>24</v>
      </c>
      <c r="I20" s="1087">
        <v>330</v>
      </c>
      <c r="J20" s="966"/>
      <c r="K20" s="1087">
        <v>7</v>
      </c>
      <c r="L20" s="1306">
        <f t="shared" si="0"/>
        <v>0.19411764705882353</v>
      </c>
      <c r="M20" s="969"/>
      <c r="N20" s="966"/>
      <c r="O20" s="1087">
        <v>85</v>
      </c>
      <c r="P20" s="969"/>
      <c r="Q20" s="966"/>
      <c r="R20" s="1087">
        <v>16.5</v>
      </c>
      <c r="S20" s="1314">
        <f t="shared" si="1"/>
        <v>0.80558823529411772</v>
      </c>
      <c r="T20" s="1314">
        <f t="shared" si="2"/>
        <v>4.63</v>
      </c>
      <c r="U20" s="969"/>
      <c r="V20" s="966"/>
      <c r="W20" s="1528">
        <f t="shared" si="3"/>
        <v>61.759499999999996</v>
      </c>
      <c r="X20" s="856">
        <v>3.7429999999999999</v>
      </c>
      <c r="Y20" s="862">
        <v>0.79153494298026472</v>
      </c>
    </row>
    <row r="21" spans="1:25" s="866" customFormat="1">
      <c r="A21" s="856" t="s">
        <v>35</v>
      </c>
      <c r="B21" s="961"/>
      <c r="C21" s="960"/>
      <c r="D21" s="960"/>
      <c r="E21" s="856" t="s">
        <v>79</v>
      </c>
      <c r="F21" s="856" t="s">
        <v>274</v>
      </c>
      <c r="G21" s="856">
        <v>57</v>
      </c>
      <c r="H21" s="1087">
        <v>46</v>
      </c>
      <c r="I21" s="1087">
        <v>1027</v>
      </c>
      <c r="J21" s="966"/>
      <c r="K21" s="1087">
        <v>11</v>
      </c>
      <c r="L21" s="1306">
        <f t="shared" si="0"/>
        <v>0.16688311688311688</v>
      </c>
      <c r="M21" s="969"/>
      <c r="N21" s="974"/>
      <c r="O21" s="1087">
        <v>308</v>
      </c>
      <c r="P21" s="969"/>
      <c r="Q21" s="966"/>
      <c r="R21" s="1087">
        <v>51.4</v>
      </c>
      <c r="S21" s="1314">
        <f t="shared" si="1"/>
        <v>2.2278896103896106</v>
      </c>
      <c r="T21" s="1314">
        <f t="shared" si="2"/>
        <v>3.6669466959742709</v>
      </c>
      <c r="U21" s="969"/>
      <c r="V21" s="966"/>
      <c r="W21" s="1528">
        <f t="shared" si="3"/>
        <v>170.9564</v>
      </c>
      <c r="X21" s="856">
        <v>3.3260000000000001</v>
      </c>
      <c r="Y21" s="862">
        <v>0.90702163837053407</v>
      </c>
    </row>
    <row r="22" spans="1:25" s="866" customFormat="1">
      <c r="A22" s="856" t="s">
        <v>35</v>
      </c>
      <c r="B22" s="961"/>
      <c r="C22" s="960"/>
      <c r="D22" s="960"/>
      <c r="E22" s="856" t="s">
        <v>79</v>
      </c>
      <c r="F22" s="856" t="s">
        <v>276</v>
      </c>
      <c r="G22" s="856">
        <v>57</v>
      </c>
      <c r="H22" s="1087">
        <v>28</v>
      </c>
      <c r="I22" s="1087">
        <v>710</v>
      </c>
      <c r="J22" s="966"/>
      <c r="K22" s="1087">
        <v>6</v>
      </c>
      <c r="L22" s="1306">
        <f t="shared" si="0"/>
        <v>0.1860759493670886</v>
      </c>
      <c r="M22" s="969"/>
      <c r="N22" s="966"/>
      <c r="O22" s="1087">
        <v>79</v>
      </c>
      <c r="P22" s="969"/>
      <c r="Q22" s="966"/>
      <c r="R22" s="1087">
        <v>14.7</v>
      </c>
      <c r="S22" s="1314">
        <f t="shared" si="1"/>
        <v>1.4681392405063289</v>
      </c>
      <c r="T22" s="1314">
        <f t="shared" si="2"/>
        <v>4.0699230896457985</v>
      </c>
      <c r="U22" s="969"/>
      <c r="V22" s="966"/>
      <c r="W22" s="1528">
        <f t="shared" si="3"/>
        <v>54.889799999999994</v>
      </c>
      <c r="X22" s="856">
        <v>3.734</v>
      </c>
      <c r="Y22" s="862">
        <v>0.91746205462692576</v>
      </c>
    </row>
    <row r="23" spans="1:25" s="844" customFormat="1">
      <c r="A23" s="834" t="s">
        <v>35</v>
      </c>
      <c r="B23" s="1283"/>
      <c r="C23" s="1274"/>
      <c r="D23" s="1274"/>
      <c r="E23" s="1450" t="s">
        <v>82</v>
      </c>
      <c r="F23" s="834" t="s">
        <v>81</v>
      </c>
      <c r="G23" s="834">
        <v>57</v>
      </c>
      <c r="H23" s="1438">
        <v>50</v>
      </c>
      <c r="I23" s="1438">
        <v>2759</v>
      </c>
      <c r="J23" s="1288"/>
      <c r="K23" s="1438">
        <v>12</v>
      </c>
      <c r="L23" s="1305">
        <f t="shared" si="0"/>
        <v>0.12058407079646016</v>
      </c>
      <c r="M23" s="1291"/>
      <c r="N23" s="1288"/>
      <c r="O23" s="1438">
        <v>565</v>
      </c>
      <c r="P23" s="1291"/>
      <c r="Q23" s="1288"/>
      <c r="R23" s="1438">
        <v>68.13</v>
      </c>
      <c r="S23" s="1313">
        <f t="shared" si="1"/>
        <v>4.0082145132743356</v>
      </c>
      <c r="T23" s="1313">
        <f t="shared" si="2"/>
        <v>3.1662140733557416</v>
      </c>
      <c r="U23" s="1291"/>
      <c r="V23" s="1288"/>
      <c r="W23" s="1532">
        <f t="shared" si="3"/>
        <v>302.49720000000002</v>
      </c>
      <c r="X23" s="834">
        <v>4.4400000000000004</v>
      </c>
      <c r="Y23" s="840">
        <v>1.402305686581143</v>
      </c>
    </row>
    <row r="24" spans="1:25" s="844" customFormat="1">
      <c r="A24" s="834" t="s">
        <v>35</v>
      </c>
      <c r="B24" s="1283"/>
      <c r="C24" s="1274"/>
      <c r="D24" s="1274"/>
      <c r="E24" s="1450" t="s">
        <v>82</v>
      </c>
      <c r="F24" s="834" t="s">
        <v>237</v>
      </c>
      <c r="G24" s="834">
        <v>57</v>
      </c>
      <c r="H24" s="1438">
        <v>54</v>
      </c>
      <c r="I24" s="1438">
        <v>2947</v>
      </c>
      <c r="J24" s="1288"/>
      <c r="K24" s="1438">
        <v>14</v>
      </c>
      <c r="L24" s="1305">
        <f t="shared" si="0"/>
        <v>0.10965794768611671</v>
      </c>
      <c r="M24" s="1291"/>
      <c r="N24" s="1288"/>
      <c r="O24" s="1438">
        <v>994</v>
      </c>
      <c r="P24" s="1291"/>
      <c r="Q24" s="1288"/>
      <c r="R24" s="1438">
        <v>109.00000000000001</v>
      </c>
      <c r="S24" s="1313">
        <f t="shared" si="1"/>
        <v>4.3216197183098588</v>
      </c>
      <c r="T24" s="1313">
        <f t="shared" si="2"/>
        <v>3.1071797430396542</v>
      </c>
      <c r="U24" s="1291"/>
      <c r="V24" s="1288"/>
      <c r="W24" s="1532">
        <f t="shared" si="3"/>
        <v>454.42099999999999</v>
      </c>
      <c r="X24" s="834">
        <v>4.1689999999999996</v>
      </c>
      <c r="Y24" s="840">
        <v>1.3417311983122036</v>
      </c>
    </row>
    <row r="25" spans="1:25" s="844" customFormat="1">
      <c r="A25" s="834" t="s">
        <v>35</v>
      </c>
      <c r="B25" s="1283"/>
      <c r="C25" s="1274"/>
      <c r="D25" s="1274"/>
      <c r="E25" s="1450" t="s">
        <v>82</v>
      </c>
      <c r="F25" s="834" t="s">
        <v>245</v>
      </c>
      <c r="G25" s="834">
        <v>57</v>
      </c>
      <c r="H25" s="1438">
        <v>40</v>
      </c>
      <c r="I25" s="1438">
        <v>2529</v>
      </c>
      <c r="J25" s="1288"/>
      <c r="K25" s="1438">
        <v>10</v>
      </c>
      <c r="L25" s="1305">
        <f t="shared" si="0"/>
        <v>0.1089572192513369</v>
      </c>
      <c r="M25" s="1291"/>
      <c r="N25" s="1288"/>
      <c r="O25" s="1438">
        <v>748</v>
      </c>
      <c r="P25" s="1291"/>
      <c r="Q25" s="1288"/>
      <c r="R25" s="1438">
        <v>81.5</v>
      </c>
      <c r="S25" s="1313">
        <f t="shared" si="1"/>
        <v>3.5705280748663104</v>
      </c>
      <c r="T25" s="1313">
        <f t="shared" si="2"/>
        <v>3.2590790979513304</v>
      </c>
      <c r="U25" s="1291"/>
      <c r="V25" s="1288"/>
      <c r="W25" s="1532">
        <f t="shared" si="3"/>
        <v>381.66449999999998</v>
      </c>
      <c r="X25" s="834">
        <v>4.6829999999999998</v>
      </c>
      <c r="Y25" s="840">
        <v>1.4369089731340829</v>
      </c>
    </row>
    <row r="26" spans="1:25" s="844" customFormat="1" ht="15.75" thickBot="1">
      <c r="A26" s="834" t="s">
        <v>35</v>
      </c>
      <c r="B26" s="1294"/>
      <c r="C26" s="1293"/>
      <c r="D26" s="1293"/>
      <c r="E26" s="1450" t="s">
        <v>82</v>
      </c>
      <c r="F26" s="834" t="s">
        <v>247</v>
      </c>
      <c r="G26" s="834">
        <v>57</v>
      </c>
      <c r="H26" s="1438">
        <v>25</v>
      </c>
      <c r="I26" s="1438">
        <v>1573</v>
      </c>
      <c r="J26" s="1299"/>
      <c r="K26" s="1438">
        <v>8</v>
      </c>
      <c r="L26" s="1307">
        <f t="shared" si="0"/>
        <v>0.11664025356576861</v>
      </c>
      <c r="M26" s="1302"/>
      <c r="N26" s="1299"/>
      <c r="O26" s="1438">
        <v>631</v>
      </c>
      <c r="P26" s="1302"/>
      <c r="Q26" s="1299"/>
      <c r="R26" s="1438">
        <v>73.599999999999994</v>
      </c>
      <c r="S26" s="1315">
        <f t="shared" si="1"/>
        <v>2.5707511885895404</v>
      </c>
      <c r="T26" s="1315">
        <f t="shared" si="2"/>
        <v>3.5380421513452522</v>
      </c>
      <c r="U26" s="1302"/>
      <c r="V26" s="1299"/>
      <c r="W26" s="1533">
        <f t="shared" si="3"/>
        <v>322.14719999999994</v>
      </c>
      <c r="X26" s="834">
        <v>4.3769999999999998</v>
      </c>
      <c r="Y26" s="840">
        <v>1.2371248879371761</v>
      </c>
    </row>
    <row r="27" spans="1:25" s="844" customFormat="1" ht="15.75" thickTop="1">
      <c r="A27" s="834" t="s">
        <v>35</v>
      </c>
      <c r="B27" s="1273"/>
      <c r="C27" s="1272"/>
      <c r="D27" s="1272"/>
      <c r="E27" s="1450" t="s">
        <v>82</v>
      </c>
      <c r="F27" s="834" t="s">
        <v>249</v>
      </c>
      <c r="G27" s="834">
        <v>57</v>
      </c>
      <c r="H27" s="1438">
        <v>33</v>
      </c>
      <c r="I27" s="1438">
        <v>2658</v>
      </c>
      <c r="J27" s="1279"/>
      <c r="K27" s="1438">
        <v>9</v>
      </c>
      <c r="L27" s="1540">
        <f t="shared" si="0"/>
        <v>0.10660066006600659</v>
      </c>
      <c r="M27" s="1281"/>
      <c r="N27" s="1282"/>
      <c r="O27" s="1438">
        <v>909</v>
      </c>
      <c r="P27" s="1281"/>
      <c r="Q27" s="1282"/>
      <c r="R27" s="1438">
        <v>96.899999999999991</v>
      </c>
      <c r="S27" s="1534">
        <f t="shared" si="1"/>
        <v>3.8024455445544549</v>
      </c>
      <c r="T27" s="1534">
        <f t="shared" si="2"/>
        <v>3.2082061219052065</v>
      </c>
      <c r="U27" s="1281"/>
      <c r="V27" s="1282"/>
      <c r="W27" s="1534">
        <f t="shared" si="3"/>
        <v>386.04959999999994</v>
      </c>
      <c r="X27" s="834">
        <v>3.984</v>
      </c>
      <c r="Y27" s="840">
        <v>1.2418154721411991</v>
      </c>
    </row>
    <row r="28" spans="1:25" s="844" customFormat="1">
      <c r="A28" s="834" t="s">
        <v>35</v>
      </c>
      <c r="B28" s="1283"/>
      <c r="C28" s="1274"/>
      <c r="D28" s="1274"/>
      <c r="E28" s="1450" t="s">
        <v>82</v>
      </c>
      <c r="F28" s="834" t="s">
        <v>251</v>
      </c>
      <c r="G28" s="834">
        <v>57</v>
      </c>
      <c r="H28" s="1438">
        <v>24</v>
      </c>
      <c r="I28" s="1438">
        <v>1997</v>
      </c>
      <c r="J28" s="1288"/>
      <c r="K28" s="1438">
        <v>7</v>
      </c>
      <c r="L28" s="1541">
        <f t="shared" si="0"/>
        <v>0.11169652265542676</v>
      </c>
      <c r="M28" s="1291"/>
      <c r="N28" s="1288"/>
      <c r="O28" s="1438">
        <v>949</v>
      </c>
      <c r="P28" s="1291"/>
      <c r="Q28" s="1288"/>
      <c r="R28" s="1438">
        <v>106</v>
      </c>
      <c r="S28" s="1535">
        <f t="shared" si="1"/>
        <v>3.2905795574288721</v>
      </c>
      <c r="T28" s="1535">
        <f t="shared" si="2"/>
        <v>3.3262885064993841</v>
      </c>
      <c r="U28" s="1291"/>
      <c r="V28" s="1288"/>
      <c r="W28" s="1535">
        <f t="shared" si="3"/>
        <v>496.928</v>
      </c>
      <c r="X28" s="834">
        <v>4.6879999999999997</v>
      </c>
      <c r="Y28" s="840">
        <v>1.4093786485567643</v>
      </c>
    </row>
    <row r="29" spans="1:25" s="844" customFormat="1">
      <c r="A29" s="834" t="s">
        <v>35</v>
      </c>
      <c r="B29" s="1283"/>
      <c r="C29" s="1274"/>
      <c r="D29" s="1274"/>
      <c r="E29" s="1450" t="s">
        <v>82</v>
      </c>
      <c r="F29" s="834" t="s">
        <v>253</v>
      </c>
      <c r="G29" s="834">
        <v>57</v>
      </c>
      <c r="H29" s="1438">
        <v>34</v>
      </c>
      <c r="I29" s="1438">
        <v>2156</v>
      </c>
      <c r="J29" s="1288"/>
      <c r="K29" s="1438">
        <v>9</v>
      </c>
      <c r="L29" s="1541">
        <f t="shared" si="0"/>
        <v>0.10923694779116465</v>
      </c>
      <c r="M29" s="1291"/>
      <c r="N29" s="1288"/>
      <c r="O29" s="1438">
        <v>747</v>
      </c>
      <c r="P29" s="1291"/>
      <c r="Q29" s="1288"/>
      <c r="R29" s="1438">
        <v>81.599999999999994</v>
      </c>
      <c r="S29" s="1535">
        <f t="shared" si="1"/>
        <v>3.1711485943775095</v>
      </c>
      <c r="T29" s="1535">
        <f t="shared" si="2"/>
        <v>3.3571741143484739</v>
      </c>
      <c r="U29" s="1291"/>
      <c r="V29" s="1288"/>
      <c r="W29" s="1535">
        <f t="shared" si="3"/>
        <v>385.96800000000002</v>
      </c>
      <c r="X29" s="834">
        <v>4.7300000000000004</v>
      </c>
      <c r="Y29" s="840">
        <v>1.4089230522134986</v>
      </c>
    </row>
    <row r="30" spans="1:25" s="844" customFormat="1">
      <c r="A30" s="834" t="s">
        <v>35</v>
      </c>
      <c r="B30" s="1283"/>
      <c r="C30" s="1274"/>
      <c r="D30" s="1274"/>
      <c r="E30" s="1450" t="s">
        <v>82</v>
      </c>
      <c r="F30" s="834" t="s">
        <v>255</v>
      </c>
      <c r="G30" s="834">
        <v>57</v>
      </c>
      <c r="H30" s="1438">
        <v>38</v>
      </c>
      <c r="I30" s="1438">
        <v>2408</v>
      </c>
      <c r="J30" s="1288"/>
      <c r="K30" s="1438">
        <v>10</v>
      </c>
      <c r="L30" s="1541">
        <f t="shared" si="0"/>
        <v>0.12081081081081081</v>
      </c>
      <c r="M30" s="1291"/>
      <c r="N30" s="1288"/>
      <c r="O30" s="1438">
        <v>740</v>
      </c>
      <c r="P30" s="1291"/>
      <c r="Q30" s="1288"/>
      <c r="R30" s="1438">
        <v>89.4</v>
      </c>
      <c r="S30" s="1535">
        <f t="shared" si="1"/>
        <v>3.8031243243243238</v>
      </c>
      <c r="T30" s="1535">
        <f t="shared" si="2"/>
        <v>3.2080629625582251</v>
      </c>
      <c r="U30" s="1291"/>
      <c r="V30" s="1288"/>
      <c r="W30" s="1535">
        <f t="shared" si="3"/>
        <v>373.245</v>
      </c>
      <c r="X30" s="834">
        <v>4.1749999999999998</v>
      </c>
      <c r="Y30" s="840">
        <v>1.3014083728178154</v>
      </c>
    </row>
    <row r="31" spans="1:25" s="844" customFormat="1">
      <c r="A31" s="834" t="s">
        <v>35</v>
      </c>
      <c r="B31" s="1283"/>
      <c r="C31" s="1274"/>
      <c r="D31" s="1274"/>
      <c r="E31" s="1450" t="s">
        <v>82</v>
      </c>
      <c r="F31" s="834" t="s">
        <v>238</v>
      </c>
      <c r="G31" s="834">
        <v>57</v>
      </c>
      <c r="H31" s="1438">
        <v>31</v>
      </c>
      <c r="I31" s="1438">
        <v>2193</v>
      </c>
      <c r="J31" s="1288"/>
      <c r="K31" s="1438">
        <v>8</v>
      </c>
      <c r="L31" s="1541">
        <f t="shared" si="0"/>
        <v>0.11412066752246471</v>
      </c>
      <c r="M31" s="1291"/>
      <c r="N31" s="1288"/>
      <c r="O31" s="1438">
        <v>779</v>
      </c>
      <c r="P31" s="1291"/>
      <c r="Q31" s="1288"/>
      <c r="R31" s="1438">
        <v>88.9</v>
      </c>
      <c r="S31" s="1535">
        <f t="shared" si="1"/>
        <v>3.3916662387676513</v>
      </c>
      <c r="T31" s="1535">
        <f t="shared" si="2"/>
        <v>3.301222047355155</v>
      </c>
      <c r="U31" s="1291"/>
      <c r="V31" s="1288"/>
      <c r="W31" s="1535">
        <f t="shared" si="3"/>
        <v>385.47040000000004</v>
      </c>
      <c r="X31" s="834">
        <v>4.3360000000000003</v>
      </c>
      <c r="Y31" s="840">
        <v>1.3134529994654189</v>
      </c>
    </row>
    <row r="32" spans="1:25" s="844" customFormat="1">
      <c r="A32" s="834" t="s">
        <v>35</v>
      </c>
      <c r="B32" s="1283"/>
      <c r="C32" s="1274"/>
      <c r="D32" s="1274"/>
      <c r="E32" s="1450" t="s">
        <v>82</v>
      </c>
      <c r="F32" s="834" t="s">
        <v>258</v>
      </c>
      <c r="G32" s="834">
        <v>57</v>
      </c>
      <c r="H32" s="1438">
        <v>32</v>
      </c>
      <c r="I32" s="1438">
        <v>2239</v>
      </c>
      <c r="J32" s="1288"/>
      <c r="K32" s="1438">
        <v>9</v>
      </c>
      <c r="L32" s="1541">
        <f t="shared" si="0"/>
        <v>0.11999999999999998</v>
      </c>
      <c r="M32" s="1291"/>
      <c r="N32" s="1288"/>
      <c r="O32" s="1438">
        <v>595</v>
      </c>
      <c r="P32" s="1291"/>
      <c r="Q32" s="1288"/>
      <c r="R32" s="1438">
        <v>71.399999999999991</v>
      </c>
      <c r="S32" s="1535">
        <f t="shared" si="1"/>
        <v>3.4007999999999994</v>
      </c>
      <c r="T32" s="1535">
        <f t="shared" si="2"/>
        <v>3.2990032319158864</v>
      </c>
      <c r="U32" s="1291"/>
      <c r="V32" s="1288"/>
      <c r="W32" s="1535">
        <f t="shared" si="3"/>
        <v>286.88519999999994</v>
      </c>
      <c r="X32" s="834">
        <v>4.0179999999999998</v>
      </c>
      <c r="Y32" s="840">
        <v>1.2179436385900593</v>
      </c>
    </row>
    <row r="33" spans="1:25" s="844" customFormat="1">
      <c r="A33" s="834" t="s">
        <v>35</v>
      </c>
      <c r="B33" s="1283"/>
      <c r="C33" s="1274"/>
      <c r="D33" s="1274"/>
      <c r="E33" s="1450" t="s">
        <v>82</v>
      </c>
      <c r="F33" s="834" t="s">
        <v>260</v>
      </c>
      <c r="G33" s="834">
        <v>57</v>
      </c>
      <c r="H33" s="1438">
        <v>39</v>
      </c>
      <c r="I33" s="1438">
        <v>2702</v>
      </c>
      <c r="J33" s="1288"/>
      <c r="K33" s="1438">
        <v>10</v>
      </c>
      <c r="L33" s="1541">
        <f t="shared" si="0"/>
        <v>0.11349934469200523</v>
      </c>
      <c r="M33" s="1291"/>
      <c r="N33" s="1442"/>
      <c r="O33" s="1438">
        <v>763</v>
      </c>
      <c r="P33" s="1291"/>
      <c r="Q33" s="1288"/>
      <c r="R33" s="1438">
        <v>86.6</v>
      </c>
      <c r="S33" s="1532">
        <f t="shared" si="1"/>
        <v>3.9327522935779813</v>
      </c>
      <c r="T33" s="1532">
        <f t="shared" si="2"/>
        <v>3.1812944348340153</v>
      </c>
      <c r="U33" s="1291"/>
      <c r="V33" s="1288"/>
      <c r="W33" s="1532">
        <f t="shared" si="3"/>
        <v>402.17039999999997</v>
      </c>
      <c r="X33" s="834">
        <v>4.6440000000000001</v>
      </c>
      <c r="Y33" s="840">
        <v>1.4597831464921613</v>
      </c>
    </row>
    <row r="34" spans="1:25" s="844" customFormat="1">
      <c r="A34" s="834" t="s">
        <v>35</v>
      </c>
      <c r="B34" s="1283"/>
      <c r="C34" s="1274"/>
      <c r="D34" s="1274"/>
      <c r="E34" s="1450" t="s">
        <v>82</v>
      </c>
      <c r="F34" s="834" t="s">
        <v>239</v>
      </c>
      <c r="G34" s="834">
        <v>57</v>
      </c>
      <c r="H34" s="1438">
        <v>48</v>
      </c>
      <c r="I34" s="1438">
        <v>2385</v>
      </c>
      <c r="J34" s="1288"/>
      <c r="K34" s="1438">
        <v>12</v>
      </c>
      <c r="L34" s="1541">
        <f t="shared" si="0"/>
        <v>0.10759637188208616</v>
      </c>
      <c r="M34" s="1291"/>
      <c r="N34" s="1288"/>
      <c r="O34" s="1438">
        <v>882</v>
      </c>
      <c r="P34" s="1291"/>
      <c r="Q34" s="1288"/>
      <c r="R34" s="1438">
        <v>94.899999999999991</v>
      </c>
      <c r="S34" s="1532">
        <f t="shared" si="1"/>
        <v>3.5151734693877548</v>
      </c>
      <c r="T34" s="1532">
        <f t="shared" si="2"/>
        <v>3.2718344700454338</v>
      </c>
      <c r="U34" s="1291"/>
      <c r="V34" s="1288"/>
      <c r="W34" s="1532">
        <f t="shared" si="3"/>
        <v>386.52769999999998</v>
      </c>
      <c r="X34" s="834">
        <v>4.0730000000000004</v>
      </c>
      <c r="Y34" s="840">
        <v>1.2448673786187727</v>
      </c>
    </row>
    <row r="35" spans="1:25" s="844" customFormat="1">
      <c r="A35" s="834" t="s">
        <v>35</v>
      </c>
      <c r="B35" s="1283"/>
      <c r="C35" s="1274"/>
      <c r="D35" s="1274"/>
      <c r="E35" s="1450" t="s">
        <v>82</v>
      </c>
      <c r="F35" s="834" t="s">
        <v>240</v>
      </c>
      <c r="G35" s="834">
        <v>57</v>
      </c>
      <c r="H35" s="1438">
        <v>46</v>
      </c>
      <c r="I35" s="1438">
        <v>2637</v>
      </c>
      <c r="J35" s="1288"/>
      <c r="K35" s="1438">
        <v>10</v>
      </c>
      <c r="L35" s="1541">
        <f t="shared" si="0"/>
        <v>0.1127906976744186</v>
      </c>
      <c r="M35" s="1291"/>
      <c r="N35" s="1288"/>
      <c r="O35" s="1438">
        <v>860</v>
      </c>
      <c r="P35" s="1291"/>
      <c r="Q35" s="1288"/>
      <c r="R35" s="1438">
        <v>97</v>
      </c>
      <c r="S35" s="1532">
        <f t="shared" si="1"/>
        <v>3.9442906976744183</v>
      </c>
      <c r="T35" s="1532">
        <f t="shared" si="2"/>
        <v>3.1789652836512765</v>
      </c>
      <c r="U35" s="1291"/>
      <c r="V35" s="1288"/>
      <c r="W35" s="1532">
        <f t="shared" si="3"/>
        <v>414.18999999999994</v>
      </c>
      <c r="X35" s="834">
        <v>4.2699999999999996</v>
      </c>
      <c r="Y35" s="840">
        <v>1.3432043507866149</v>
      </c>
    </row>
    <row r="36" spans="1:25" s="844" customFormat="1">
      <c r="A36" s="834" t="s">
        <v>35</v>
      </c>
      <c r="B36" s="1283"/>
      <c r="C36" s="1274"/>
      <c r="D36" s="1274"/>
      <c r="E36" s="1450" t="s">
        <v>82</v>
      </c>
      <c r="F36" s="834" t="s">
        <v>264</v>
      </c>
      <c r="G36" s="834">
        <v>57</v>
      </c>
      <c r="H36" s="1438">
        <v>41</v>
      </c>
      <c r="I36" s="1438">
        <v>3152</v>
      </c>
      <c r="J36" s="1288"/>
      <c r="K36" s="1438">
        <v>11</v>
      </c>
      <c r="L36" s="1541">
        <f t="shared" si="0"/>
        <v>0.11177370030581039</v>
      </c>
      <c r="M36" s="1291"/>
      <c r="N36" s="1288"/>
      <c r="O36" s="1438">
        <v>654</v>
      </c>
      <c r="P36" s="1291"/>
      <c r="Q36" s="1288"/>
      <c r="R36" s="1438">
        <v>73.099999999999994</v>
      </c>
      <c r="S36" s="1532">
        <f t="shared" si="1"/>
        <v>4.2541070336391433</v>
      </c>
      <c r="T36" s="1532">
        <f t="shared" si="2"/>
        <v>3.1194347861820342</v>
      </c>
      <c r="U36" s="1291"/>
      <c r="V36" s="1288"/>
      <c r="W36" s="1532">
        <f t="shared" si="3"/>
        <v>292.83859999999999</v>
      </c>
      <c r="X36" s="834">
        <v>4.0060000000000002</v>
      </c>
      <c r="Y36" s="840">
        <v>1.2842070036998783</v>
      </c>
    </row>
    <row r="37" spans="1:25" s="844" customFormat="1">
      <c r="A37" s="834" t="s">
        <v>35</v>
      </c>
      <c r="B37" s="1283"/>
      <c r="C37" s="1274"/>
      <c r="D37" s="1274"/>
      <c r="E37" s="1450" t="s">
        <v>82</v>
      </c>
      <c r="F37" s="834" t="s">
        <v>266</v>
      </c>
      <c r="G37" s="834">
        <v>57</v>
      </c>
      <c r="H37" s="1438">
        <v>33</v>
      </c>
      <c r="I37" s="1438">
        <v>2818</v>
      </c>
      <c r="J37" s="1288"/>
      <c r="K37" s="1438">
        <v>11</v>
      </c>
      <c r="L37" s="1541">
        <f t="shared" si="0"/>
        <v>0.10496000000000001</v>
      </c>
      <c r="M37" s="1291"/>
      <c r="N37" s="1288"/>
      <c r="O37" s="1438">
        <v>625</v>
      </c>
      <c r="P37" s="1291"/>
      <c r="Q37" s="1288"/>
      <c r="R37" s="1438">
        <v>65.600000000000009</v>
      </c>
      <c r="S37" s="1532">
        <f t="shared" si="1"/>
        <v>3.6137728000000005</v>
      </c>
      <c r="T37" s="1532">
        <f t="shared" si="2"/>
        <v>3.2492849785475029</v>
      </c>
      <c r="U37" s="1291"/>
      <c r="V37" s="1288"/>
      <c r="W37" s="1532">
        <f t="shared" si="3"/>
        <v>289.62400000000002</v>
      </c>
      <c r="X37" s="834">
        <v>4.415</v>
      </c>
      <c r="Y37" s="840">
        <v>1.3587604747348434</v>
      </c>
    </row>
    <row r="38" spans="1:25" s="844" customFormat="1" ht="15.75" thickBot="1">
      <c r="A38" s="834" t="s">
        <v>35</v>
      </c>
      <c r="B38" s="1294"/>
      <c r="C38" s="1293"/>
      <c r="D38" s="1293"/>
      <c r="E38" s="1450" t="s">
        <v>82</v>
      </c>
      <c r="F38" s="834" t="s">
        <v>268</v>
      </c>
      <c r="G38" s="834">
        <v>57</v>
      </c>
      <c r="H38" s="1438">
        <v>33</v>
      </c>
      <c r="I38" s="1438">
        <v>2826</v>
      </c>
      <c r="J38" s="1299"/>
      <c r="K38" s="1438">
        <v>9</v>
      </c>
      <c r="L38" s="1544">
        <f t="shared" si="0"/>
        <v>0.10892116182572614</v>
      </c>
      <c r="M38" s="1295"/>
      <c r="N38" s="1299"/>
      <c r="O38" s="1438">
        <v>482</v>
      </c>
      <c r="P38" s="1302"/>
      <c r="Q38" s="1299"/>
      <c r="R38" s="1438">
        <v>52.5</v>
      </c>
      <c r="S38" s="1533">
        <f t="shared" si="1"/>
        <v>3.6031120331950204</v>
      </c>
      <c r="T38" s="1533">
        <f t="shared" si="2"/>
        <v>3.2516857852037089</v>
      </c>
      <c r="U38" s="1302"/>
      <c r="V38" s="1299"/>
      <c r="W38" s="1533">
        <f t="shared" si="3"/>
        <v>257.30250000000001</v>
      </c>
      <c r="X38" s="834">
        <v>4.9009999999999998</v>
      </c>
      <c r="Y38" s="840">
        <v>1.5072182011869779</v>
      </c>
    </row>
    <row r="39" spans="1:25" s="844" customFormat="1" ht="15.75" thickTop="1">
      <c r="A39" s="834" t="s">
        <v>35</v>
      </c>
      <c r="B39" s="772"/>
      <c r="C39" s="772"/>
      <c r="D39" s="772"/>
      <c r="E39" s="1450" t="s">
        <v>82</v>
      </c>
      <c r="F39" s="834" t="s">
        <v>270</v>
      </c>
      <c r="G39" s="834">
        <v>57</v>
      </c>
      <c r="H39" s="1438">
        <v>40</v>
      </c>
      <c r="I39" s="1438">
        <v>3424</v>
      </c>
      <c r="J39" s="772"/>
      <c r="K39" s="1438">
        <v>10</v>
      </c>
      <c r="L39" s="1545">
        <f t="shared" si="0"/>
        <v>0.11216475095785441</v>
      </c>
      <c r="M39" s="772"/>
      <c r="N39" s="772"/>
      <c r="O39" s="1438">
        <v>1044</v>
      </c>
      <c r="P39" s="772"/>
      <c r="Q39" s="772"/>
      <c r="R39" s="1438">
        <v>117.10000000000001</v>
      </c>
      <c r="S39" s="1536">
        <f t="shared" si="1"/>
        <v>5.0115210727969357</v>
      </c>
      <c r="T39" s="1536">
        <f t="shared" si="2"/>
        <v>2.994233215751398</v>
      </c>
      <c r="U39" s="772"/>
      <c r="V39" s="772"/>
      <c r="W39" s="1536">
        <f t="shared" si="3"/>
        <v>520.50950000000012</v>
      </c>
      <c r="X39" s="834">
        <v>4.4450000000000003</v>
      </c>
      <c r="Y39" s="840">
        <v>1.4845203027662406</v>
      </c>
    </row>
    <row r="40" spans="1:25" s="844" customFormat="1">
      <c r="A40" s="834" t="s">
        <v>35</v>
      </c>
      <c r="C40" s="772"/>
      <c r="D40" s="772"/>
      <c r="E40" s="1450" t="s">
        <v>82</v>
      </c>
      <c r="F40" s="834" t="s">
        <v>272</v>
      </c>
      <c r="G40" s="834">
        <v>57</v>
      </c>
      <c r="H40" s="1438">
        <v>31</v>
      </c>
      <c r="I40" s="1438">
        <v>2455</v>
      </c>
      <c r="K40" s="1438">
        <v>9</v>
      </c>
      <c r="L40" s="1546">
        <f t="shared" si="0"/>
        <v>0.12429530201342283</v>
      </c>
      <c r="O40" s="1438">
        <v>745</v>
      </c>
      <c r="R40" s="1438">
        <v>92.600000000000009</v>
      </c>
      <c r="S40" s="1536">
        <f t="shared" si="1"/>
        <v>3.9774496644295305</v>
      </c>
      <c r="T40" s="1536">
        <f t="shared" si="2"/>
        <v>3.172318916655136</v>
      </c>
      <c r="U40" s="772"/>
      <c r="V40" s="772"/>
      <c r="W40" s="1536">
        <f t="shared" si="3"/>
        <v>407.34740000000005</v>
      </c>
      <c r="X40" s="834">
        <v>4.399</v>
      </c>
      <c r="Y40" s="840">
        <v>1.3866827754626465</v>
      </c>
    </row>
    <row r="41" spans="1:25" s="844" customFormat="1">
      <c r="A41" s="834" t="s">
        <v>35</v>
      </c>
      <c r="B41" s="772"/>
      <c r="C41" s="772"/>
      <c r="D41" s="772"/>
      <c r="E41" s="1450" t="s">
        <v>82</v>
      </c>
      <c r="F41" s="834" t="s">
        <v>274</v>
      </c>
      <c r="G41" s="834">
        <v>57</v>
      </c>
      <c r="H41" s="1438">
        <v>37</v>
      </c>
      <c r="I41" s="1438">
        <v>2576</v>
      </c>
      <c r="J41" s="772"/>
      <c r="K41" s="1438">
        <v>9</v>
      </c>
      <c r="L41" s="1545">
        <f t="shared" si="0"/>
        <v>0.10470588235294118</v>
      </c>
      <c r="M41" s="772"/>
      <c r="N41" s="772"/>
      <c r="O41" s="1438">
        <v>680</v>
      </c>
      <c r="P41" s="772"/>
      <c r="Q41" s="772"/>
      <c r="R41" s="1438">
        <v>71.2</v>
      </c>
      <c r="S41" s="1536">
        <f t="shared" si="1"/>
        <v>3.409223529411765</v>
      </c>
      <c r="T41" s="1536">
        <f t="shared" si="2"/>
        <v>3.2969635419484447</v>
      </c>
      <c r="U41" s="772"/>
      <c r="V41" s="772"/>
      <c r="W41" s="1536">
        <f t="shared" si="3"/>
        <v>318.05039999999997</v>
      </c>
      <c r="X41" s="834">
        <v>4.4669999999999996</v>
      </c>
      <c r="Y41" s="840">
        <v>1.3548830440994459</v>
      </c>
    </row>
    <row r="42" spans="1:25" s="844" customFormat="1">
      <c r="A42" s="834" t="s">
        <v>35</v>
      </c>
      <c r="B42" s="772"/>
      <c r="C42" s="772"/>
      <c r="D42" s="772"/>
      <c r="E42" s="1450" t="s">
        <v>82</v>
      </c>
      <c r="F42" s="834" t="s">
        <v>276</v>
      </c>
      <c r="G42" s="834">
        <v>57</v>
      </c>
      <c r="H42" s="1438">
        <v>39</v>
      </c>
      <c r="I42" s="1438">
        <v>2556</v>
      </c>
      <c r="J42" s="772"/>
      <c r="K42" s="1438">
        <v>10</v>
      </c>
      <c r="L42" s="1545">
        <f t="shared" si="0"/>
        <v>0.11155327342747112</v>
      </c>
      <c r="M42" s="772"/>
      <c r="N42" s="772"/>
      <c r="O42" s="1438">
        <v>779</v>
      </c>
      <c r="P42" s="772"/>
      <c r="Q42" s="772"/>
      <c r="R42" s="1438">
        <v>86.9</v>
      </c>
      <c r="S42" s="1536">
        <f t="shared" si="1"/>
        <v>3.7203016688061621</v>
      </c>
      <c r="T42" s="1536">
        <f t="shared" si="2"/>
        <v>3.2257705654686166</v>
      </c>
      <c r="U42" s="772"/>
      <c r="V42" s="772"/>
      <c r="W42" s="1536">
        <f t="shared" si="3"/>
        <v>380.01370000000003</v>
      </c>
      <c r="X42" s="834">
        <v>4.3730000000000002</v>
      </c>
      <c r="Y42" s="840">
        <v>1.355645081151245</v>
      </c>
    </row>
    <row r="43" spans="1:25">
      <c r="A43" s="56" t="s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4"/>
      <c r="T43" s="4"/>
      <c r="U43" s="1"/>
      <c r="V43" s="1"/>
      <c r="W43" s="4"/>
      <c r="X43" s="4"/>
      <c r="Y43" s="4"/>
    </row>
    <row r="44" spans="1:25">
      <c r="A44" s="56" t="s">
        <v>42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4"/>
      <c r="T44" s="4"/>
      <c r="U44" s="1"/>
      <c r="V44" s="1"/>
      <c r="W44" s="4"/>
      <c r="X44" s="4"/>
      <c r="Y44" s="4"/>
    </row>
    <row r="45" spans="1:25">
      <c r="A45" s="55" t="s">
        <v>87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750" t="s">
        <v>390</v>
      </c>
      <c r="N45" s="751"/>
      <c r="O45" s="751"/>
      <c r="P45" s="1"/>
      <c r="Q45" s="1"/>
      <c r="R45" s="1"/>
      <c r="S45" s="4"/>
      <c r="T45" s="4"/>
      <c r="U45" s="1"/>
      <c r="V45" s="1"/>
      <c r="W45" s="4"/>
      <c r="X45" s="4"/>
      <c r="Y45" s="4"/>
    </row>
    <row r="46" spans="1:25">
      <c r="A46" s="55" t="s">
        <v>44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6"/>
      <c r="N46" s="752" t="s">
        <v>63</v>
      </c>
      <c r="O46" s="753" t="s">
        <v>64</v>
      </c>
      <c r="P46" s="1"/>
      <c r="Q46" s="1"/>
      <c r="R46" s="1"/>
      <c r="S46" s="4"/>
      <c r="T46" s="4"/>
      <c r="U46" s="1"/>
      <c r="V46" s="1"/>
      <c r="W46" s="4"/>
      <c r="X46" s="4"/>
      <c r="Y46" s="4"/>
    </row>
    <row r="47" spans="1:25">
      <c r="A47" s="55" t="s">
        <v>45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6" t="s">
        <v>391</v>
      </c>
      <c r="N47" s="774">
        <f>AVERAGE(Y3:Y22)</f>
        <v>0.87282001590135183</v>
      </c>
      <c r="O47" s="774">
        <f>AVERAGE(Y23:Y42)</f>
        <v>1.3545382344374093</v>
      </c>
      <c r="P47" s="1"/>
      <c r="Q47" s="1"/>
      <c r="R47" s="1"/>
      <c r="S47" s="4"/>
      <c r="T47" s="4"/>
      <c r="U47" s="1"/>
      <c r="V47" s="1"/>
      <c r="W47" s="4"/>
      <c r="X47" s="4"/>
      <c r="Y47" s="4"/>
    </row>
    <row r="48" spans="1:25">
      <c r="A48" s="56" t="s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6" t="s">
        <v>25</v>
      </c>
      <c r="N48" s="774">
        <f>AVERAGE(W3:W22)</f>
        <v>107.43498499999998</v>
      </c>
      <c r="O48" s="774">
        <f>AVERAGE(W23:W42)</f>
        <v>372.1925149999999</v>
      </c>
      <c r="P48" s="1"/>
      <c r="Q48" s="1"/>
      <c r="R48" s="1"/>
      <c r="S48" s="4"/>
      <c r="T48" s="4"/>
      <c r="U48" s="1"/>
      <c r="V48" s="1"/>
      <c r="W48" s="4"/>
      <c r="X48" s="4"/>
      <c r="Y48" s="4"/>
    </row>
    <row r="49" spans="1:25">
      <c r="A49" s="56" t="s">
        <v>47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6" t="s">
        <v>392</v>
      </c>
      <c r="N49" s="774">
        <f>AVERAGE(X3:X22)</f>
        <v>3.5188999999999995</v>
      </c>
      <c r="O49" s="774">
        <f>AVERAGE(X23:X42)</f>
        <v>4.3796499999999998</v>
      </c>
      <c r="P49" s="1"/>
      <c r="Q49" s="1"/>
      <c r="R49" s="1"/>
      <c r="S49" s="4"/>
      <c r="T49" s="4"/>
      <c r="U49" s="1"/>
      <c r="V49" s="1"/>
      <c r="W49" s="4"/>
      <c r="X49" s="4"/>
      <c r="Y49" s="4"/>
    </row>
    <row r="50" spans="1:25">
      <c r="A50" s="56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6" t="s">
        <v>393</v>
      </c>
      <c r="N50" s="774">
        <f>AVERAGE(S3:S22)</f>
        <v>1.6251313857108864</v>
      </c>
      <c r="O50" s="774">
        <f>AVERAGE(S23:S42)</f>
        <v>3.715629100870578</v>
      </c>
      <c r="P50" s="1"/>
      <c r="Q50" s="1"/>
      <c r="R50" s="1"/>
      <c r="S50" s="4"/>
      <c r="T50" s="4"/>
      <c r="U50" s="1"/>
      <c r="V50" s="1"/>
      <c r="W50" s="4"/>
      <c r="X50" s="4"/>
      <c r="Y50" s="4"/>
    </row>
    <row r="51" spans="1:25">
      <c r="A51" s="56" t="s">
        <v>49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4"/>
      <c r="P51" s="1"/>
      <c r="Q51" s="1"/>
      <c r="R51" s="1"/>
      <c r="S51" s="4"/>
      <c r="T51" s="4"/>
      <c r="U51" s="1"/>
      <c r="V51" s="1"/>
      <c r="W51" s="4"/>
      <c r="X51" s="4"/>
      <c r="Y51" s="4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"/>
      <c r="P52" s="1"/>
      <c r="Q52" s="1"/>
      <c r="R52" s="1"/>
      <c r="S52" s="4"/>
      <c r="T52" s="4"/>
      <c r="U52" s="1"/>
      <c r="V52" s="1"/>
      <c r="W52" s="4"/>
      <c r="X52" s="4"/>
      <c r="Y52" s="4"/>
    </row>
    <row r="53" spans="1:25">
      <c r="A53" s="1" t="s">
        <v>50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"/>
      <c r="P53" s="1"/>
      <c r="Q53" s="1"/>
      <c r="R53" s="1"/>
      <c r="S53" s="4"/>
      <c r="T53" s="4"/>
      <c r="U53" s="1"/>
      <c r="V53" s="1"/>
      <c r="W53" s="4"/>
      <c r="X53" s="4"/>
      <c r="Y53" s="4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/>
      <c r="P54" s="1"/>
      <c r="Q54" s="1"/>
      <c r="R54" s="1"/>
      <c r="S54" s="4"/>
      <c r="T54" s="4"/>
      <c r="U54" s="1"/>
      <c r="V54" s="1"/>
      <c r="W54" s="4"/>
      <c r="X54" s="4"/>
      <c r="Y54" s="4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4"/>
      <c r="P55" s="1"/>
      <c r="Q55" s="1"/>
      <c r="R55" s="1"/>
      <c r="S55" s="4"/>
      <c r="T55" s="4"/>
      <c r="U55" s="1"/>
      <c r="V55" s="1"/>
      <c r="W55" s="4"/>
      <c r="X55" s="4"/>
      <c r="Y55" s="4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"/>
      <c r="P56" s="1"/>
      <c r="Q56" s="1"/>
      <c r="R56" s="1"/>
      <c r="S56" s="4"/>
      <c r="T56" s="4"/>
      <c r="U56" s="1"/>
      <c r="V56" s="1"/>
      <c r="W56" s="4"/>
      <c r="X56" s="4"/>
      <c r="Y56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Y40"/>
  <sheetViews>
    <sheetView topLeftCell="D1" workbookViewId="0">
      <selection activeCell="P29" sqref="P29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35</v>
      </c>
      <c r="B3" s="1069"/>
      <c r="C3" s="1070"/>
      <c r="D3" s="1070"/>
      <c r="E3" s="1107" t="s">
        <v>79</v>
      </c>
      <c r="F3" s="1107" t="s">
        <v>76</v>
      </c>
      <c r="G3" s="1073" t="s">
        <v>242</v>
      </c>
      <c r="H3" s="1108">
        <v>26</v>
      </c>
      <c r="I3" s="1108">
        <v>2796</v>
      </c>
      <c r="J3" s="1075"/>
      <c r="K3" s="1108">
        <v>6</v>
      </c>
      <c r="L3" s="1499">
        <f>R3/O3</f>
        <v>0.12542997542997542</v>
      </c>
      <c r="M3" s="1077"/>
      <c r="N3" s="1075"/>
      <c r="O3" s="1108">
        <v>814</v>
      </c>
      <c r="P3" s="1077"/>
      <c r="Q3" s="1075"/>
      <c r="R3" s="1108">
        <v>102.1</v>
      </c>
      <c r="S3" s="1078">
        <f>(R3+(I3*L3))/100</f>
        <v>4.5280221130221125</v>
      </c>
      <c r="T3" s="1078">
        <f>MIN(4.63,4.48*S3^(-0.25))</f>
        <v>3.0711489435539505</v>
      </c>
      <c r="U3" s="1077"/>
      <c r="V3" s="1075"/>
      <c r="W3" s="1140">
        <f>X3*R3</f>
        <v>310.48609999999996</v>
      </c>
      <c r="X3" s="976">
        <v>3.0409999999999999</v>
      </c>
      <c r="Y3" s="862">
        <v>0.99018317114927612</v>
      </c>
    </row>
    <row r="4" spans="1:25" s="866" customFormat="1">
      <c r="A4" s="856" t="s">
        <v>35</v>
      </c>
      <c r="B4" s="961"/>
      <c r="C4" s="960"/>
      <c r="D4" s="960"/>
      <c r="E4" s="1107" t="s">
        <v>79</v>
      </c>
      <c r="F4" s="1107" t="s">
        <v>237</v>
      </c>
      <c r="G4" s="1073" t="s">
        <v>242</v>
      </c>
      <c r="H4" s="1108">
        <v>25</v>
      </c>
      <c r="I4" s="1108">
        <v>2652</v>
      </c>
      <c r="J4" s="1080"/>
      <c r="K4" s="1108">
        <v>6</v>
      </c>
      <c r="L4" s="1500">
        <f t="shared" ref="L4:L22" si="0">R4/O4</f>
        <v>0.11843654344242995</v>
      </c>
      <c r="M4" s="1082"/>
      <c r="N4" s="1080"/>
      <c r="O4" s="1108">
        <v>849.4</v>
      </c>
      <c r="P4" s="1082"/>
      <c r="Q4" s="1080"/>
      <c r="R4" s="1108">
        <v>100.6</v>
      </c>
      <c r="S4" s="1083">
        <f t="shared" ref="S4:S22" si="1">(R4+(I4*L4))/100</f>
        <v>4.1469371320932416</v>
      </c>
      <c r="T4" s="1083">
        <f t="shared" ref="T4:T22" si="2">MIN(4.63,4.48*S4^(-0.25))</f>
        <v>3.1393963653417312</v>
      </c>
      <c r="U4" s="1082"/>
      <c r="V4" s="1080"/>
      <c r="W4" s="1142">
        <f t="shared" ref="W4:W22" si="3">X4*R4</f>
        <v>346.96939999999995</v>
      </c>
      <c r="X4" s="976">
        <v>3.4489999999999998</v>
      </c>
      <c r="Y4" s="862">
        <v>1.0986188421685861</v>
      </c>
    </row>
    <row r="5" spans="1:25" s="866" customFormat="1">
      <c r="A5" s="856" t="s">
        <v>35</v>
      </c>
      <c r="B5" s="961"/>
      <c r="C5" s="960"/>
      <c r="D5" s="960"/>
      <c r="E5" s="1107" t="s">
        <v>79</v>
      </c>
      <c r="F5" s="1107" t="s">
        <v>298</v>
      </c>
      <c r="G5" s="1073" t="s">
        <v>242</v>
      </c>
      <c r="H5" s="1108">
        <v>27</v>
      </c>
      <c r="I5" s="1108">
        <v>2887</v>
      </c>
      <c r="J5" s="1080"/>
      <c r="K5" s="1108">
        <v>7</v>
      </c>
      <c r="L5" s="1501">
        <f t="shared" si="0"/>
        <v>0.10352888789936547</v>
      </c>
      <c r="M5" s="1082"/>
      <c r="N5" s="1080"/>
      <c r="O5" s="1108">
        <v>898.3</v>
      </c>
      <c r="P5" s="1082"/>
      <c r="Q5" s="1080"/>
      <c r="R5" s="1108">
        <v>93</v>
      </c>
      <c r="S5" s="1085">
        <f t="shared" si="1"/>
        <v>3.9188789936546811</v>
      </c>
      <c r="T5" s="1085">
        <f t="shared" si="2"/>
        <v>3.1841062453895619</v>
      </c>
      <c r="U5" s="1082"/>
      <c r="V5" s="1080"/>
      <c r="W5" s="1547">
        <f t="shared" si="3"/>
        <v>328.01100000000002</v>
      </c>
      <c r="X5" s="976">
        <v>3.5270000000000001</v>
      </c>
      <c r="Y5" s="862">
        <v>1.1076891686974741</v>
      </c>
    </row>
    <row r="6" spans="1:25" s="866" customFormat="1">
      <c r="A6" s="856" t="s">
        <v>35</v>
      </c>
      <c r="B6" s="961"/>
      <c r="C6" s="960"/>
      <c r="D6" s="960"/>
      <c r="E6" s="1107" t="s">
        <v>79</v>
      </c>
      <c r="F6" s="1107" t="s">
        <v>245</v>
      </c>
      <c r="G6" s="1073" t="s">
        <v>242</v>
      </c>
      <c r="H6" s="1108">
        <v>21</v>
      </c>
      <c r="I6" s="1108">
        <v>2749</v>
      </c>
      <c r="J6" s="1080"/>
      <c r="K6" s="1108">
        <v>6</v>
      </c>
      <c r="L6" s="1306">
        <f t="shared" si="0"/>
        <v>0.12488822652757078</v>
      </c>
      <c r="M6" s="1082"/>
      <c r="N6" s="1080"/>
      <c r="O6" s="1108">
        <v>671</v>
      </c>
      <c r="P6" s="1082"/>
      <c r="Q6" s="1080"/>
      <c r="R6" s="1108">
        <v>83.8</v>
      </c>
      <c r="S6" s="971">
        <f t="shared" si="1"/>
        <v>4.2711773472429213</v>
      </c>
      <c r="T6" s="971">
        <f t="shared" si="2"/>
        <v>3.1163132976792354</v>
      </c>
      <c r="U6" s="1082"/>
      <c r="V6" s="1080"/>
      <c r="W6" s="1142">
        <f t="shared" si="3"/>
        <v>255.7576</v>
      </c>
      <c r="X6" s="976">
        <v>3.052</v>
      </c>
      <c r="Y6" s="862">
        <v>0.97936237741977639</v>
      </c>
    </row>
    <row r="7" spans="1:25" s="866" customFormat="1">
      <c r="A7" s="856" t="s">
        <v>35</v>
      </c>
      <c r="B7" s="961"/>
      <c r="C7" s="960"/>
      <c r="D7" s="960"/>
      <c r="E7" s="1107" t="s">
        <v>79</v>
      </c>
      <c r="F7" s="1107" t="s">
        <v>247</v>
      </c>
      <c r="G7" s="1073" t="s">
        <v>242</v>
      </c>
      <c r="H7" s="1108">
        <v>32</v>
      </c>
      <c r="I7" s="1108">
        <v>3768</v>
      </c>
      <c r="J7" s="1080"/>
      <c r="K7" s="1108">
        <v>8</v>
      </c>
      <c r="L7" s="1306">
        <f t="shared" si="0"/>
        <v>0.12657135814641363</v>
      </c>
      <c r="M7" s="1082"/>
      <c r="N7" s="1080"/>
      <c r="O7" s="1108">
        <v>811.4</v>
      </c>
      <c r="P7" s="1082"/>
      <c r="Q7" s="1080"/>
      <c r="R7" s="1108">
        <v>102.7</v>
      </c>
      <c r="S7" s="971">
        <f t="shared" si="1"/>
        <v>5.7962087749568658</v>
      </c>
      <c r="T7" s="971">
        <f t="shared" si="2"/>
        <v>2.8873006524250489</v>
      </c>
      <c r="U7" s="1082"/>
      <c r="V7" s="1080"/>
      <c r="W7" s="1142">
        <f t="shared" si="3"/>
        <v>272.77120000000002</v>
      </c>
      <c r="X7" s="976">
        <v>2.6560000000000001</v>
      </c>
      <c r="Y7" s="862">
        <v>0.91989034732812491</v>
      </c>
    </row>
    <row r="8" spans="1:25" s="866" customFormat="1" ht="15.75" thickBot="1">
      <c r="A8" s="856" t="s">
        <v>35</v>
      </c>
      <c r="B8" s="1088"/>
      <c r="C8" s="1089"/>
      <c r="D8" s="1089"/>
      <c r="E8" s="1107" t="s">
        <v>79</v>
      </c>
      <c r="F8" s="1107" t="s">
        <v>249</v>
      </c>
      <c r="G8" s="1073" t="s">
        <v>242</v>
      </c>
      <c r="H8" s="1108">
        <v>17</v>
      </c>
      <c r="I8" s="1108">
        <v>2359</v>
      </c>
      <c r="J8" s="1090"/>
      <c r="K8" s="1108">
        <v>6</v>
      </c>
      <c r="L8" s="1508">
        <f t="shared" si="0"/>
        <v>0.12976958525345622</v>
      </c>
      <c r="M8" s="1092"/>
      <c r="N8" s="1090"/>
      <c r="O8" s="1108">
        <v>1085</v>
      </c>
      <c r="P8" s="1092"/>
      <c r="Q8" s="1090"/>
      <c r="R8" s="1108">
        <v>140.80000000000001</v>
      </c>
      <c r="S8" s="1093">
        <f t="shared" si="1"/>
        <v>4.4692645161290327</v>
      </c>
      <c r="T8" s="1093">
        <f t="shared" si="2"/>
        <v>3.0811936854044095</v>
      </c>
      <c r="U8" s="1092"/>
      <c r="V8" s="1090"/>
      <c r="W8" s="1548">
        <f t="shared" si="3"/>
        <v>464.49920000000003</v>
      </c>
      <c r="X8" s="976">
        <v>3.2989999999999999</v>
      </c>
      <c r="Y8" s="862">
        <v>1.0706889396883215</v>
      </c>
    </row>
    <row r="9" spans="1:25" s="866" customFormat="1" ht="15.75" thickTop="1">
      <c r="A9" s="856" t="s">
        <v>35</v>
      </c>
      <c r="B9" s="1069"/>
      <c r="C9" s="1070"/>
      <c r="D9" s="1070"/>
      <c r="E9" s="1107" t="s">
        <v>79</v>
      </c>
      <c r="F9" s="1107" t="s">
        <v>251</v>
      </c>
      <c r="G9" s="1073" t="s">
        <v>242</v>
      </c>
      <c r="H9" s="1108">
        <v>15</v>
      </c>
      <c r="I9" s="1108">
        <v>1969</v>
      </c>
      <c r="J9" s="1075"/>
      <c r="K9" s="1108">
        <v>6</v>
      </c>
      <c r="L9" s="1509">
        <f t="shared" si="0"/>
        <v>0.12743953294412011</v>
      </c>
      <c r="M9" s="1077"/>
      <c r="N9" s="1075"/>
      <c r="O9" s="1108">
        <v>1199</v>
      </c>
      <c r="P9" s="1077"/>
      <c r="Q9" s="1075"/>
      <c r="R9" s="1108">
        <v>152.80000000000001</v>
      </c>
      <c r="S9" s="1096">
        <f t="shared" si="1"/>
        <v>4.0372844036697249</v>
      </c>
      <c r="T9" s="1096">
        <f t="shared" si="2"/>
        <v>3.1604991508808884</v>
      </c>
      <c r="U9" s="1077"/>
      <c r="V9" s="1075"/>
      <c r="W9" s="1549">
        <f t="shared" si="3"/>
        <v>476.12480000000005</v>
      </c>
      <c r="X9" s="976">
        <v>3.1160000000000001</v>
      </c>
      <c r="Y9" s="862">
        <v>0.98592021425840726</v>
      </c>
    </row>
    <row r="10" spans="1:25" s="866" customFormat="1">
      <c r="A10" s="856" t="s">
        <v>35</v>
      </c>
      <c r="B10" s="961"/>
      <c r="C10" s="960"/>
      <c r="D10" s="960"/>
      <c r="E10" s="1107" t="s">
        <v>79</v>
      </c>
      <c r="F10" s="1107" t="s">
        <v>253</v>
      </c>
      <c r="G10" s="1073" t="s">
        <v>242</v>
      </c>
      <c r="H10" s="1108">
        <v>23</v>
      </c>
      <c r="I10" s="1108">
        <v>2762</v>
      </c>
      <c r="J10" s="1080"/>
      <c r="K10" s="1108">
        <v>6</v>
      </c>
      <c r="L10" s="1306">
        <f t="shared" si="0"/>
        <v>0.10869565217391304</v>
      </c>
      <c r="M10" s="1082"/>
      <c r="N10" s="1080"/>
      <c r="O10" s="1108">
        <v>745.2</v>
      </c>
      <c r="P10" s="1082"/>
      <c r="Q10" s="1080"/>
      <c r="R10" s="1108">
        <v>81</v>
      </c>
      <c r="S10" s="971">
        <f t="shared" si="1"/>
        <v>3.8121739130434782</v>
      </c>
      <c r="T10" s="1098">
        <f t="shared" si="2"/>
        <v>3.2061573877556757</v>
      </c>
      <c r="U10" s="1082"/>
      <c r="V10" s="1080"/>
      <c r="W10" s="1142">
        <f t="shared" si="3"/>
        <v>294.51600000000002</v>
      </c>
      <c r="X10" s="976">
        <v>3.6360000000000001</v>
      </c>
      <c r="Y10" s="862">
        <v>1.134067845167519</v>
      </c>
    </row>
    <row r="11" spans="1:25" s="866" customFormat="1">
      <c r="A11" s="856" t="s">
        <v>35</v>
      </c>
      <c r="B11" s="961"/>
      <c r="C11" s="960"/>
      <c r="D11" s="960"/>
      <c r="E11" s="1107" t="s">
        <v>79</v>
      </c>
      <c r="F11" s="1107" t="s">
        <v>255</v>
      </c>
      <c r="G11" s="1073" t="s">
        <v>242</v>
      </c>
      <c r="H11" s="1108">
        <v>25</v>
      </c>
      <c r="I11" s="1108">
        <v>3049</v>
      </c>
      <c r="J11" s="1080"/>
      <c r="K11" s="1108">
        <v>6</v>
      </c>
      <c r="L11" s="1306">
        <f t="shared" si="0"/>
        <v>0.11203946844911276</v>
      </c>
      <c r="M11" s="1082"/>
      <c r="N11" s="1080"/>
      <c r="O11" s="1108">
        <v>1256.7</v>
      </c>
      <c r="P11" s="1082"/>
      <c r="Q11" s="1080"/>
      <c r="R11" s="1108">
        <v>140.80000000000001</v>
      </c>
      <c r="S11" s="971">
        <f t="shared" si="1"/>
        <v>4.8240833930134484</v>
      </c>
      <c r="T11" s="1098">
        <f t="shared" si="2"/>
        <v>3.0229037009470558</v>
      </c>
      <c r="U11" s="1082"/>
      <c r="V11" s="1080"/>
      <c r="W11" s="1142">
        <f t="shared" si="3"/>
        <v>484.21120000000002</v>
      </c>
      <c r="X11" s="976">
        <v>3.4390000000000001</v>
      </c>
      <c r="Y11" s="862">
        <v>1.1376478843578721</v>
      </c>
    </row>
    <row r="12" spans="1:25" s="866" customFormat="1">
      <c r="A12" s="856" t="s">
        <v>35</v>
      </c>
      <c r="B12" s="961"/>
      <c r="C12" s="960"/>
      <c r="D12" s="960"/>
      <c r="E12" s="1107" t="s">
        <v>79</v>
      </c>
      <c r="F12" s="1107" t="s">
        <v>238</v>
      </c>
      <c r="G12" s="1073" t="s">
        <v>242</v>
      </c>
      <c r="H12" s="1108">
        <v>30</v>
      </c>
      <c r="I12" s="1108">
        <v>2630</v>
      </c>
      <c r="J12" s="1080"/>
      <c r="K12" s="1108">
        <v>7</v>
      </c>
      <c r="L12" s="1306">
        <f t="shared" si="0"/>
        <v>0.1197699616602767</v>
      </c>
      <c r="M12" s="1082"/>
      <c r="N12" s="1080"/>
      <c r="O12" s="1108">
        <v>1199.8</v>
      </c>
      <c r="P12" s="1082"/>
      <c r="Q12" s="1080"/>
      <c r="R12" s="1108">
        <v>143.69999999999999</v>
      </c>
      <c r="S12" s="971">
        <f t="shared" si="1"/>
        <v>4.5869499916652776</v>
      </c>
      <c r="T12" s="971">
        <f t="shared" si="2"/>
        <v>3.0612374146169001</v>
      </c>
      <c r="U12" s="1082"/>
      <c r="V12" s="1080"/>
      <c r="W12" s="1142">
        <f t="shared" si="3"/>
        <v>599.80380000000002</v>
      </c>
      <c r="X12" s="976">
        <v>4.1740000000000004</v>
      </c>
      <c r="Y12" s="862">
        <v>1.3635009098183122</v>
      </c>
    </row>
    <row r="13" spans="1:25" s="866" customFormat="1">
      <c r="A13" s="856" t="s">
        <v>35</v>
      </c>
      <c r="B13" s="961"/>
      <c r="C13" s="960"/>
      <c r="D13" s="960"/>
      <c r="E13" s="1107" t="s">
        <v>79</v>
      </c>
      <c r="F13" s="1107" t="s">
        <v>258</v>
      </c>
      <c r="G13" s="1073" t="s">
        <v>242</v>
      </c>
      <c r="H13" s="1108">
        <v>23</v>
      </c>
      <c r="I13" s="1108">
        <v>2563</v>
      </c>
      <c r="J13" s="1080"/>
      <c r="K13" s="1108">
        <v>6</v>
      </c>
      <c r="L13" s="1306">
        <f t="shared" si="0"/>
        <v>0.1300800251059156</v>
      </c>
      <c r="M13" s="1082"/>
      <c r="N13" s="1080"/>
      <c r="O13" s="1108">
        <v>637.29999999999995</v>
      </c>
      <c r="P13" s="1082"/>
      <c r="Q13" s="1080"/>
      <c r="R13" s="1108">
        <v>82.9</v>
      </c>
      <c r="S13" s="971">
        <f t="shared" si="1"/>
        <v>4.1629510434646173</v>
      </c>
      <c r="T13" s="971">
        <f t="shared" si="2"/>
        <v>3.1363728671073083</v>
      </c>
      <c r="U13" s="1082"/>
      <c r="V13" s="1080"/>
      <c r="W13" s="1142">
        <f t="shared" si="3"/>
        <v>236.92820000000003</v>
      </c>
      <c r="X13" s="976">
        <v>2.8580000000000001</v>
      </c>
      <c r="Y13" s="862">
        <v>0.91124369489777746</v>
      </c>
    </row>
    <row r="14" spans="1:25" s="866" customFormat="1" ht="15.75" thickBot="1">
      <c r="A14" s="856" t="s">
        <v>35</v>
      </c>
      <c r="B14" s="1088"/>
      <c r="C14" s="1089"/>
      <c r="D14" s="1089"/>
      <c r="E14" s="1107" t="s">
        <v>79</v>
      </c>
      <c r="F14" s="1107" t="s">
        <v>260</v>
      </c>
      <c r="G14" s="1073" t="s">
        <v>242</v>
      </c>
      <c r="H14" s="1108">
        <v>30</v>
      </c>
      <c r="I14" s="1108">
        <v>3869</v>
      </c>
      <c r="J14" s="1090"/>
      <c r="K14" s="1108">
        <v>7</v>
      </c>
      <c r="L14" s="1508">
        <f t="shared" si="0"/>
        <v>0.1149767441860465</v>
      </c>
      <c r="M14" s="1092"/>
      <c r="N14" s="1090"/>
      <c r="O14" s="1108">
        <v>1075</v>
      </c>
      <c r="P14" s="1092"/>
      <c r="Q14" s="1090"/>
      <c r="R14" s="1108">
        <v>123.6</v>
      </c>
      <c r="S14" s="1093">
        <f t="shared" si="1"/>
        <v>5.684450232558139</v>
      </c>
      <c r="T14" s="1093">
        <f t="shared" si="2"/>
        <v>2.9013885769246488</v>
      </c>
      <c r="U14" s="1092"/>
      <c r="V14" s="1090"/>
      <c r="W14" s="1548">
        <f t="shared" si="3"/>
        <v>389.83439999999996</v>
      </c>
      <c r="X14" s="976">
        <v>3.1539999999999999</v>
      </c>
      <c r="Y14" s="862">
        <v>1.0870656985018909</v>
      </c>
    </row>
    <row r="15" spans="1:25" s="866" customFormat="1" ht="15.75" thickTop="1">
      <c r="A15" s="856" t="s">
        <v>35</v>
      </c>
      <c r="B15" s="1069"/>
      <c r="C15" s="960"/>
      <c r="D15" s="960"/>
      <c r="E15" s="1107" t="s">
        <v>79</v>
      </c>
      <c r="F15" s="1107" t="s">
        <v>239</v>
      </c>
      <c r="G15" s="1073" t="s">
        <v>242</v>
      </c>
      <c r="H15" s="1108">
        <v>32</v>
      </c>
      <c r="I15" s="1108">
        <v>3219</v>
      </c>
      <c r="J15" s="1099"/>
      <c r="K15" s="1108">
        <v>8</v>
      </c>
      <c r="L15" s="1509">
        <f t="shared" si="0"/>
        <v>0.11273445212240869</v>
      </c>
      <c r="M15" s="1100"/>
      <c r="N15" s="1101"/>
      <c r="O15" s="1108">
        <v>1013</v>
      </c>
      <c r="P15" s="1100"/>
      <c r="Q15" s="1101"/>
      <c r="R15" s="1108">
        <v>114.2</v>
      </c>
      <c r="S15" s="1096">
        <f t="shared" si="1"/>
        <v>4.7709220138203356</v>
      </c>
      <c r="T15" s="1096">
        <f t="shared" si="2"/>
        <v>3.0312896356486525</v>
      </c>
      <c r="U15" s="1100"/>
      <c r="V15" s="1101"/>
      <c r="W15" s="1549">
        <f t="shared" si="3"/>
        <v>336.7758</v>
      </c>
      <c r="X15" s="976">
        <v>2.9489999999999998</v>
      </c>
      <c r="Y15" s="862">
        <v>0.97285325866558314</v>
      </c>
    </row>
    <row r="16" spans="1:25" s="866" customFormat="1">
      <c r="A16" s="856" t="s">
        <v>35</v>
      </c>
      <c r="B16" s="961"/>
      <c r="C16" s="960"/>
      <c r="D16" s="960"/>
      <c r="E16" s="1107" t="s">
        <v>79</v>
      </c>
      <c r="F16" s="1107" t="s">
        <v>240</v>
      </c>
      <c r="G16" s="1073" t="s">
        <v>242</v>
      </c>
      <c r="H16" s="1108">
        <v>29</v>
      </c>
      <c r="I16" s="1108">
        <v>3804</v>
      </c>
      <c r="J16" s="966"/>
      <c r="K16" s="1108">
        <v>7</v>
      </c>
      <c r="L16" s="1306">
        <f t="shared" si="0"/>
        <v>0.11948998178506375</v>
      </c>
      <c r="M16" s="969"/>
      <c r="N16" s="966"/>
      <c r="O16" s="1108">
        <v>1098</v>
      </c>
      <c r="P16" s="969"/>
      <c r="Q16" s="966"/>
      <c r="R16" s="1108">
        <v>131.19999999999999</v>
      </c>
      <c r="S16" s="971">
        <f t="shared" si="1"/>
        <v>5.8573989071038248</v>
      </c>
      <c r="T16" s="971">
        <f t="shared" si="2"/>
        <v>2.8797302837649381</v>
      </c>
      <c r="U16" s="969"/>
      <c r="V16" s="966"/>
      <c r="W16" s="1142">
        <f t="shared" si="3"/>
        <v>515.48479999999995</v>
      </c>
      <c r="X16" s="976">
        <v>3.9289999999999998</v>
      </c>
      <c r="Y16" s="862">
        <v>1.3643638857953233</v>
      </c>
    </row>
    <row r="17" spans="1:25" s="866" customFormat="1">
      <c r="A17" s="856" t="s">
        <v>35</v>
      </c>
      <c r="B17" s="961"/>
      <c r="C17" s="960"/>
      <c r="D17" s="960"/>
      <c r="E17" s="1107" t="s">
        <v>79</v>
      </c>
      <c r="F17" s="1107" t="s">
        <v>264</v>
      </c>
      <c r="G17" s="1073" t="s">
        <v>242</v>
      </c>
      <c r="H17" s="1108">
        <v>31</v>
      </c>
      <c r="I17" s="1108">
        <v>2706</v>
      </c>
      <c r="J17" s="966"/>
      <c r="K17" s="1108">
        <v>8</v>
      </c>
      <c r="L17" s="1306">
        <f t="shared" si="0"/>
        <v>0.12332046332046331</v>
      </c>
      <c r="M17" s="969"/>
      <c r="N17" s="966"/>
      <c r="O17" s="1108">
        <v>1295</v>
      </c>
      <c r="P17" s="969"/>
      <c r="Q17" s="966"/>
      <c r="R17" s="1108">
        <v>159.69999999999999</v>
      </c>
      <c r="S17" s="971">
        <f t="shared" si="1"/>
        <v>4.9340517374517372</v>
      </c>
      <c r="T17" s="971">
        <f t="shared" si="2"/>
        <v>3.0059177242216073</v>
      </c>
      <c r="U17" s="969"/>
      <c r="V17" s="966"/>
      <c r="W17" s="1142">
        <f t="shared" si="3"/>
        <v>508.48480000000001</v>
      </c>
      <c r="X17" s="976">
        <v>3.1840000000000002</v>
      </c>
      <c r="Y17" s="862">
        <v>1.0592438955808439</v>
      </c>
    </row>
    <row r="18" spans="1:25" s="866" customFormat="1">
      <c r="A18" s="856" t="s">
        <v>35</v>
      </c>
      <c r="B18" s="961"/>
      <c r="C18" s="960"/>
      <c r="D18" s="960"/>
      <c r="E18" s="1107" t="s">
        <v>79</v>
      </c>
      <c r="F18" s="1107" t="s">
        <v>266</v>
      </c>
      <c r="G18" s="1073" t="s">
        <v>242</v>
      </c>
      <c r="H18" s="1108">
        <v>33</v>
      </c>
      <c r="I18" s="1108">
        <v>3363</v>
      </c>
      <c r="J18" s="966"/>
      <c r="K18" s="1108">
        <v>8</v>
      </c>
      <c r="L18" s="1306">
        <f t="shared" si="0"/>
        <v>0.1275395033860045</v>
      </c>
      <c r="M18" s="969"/>
      <c r="N18" s="966"/>
      <c r="O18" s="1108">
        <v>620.20000000000005</v>
      </c>
      <c r="P18" s="969"/>
      <c r="Q18" s="966"/>
      <c r="R18" s="1108">
        <v>79.099999999999994</v>
      </c>
      <c r="S18" s="971">
        <f t="shared" si="1"/>
        <v>5.0801534988713319</v>
      </c>
      <c r="T18" s="971">
        <f t="shared" si="2"/>
        <v>2.9840686170441164</v>
      </c>
      <c r="U18" s="969"/>
      <c r="V18" s="966"/>
      <c r="W18" s="1142">
        <f t="shared" si="3"/>
        <v>282.78249999999997</v>
      </c>
      <c r="X18" s="976">
        <v>3.5750000000000002</v>
      </c>
      <c r="Y18" s="862">
        <v>1.1980287516113599</v>
      </c>
    </row>
    <row r="19" spans="1:25" s="866" customFormat="1">
      <c r="A19" s="856" t="s">
        <v>35</v>
      </c>
      <c r="B19" s="961"/>
      <c r="C19" s="960"/>
      <c r="D19" s="960"/>
      <c r="E19" s="1107" t="s">
        <v>79</v>
      </c>
      <c r="F19" s="1107" t="s">
        <v>299</v>
      </c>
      <c r="G19" s="1073" t="s">
        <v>242</v>
      </c>
      <c r="H19" s="1108">
        <v>31</v>
      </c>
      <c r="I19" s="1108">
        <v>2766</v>
      </c>
      <c r="J19" s="966"/>
      <c r="K19" s="1108">
        <v>8</v>
      </c>
      <c r="L19" s="1306">
        <f t="shared" si="0"/>
        <v>0.11924721984602224</v>
      </c>
      <c r="M19" s="969"/>
      <c r="N19" s="966"/>
      <c r="O19" s="1108">
        <v>1169</v>
      </c>
      <c r="P19" s="969"/>
      <c r="Q19" s="966"/>
      <c r="R19" s="1108">
        <v>139.4</v>
      </c>
      <c r="S19" s="971">
        <f t="shared" si="1"/>
        <v>4.6923781009409753</v>
      </c>
      <c r="T19" s="971">
        <f t="shared" si="2"/>
        <v>3.0438956793355736</v>
      </c>
      <c r="U19" s="969"/>
      <c r="V19" s="966"/>
      <c r="W19" s="1142">
        <f t="shared" si="3"/>
        <v>469.22040000000004</v>
      </c>
      <c r="X19" s="976">
        <v>3.3660000000000001</v>
      </c>
      <c r="Y19" s="862">
        <v>1.1058197634206492</v>
      </c>
    </row>
    <row r="20" spans="1:25" s="866" customFormat="1">
      <c r="A20" s="856" t="s">
        <v>35</v>
      </c>
      <c r="B20" s="961"/>
      <c r="C20" s="960"/>
      <c r="D20" s="960"/>
      <c r="E20" s="1107" t="s">
        <v>79</v>
      </c>
      <c r="F20" s="1107" t="s">
        <v>272</v>
      </c>
      <c r="G20" s="1073" t="s">
        <v>242</v>
      </c>
      <c r="H20" s="1108">
        <v>27</v>
      </c>
      <c r="I20" s="1108">
        <v>2506</v>
      </c>
      <c r="J20" s="966"/>
      <c r="K20" s="1108">
        <v>7</v>
      </c>
      <c r="L20" s="1306">
        <f t="shared" si="0"/>
        <v>0.10869565217391304</v>
      </c>
      <c r="M20" s="969"/>
      <c r="N20" s="966"/>
      <c r="O20" s="1108">
        <v>1311</v>
      </c>
      <c r="P20" s="969"/>
      <c r="Q20" s="966"/>
      <c r="R20" s="1108">
        <v>142.5</v>
      </c>
      <c r="S20" s="971">
        <f t="shared" si="1"/>
        <v>4.1489130434782604</v>
      </c>
      <c r="T20" s="971">
        <f t="shared" si="2"/>
        <v>3.1390225157873006</v>
      </c>
      <c r="U20" s="969"/>
      <c r="V20" s="966"/>
      <c r="W20" s="1142">
        <f t="shared" si="3"/>
        <v>378.6225</v>
      </c>
      <c r="X20" s="976">
        <v>2.657</v>
      </c>
      <c r="Y20" s="862">
        <v>0.84644184189089711</v>
      </c>
    </row>
    <row r="21" spans="1:25" s="866" customFormat="1">
      <c r="A21" s="856" t="s">
        <v>35</v>
      </c>
      <c r="B21" s="961"/>
      <c r="C21" s="960"/>
      <c r="D21" s="960"/>
      <c r="E21" s="1107" t="s">
        <v>79</v>
      </c>
      <c r="F21" s="1107" t="s">
        <v>274</v>
      </c>
      <c r="G21" s="1073" t="s">
        <v>242</v>
      </c>
      <c r="H21" s="1108">
        <v>33</v>
      </c>
      <c r="I21" s="1108">
        <v>3330</v>
      </c>
      <c r="J21" s="966"/>
      <c r="K21" s="1108">
        <v>8</v>
      </c>
      <c r="L21" s="1306">
        <f t="shared" si="0"/>
        <v>0.13865894039735099</v>
      </c>
      <c r="M21" s="969"/>
      <c r="N21" s="974"/>
      <c r="O21" s="1108">
        <v>966.4</v>
      </c>
      <c r="P21" s="969"/>
      <c r="Q21" s="966"/>
      <c r="R21" s="1108">
        <v>134</v>
      </c>
      <c r="S21" s="971">
        <f t="shared" si="1"/>
        <v>5.9573427152317882</v>
      </c>
      <c r="T21" s="971">
        <f t="shared" si="2"/>
        <v>2.867575543214993</v>
      </c>
      <c r="U21" s="969"/>
      <c r="V21" s="966"/>
      <c r="W21" s="1142">
        <f t="shared" si="3"/>
        <v>388.46600000000001</v>
      </c>
      <c r="X21" s="976">
        <v>2.899</v>
      </c>
      <c r="Y21" s="862">
        <v>1.010958545402356</v>
      </c>
    </row>
    <row r="22" spans="1:25" s="866" customFormat="1">
      <c r="A22" s="856" t="s">
        <v>35</v>
      </c>
      <c r="B22" s="961"/>
      <c r="C22" s="960"/>
      <c r="D22" s="960"/>
      <c r="E22" s="1107" t="s">
        <v>79</v>
      </c>
      <c r="F22" s="1107" t="s">
        <v>276</v>
      </c>
      <c r="G22" s="1073" t="s">
        <v>242</v>
      </c>
      <c r="H22" s="1108">
        <v>24</v>
      </c>
      <c r="I22" s="1108">
        <v>3367</v>
      </c>
      <c r="J22" s="966"/>
      <c r="K22" s="1108">
        <v>6</v>
      </c>
      <c r="L22" s="1306">
        <f t="shared" si="0"/>
        <v>0.12904564315352698</v>
      </c>
      <c r="M22" s="969"/>
      <c r="N22" s="966"/>
      <c r="O22" s="1108">
        <v>964</v>
      </c>
      <c r="P22" s="969"/>
      <c r="Q22" s="966"/>
      <c r="R22" s="1108">
        <v>124.4</v>
      </c>
      <c r="S22" s="971">
        <f t="shared" si="1"/>
        <v>5.5889668049792531</v>
      </c>
      <c r="T22" s="971">
        <f t="shared" si="2"/>
        <v>2.9137019958653463</v>
      </c>
      <c r="U22" s="969"/>
      <c r="V22" s="966"/>
      <c r="W22" s="1142">
        <f t="shared" si="3"/>
        <v>339.86080000000004</v>
      </c>
      <c r="X22" s="976">
        <v>2.7320000000000002</v>
      </c>
      <c r="Y22" s="862">
        <v>0.93763878525559985</v>
      </c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1"/>
      <c r="C24" s="1"/>
      <c r="D24" s="1"/>
      <c r="E24" s="1"/>
      <c r="F24" s="1"/>
      <c r="R24" s="1"/>
      <c r="S24" s="4"/>
      <c r="T24" s="4"/>
      <c r="U24" s="1"/>
      <c r="V24" s="1"/>
      <c r="W24" s="4"/>
      <c r="X24" s="4"/>
      <c r="Y24" s="4"/>
    </row>
    <row r="25" spans="1:25">
      <c r="A25" s="55" t="s">
        <v>39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56" t="s">
        <v>40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750" t="s">
        <v>390</v>
      </c>
      <c r="N26" s="751"/>
      <c r="O26" s="751"/>
      <c r="P26" s="1"/>
      <c r="Q26" s="1"/>
      <c r="R26" s="1"/>
      <c r="S26" s="4"/>
      <c r="T26" s="4"/>
      <c r="U26" s="1"/>
      <c r="V26" s="1"/>
      <c r="W26" s="4"/>
      <c r="X26" s="4"/>
      <c r="Y26" s="4"/>
    </row>
    <row r="27" spans="1:25">
      <c r="A27" s="56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6"/>
      <c r="N27" s="752" t="s">
        <v>63</v>
      </c>
      <c r="O27" s="753" t="s">
        <v>64</v>
      </c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56" t="s">
        <v>42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6" t="s">
        <v>391</v>
      </c>
      <c r="N28" s="774">
        <f>AVERAGE(Y3:Y22)</f>
        <v>1.0640613910537975</v>
      </c>
      <c r="O28" s="751" t="s">
        <v>32</v>
      </c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55" t="s">
        <v>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6" t="s">
        <v>25</v>
      </c>
      <c r="N29" s="774">
        <f>AVERAGE(W3:W22)</f>
        <v>383.98052500000011</v>
      </c>
      <c r="O29" s="751" t="s">
        <v>32</v>
      </c>
      <c r="P29" s="1"/>
      <c r="Q29" s="1"/>
      <c r="R29" s="1"/>
      <c r="S29" s="4"/>
      <c r="T29" s="4"/>
      <c r="U29" s="1"/>
      <c r="V29" s="1"/>
      <c r="W29" s="4"/>
      <c r="X29" s="4"/>
      <c r="Y29" s="4"/>
    </row>
    <row r="30" spans="1:25">
      <c r="A30" s="55" t="s">
        <v>44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6" t="s">
        <v>392</v>
      </c>
      <c r="N30" s="774">
        <f>AVERAGE(X3:X22)</f>
        <v>3.2345999999999995</v>
      </c>
      <c r="O30" s="36" t="s">
        <v>32</v>
      </c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55" t="s">
        <v>45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6" t="s">
        <v>393</v>
      </c>
      <c r="N31" s="774">
        <f>AVERAGE(S3:S22)</f>
        <v>4.7634254338195516</v>
      </c>
      <c r="O31" s="36" t="s">
        <v>32</v>
      </c>
      <c r="P31" s="1"/>
      <c r="Q31" s="1"/>
      <c r="R31" s="1"/>
      <c r="S31" s="4"/>
      <c r="T31" s="4"/>
      <c r="U31" s="1"/>
      <c r="V31" s="1"/>
      <c r="W31" s="4"/>
      <c r="X31" s="4"/>
      <c r="Y31" s="4"/>
    </row>
    <row r="32" spans="1:25">
      <c r="A32" s="56" t="s">
        <v>46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4"/>
      <c r="T32" s="4"/>
      <c r="U32" s="1"/>
      <c r="V32" s="1"/>
      <c r="W32" s="4"/>
      <c r="X32" s="4"/>
      <c r="Y32" s="4"/>
    </row>
    <row r="33" spans="1:25">
      <c r="A33" s="56" t="s">
        <v>47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4"/>
      <c r="T33" s="4"/>
      <c r="U33" s="1"/>
      <c r="V33" s="1"/>
      <c r="W33" s="4"/>
      <c r="X33" s="4"/>
      <c r="Y33" s="4"/>
    </row>
    <row r="34" spans="1:25">
      <c r="A34" s="56" t="s">
        <v>48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4"/>
      <c r="T34" s="4"/>
      <c r="U34" s="1"/>
      <c r="V34" s="1"/>
      <c r="W34" s="4"/>
      <c r="X34" s="4"/>
      <c r="Y34" s="4"/>
    </row>
    <row r="35" spans="1:25">
      <c r="A35" s="56" t="s">
        <v>49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"/>
      <c r="P35" s="1"/>
      <c r="Q35" s="1"/>
      <c r="R35" s="1"/>
      <c r="S35" s="4"/>
      <c r="T35" s="4"/>
      <c r="U35" s="1"/>
      <c r="V35" s="1"/>
      <c r="W35" s="4"/>
      <c r="X35" s="4"/>
      <c r="Y35" s="4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"/>
      <c r="P36" s="1"/>
      <c r="Q36" s="1"/>
      <c r="R36" s="1"/>
      <c r="S36" s="4"/>
      <c r="T36" s="4"/>
      <c r="U36" s="1"/>
      <c r="V36" s="1"/>
      <c r="W36" s="4"/>
      <c r="X36" s="4"/>
      <c r="Y36" s="4"/>
    </row>
    <row r="37" spans="1:25">
      <c r="A37" s="1" t="s">
        <v>50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"/>
      <c r="P37" s="1"/>
      <c r="Q37" s="1"/>
      <c r="R37" s="1"/>
      <c r="S37" s="4"/>
      <c r="T37" s="4"/>
      <c r="U37" s="1"/>
      <c r="V37" s="1"/>
      <c r="W37" s="4"/>
      <c r="X37" s="4"/>
      <c r="Y37" s="4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  <c r="P38" s="1"/>
      <c r="Q38" s="1"/>
      <c r="R38" s="1"/>
      <c r="S38" s="4"/>
      <c r="T38" s="4"/>
      <c r="U38" s="1"/>
      <c r="V38" s="1"/>
      <c r="W38" s="4"/>
      <c r="X38" s="4"/>
      <c r="Y38" s="4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  <c r="P39" s="1"/>
      <c r="Q39" s="1"/>
      <c r="R39" s="1"/>
      <c r="S39" s="4"/>
      <c r="T39" s="4"/>
      <c r="U39" s="1"/>
      <c r="V39" s="1"/>
      <c r="W39" s="4"/>
      <c r="X39" s="4"/>
      <c r="Y39" s="4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/>
      <c r="P40" s="1"/>
      <c r="Q40" s="1"/>
      <c r="R40" s="1"/>
      <c r="S40" s="4"/>
      <c r="T40" s="4"/>
      <c r="U40" s="1"/>
      <c r="V40" s="1"/>
      <c r="W40" s="4"/>
      <c r="X40" s="4"/>
      <c r="Y40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"/>
  <sheetViews>
    <sheetView workbookViewId="0">
      <selection activeCell="F18" sqref="F18"/>
    </sheetView>
  </sheetViews>
  <sheetFormatPr baseColWidth="10" defaultRowHeight="15"/>
  <sheetData>
    <row r="1" spans="1:6" ht="23.25">
      <c r="A1" s="1657" t="s">
        <v>163</v>
      </c>
      <c r="B1" s="1657"/>
      <c r="C1" s="1657"/>
      <c r="D1" s="1657"/>
      <c r="E1" s="1657"/>
      <c r="F1" s="1657"/>
    </row>
  </sheetData>
  <mergeCells count="1">
    <mergeCell ref="A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45"/>
  <sheetViews>
    <sheetView topLeftCell="D1" workbookViewId="0">
      <selection activeCell="J32" sqref="J32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6" ht="16.5" thickBot="1">
      <c r="C1" s="2"/>
      <c r="D1" s="2"/>
      <c r="E1" s="2"/>
      <c r="F1" s="2"/>
      <c r="G1" s="321"/>
      <c r="H1" s="676" t="s">
        <v>0</v>
      </c>
      <c r="I1" s="677"/>
      <c r="J1" s="678"/>
      <c r="K1" s="676" t="s">
        <v>1</v>
      </c>
      <c r="L1" s="677"/>
      <c r="M1" s="677"/>
      <c r="N1" s="677"/>
      <c r="O1" s="677"/>
      <c r="P1" s="677"/>
      <c r="Q1" s="677"/>
      <c r="R1" s="678"/>
      <c r="S1" s="679" t="s">
        <v>2</v>
      </c>
      <c r="T1" s="680"/>
      <c r="U1" s="681" t="s">
        <v>3</v>
      </c>
      <c r="V1" s="682"/>
      <c r="W1" s="683"/>
      <c r="X1" s="322"/>
      <c r="Y1" s="323"/>
    </row>
    <row r="2" spans="1:26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6" s="866" customFormat="1" ht="15.75" thickTop="1">
      <c r="A3" s="856" t="s">
        <v>139</v>
      </c>
      <c r="B3" s="1102">
        <v>42829</v>
      </c>
      <c r="C3" s="856" t="s">
        <v>300</v>
      </c>
      <c r="D3" s="1070"/>
      <c r="E3" s="856" t="s">
        <v>79</v>
      </c>
      <c r="F3" s="856" t="s">
        <v>81</v>
      </c>
      <c r="G3" s="856" t="s">
        <v>301</v>
      </c>
      <c r="H3" s="1087">
        <v>18</v>
      </c>
      <c r="I3" s="1087">
        <v>2064</v>
      </c>
      <c r="J3" s="1075"/>
      <c r="K3" s="1087">
        <v>6</v>
      </c>
      <c r="L3" s="1499">
        <f>R3/O3</f>
        <v>0.1366906474820144</v>
      </c>
      <c r="M3" s="1077"/>
      <c r="N3" s="1075"/>
      <c r="O3" s="1087">
        <v>556</v>
      </c>
      <c r="P3" s="1077"/>
      <c r="Q3" s="1075"/>
      <c r="R3" s="1087">
        <v>76</v>
      </c>
      <c r="S3" s="1502">
        <f>(R3+(I3*L3))/100</f>
        <v>3.581294964028777</v>
      </c>
      <c r="T3" s="1502">
        <f>MIN(4.63,4.48*S3^(-0.25))</f>
        <v>3.2566267885051614</v>
      </c>
      <c r="U3" s="1077"/>
      <c r="V3" s="1075"/>
      <c r="W3" s="1527">
        <f>X3*R3</f>
        <v>124.56400000000001</v>
      </c>
      <c r="X3" s="856">
        <v>1.639</v>
      </c>
      <c r="Y3" s="862">
        <v>0.50328149537587163</v>
      </c>
      <c r="Z3" s="866">
        <f>X3/T3</f>
        <v>0.50328149537587163</v>
      </c>
    </row>
    <row r="4" spans="1:26" s="866" customFormat="1">
      <c r="A4" s="856" t="s">
        <v>139</v>
      </c>
      <c r="B4" s="1102">
        <v>42829</v>
      </c>
      <c r="C4" s="856" t="s">
        <v>302</v>
      </c>
      <c r="D4" s="960"/>
      <c r="E4" s="856" t="s">
        <v>79</v>
      </c>
      <c r="F4" s="856" t="s">
        <v>237</v>
      </c>
      <c r="G4" s="856" t="s">
        <v>301</v>
      </c>
      <c r="H4" s="1087">
        <v>13</v>
      </c>
      <c r="I4" s="1087">
        <v>1438</v>
      </c>
      <c r="J4" s="1080"/>
      <c r="K4" s="1087">
        <v>6</v>
      </c>
      <c r="L4" s="1500">
        <f t="shared" ref="L4:L27" si="0">R4/O4</f>
        <v>0.1270718232044199</v>
      </c>
      <c r="M4" s="1082"/>
      <c r="N4" s="1080"/>
      <c r="O4" s="1087">
        <v>724</v>
      </c>
      <c r="P4" s="1082"/>
      <c r="Q4" s="1080"/>
      <c r="R4" s="1087">
        <v>92</v>
      </c>
      <c r="S4" s="1503">
        <f t="shared" ref="S4:S27" si="1">(R4+(I4*L4))/100</f>
        <v>2.7472928176795586</v>
      </c>
      <c r="T4" s="1503">
        <f t="shared" ref="T4:T27" si="2">MIN(4.63,4.48*S4^(-0.25))</f>
        <v>3.4797799088683412</v>
      </c>
      <c r="U4" s="1082"/>
      <c r="V4" s="1080"/>
      <c r="W4" s="1528">
        <f t="shared" ref="W4:W27" si="3">X4*R4</f>
        <v>162.38</v>
      </c>
      <c r="X4" s="856">
        <v>1.7649999999999999</v>
      </c>
      <c r="Y4" s="862">
        <v>0.50721598670704304</v>
      </c>
    </row>
    <row r="5" spans="1:26" s="866" customFormat="1">
      <c r="A5" s="856" t="s">
        <v>139</v>
      </c>
      <c r="B5" s="1102">
        <v>42829</v>
      </c>
      <c r="C5" s="856" t="s">
        <v>303</v>
      </c>
      <c r="D5" s="960"/>
      <c r="E5" s="856" t="s">
        <v>79</v>
      </c>
      <c r="F5" s="856" t="s">
        <v>245</v>
      </c>
      <c r="G5" s="856" t="s">
        <v>301</v>
      </c>
      <c r="H5" s="1087">
        <v>22</v>
      </c>
      <c r="I5" s="1087">
        <v>2041.9999999999998</v>
      </c>
      <c r="J5" s="1080"/>
      <c r="K5" s="1087">
        <v>6</v>
      </c>
      <c r="L5" s="1501">
        <f t="shared" si="0"/>
        <v>0.123342175066313</v>
      </c>
      <c r="M5" s="1082"/>
      <c r="N5" s="1080"/>
      <c r="O5" s="1087">
        <v>754</v>
      </c>
      <c r="P5" s="1082"/>
      <c r="Q5" s="1080"/>
      <c r="R5" s="1087">
        <v>93</v>
      </c>
      <c r="S5" s="1504">
        <f t="shared" si="1"/>
        <v>3.4486472148541112</v>
      </c>
      <c r="T5" s="1504">
        <f t="shared" si="2"/>
        <v>3.2875004546457762</v>
      </c>
      <c r="U5" s="1082"/>
      <c r="V5" s="1080"/>
      <c r="W5" s="1529">
        <f t="shared" si="3"/>
        <v>163.494</v>
      </c>
      <c r="X5" s="856">
        <v>1.758</v>
      </c>
      <c r="Y5" s="862">
        <v>0.5347527777572344</v>
      </c>
    </row>
    <row r="6" spans="1:26" s="866" customFormat="1">
      <c r="A6" s="856" t="s">
        <v>139</v>
      </c>
      <c r="B6" s="1102">
        <v>42829</v>
      </c>
      <c r="C6" s="856" t="s">
        <v>304</v>
      </c>
      <c r="D6" s="960"/>
      <c r="E6" s="856" t="s">
        <v>79</v>
      </c>
      <c r="F6" s="856" t="s">
        <v>247</v>
      </c>
      <c r="G6" s="856" t="s">
        <v>301</v>
      </c>
      <c r="H6" s="1087">
        <v>18</v>
      </c>
      <c r="I6" s="1087">
        <v>1506</v>
      </c>
      <c r="J6" s="1080"/>
      <c r="K6" s="1087">
        <v>6</v>
      </c>
      <c r="L6" s="1306">
        <f t="shared" si="0"/>
        <v>0.11675675675675676</v>
      </c>
      <c r="M6" s="1082"/>
      <c r="N6" s="1080"/>
      <c r="O6" s="1087">
        <v>462.5</v>
      </c>
      <c r="P6" s="1082"/>
      <c r="Q6" s="1080"/>
      <c r="R6" s="1087">
        <v>54</v>
      </c>
      <c r="S6" s="1314">
        <f t="shared" si="1"/>
        <v>2.2983567567567569</v>
      </c>
      <c r="T6" s="1314">
        <f t="shared" si="2"/>
        <v>3.6385106758113404</v>
      </c>
      <c r="U6" s="1082"/>
      <c r="V6" s="1080"/>
      <c r="W6" s="1528">
        <f t="shared" si="3"/>
        <v>98.873999999999995</v>
      </c>
      <c r="X6" s="856">
        <v>1.831</v>
      </c>
      <c r="Y6" s="862">
        <v>0.50322787622210596</v>
      </c>
    </row>
    <row r="7" spans="1:26" s="866" customFormat="1">
      <c r="A7" s="856" t="s">
        <v>139</v>
      </c>
      <c r="B7" s="1102">
        <v>42829</v>
      </c>
      <c r="C7" s="856" t="s">
        <v>305</v>
      </c>
      <c r="D7" s="960"/>
      <c r="E7" s="856" t="s">
        <v>79</v>
      </c>
      <c r="F7" s="856" t="s">
        <v>249</v>
      </c>
      <c r="G7" s="856" t="s">
        <v>301</v>
      </c>
      <c r="H7" s="1087">
        <v>15</v>
      </c>
      <c r="I7" s="1087">
        <v>1769</v>
      </c>
      <c r="J7" s="1080"/>
      <c r="K7" s="1087">
        <v>6</v>
      </c>
      <c r="L7" s="1306">
        <f t="shared" si="0"/>
        <v>0.13850996852046171</v>
      </c>
      <c r="M7" s="1082"/>
      <c r="N7" s="1080"/>
      <c r="O7" s="1087">
        <v>953</v>
      </c>
      <c r="P7" s="1082"/>
      <c r="Q7" s="1080"/>
      <c r="R7" s="1087">
        <v>132</v>
      </c>
      <c r="S7" s="1314">
        <f t="shared" si="1"/>
        <v>3.7702413431269677</v>
      </c>
      <c r="T7" s="1314">
        <f t="shared" si="2"/>
        <v>3.215035155247687</v>
      </c>
      <c r="U7" s="1082"/>
      <c r="V7" s="1080"/>
      <c r="W7" s="1528">
        <f t="shared" si="3"/>
        <v>221.364</v>
      </c>
      <c r="X7" s="856">
        <v>1.677</v>
      </c>
      <c r="Y7" s="862">
        <v>0.52161171465349143</v>
      </c>
    </row>
    <row r="8" spans="1:26" s="866" customFormat="1" ht="15.75" thickBot="1">
      <c r="A8" s="856" t="s">
        <v>139</v>
      </c>
      <c r="B8" s="1102">
        <v>42829</v>
      </c>
      <c r="C8" s="856" t="s">
        <v>306</v>
      </c>
      <c r="D8" s="1089"/>
      <c r="E8" s="856" t="s">
        <v>79</v>
      </c>
      <c r="F8" s="856" t="s">
        <v>251</v>
      </c>
      <c r="G8" s="856" t="s">
        <v>301</v>
      </c>
      <c r="H8" s="1087">
        <v>3</v>
      </c>
      <c r="I8" s="1087">
        <v>847</v>
      </c>
      <c r="J8" s="1090"/>
      <c r="K8" s="1087">
        <v>6</v>
      </c>
      <c r="L8" s="1508">
        <f t="shared" si="0"/>
        <v>0.12127894156560089</v>
      </c>
      <c r="M8" s="1092"/>
      <c r="N8" s="1090"/>
      <c r="O8" s="1087">
        <v>1814</v>
      </c>
      <c r="P8" s="1092"/>
      <c r="Q8" s="1090"/>
      <c r="R8" s="1087">
        <v>220</v>
      </c>
      <c r="S8" s="1515">
        <f t="shared" si="1"/>
        <v>3.2272326350606395</v>
      </c>
      <c r="T8" s="1515">
        <f t="shared" si="2"/>
        <v>3.3424925337531572</v>
      </c>
      <c r="U8" s="1092"/>
      <c r="V8" s="1090"/>
      <c r="W8" s="1530">
        <f t="shared" si="3"/>
        <v>516.12</v>
      </c>
      <c r="X8" s="856">
        <v>2.3460000000000001</v>
      </c>
      <c r="Y8" s="862">
        <v>0.7018714256829669</v>
      </c>
    </row>
    <row r="9" spans="1:26" s="866" customFormat="1" ht="15.75" thickTop="1">
      <c r="A9" s="856" t="s">
        <v>139</v>
      </c>
      <c r="B9" s="1102">
        <v>42829</v>
      </c>
      <c r="C9" s="856" t="s">
        <v>307</v>
      </c>
      <c r="D9" s="1070"/>
      <c r="E9" s="856" t="s">
        <v>79</v>
      </c>
      <c r="F9" s="856" t="s">
        <v>253</v>
      </c>
      <c r="G9" s="856" t="s">
        <v>301</v>
      </c>
      <c r="H9" s="1087">
        <v>14</v>
      </c>
      <c r="I9" s="1087">
        <v>1660</v>
      </c>
      <c r="J9" s="1075"/>
      <c r="K9" s="1087">
        <v>6</v>
      </c>
      <c r="L9" s="1509">
        <f t="shared" si="0"/>
        <v>0.11975308641975309</v>
      </c>
      <c r="M9" s="1077"/>
      <c r="N9" s="1075"/>
      <c r="O9" s="1087">
        <v>810</v>
      </c>
      <c r="P9" s="1077"/>
      <c r="Q9" s="1075"/>
      <c r="R9" s="1087">
        <v>97</v>
      </c>
      <c r="S9" s="1516">
        <f t="shared" si="1"/>
        <v>2.9579012345679012</v>
      </c>
      <c r="T9" s="1516">
        <f t="shared" si="2"/>
        <v>3.4161119676668252</v>
      </c>
      <c r="U9" s="1077"/>
      <c r="V9" s="1075"/>
      <c r="W9" s="1531">
        <f t="shared" si="3"/>
        <v>192.25399999999999</v>
      </c>
      <c r="X9" s="856">
        <v>1.982</v>
      </c>
      <c r="Y9" s="862">
        <v>0.58019175564485048</v>
      </c>
    </row>
    <row r="10" spans="1:26" s="866" customFormat="1">
      <c r="A10" s="856" t="s">
        <v>139</v>
      </c>
      <c r="B10" s="1102">
        <v>42829</v>
      </c>
      <c r="C10" s="856" t="s">
        <v>308</v>
      </c>
      <c r="D10" s="960"/>
      <c r="E10" s="856" t="s">
        <v>79</v>
      </c>
      <c r="F10" s="856" t="s">
        <v>255</v>
      </c>
      <c r="G10" s="856" t="s">
        <v>301</v>
      </c>
      <c r="H10" s="1087">
        <v>12</v>
      </c>
      <c r="I10" s="1087">
        <v>3184</v>
      </c>
      <c r="J10" s="1080"/>
      <c r="K10" s="1087">
        <v>6</v>
      </c>
      <c r="L10" s="1306">
        <f t="shared" si="0"/>
        <v>0.11008403361344538</v>
      </c>
      <c r="M10" s="1082"/>
      <c r="N10" s="1080"/>
      <c r="O10" s="1087">
        <v>1190</v>
      </c>
      <c r="P10" s="1082"/>
      <c r="Q10" s="1080"/>
      <c r="R10" s="1087">
        <v>131</v>
      </c>
      <c r="S10" s="1314">
        <f t="shared" si="1"/>
        <v>4.8150756302521005</v>
      </c>
      <c r="T10" s="1524">
        <f t="shared" si="2"/>
        <v>3.0243164782306771</v>
      </c>
      <c r="U10" s="1082"/>
      <c r="V10" s="1080"/>
      <c r="W10" s="1528">
        <f t="shared" si="3"/>
        <v>299.46600000000001</v>
      </c>
      <c r="X10" s="856">
        <v>2.286</v>
      </c>
      <c r="Y10" s="862">
        <v>0.75587327465721588</v>
      </c>
    </row>
    <row r="11" spans="1:26" s="866" customFormat="1">
      <c r="A11" s="856" t="s">
        <v>139</v>
      </c>
      <c r="B11" s="1102">
        <v>42829</v>
      </c>
      <c r="C11" s="856" t="s">
        <v>309</v>
      </c>
      <c r="D11" s="960"/>
      <c r="E11" s="856" t="s">
        <v>79</v>
      </c>
      <c r="F11" s="856" t="s">
        <v>238</v>
      </c>
      <c r="G11" s="856" t="s">
        <v>301</v>
      </c>
      <c r="H11" s="1087">
        <v>16</v>
      </c>
      <c r="I11" s="1087">
        <v>1736</v>
      </c>
      <c r="J11" s="1080"/>
      <c r="K11" s="1087">
        <v>6</v>
      </c>
      <c r="L11" s="1306">
        <f t="shared" si="0"/>
        <v>0.12040133779264214</v>
      </c>
      <c r="M11" s="1082"/>
      <c r="N11" s="1080"/>
      <c r="O11" s="1087">
        <v>598</v>
      </c>
      <c r="P11" s="1082"/>
      <c r="Q11" s="1080"/>
      <c r="R11" s="1087">
        <v>72</v>
      </c>
      <c r="S11" s="1314">
        <f t="shared" si="1"/>
        <v>2.810167224080268</v>
      </c>
      <c r="T11" s="1524">
        <f t="shared" si="2"/>
        <v>3.4601503727095353</v>
      </c>
      <c r="U11" s="1082"/>
      <c r="V11" s="1080"/>
      <c r="W11" s="1528">
        <f t="shared" si="3"/>
        <v>131.76</v>
      </c>
      <c r="X11" s="856">
        <v>1.83</v>
      </c>
      <c r="Y11" s="862">
        <v>0.52887874886402242</v>
      </c>
    </row>
    <row r="12" spans="1:26" s="866" customFormat="1">
      <c r="A12" s="856" t="s">
        <v>139</v>
      </c>
      <c r="B12" s="1102">
        <v>42829</v>
      </c>
      <c r="C12" s="856" t="s">
        <v>310</v>
      </c>
      <c r="D12" s="960"/>
      <c r="E12" s="856" t="s">
        <v>79</v>
      </c>
      <c r="F12" s="856" t="s">
        <v>258</v>
      </c>
      <c r="G12" s="856" t="s">
        <v>301</v>
      </c>
      <c r="H12" s="1087">
        <v>12</v>
      </c>
      <c r="I12" s="1087">
        <v>2230</v>
      </c>
      <c r="J12" s="1080"/>
      <c r="K12" s="1087">
        <v>6</v>
      </c>
      <c r="L12" s="1306">
        <f t="shared" si="0"/>
        <v>0.13322019516334324</v>
      </c>
      <c r="M12" s="1082"/>
      <c r="N12" s="1080"/>
      <c r="O12" s="1087">
        <v>1178.5</v>
      </c>
      <c r="P12" s="1082"/>
      <c r="Q12" s="1080"/>
      <c r="R12" s="1087">
        <v>157</v>
      </c>
      <c r="S12" s="1314">
        <f t="shared" si="1"/>
        <v>4.5408103521425547</v>
      </c>
      <c r="T12" s="1314">
        <f t="shared" si="2"/>
        <v>3.0689843445877991</v>
      </c>
      <c r="U12" s="1082"/>
      <c r="V12" s="1080"/>
      <c r="W12" s="1528">
        <f t="shared" si="3"/>
        <v>286.21100000000001</v>
      </c>
      <c r="X12" s="856">
        <v>1.823</v>
      </c>
      <c r="Y12" s="862">
        <v>0.59400759186500518</v>
      </c>
    </row>
    <row r="13" spans="1:26" s="866" customFormat="1">
      <c r="A13" s="856" t="s">
        <v>139</v>
      </c>
      <c r="B13" s="1102">
        <v>42829</v>
      </c>
      <c r="C13" s="856" t="s">
        <v>311</v>
      </c>
      <c r="D13" s="960"/>
      <c r="E13" s="856" t="s">
        <v>79</v>
      </c>
      <c r="F13" s="856" t="s">
        <v>260</v>
      </c>
      <c r="G13" s="856" t="s">
        <v>301</v>
      </c>
      <c r="H13" s="1087">
        <v>16</v>
      </c>
      <c r="I13" s="1087">
        <v>1894</v>
      </c>
      <c r="J13" s="1080"/>
      <c r="K13" s="1087">
        <v>6</v>
      </c>
      <c r="L13" s="1306">
        <f t="shared" si="0"/>
        <v>0.12492113564668769</v>
      </c>
      <c r="M13" s="1082"/>
      <c r="N13" s="1080"/>
      <c r="O13" s="1087">
        <v>792.5</v>
      </c>
      <c r="P13" s="1082"/>
      <c r="Q13" s="1080"/>
      <c r="R13" s="1087">
        <v>99</v>
      </c>
      <c r="S13" s="1314">
        <f t="shared" si="1"/>
        <v>3.356006309148265</v>
      </c>
      <c r="T13" s="1314">
        <f t="shared" si="2"/>
        <v>3.3099567713411493</v>
      </c>
      <c r="U13" s="1082"/>
      <c r="V13" s="1080"/>
      <c r="W13" s="1528">
        <f t="shared" si="3"/>
        <v>173.94299999999998</v>
      </c>
      <c r="X13" s="856">
        <v>1.7569999999999999</v>
      </c>
      <c r="Y13" s="862">
        <v>0.53082264252293765</v>
      </c>
    </row>
    <row r="14" spans="1:26" s="866" customFormat="1" ht="15.75" thickBot="1">
      <c r="A14" s="856" t="s">
        <v>139</v>
      </c>
      <c r="B14" s="1102">
        <v>42829</v>
      </c>
      <c r="C14" s="856" t="s">
        <v>312</v>
      </c>
      <c r="D14" s="1089"/>
      <c r="E14" s="856" t="s">
        <v>79</v>
      </c>
      <c r="F14" s="856" t="s">
        <v>239</v>
      </c>
      <c r="G14" s="856" t="s">
        <v>301</v>
      </c>
      <c r="H14" s="1087">
        <v>22</v>
      </c>
      <c r="I14" s="1087">
        <v>2780</v>
      </c>
      <c r="J14" s="1090"/>
      <c r="K14" s="1087">
        <v>6</v>
      </c>
      <c r="L14" s="1508">
        <f t="shared" si="0"/>
        <v>0.11579980372914624</v>
      </c>
      <c r="M14" s="1092"/>
      <c r="N14" s="1090"/>
      <c r="O14" s="1087">
        <v>1018.9999999999999</v>
      </c>
      <c r="P14" s="1092"/>
      <c r="Q14" s="1090"/>
      <c r="R14" s="1087">
        <v>118</v>
      </c>
      <c r="S14" s="1515">
        <f t="shared" si="1"/>
        <v>4.3992345436702651</v>
      </c>
      <c r="T14" s="1515">
        <f t="shared" si="2"/>
        <v>3.0933832870062217</v>
      </c>
      <c r="U14" s="1092"/>
      <c r="V14" s="1090"/>
      <c r="W14" s="1530">
        <f t="shared" si="3"/>
        <v>216.29399999999998</v>
      </c>
      <c r="X14" s="856">
        <v>1.833</v>
      </c>
      <c r="Y14" s="862">
        <v>0.59255508610896346</v>
      </c>
    </row>
    <row r="15" spans="1:26" s="866" customFormat="1" ht="15.75" thickTop="1">
      <c r="A15" s="856" t="s">
        <v>139</v>
      </c>
      <c r="B15" s="1102">
        <v>42829</v>
      </c>
      <c r="C15" s="856" t="s">
        <v>313</v>
      </c>
      <c r="D15" s="960"/>
      <c r="E15" s="856" t="s">
        <v>79</v>
      </c>
      <c r="F15" s="856" t="s">
        <v>240</v>
      </c>
      <c r="G15" s="856" t="s">
        <v>301</v>
      </c>
      <c r="H15" s="1087">
        <v>21</v>
      </c>
      <c r="I15" s="1087">
        <v>3326</v>
      </c>
      <c r="J15" s="1099"/>
      <c r="K15" s="1087">
        <v>6</v>
      </c>
      <c r="L15" s="1509">
        <f t="shared" si="0"/>
        <v>0.13245614035087719</v>
      </c>
      <c r="M15" s="1100"/>
      <c r="N15" s="1101"/>
      <c r="O15" s="1087">
        <v>1140</v>
      </c>
      <c r="P15" s="1100"/>
      <c r="Q15" s="1101"/>
      <c r="R15" s="1087">
        <v>151</v>
      </c>
      <c r="S15" s="1516">
        <f t="shared" si="1"/>
        <v>5.9154912280701755</v>
      </c>
      <c r="T15" s="1516">
        <f t="shared" si="2"/>
        <v>2.872634092080383</v>
      </c>
      <c r="U15" s="1100"/>
      <c r="V15" s="1101"/>
      <c r="W15" s="1531">
        <f t="shared" si="3"/>
        <v>291.279</v>
      </c>
      <c r="X15" s="856">
        <v>1.929</v>
      </c>
      <c r="Y15" s="862">
        <v>0.67150912304428023</v>
      </c>
    </row>
    <row r="16" spans="1:26" s="866" customFormat="1">
      <c r="A16" s="856" t="s">
        <v>139</v>
      </c>
      <c r="B16" s="1102">
        <v>42829</v>
      </c>
      <c r="C16" s="856" t="s">
        <v>314</v>
      </c>
      <c r="D16" s="960"/>
      <c r="E16" s="856" t="s">
        <v>79</v>
      </c>
      <c r="F16" s="856" t="s">
        <v>264</v>
      </c>
      <c r="G16" s="856" t="s">
        <v>301</v>
      </c>
      <c r="H16" s="1087">
        <v>16</v>
      </c>
      <c r="I16" s="1087">
        <v>2067</v>
      </c>
      <c r="J16" s="966"/>
      <c r="K16" s="1087">
        <v>6</v>
      </c>
      <c r="L16" s="1306">
        <f t="shared" si="0"/>
        <v>0.12700729927007298</v>
      </c>
      <c r="M16" s="969"/>
      <c r="N16" s="966"/>
      <c r="O16" s="1087">
        <v>685</v>
      </c>
      <c r="P16" s="969"/>
      <c r="Q16" s="966"/>
      <c r="R16" s="1087">
        <v>87</v>
      </c>
      <c r="S16" s="1314">
        <f t="shared" si="1"/>
        <v>3.4952408759124087</v>
      </c>
      <c r="T16" s="1314">
        <f t="shared" si="2"/>
        <v>3.2764891664839735</v>
      </c>
      <c r="U16" s="969"/>
      <c r="V16" s="966"/>
      <c r="W16" s="1528">
        <f t="shared" si="3"/>
        <v>147.20400000000001</v>
      </c>
      <c r="X16" s="856">
        <v>1.6919999999999999</v>
      </c>
      <c r="Y16" s="862">
        <v>0.5164064075986855</v>
      </c>
    </row>
    <row r="17" spans="1:25" s="866" customFormat="1">
      <c r="A17" s="856" t="s">
        <v>139</v>
      </c>
      <c r="B17" s="1102">
        <v>42829</v>
      </c>
      <c r="C17" s="856" t="s">
        <v>315</v>
      </c>
      <c r="D17" s="960"/>
      <c r="E17" s="856" t="s">
        <v>79</v>
      </c>
      <c r="F17" s="856" t="s">
        <v>266</v>
      </c>
      <c r="G17" s="856" t="s">
        <v>301</v>
      </c>
      <c r="H17" s="1087">
        <v>8</v>
      </c>
      <c r="I17" s="1087">
        <v>1853.5</v>
      </c>
      <c r="J17" s="966"/>
      <c r="K17" s="1087">
        <v>6</v>
      </c>
      <c r="L17" s="1306">
        <f t="shared" si="0"/>
        <v>0.12704714640198508</v>
      </c>
      <c r="M17" s="969"/>
      <c r="N17" s="966"/>
      <c r="O17" s="1087">
        <v>1007.5000000000001</v>
      </c>
      <c r="P17" s="969"/>
      <c r="Q17" s="966"/>
      <c r="R17" s="1087">
        <v>128</v>
      </c>
      <c r="S17" s="1314">
        <f t="shared" si="1"/>
        <v>3.6348188585607932</v>
      </c>
      <c r="T17" s="1314">
        <f t="shared" si="2"/>
        <v>3.2445712891240914</v>
      </c>
      <c r="U17" s="969"/>
      <c r="V17" s="966"/>
      <c r="W17" s="1528">
        <f t="shared" si="3"/>
        <v>250.49600000000001</v>
      </c>
      <c r="X17" s="856">
        <v>1.9570000000000001</v>
      </c>
      <c r="Y17" s="862">
        <v>0.60316135033307106</v>
      </c>
    </row>
    <row r="18" spans="1:25" s="866" customFormat="1">
      <c r="A18" s="856" t="s">
        <v>139</v>
      </c>
      <c r="B18" s="1102">
        <v>42829</v>
      </c>
      <c r="C18" s="856" t="s">
        <v>316</v>
      </c>
      <c r="D18" s="960"/>
      <c r="E18" s="856" t="s">
        <v>79</v>
      </c>
      <c r="F18" s="856" t="s">
        <v>268</v>
      </c>
      <c r="G18" s="856" t="s">
        <v>301</v>
      </c>
      <c r="H18" s="1087">
        <v>10</v>
      </c>
      <c r="I18" s="1087">
        <v>1509</v>
      </c>
      <c r="J18" s="966"/>
      <c r="K18" s="1087">
        <v>6</v>
      </c>
      <c r="L18" s="1306">
        <f t="shared" si="0"/>
        <v>0.16699029126213591</v>
      </c>
      <c r="M18" s="969"/>
      <c r="N18" s="966"/>
      <c r="O18" s="1087">
        <v>1030</v>
      </c>
      <c r="P18" s="969"/>
      <c r="Q18" s="966"/>
      <c r="R18" s="1087">
        <v>172</v>
      </c>
      <c r="S18" s="1314">
        <f t="shared" si="1"/>
        <v>4.239883495145631</v>
      </c>
      <c r="T18" s="1314">
        <f t="shared" si="2"/>
        <v>3.1220476936193484</v>
      </c>
      <c r="U18" s="969"/>
      <c r="V18" s="966"/>
      <c r="W18" s="1528">
        <f t="shared" si="3"/>
        <v>375.13200000000001</v>
      </c>
      <c r="X18" s="856">
        <v>2.181</v>
      </c>
      <c r="Y18" s="862">
        <v>0.69857997507770153</v>
      </c>
    </row>
    <row r="19" spans="1:25" s="866" customFormat="1">
      <c r="A19" s="856" t="s">
        <v>139</v>
      </c>
      <c r="B19" s="1102">
        <v>42829</v>
      </c>
      <c r="C19" s="856" t="s">
        <v>317</v>
      </c>
      <c r="D19" s="960"/>
      <c r="E19" s="856" t="s">
        <v>79</v>
      </c>
      <c r="F19" s="856" t="s">
        <v>270</v>
      </c>
      <c r="G19" s="856" t="s">
        <v>301</v>
      </c>
      <c r="H19" s="1087">
        <v>9</v>
      </c>
      <c r="I19" s="1087">
        <v>1624</v>
      </c>
      <c r="J19" s="966"/>
      <c r="K19" s="1087">
        <v>6</v>
      </c>
      <c r="L19" s="1306">
        <f t="shared" si="0"/>
        <v>0.11949685534591195</v>
      </c>
      <c r="M19" s="969"/>
      <c r="N19" s="966"/>
      <c r="O19" s="1087">
        <v>795</v>
      </c>
      <c r="P19" s="969"/>
      <c r="Q19" s="966"/>
      <c r="R19" s="1087">
        <v>95</v>
      </c>
      <c r="S19" s="1314">
        <f t="shared" si="1"/>
        <v>2.8906289308176101</v>
      </c>
      <c r="T19" s="1314">
        <f t="shared" si="2"/>
        <v>3.4358162370266974</v>
      </c>
      <c r="U19" s="969"/>
      <c r="V19" s="966"/>
      <c r="W19" s="1528">
        <f t="shared" si="3"/>
        <v>181.73500000000001</v>
      </c>
      <c r="X19" s="856">
        <v>1.913</v>
      </c>
      <c r="Y19" s="862">
        <v>0.55678181486664169</v>
      </c>
    </row>
    <row r="20" spans="1:25" s="866" customFormat="1">
      <c r="A20" s="856" t="s">
        <v>139</v>
      </c>
      <c r="B20" s="1102">
        <v>42829</v>
      </c>
      <c r="C20" s="856" t="s">
        <v>318</v>
      </c>
      <c r="D20" s="960"/>
      <c r="E20" s="856" t="s">
        <v>79</v>
      </c>
      <c r="F20" s="856" t="s">
        <v>272</v>
      </c>
      <c r="G20" s="856" t="s">
        <v>301</v>
      </c>
      <c r="H20" s="1087">
        <v>10</v>
      </c>
      <c r="I20" s="1087">
        <v>1744</v>
      </c>
      <c r="J20" s="966"/>
      <c r="K20" s="1087">
        <v>6</v>
      </c>
      <c r="L20" s="1306">
        <f t="shared" si="0"/>
        <v>0.11743772241992882</v>
      </c>
      <c r="M20" s="969"/>
      <c r="N20" s="966"/>
      <c r="O20" s="1087">
        <v>843</v>
      </c>
      <c r="P20" s="969"/>
      <c r="Q20" s="966"/>
      <c r="R20" s="1087">
        <v>99</v>
      </c>
      <c r="S20" s="1314">
        <f t="shared" si="1"/>
        <v>3.0381138790035584</v>
      </c>
      <c r="T20" s="1314">
        <f t="shared" si="2"/>
        <v>3.3933370724153202</v>
      </c>
      <c r="U20" s="969"/>
      <c r="V20" s="966"/>
      <c r="W20" s="1528">
        <f t="shared" si="3"/>
        <v>200.673</v>
      </c>
      <c r="X20" s="856">
        <v>2.0270000000000001</v>
      </c>
      <c r="Y20" s="862">
        <v>0.59734708245686174</v>
      </c>
    </row>
    <row r="21" spans="1:25" s="866" customFormat="1">
      <c r="A21" s="856" t="s">
        <v>139</v>
      </c>
      <c r="B21" s="1102">
        <v>42829</v>
      </c>
      <c r="C21" s="856" t="s">
        <v>319</v>
      </c>
      <c r="D21" s="960"/>
      <c r="E21" s="856" t="s">
        <v>79</v>
      </c>
      <c r="F21" s="856" t="s">
        <v>274</v>
      </c>
      <c r="G21" s="856" t="s">
        <v>301</v>
      </c>
      <c r="H21" s="1087">
        <v>10</v>
      </c>
      <c r="I21" s="1087">
        <v>1351</v>
      </c>
      <c r="J21" s="966"/>
      <c r="K21" s="1087">
        <v>6</v>
      </c>
      <c r="L21" s="1306">
        <f t="shared" si="0"/>
        <v>0.13387423935091278</v>
      </c>
      <c r="M21" s="969"/>
      <c r="N21" s="974"/>
      <c r="O21" s="1087">
        <v>986</v>
      </c>
      <c r="P21" s="969"/>
      <c r="Q21" s="966"/>
      <c r="R21" s="1087">
        <v>132</v>
      </c>
      <c r="S21" s="1314">
        <f t="shared" si="1"/>
        <v>3.1286409736308314</v>
      </c>
      <c r="T21" s="1314">
        <f t="shared" si="2"/>
        <v>3.3685196245160611</v>
      </c>
      <c r="U21" s="969"/>
      <c r="V21" s="966"/>
      <c r="W21" s="1528">
        <f t="shared" si="3"/>
        <v>235.488</v>
      </c>
      <c r="X21" s="856">
        <v>1.784</v>
      </c>
      <c r="Y21" s="862">
        <v>0.5296095017574074</v>
      </c>
    </row>
    <row r="22" spans="1:25" s="866" customFormat="1">
      <c r="A22" s="856" t="s">
        <v>139</v>
      </c>
      <c r="B22" s="1102">
        <v>42829</v>
      </c>
      <c r="C22" s="856" t="s">
        <v>320</v>
      </c>
      <c r="D22" s="960"/>
      <c r="E22" s="856" t="s">
        <v>79</v>
      </c>
      <c r="F22" s="856" t="s">
        <v>276</v>
      </c>
      <c r="G22" s="856" t="s">
        <v>301</v>
      </c>
      <c r="H22" s="1087">
        <v>14</v>
      </c>
      <c r="I22" s="1087">
        <v>1849</v>
      </c>
      <c r="J22" s="966"/>
      <c r="K22" s="1087">
        <v>6</v>
      </c>
      <c r="L22" s="1306">
        <f t="shared" si="0"/>
        <v>0.12356687898089172</v>
      </c>
      <c r="M22" s="969"/>
      <c r="N22" s="966"/>
      <c r="O22" s="1087">
        <v>785</v>
      </c>
      <c r="P22" s="969"/>
      <c r="Q22" s="966"/>
      <c r="R22" s="1087">
        <v>97</v>
      </c>
      <c r="S22" s="1314">
        <f t="shared" si="1"/>
        <v>3.2547515923566879</v>
      </c>
      <c r="T22" s="1314">
        <f t="shared" si="2"/>
        <v>3.3354048195314876</v>
      </c>
      <c r="U22" s="969"/>
      <c r="V22" s="966"/>
      <c r="W22" s="1528">
        <f t="shared" si="3"/>
        <v>215.72800000000001</v>
      </c>
      <c r="X22" s="856">
        <v>2.2240000000000002</v>
      </c>
      <c r="Y22" s="862">
        <v>0.66678562883182424</v>
      </c>
    </row>
    <row r="23" spans="1:25" s="844" customFormat="1">
      <c r="A23" s="834" t="s">
        <v>139</v>
      </c>
      <c r="B23" s="1446">
        <v>42829</v>
      </c>
      <c r="C23" s="834" t="s">
        <v>321</v>
      </c>
      <c r="D23" s="1274"/>
      <c r="E23" s="1450" t="s">
        <v>82</v>
      </c>
      <c r="F23" s="834" t="s">
        <v>81</v>
      </c>
      <c r="G23" s="834" t="s">
        <v>301</v>
      </c>
      <c r="H23" s="1438">
        <v>16</v>
      </c>
      <c r="I23" s="1438">
        <v>3453</v>
      </c>
      <c r="J23" s="1288"/>
      <c r="K23" s="1438">
        <v>6</v>
      </c>
      <c r="L23" s="1305">
        <f t="shared" si="0"/>
        <v>0.104</v>
      </c>
      <c r="M23" s="1291"/>
      <c r="N23" s="1288"/>
      <c r="O23" s="1438">
        <v>1125</v>
      </c>
      <c r="P23" s="1291"/>
      <c r="Q23" s="1288"/>
      <c r="R23" s="1438">
        <v>117</v>
      </c>
      <c r="S23" s="1313">
        <f t="shared" si="1"/>
        <v>4.76112</v>
      </c>
      <c r="T23" s="1313">
        <f t="shared" si="2"/>
        <v>3.0328486087006934</v>
      </c>
      <c r="U23" s="1291"/>
      <c r="V23" s="1288"/>
      <c r="W23" s="1532">
        <f t="shared" si="3"/>
        <v>313.09200000000004</v>
      </c>
      <c r="X23" s="834">
        <v>2.6760000000000002</v>
      </c>
      <c r="Y23" s="840">
        <v>0.88233879934627824</v>
      </c>
    </row>
    <row r="24" spans="1:25" s="844" customFormat="1">
      <c r="A24" s="834" t="s">
        <v>139</v>
      </c>
      <c r="B24" s="1446">
        <v>42829</v>
      </c>
      <c r="C24" s="834" t="s">
        <v>322</v>
      </c>
      <c r="D24" s="1274"/>
      <c r="E24" s="1450" t="s">
        <v>82</v>
      </c>
      <c r="F24" s="834" t="s">
        <v>237</v>
      </c>
      <c r="G24" s="834" t="s">
        <v>301</v>
      </c>
      <c r="H24" s="1438">
        <v>7</v>
      </c>
      <c r="I24" s="1438">
        <v>2235</v>
      </c>
      <c r="J24" s="1288"/>
      <c r="K24" s="1438">
        <v>6</v>
      </c>
      <c r="L24" s="1305">
        <f t="shared" si="0"/>
        <v>0.12801013941698353</v>
      </c>
      <c r="M24" s="1291"/>
      <c r="N24" s="1288"/>
      <c r="O24" s="1438">
        <v>1578</v>
      </c>
      <c r="P24" s="1291"/>
      <c r="Q24" s="1288"/>
      <c r="R24" s="1438">
        <v>202</v>
      </c>
      <c r="S24" s="1313">
        <f t="shared" si="1"/>
        <v>4.8810266159695814</v>
      </c>
      <c r="T24" s="1313">
        <f t="shared" si="2"/>
        <v>3.0140483864101073</v>
      </c>
      <c r="U24" s="1291"/>
      <c r="V24" s="1288"/>
      <c r="W24" s="1532">
        <f t="shared" si="3"/>
        <v>536.51200000000006</v>
      </c>
      <c r="X24" s="834">
        <v>2.6560000000000001</v>
      </c>
      <c r="Y24" s="840">
        <v>0.88120682201901812</v>
      </c>
    </row>
    <row r="25" spans="1:25" s="844" customFormat="1">
      <c r="A25" s="834" t="s">
        <v>139</v>
      </c>
      <c r="B25" s="1446">
        <v>42829</v>
      </c>
      <c r="C25" s="834" t="s">
        <v>323</v>
      </c>
      <c r="D25" s="1274"/>
      <c r="E25" s="1450" t="s">
        <v>82</v>
      </c>
      <c r="F25" s="834" t="s">
        <v>238</v>
      </c>
      <c r="G25" s="834" t="s">
        <v>301</v>
      </c>
      <c r="H25" s="1438">
        <v>13</v>
      </c>
      <c r="I25" s="1438">
        <v>2068</v>
      </c>
      <c r="J25" s="1288"/>
      <c r="K25" s="1438">
        <v>6</v>
      </c>
      <c r="L25" s="1305">
        <f t="shared" si="0"/>
        <v>0.10215053763440861</v>
      </c>
      <c r="M25" s="1291"/>
      <c r="N25" s="1288"/>
      <c r="O25" s="1438">
        <v>558</v>
      </c>
      <c r="P25" s="1291"/>
      <c r="Q25" s="1288"/>
      <c r="R25" s="1438">
        <v>57</v>
      </c>
      <c r="S25" s="1313">
        <f t="shared" si="1"/>
        <v>2.68247311827957</v>
      </c>
      <c r="T25" s="1313">
        <f t="shared" si="2"/>
        <v>3.5006135489946346</v>
      </c>
      <c r="U25" s="1291"/>
      <c r="V25" s="1288"/>
      <c r="W25" s="1532">
        <f t="shared" si="3"/>
        <v>173.50800000000001</v>
      </c>
      <c r="X25" s="834">
        <v>3.044</v>
      </c>
      <c r="Y25" s="840">
        <v>0.86956185177144951</v>
      </c>
    </row>
    <row r="26" spans="1:25" s="844" customFormat="1" ht="15.75" thickBot="1">
      <c r="A26" s="834" t="s">
        <v>139</v>
      </c>
      <c r="B26" s="1446">
        <v>42829</v>
      </c>
      <c r="C26" s="834" t="s">
        <v>324</v>
      </c>
      <c r="D26" s="1293"/>
      <c r="E26" s="1450" t="s">
        <v>82</v>
      </c>
      <c r="F26" s="834" t="s">
        <v>239</v>
      </c>
      <c r="G26" s="834" t="s">
        <v>301</v>
      </c>
      <c r="H26" s="1438">
        <v>21</v>
      </c>
      <c r="I26" s="1438">
        <v>4115</v>
      </c>
      <c r="J26" s="1299"/>
      <c r="K26" s="1438">
        <v>6</v>
      </c>
      <c r="L26" s="1307">
        <f t="shared" si="0"/>
        <v>0.14647713226205192</v>
      </c>
      <c r="M26" s="1302"/>
      <c r="N26" s="1299"/>
      <c r="O26" s="1438">
        <v>1618</v>
      </c>
      <c r="P26" s="1302"/>
      <c r="Q26" s="1299"/>
      <c r="R26" s="1438">
        <v>237</v>
      </c>
      <c r="S26" s="1315">
        <f t="shared" si="1"/>
        <v>8.3975339925834369</v>
      </c>
      <c r="T26" s="1315">
        <f t="shared" si="2"/>
        <v>2.6317223658972648</v>
      </c>
      <c r="U26" s="1302"/>
      <c r="V26" s="1299"/>
      <c r="W26" s="1533">
        <f t="shared" si="3"/>
        <v>618.33299999999997</v>
      </c>
      <c r="X26" s="834">
        <v>2.609</v>
      </c>
      <c r="Y26" s="840">
        <v>0.99136597150531192</v>
      </c>
    </row>
    <row r="27" spans="1:25" s="844" customFormat="1" ht="15.75" thickTop="1">
      <c r="A27" s="834" t="s">
        <v>139</v>
      </c>
      <c r="B27" s="1446">
        <v>42829</v>
      </c>
      <c r="C27" s="834" t="s">
        <v>325</v>
      </c>
      <c r="D27" s="1272"/>
      <c r="E27" s="1450" t="s">
        <v>82</v>
      </c>
      <c r="F27" s="834" t="s">
        <v>240</v>
      </c>
      <c r="G27" s="834" t="s">
        <v>301</v>
      </c>
      <c r="H27" s="1438">
        <v>18</v>
      </c>
      <c r="I27" s="1438">
        <v>3011</v>
      </c>
      <c r="J27" s="1279"/>
      <c r="K27" s="1438">
        <v>6</v>
      </c>
      <c r="L27" s="1510">
        <f t="shared" si="0"/>
        <v>0.13015359741309621</v>
      </c>
      <c r="M27" s="1281"/>
      <c r="N27" s="1282"/>
      <c r="O27" s="1438">
        <v>1237</v>
      </c>
      <c r="P27" s="1281"/>
      <c r="Q27" s="1282"/>
      <c r="R27" s="1438">
        <v>161</v>
      </c>
      <c r="S27" s="1534">
        <f t="shared" si="1"/>
        <v>5.5289248181083268</v>
      </c>
      <c r="T27" s="1534">
        <f t="shared" si="2"/>
        <v>2.9215804038046662</v>
      </c>
      <c r="U27" s="1281"/>
      <c r="V27" s="1282"/>
      <c r="W27" s="1534">
        <f t="shared" si="3"/>
        <v>396.221</v>
      </c>
      <c r="X27" s="834">
        <v>2.4609999999999999</v>
      </c>
      <c r="Y27" s="840">
        <v>0.84235230931694727</v>
      </c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1"/>
      <c r="C29" s="1"/>
      <c r="D29" s="1"/>
      <c r="E29" s="1"/>
      <c r="F29" s="1"/>
      <c r="R29" s="1"/>
      <c r="S29" s="4"/>
      <c r="T29" s="4"/>
      <c r="U29" s="1"/>
      <c r="V29" s="1"/>
      <c r="W29" s="4"/>
      <c r="X29" s="4"/>
      <c r="Y29" s="4"/>
    </row>
    <row r="30" spans="1:25">
      <c r="A30" s="55" t="s">
        <v>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750" t="s">
        <v>390</v>
      </c>
      <c r="N30" s="751"/>
      <c r="O30" s="751"/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56" t="s">
        <v>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6"/>
      <c r="N31" s="752" t="s">
        <v>63</v>
      </c>
      <c r="O31" s="753" t="s">
        <v>64</v>
      </c>
      <c r="P31" s="1"/>
      <c r="Q31" s="1"/>
      <c r="R31" s="1"/>
      <c r="S31" s="4"/>
      <c r="T31" s="4"/>
      <c r="U31" s="1"/>
      <c r="V31" s="1"/>
      <c r="W31" s="4"/>
      <c r="X31" s="4"/>
      <c r="Y31" s="4"/>
    </row>
    <row r="32" spans="1:25">
      <c r="A32" s="56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6" t="s">
        <v>391</v>
      </c>
      <c r="N32" s="774">
        <f>AVERAGE(Y3:Y22)</f>
        <v>0.58472356300140904</v>
      </c>
      <c r="O32" s="774">
        <f>AVERAGE(Y23:Y27)</f>
        <v>0.8933651507918009</v>
      </c>
      <c r="P32" s="1"/>
      <c r="Q32" s="1"/>
      <c r="R32" s="1"/>
      <c r="S32" s="4"/>
      <c r="T32" s="4"/>
      <c r="U32" s="1"/>
      <c r="V32" s="1"/>
      <c r="W32" s="4"/>
      <c r="X32" s="4"/>
      <c r="Y32" s="4"/>
    </row>
    <row r="33" spans="1:25">
      <c r="A33" s="56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6" t="s">
        <v>25</v>
      </c>
      <c r="N33" s="774">
        <f>AVERAGE(W3:W22)</f>
        <v>224.22295000000003</v>
      </c>
      <c r="O33" s="774">
        <f>AVERAGE(W23:W27)</f>
        <v>407.53320000000002</v>
      </c>
      <c r="P33" s="1"/>
      <c r="Q33" s="1"/>
      <c r="R33" s="1"/>
      <c r="S33" s="4"/>
      <c r="T33" s="4"/>
      <c r="U33" s="1"/>
      <c r="V33" s="1"/>
      <c r="W33" s="4"/>
      <c r="X33" s="4"/>
      <c r="Y33" s="4"/>
    </row>
    <row r="34" spans="1:25">
      <c r="A34" s="55" t="s">
        <v>87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6" t="s">
        <v>392</v>
      </c>
      <c r="N34" s="774">
        <f>AVERAGE(X3:X22)</f>
        <v>1.9116999999999997</v>
      </c>
      <c r="O34" s="774">
        <f>AVERAGE(X23:X27)</f>
        <v>2.6892000000000005</v>
      </c>
      <c r="P34" s="1"/>
      <c r="Q34" s="1"/>
      <c r="R34" s="1"/>
      <c r="S34" s="4"/>
      <c r="T34" s="4"/>
      <c r="U34" s="1"/>
      <c r="V34" s="1"/>
      <c r="W34" s="4"/>
      <c r="X34" s="4"/>
      <c r="Y34" s="4"/>
    </row>
    <row r="35" spans="1:25">
      <c r="A35" s="55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6" t="s">
        <v>393</v>
      </c>
      <c r="N35" s="774">
        <f>AVERAGE(S3:S22)</f>
        <v>3.5774915429432932</v>
      </c>
      <c r="O35" s="774">
        <f>AVERAGE(S23:S27)</f>
        <v>5.2502157089881827</v>
      </c>
      <c r="P35" s="1"/>
      <c r="Q35" s="1"/>
      <c r="R35" s="1"/>
      <c r="S35" s="4"/>
      <c r="T35" s="4"/>
      <c r="U35" s="1"/>
      <c r="V35" s="1"/>
      <c r="W35" s="4"/>
      <c r="X35" s="4"/>
      <c r="Y35" s="4"/>
    </row>
    <row r="36" spans="1:25">
      <c r="A36" s="55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"/>
      <c r="T36" s="4"/>
      <c r="U36" s="1"/>
      <c r="V36" s="1"/>
      <c r="W36" s="4"/>
      <c r="X36" s="4"/>
      <c r="Y36" s="4"/>
    </row>
    <row r="37" spans="1:25">
      <c r="A37" s="56" t="s">
        <v>46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"/>
      <c r="T37" s="4"/>
      <c r="U37" s="1"/>
      <c r="V37" s="1"/>
      <c r="W37" s="4"/>
      <c r="X37" s="4"/>
      <c r="Y37" s="4"/>
    </row>
    <row r="38" spans="1:25">
      <c r="A38" s="56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4"/>
      <c r="T38" s="4"/>
      <c r="U38" s="1"/>
      <c r="V38" s="1"/>
      <c r="W38" s="4"/>
      <c r="X38" s="4"/>
      <c r="Y38" s="4"/>
    </row>
    <row r="39" spans="1:25">
      <c r="A39" s="56" t="s">
        <v>48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4"/>
      <c r="T39" s="4"/>
      <c r="U39" s="1"/>
      <c r="V39" s="1"/>
      <c r="W39" s="4"/>
      <c r="X39" s="4"/>
      <c r="Y39" s="4"/>
    </row>
    <row r="40" spans="1:25">
      <c r="A40" s="56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/>
      <c r="P40" s="1"/>
      <c r="Q40" s="1"/>
      <c r="R40" s="1"/>
      <c r="S40" s="4"/>
      <c r="T40" s="4"/>
      <c r="U40" s="1"/>
      <c r="V40" s="1"/>
      <c r="W40" s="4"/>
      <c r="X40" s="4"/>
      <c r="Y40" s="4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  <c r="P41" s="1"/>
      <c r="Q41" s="1"/>
      <c r="R41" s="1"/>
      <c r="S41" s="4"/>
      <c r="T41" s="4"/>
      <c r="U41" s="1"/>
      <c r="V41" s="1"/>
      <c r="W41" s="4"/>
      <c r="X41" s="4"/>
      <c r="Y41" s="4"/>
    </row>
    <row r="42" spans="1:25">
      <c r="A42" s="1" t="s">
        <v>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/>
      <c r="P42" s="1"/>
      <c r="Q42" s="1"/>
      <c r="R42" s="1"/>
      <c r="S42" s="4"/>
      <c r="T42" s="4"/>
      <c r="U42" s="1"/>
      <c r="V42" s="1"/>
      <c r="W42" s="4"/>
      <c r="X42" s="4"/>
      <c r="Y42" s="4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"/>
      <c r="P43" s="1"/>
      <c r="Q43" s="1"/>
      <c r="R43" s="1"/>
      <c r="S43" s="4"/>
      <c r="T43" s="4"/>
      <c r="U43" s="1"/>
      <c r="V43" s="1"/>
      <c r="W43" s="4"/>
      <c r="X43" s="4"/>
      <c r="Y43" s="4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"/>
      <c r="P44" s="1"/>
      <c r="Q44" s="1"/>
      <c r="R44" s="1"/>
      <c r="S44" s="4"/>
      <c r="T44" s="4"/>
      <c r="U44" s="1"/>
      <c r="V44" s="1"/>
      <c r="W44" s="4"/>
      <c r="X44" s="4"/>
      <c r="Y44" s="4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  <c r="P45" s="1"/>
      <c r="Q45" s="1"/>
      <c r="R45" s="1"/>
      <c r="S45" s="4"/>
      <c r="T45" s="4"/>
      <c r="U45" s="1"/>
      <c r="V45" s="1"/>
      <c r="W45" s="4"/>
      <c r="X45" s="4"/>
      <c r="Y45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Y45"/>
  <sheetViews>
    <sheetView topLeftCell="E1" workbookViewId="0">
      <selection activeCell="M35" sqref="M35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3.5703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676" t="s">
        <v>0</v>
      </c>
      <c r="I1" s="677"/>
      <c r="J1" s="678"/>
      <c r="K1" s="676" t="s">
        <v>1</v>
      </c>
      <c r="L1" s="677"/>
      <c r="M1" s="677"/>
      <c r="N1" s="677"/>
      <c r="O1" s="677"/>
      <c r="P1" s="677"/>
      <c r="Q1" s="677"/>
      <c r="R1" s="678"/>
      <c r="S1" s="679" t="s">
        <v>2</v>
      </c>
      <c r="T1" s="680"/>
      <c r="U1" s="681" t="s">
        <v>3</v>
      </c>
      <c r="V1" s="682"/>
      <c r="W1" s="683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139</v>
      </c>
      <c r="B3" s="1102">
        <v>42825</v>
      </c>
      <c r="C3" s="856" t="s">
        <v>326</v>
      </c>
      <c r="D3" s="1070"/>
      <c r="E3" s="856" t="s">
        <v>79</v>
      </c>
      <c r="F3" s="856" t="s">
        <v>81</v>
      </c>
      <c r="G3" s="856" t="s">
        <v>301</v>
      </c>
      <c r="H3" s="1087">
        <v>11</v>
      </c>
      <c r="I3" s="1087">
        <v>2625</v>
      </c>
      <c r="J3" s="1075"/>
      <c r="K3" s="1087">
        <v>6</v>
      </c>
      <c r="L3" s="1499">
        <f>(R3/O3)</f>
        <v>0.12411347517730496</v>
      </c>
      <c r="M3" s="1077"/>
      <c r="N3" s="1075"/>
      <c r="O3" s="1087">
        <v>1128</v>
      </c>
      <c r="P3" s="1077"/>
      <c r="Q3" s="1075"/>
      <c r="R3" s="1087">
        <v>140</v>
      </c>
      <c r="S3" s="1502">
        <f>(R3+(I3*L3))/100</f>
        <v>4.6579787234042556</v>
      </c>
      <c r="T3" s="1502">
        <f>MIN(4.63,4.48*S3^(-0.25))</f>
        <v>3.049500008379912</v>
      </c>
      <c r="U3" s="1077"/>
      <c r="V3" s="1075"/>
      <c r="W3" s="1079">
        <f>X3*R3</f>
        <v>296.10000000000002</v>
      </c>
      <c r="X3" s="856">
        <v>2.1150000000000002</v>
      </c>
      <c r="Y3" s="862">
        <v>0.69355631880244606</v>
      </c>
    </row>
    <row r="4" spans="1:25" s="866" customFormat="1">
      <c r="A4" s="856" t="s">
        <v>139</v>
      </c>
      <c r="B4" s="1102">
        <v>42825</v>
      </c>
      <c r="C4" s="856" t="s">
        <v>327</v>
      </c>
      <c r="D4" s="960"/>
      <c r="E4" s="856" t="s">
        <v>79</v>
      </c>
      <c r="F4" s="856" t="s">
        <v>237</v>
      </c>
      <c r="G4" s="856" t="s">
        <v>301</v>
      </c>
      <c r="H4" s="1087">
        <v>12</v>
      </c>
      <c r="I4" s="1087">
        <v>2462</v>
      </c>
      <c r="J4" s="1080"/>
      <c r="K4" s="1087">
        <v>6</v>
      </c>
      <c r="L4" s="1500">
        <f t="shared" ref="L4:L27" si="0">(R4/O4)</f>
        <v>0.1200199203187251</v>
      </c>
      <c r="M4" s="1082"/>
      <c r="N4" s="1080"/>
      <c r="O4" s="1087">
        <v>1004</v>
      </c>
      <c r="P4" s="1082"/>
      <c r="Q4" s="1080"/>
      <c r="R4" s="1087">
        <v>120.5</v>
      </c>
      <c r="S4" s="1503">
        <f t="shared" ref="S4:S27" si="1">(R4+(I4*L4))/100</f>
        <v>4.1598904382470119</v>
      </c>
      <c r="T4" s="1503">
        <f t="shared" ref="T4:T27" si="2">MIN(4.63,4.48*S4^(-0.25))</f>
        <v>3.1369495981529041</v>
      </c>
      <c r="U4" s="1082"/>
      <c r="V4" s="1080"/>
      <c r="W4" s="972">
        <f t="shared" ref="W4:W27" si="3">X4*R4</f>
        <v>272.089</v>
      </c>
      <c r="X4" s="856">
        <v>2.258</v>
      </c>
      <c r="Y4" s="862">
        <v>0.71980754849537698</v>
      </c>
    </row>
    <row r="5" spans="1:25" s="866" customFormat="1">
      <c r="A5" s="856" t="s">
        <v>139</v>
      </c>
      <c r="B5" s="1102">
        <v>42825</v>
      </c>
      <c r="C5" s="856" t="s">
        <v>328</v>
      </c>
      <c r="D5" s="960"/>
      <c r="E5" s="856" t="s">
        <v>79</v>
      </c>
      <c r="F5" s="856" t="s">
        <v>245</v>
      </c>
      <c r="G5" s="856" t="s">
        <v>301</v>
      </c>
      <c r="H5" s="1087">
        <v>11</v>
      </c>
      <c r="I5" s="1087">
        <v>2468</v>
      </c>
      <c r="J5" s="1080"/>
      <c r="K5" s="1087">
        <v>6</v>
      </c>
      <c r="L5" s="1501">
        <f t="shared" si="0"/>
        <v>0.12683578104138851</v>
      </c>
      <c r="M5" s="1082"/>
      <c r="N5" s="1080"/>
      <c r="O5" s="1087">
        <v>1498</v>
      </c>
      <c r="P5" s="1082"/>
      <c r="Q5" s="1080"/>
      <c r="R5" s="1087">
        <v>190</v>
      </c>
      <c r="S5" s="1504">
        <f t="shared" si="1"/>
        <v>5.0303070761014688</v>
      </c>
      <c r="T5" s="1504">
        <f t="shared" si="2"/>
        <v>2.9914337533234572</v>
      </c>
      <c r="U5" s="1082"/>
      <c r="V5" s="1080"/>
      <c r="W5" s="1086">
        <f t="shared" si="3"/>
        <v>405.08000000000004</v>
      </c>
      <c r="X5" s="856">
        <v>2.1320000000000001</v>
      </c>
      <c r="Y5" s="862">
        <v>0.71270172626466033</v>
      </c>
    </row>
    <row r="6" spans="1:25" s="866" customFormat="1">
      <c r="A6" s="856" t="s">
        <v>139</v>
      </c>
      <c r="B6" s="1102">
        <v>42825</v>
      </c>
      <c r="C6" s="856" t="s">
        <v>329</v>
      </c>
      <c r="D6" s="960"/>
      <c r="E6" s="856" t="s">
        <v>79</v>
      </c>
      <c r="F6" s="856" t="s">
        <v>247</v>
      </c>
      <c r="G6" s="856" t="s">
        <v>301</v>
      </c>
      <c r="H6" s="1087">
        <v>10</v>
      </c>
      <c r="I6" s="1087">
        <v>2222</v>
      </c>
      <c r="J6" s="1080"/>
      <c r="K6" s="1087">
        <v>6</v>
      </c>
      <c r="L6" s="1306">
        <f t="shared" si="0"/>
        <v>0.1151685393258427</v>
      </c>
      <c r="M6" s="1082"/>
      <c r="N6" s="1080"/>
      <c r="O6" s="1087">
        <v>1602</v>
      </c>
      <c r="P6" s="1082"/>
      <c r="Q6" s="1080"/>
      <c r="R6" s="1087">
        <v>184.5</v>
      </c>
      <c r="S6" s="1314">
        <f t="shared" si="1"/>
        <v>4.4040449438202245</v>
      </c>
      <c r="T6" s="1314">
        <f t="shared" si="2"/>
        <v>3.0925382394118235</v>
      </c>
      <c r="U6" s="1082"/>
      <c r="V6" s="1080"/>
      <c r="W6" s="972">
        <f t="shared" si="3"/>
        <v>460.88100000000003</v>
      </c>
      <c r="X6" s="856">
        <v>2.4980000000000002</v>
      </c>
      <c r="Y6" s="862">
        <v>0.8077507233912492</v>
      </c>
    </row>
    <row r="7" spans="1:25" s="866" customFormat="1">
      <c r="A7" s="856" t="s">
        <v>139</v>
      </c>
      <c r="B7" s="1102">
        <v>42825</v>
      </c>
      <c r="C7" s="856" t="s">
        <v>330</v>
      </c>
      <c r="D7" s="960"/>
      <c r="E7" s="856" t="s">
        <v>79</v>
      </c>
      <c r="F7" s="856" t="s">
        <v>249</v>
      </c>
      <c r="G7" s="856" t="s">
        <v>301</v>
      </c>
      <c r="H7" s="1087">
        <v>12</v>
      </c>
      <c r="I7" s="1087">
        <v>1756</v>
      </c>
      <c r="J7" s="1080"/>
      <c r="K7" s="1087">
        <v>6</v>
      </c>
      <c r="L7" s="1306">
        <f t="shared" si="0"/>
        <v>0.12923728813559321</v>
      </c>
      <c r="M7" s="1082"/>
      <c r="N7" s="1080"/>
      <c r="O7" s="1087">
        <v>1180</v>
      </c>
      <c r="P7" s="1082"/>
      <c r="Q7" s="1080"/>
      <c r="R7" s="1087">
        <v>152.5</v>
      </c>
      <c r="S7" s="1314">
        <f t="shared" si="1"/>
        <v>3.794406779661017</v>
      </c>
      <c r="T7" s="1314">
        <f t="shared" si="2"/>
        <v>3.2099039861676162</v>
      </c>
      <c r="U7" s="1082"/>
      <c r="V7" s="1080"/>
      <c r="W7" s="972">
        <f t="shared" si="3"/>
        <v>302.71250000000003</v>
      </c>
      <c r="X7" s="856">
        <v>1.9850000000000001</v>
      </c>
      <c r="Y7" s="862">
        <v>0.61839855913258657</v>
      </c>
    </row>
    <row r="8" spans="1:25" s="1560" customFormat="1" ht="15.75" thickBot="1">
      <c r="A8" s="1550" t="s">
        <v>139</v>
      </c>
      <c r="B8" s="1551">
        <v>42825</v>
      </c>
      <c r="C8" s="1550" t="s">
        <v>331</v>
      </c>
      <c r="D8" s="1552"/>
      <c r="E8" s="1550" t="s">
        <v>79</v>
      </c>
      <c r="F8" s="1550" t="s">
        <v>251</v>
      </c>
      <c r="G8" s="1550" t="s">
        <v>301</v>
      </c>
      <c r="H8" s="1553"/>
      <c r="I8" s="1553"/>
      <c r="J8" s="1554"/>
      <c r="K8" s="1553">
        <v>5</v>
      </c>
      <c r="L8" s="1555">
        <f t="shared" si="0"/>
        <v>0.12356640769515354</v>
      </c>
      <c r="M8" s="1556"/>
      <c r="N8" s="1554"/>
      <c r="O8" s="1553">
        <v>2703</v>
      </c>
      <c r="P8" s="1556"/>
      <c r="Q8" s="1554"/>
      <c r="R8" s="1553">
        <v>334</v>
      </c>
      <c r="S8" s="1557">
        <f t="shared" si="1"/>
        <v>3.34</v>
      </c>
      <c r="T8" s="1557">
        <f t="shared" si="2"/>
        <v>3.3139152477719227</v>
      </c>
      <c r="U8" s="1556"/>
      <c r="V8" s="1554"/>
      <c r="W8" s="1558">
        <f t="shared" si="3"/>
        <v>1029.0540000000001</v>
      </c>
      <c r="X8" s="1550">
        <v>3.081</v>
      </c>
      <c r="Y8" s="1559">
        <v>0.92971599140064864</v>
      </c>
    </row>
    <row r="9" spans="1:25" s="866" customFormat="1" ht="15.75" thickTop="1">
      <c r="A9" s="856" t="s">
        <v>139</v>
      </c>
      <c r="B9" s="1102">
        <v>42825</v>
      </c>
      <c r="C9" s="856" t="s">
        <v>332</v>
      </c>
      <c r="D9" s="1070"/>
      <c r="E9" s="856" t="s">
        <v>79</v>
      </c>
      <c r="F9" s="856" t="s">
        <v>253</v>
      </c>
      <c r="G9" s="856" t="s">
        <v>301</v>
      </c>
      <c r="H9" s="1087">
        <v>9</v>
      </c>
      <c r="I9" s="1087">
        <v>1829</v>
      </c>
      <c r="J9" s="1075"/>
      <c r="K9" s="1087">
        <v>6</v>
      </c>
      <c r="L9" s="1509">
        <f t="shared" si="0"/>
        <v>0.12249515190691661</v>
      </c>
      <c r="M9" s="1077"/>
      <c r="N9" s="1075"/>
      <c r="O9" s="1087">
        <v>1547</v>
      </c>
      <c r="P9" s="1077"/>
      <c r="Q9" s="1075"/>
      <c r="R9" s="1087">
        <v>189.5</v>
      </c>
      <c r="S9" s="1516">
        <f t="shared" si="1"/>
        <v>4.1354363283775051</v>
      </c>
      <c r="T9" s="1516">
        <f t="shared" si="2"/>
        <v>3.1415767875131633</v>
      </c>
      <c r="U9" s="1077"/>
      <c r="V9" s="1075"/>
      <c r="W9" s="1097">
        <f t="shared" si="3"/>
        <v>433.38650000000001</v>
      </c>
      <c r="X9" s="856">
        <v>2.2869999999999999</v>
      </c>
      <c r="Y9" s="862">
        <v>0.72797838623271827</v>
      </c>
    </row>
    <row r="10" spans="1:25" s="866" customFormat="1">
      <c r="A10" s="856" t="s">
        <v>139</v>
      </c>
      <c r="B10" s="1102">
        <v>42825</v>
      </c>
      <c r="C10" s="856" t="s">
        <v>333</v>
      </c>
      <c r="D10" s="960"/>
      <c r="E10" s="856" t="s">
        <v>79</v>
      </c>
      <c r="F10" s="856" t="s">
        <v>255</v>
      </c>
      <c r="G10" s="856" t="s">
        <v>301</v>
      </c>
      <c r="H10" s="1087">
        <v>19</v>
      </c>
      <c r="I10" s="1087">
        <v>3384</v>
      </c>
      <c r="J10" s="1080"/>
      <c r="K10" s="1087">
        <v>6</v>
      </c>
      <c r="L10" s="1306">
        <f t="shared" si="0"/>
        <v>0.11219512195121951</v>
      </c>
      <c r="M10" s="1082"/>
      <c r="N10" s="1080"/>
      <c r="O10" s="1087">
        <v>1435</v>
      </c>
      <c r="P10" s="1082"/>
      <c r="Q10" s="1080"/>
      <c r="R10" s="1087">
        <v>161</v>
      </c>
      <c r="S10" s="1314">
        <f t="shared" si="1"/>
        <v>5.4066829268292693</v>
      </c>
      <c r="T10" s="1524">
        <f t="shared" si="2"/>
        <v>2.9379560091102332</v>
      </c>
      <c r="U10" s="1082"/>
      <c r="V10" s="1080"/>
      <c r="W10" s="972">
        <f t="shared" si="3"/>
        <v>438.08100000000002</v>
      </c>
      <c r="X10" s="856">
        <v>2.7210000000000001</v>
      </c>
      <c r="Y10" s="862">
        <v>0.92615409882330446</v>
      </c>
    </row>
    <row r="11" spans="1:25" s="866" customFormat="1">
      <c r="A11" s="856" t="s">
        <v>139</v>
      </c>
      <c r="B11" s="1102">
        <v>42825</v>
      </c>
      <c r="C11" s="856" t="s">
        <v>334</v>
      </c>
      <c r="D11" s="960"/>
      <c r="E11" s="856" t="s">
        <v>79</v>
      </c>
      <c r="F11" s="856" t="s">
        <v>238</v>
      </c>
      <c r="G11" s="856" t="s">
        <v>301</v>
      </c>
      <c r="H11" s="1087">
        <v>13</v>
      </c>
      <c r="I11" s="1087">
        <v>2412</v>
      </c>
      <c r="J11" s="1080"/>
      <c r="K11" s="1087">
        <v>6</v>
      </c>
      <c r="L11" s="1306">
        <f t="shared" si="0"/>
        <v>0.11649016641452345</v>
      </c>
      <c r="M11" s="1082"/>
      <c r="N11" s="1080"/>
      <c r="O11" s="1087">
        <v>1322</v>
      </c>
      <c r="P11" s="1082"/>
      <c r="Q11" s="1080"/>
      <c r="R11" s="1087">
        <v>154</v>
      </c>
      <c r="S11" s="1314">
        <f t="shared" si="1"/>
        <v>4.3497428139183061</v>
      </c>
      <c r="T11" s="1524">
        <f t="shared" si="2"/>
        <v>3.102145182095966</v>
      </c>
      <c r="U11" s="1082"/>
      <c r="V11" s="1080"/>
      <c r="W11" s="972">
        <f t="shared" si="3"/>
        <v>328.17399999999998</v>
      </c>
      <c r="X11" s="856">
        <v>2.1309999999999998</v>
      </c>
      <c r="Y11" s="862">
        <v>0.68694399356260583</v>
      </c>
    </row>
    <row r="12" spans="1:25" s="866" customFormat="1">
      <c r="A12" s="856" t="s">
        <v>139</v>
      </c>
      <c r="B12" s="1102">
        <v>42825</v>
      </c>
      <c r="C12" s="856" t="s">
        <v>335</v>
      </c>
      <c r="D12" s="960"/>
      <c r="E12" s="856" t="s">
        <v>79</v>
      </c>
      <c r="F12" s="856" t="s">
        <v>258</v>
      </c>
      <c r="G12" s="856" t="s">
        <v>301</v>
      </c>
      <c r="H12" s="1087">
        <v>14</v>
      </c>
      <c r="I12" s="1087">
        <v>1892</v>
      </c>
      <c r="J12" s="1080"/>
      <c r="K12" s="1087">
        <v>6</v>
      </c>
      <c r="L12" s="1306">
        <f t="shared" si="0"/>
        <v>0.13448922211808809</v>
      </c>
      <c r="M12" s="1082"/>
      <c r="N12" s="1080"/>
      <c r="O12" s="1087">
        <v>1067</v>
      </c>
      <c r="P12" s="1082"/>
      <c r="Q12" s="1080"/>
      <c r="R12" s="1087">
        <v>143.5</v>
      </c>
      <c r="S12" s="1314">
        <f t="shared" si="1"/>
        <v>3.9795360824742265</v>
      </c>
      <c r="T12" s="1314">
        <f t="shared" si="2"/>
        <v>3.1719030336856866</v>
      </c>
      <c r="U12" s="1082"/>
      <c r="V12" s="1080"/>
      <c r="W12" s="972">
        <f t="shared" si="3"/>
        <v>313.26049999999998</v>
      </c>
      <c r="X12" s="856">
        <v>2.1829999999999998</v>
      </c>
      <c r="Y12" s="862">
        <v>0.68823037047995705</v>
      </c>
    </row>
    <row r="13" spans="1:25" s="866" customFormat="1">
      <c r="A13" s="856" t="s">
        <v>139</v>
      </c>
      <c r="B13" s="1102">
        <v>42825</v>
      </c>
      <c r="C13" s="856" t="s">
        <v>336</v>
      </c>
      <c r="D13" s="960"/>
      <c r="E13" s="856" t="s">
        <v>79</v>
      </c>
      <c r="F13" s="856" t="s">
        <v>260</v>
      </c>
      <c r="G13" s="856" t="s">
        <v>301</v>
      </c>
      <c r="H13" s="1087">
        <v>11</v>
      </c>
      <c r="I13" s="1087">
        <v>2731</v>
      </c>
      <c r="J13" s="1080"/>
      <c r="K13" s="1087">
        <v>6</v>
      </c>
      <c r="L13" s="1306">
        <f t="shared" si="0"/>
        <v>0.12159329140461216</v>
      </c>
      <c r="M13" s="1082"/>
      <c r="N13" s="1080"/>
      <c r="O13" s="1087">
        <v>954</v>
      </c>
      <c r="P13" s="1082"/>
      <c r="Q13" s="1080"/>
      <c r="R13" s="1087">
        <v>116</v>
      </c>
      <c r="S13" s="1314">
        <f t="shared" si="1"/>
        <v>4.4807127882599582</v>
      </c>
      <c r="T13" s="1314">
        <f t="shared" si="2"/>
        <v>3.0792236756476332</v>
      </c>
      <c r="U13" s="1082"/>
      <c r="V13" s="1080"/>
      <c r="W13" s="972">
        <f t="shared" si="3"/>
        <v>250.44399999999999</v>
      </c>
      <c r="X13" s="856">
        <v>2.1589999999999998</v>
      </c>
      <c r="Y13" s="862">
        <v>0.70115075337809341</v>
      </c>
    </row>
    <row r="14" spans="1:25" s="866" customFormat="1" ht="15.75" thickBot="1">
      <c r="A14" s="856" t="s">
        <v>139</v>
      </c>
      <c r="B14" s="1102">
        <v>42825</v>
      </c>
      <c r="C14" s="856" t="s">
        <v>337</v>
      </c>
      <c r="D14" s="1089"/>
      <c r="E14" s="856" t="s">
        <v>79</v>
      </c>
      <c r="F14" s="856" t="s">
        <v>239</v>
      </c>
      <c r="G14" s="856" t="s">
        <v>301</v>
      </c>
      <c r="H14" s="1087">
        <v>12</v>
      </c>
      <c r="I14" s="1087">
        <v>2254</v>
      </c>
      <c r="J14" s="1090"/>
      <c r="K14" s="1087">
        <v>6</v>
      </c>
      <c r="L14" s="1508">
        <f t="shared" si="0"/>
        <v>0.12619047619047619</v>
      </c>
      <c r="M14" s="1092"/>
      <c r="N14" s="1090"/>
      <c r="O14" s="1087">
        <v>1260</v>
      </c>
      <c r="P14" s="1092"/>
      <c r="Q14" s="1090"/>
      <c r="R14" s="1087">
        <v>159</v>
      </c>
      <c r="S14" s="1515">
        <f t="shared" si="1"/>
        <v>4.434333333333333</v>
      </c>
      <c r="T14" s="1515">
        <f t="shared" si="2"/>
        <v>3.087243819803061</v>
      </c>
      <c r="U14" s="1092"/>
      <c r="V14" s="1090"/>
      <c r="W14" s="1094">
        <f t="shared" si="3"/>
        <v>338.35200000000003</v>
      </c>
      <c r="X14" s="856">
        <v>2.1280000000000001</v>
      </c>
      <c r="Y14" s="862">
        <v>0.68928796175734119</v>
      </c>
    </row>
    <row r="15" spans="1:25" s="866" customFormat="1" ht="15.75" thickTop="1">
      <c r="A15" s="856" t="s">
        <v>139</v>
      </c>
      <c r="B15" s="1102">
        <v>42825</v>
      </c>
      <c r="C15" s="856" t="s">
        <v>338</v>
      </c>
      <c r="D15" s="960"/>
      <c r="E15" s="856" t="s">
        <v>79</v>
      </c>
      <c r="F15" s="856" t="s">
        <v>240</v>
      </c>
      <c r="G15" s="856" t="s">
        <v>301</v>
      </c>
      <c r="H15" s="1087">
        <v>13</v>
      </c>
      <c r="I15" s="1087">
        <v>1644</v>
      </c>
      <c r="J15" s="1099"/>
      <c r="K15" s="1087">
        <v>6</v>
      </c>
      <c r="L15" s="1509">
        <f t="shared" si="0"/>
        <v>0.12940140845070422</v>
      </c>
      <c r="M15" s="1100"/>
      <c r="N15" s="1101"/>
      <c r="O15" s="1087">
        <v>1136</v>
      </c>
      <c r="P15" s="1100"/>
      <c r="Q15" s="1101"/>
      <c r="R15" s="1087">
        <v>147</v>
      </c>
      <c r="S15" s="1516">
        <f t="shared" si="1"/>
        <v>3.5973591549295771</v>
      </c>
      <c r="T15" s="1516">
        <f t="shared" si="2"/>
        <v>3.2529850261082704</v>
      </c>
      <c r="U15" s="1100"/>
      <c r="V15" s="1101"/>
      <c r="W15" s="1097">
        <f t="shared" si="3"/>
        <v>317.37299999999999</v>
      </c>
      <c r="X15" s="856">
        <v>2.1589999999999998</v>
      </c>
      <c r="Y15" s="862">
        <v>0.66369810579267663</v>
      </c>
    </row>
    <row r="16" spans="1:25" s="866" customFormat="1">
      <c r="A16" s="856" t="s">
        <v>139</v>
      </c>
      <c r="B16" s="1102">
        <v>42825</v>
      </c>
      <c r="C16" s="856" t="s">
        <v>339</v>
      </c>
      <c r="D16" s="960"/>
      <c r="E16" s="856" t="s">
        <v>79</v>
      </c>
      <c r="F16" s="856" t="s">
        <v>264</v>
      </c>
      <c r="G16" s="856" t="s">
        <v>301</v>
      </c>
      <c r="H16" s="1087">
        <v>15</v>
      </c>
      <c r="I16" s="1087">
        <v>2335</v>
      </c>
      <c r="J16" s="966"/>
      <c r="K16" s="1087">
        <v>6</v>
      </c>
      <c r="L16" s="1306">
        <f t="shared" si="0"/>
        <v>0.12695652173913044</v>
      </c>
      <c r="M16" s="969"/>
      <c r="N16" s="966"/>
      <c r="O16" s="1087">
        <v>1725</v>
      </c>
      <c r="P16" s="969"/>
      <c r="Q16" s="966"/>
      <c r="R16" s="1087">
        <v>219</v>
      </c>
      <c r="S16" s="1314">
        <f t="shared" si="1"/>
        <v>5.1544347826086963</v>
      </c>
      <c r="T16" s="1314">
        <f t="shared" si="2"/>
        <v>2.9732590656373952</v>
      </c>
      <c r="U16" s="969"/>
      <c r="V16" s="966"/>
      <c r="W16" s="972">
        <f t="shared" si="3"/>
        <v>432.52500000000003</v>
      </c>
      <c r="X16" s="856">
        <v>1.9750000000000001</v>
      </c>
      <c r="Y16" s="862">
        <v>0.66425425985428133</v>
      </c>
    </row>
    <row r="17" spans="1:25" s="866" customFormat="1">
      <c r="A17" s="856" t="s">
        <v>139</v>
      </c>
      <c r="B17" s="1102">
        <v>42825</v>
      </c>
      <c r="C17" s="856" t="s">
        <v>340</v>
      </c>
      <c r="D17" s="960"/>
      <c r="E17" s="856" t="s">
        <v>79</v>
      </c>
      <c r="F17" s="856" t="s">
        <v>266</v>
      </c>
      <c r="G17" s="856" t="s">
        <v>301</v>
      </c>
      <c r="H17" s="1087">
        <v>10</v>
      </c>
      <c r="I17" s="1087">
        <v>2249</v>
      </c>
      <c r="J17" s="966"/>
      <c r="K17" s="1087">
        <v>6</v>
      </c>
      <c r="L17" s="1306">
        <f t="shared" si="0"/>
        <v>0.12427265170407314</v>
      </c>
      <c r="M17" s="969"/>
      <c r="N17" s="966"/>
      <c r="O17" s="1087">
        <v>1203</v>
      </c>
      <c r="P17" s="969"/>
      <c r="Q17" s="966"/>
      <c r="R17" s="1087">
        <v>149.5</v>
      </c>
      <c r="S17" s="1314">
        <f t="shared" si="1"/>
        <v>4.2898919368246053</v>
      </c>
      <c r="T17" s="1314">
        <f t="shared" si="2"/>
        <v>3.112909005848278</v>
      </c>
      <c r="U17" s="969"/>
      <c r="V17" s="966"/>
      <c r="W17" s="972">
        <f t="shared" si="3"/>
        <v>364.78</v>
      </c>
      <c r="X17" s="856">
        <v>2.44</v>
      </c>
      <c r="Y17" s="862">
        <v>0.78383274146977255</v>
      </c>
    </row>
    <row r="18" spans="1:25" s="866" customFormat="1">
      <c r="A18" s="856" t="s">
        <v>139</v>
      </c>
      <c r="B18" s="1102">
        <v>42825</v>
      </c>
      <c r="C18" s="856" t="s">
        <v>341</v>
      </c>
      <c r="D18" s="960"/>
      <c r="E18" s="856" t="s">
        <v>79</v>
      </c>
      <c r="F18" s="856" t="s">
        <v>268</v>
      </c>
      <c r="G18" s="856" t="s">
        <v>301</v>
      </c>
      <c r="H18" s="1087">
        <v>16</v>
      </c>
      <c r="I18" s="1087">
        <v>2665</v>
      </c>
      <c r="J18" s="966"/>
      <c r="K18" s="1087">
        <v>6</v>
      </c>
      <c r="L18" s="1306">
        <f t="shared" si="0"/>
        <v>0.13463687150837989</v>
      </c>
      <c r="M18" s="969"/>
      <c r="N18" s="966"/>
      <c r="O18" s="1087">
        <v>895</v>
      </c>
      <c r="P18" s="969"/>
      <c r="Q18" s="966"/>
      <c r="R18" s="1087">
        <v>120.5</v>
      </c>
      <c r="S18" s="1314">
        <f t="shared" si="1"/>
        <v>4.7930726256983238</v>
      </c>
      <c r="T18" s="1314">
        <f t="shared" si="2"/>
        <v>3.0277813642595865</v>
      </c>
      <c r="U18" s="969"/>
      <c r="V18" s="966"/>
      <c r="W18" s="972">
        <f t="shared" si="3"/>
        <v>257.26749999999998</v>
      </c>
      <c r="X18" s="856">
        <v>2.1349999999999998</v>
      </c>
      <c r="Y18" s="862">
        <v>0.7051367794259783</v>
      </c>
    </row>
    <row r="19" spans="1:25" s="866" customFormat="1">
      <c r="A19" s="856" t="s">
        <v>139</v>
      </c>
      <c r="B19" s="1102">
        <v>42825</v>
      </c>
      <c r="C19" s="856" t="s">
        <v>342</v>
      </c>
      <c r="D19" s="960"/>
      <c r="E19" s="856" t="s">
        <v>79</v>
      </c>
      <c r="F19" s="856" t="s">
        <v>270</v>
      </c>
      <c r="G19" s="856" t="s">
        <v>301</v>
      </c>
      <c r="H19" s="1087">
        <v>19</v>
      </c>
      <c r="I19" s="1087">
        <v>3027</v>
      </c>
      <c r="J19" s="966"/>
      <c r="K19" s="1087">
        <v>6</v>
      </c>
      <c r="L19" s="1306">
        <f t="shared" si="0"/>
        <v>0.12587108013937282</v>
      </c>
      <c r="M19" s="969"/>
      <c r="N19" s="966"/>
      <c r="O19" s="1087">
        <v>1148</v>
      </c>
      <c r="P19" s="969"/>
      <c r="Q19" s="966"/>
      <c r="R19" s="1087">
        <v>144.5</v>
      </c>
      <c r="S19" s="1314">
        <f t="shared" si="1"/>
        <v>5.255117595818815</v>
      </c>
      <c r="T19" s="1314">
        <f t="shared" si="2"/>
        <v>2.9589144196085178</v>
      </c>
      <c r="U19" s="969"/>
      <c r="V19" s="966"/>
      <c r="W19" s="972">
        <f t="shared" si="3"/>
        <v>321.51249999999999</v>
      </c>
      <c r="X19" s="856">
        <v>2.2250000000000001</v>
      </c>
      <c r="Y19" s="862">
        <v>0.75196497244228544</v>
      </c>
    </row>
    <row r="20" spans="1:25" s="866" customFormat="1">
      <c r="A20" s="856" t="s">
        <v>139</v>
      </c>
      <c r="B20" s="1102">
        <v>42825</v>
      </c>
      <c r="C20" s="856" t="s">
        <v>343</v>
      </c>
      <c r="D20" s="960"/>
      <c r="E20" s="856" t="s">
        <v>79</v>
      </c>
      <c r="F20" s="856" t="s">
        <v>272</v>
      </c>
      <c r="G20" s="856" t="s">
        <v>301</v>
      </c>
      <c r="H20" s="1087">
        <v>9</v>
      </c>
      <c r="I20" s="1087">
        <v>1726</v>
      </c>
      <c r="J20" s="966"/>
      <c r="K20" s="1087">
        <v>6</v>
      </c>
      <c r="L20" s="1306">
        <f t="shared" si="0"/>
        <v>0.11542145593869732</v>
      </c>
      <c r="M20" s="969"/>
      <c r="N20" s="966"/>
      <c r="O20" s="1087">
        <v>1044</v>
      </c>
      <c r="P20" s="969"/>
      <c r="Q20" s="966"/>
      <c r="R20" s="1087">
        <v>120.5</v>
      </c>
      <c r="S20" s="1314">
        <f t="shared" si="1"/>
        <v>3.1971743295019155</v>
      </c>
      <c r="T20" s="1314">
        <f t="shared" si="2"/>
        <v>3.3503211168075051</v>
      </c>
      <c r="U20" s="969"/>
      <c r="V20" s="966"/>
      <c r="W20" s="972">
        <f t="shared" si="3"/>
        <v>243.892</v>
      </c>
      <c r="X20" s="856">
        <v>2.024</v>
      </c>
      <c r="Y20" s="862">
        <v>0.60412119597916469</v>
      </c>
    </row>
    <row r="21" spans="1:25" s="866" customFormat="1">
      <c r="A21" s="856" t="s">
        <v>139</v>
      </c>
      <c r="B21" s="1102">
        <v>42825</v>
      </c>
      <c r="C21" s="856" t="s">
        <v>344</v>
      </c>
      <c r="D21" s="960"/>
      <c r="E21" s="856" t="s">
        <v>79</v>
      </c>
      <c r="F21" s="856" t="s">
        <v>274</v>
      </c>
      <c r="G21" s="856" t="s">
        <v>301</v>
      </c>
      <c r="H21" s="1087">
        <v>16</v>
      </c>
      <c r="I21" s="1087">
        <v>2169</v>
      </c>
      <c r="J21" s="966"/>
      <c r="K21" s="1087">
        <v>6</v>
      </c>
      <c r="L21" s="1306">
        <f t="shared" si="0"/>
        <v>0.14788732394366197</v>
      </c>
      <c r="M21" s="969"/>
      <c r="N21" s="974"/>
      <c r="O21" s="1087">
        <v>1065</v>
      </c>
      <c r="P21" s="969"/>
      <c r="Q21" s="966"/>
      <c r="R21" s="1087">
        <v>157.5</v>
      </c>
      <c r="S21" s="1314">
        <f t="shared" si="1"/>
        <v>4.7826760563380279</v>
      </c>
      <c r="T21" s="1314">
        <f t="shared" si="2"/>
        <v>3.0294254705398509</v>
      </c>
      <c r="U21" s="969"/>
      <c r="V21" s="966"/>
      <c r="W21" s="972">
        <f t="shared" si="3"/>
        <v>291.06</v>
      </c>
      <c r="X21" s="856">
        <v>1.8480000000000001</v>
      </c>
      <c r="Y21" s="862">
        <v>0.61001665760428236</v>
      </c>
    </row>
    <row r="22" spans="1:25" s="866" customFormat="1">
      <c r="A22" s="856" t="s">
        <v>139</v>
      </c>
      <c r="B22" s="1102">
        <v>42825</v>
      </c>
      <c r="C22" s="856" t="s">
        <v>345</v>
      </c>
      <c r="D22" s="960"/>
      <c r="E22" s="856" t="s">
        <v>79</v>
      </c>
      <c r="F22" s="856" t="s">
        <v>276</v>
      </c>
      <c r="G22" s="856" t="s">
        <v>301</v>
      </c>
      <c r="H22" s="1087">
        <v>15</v>
      </c>
      <c r="I22" s="1087">
        <v>2570</v>
      </c>
      <c r="J22" s="966"/>
      <c r="K22" s="1087">
        <v>6</v>
      </c>
      <c r="L22" s="1306">
        <f t="shared" si="0"/>
        <v>0.13505311077389984</v>
      </c>
      <c r="M22" s="969"/>
      <c r="N22" s="966"/>
      <c r="O22" s="1087">
        <v>1318</v>
      </c>
      <c r="P22" s="969"/>
      <c r="Q22" s="966"/>
      <c r="R22" s="1087">
        <v>178</v>
      </c>
      <c r="S22" s="1314">
        <f t="shared" si="1"/>
        <v>5.2508649468892257</v>
      </c>
      <c r="T22" s="1314">
        <f t="shared" si="2"/>
        <v>2.9595133401917191</v>
      </c>
      <c r="U22" s="969"/>
      <c r="V22" s="966"/>
      <c r="W22" s="972">
        <f t="shared" si="3"/>
        <v>353.50799999999998</v>
      </c>
      <c r="X22" s="856">
        <v>1.986</v>
      </c>
      <c r="Y22" s="862">
        <v>0.67105627571570459</v>
      </c>
    </row>
    <row r="23" spans="1:25" s="844" customFormat="1">
      <c r="A23" s="834" t="s">
        <v>139</v>
      </c>
      <c r="B23" s="1446">
        <v>42825</v>
      </c>
      <c r="C23" s="834" t="s">
        <v>346</v>
      </c>
      <c r="D23" s="1274"/>
      <c r="E23" s="1450" t="s">
        <v>82</v>
      </c>
      <c r="F23" s="834" t="s">
        <v>81</v>
      </c>
      <c r="G23" s="834" t="s">
        <v>301</v>
      </c>
      <c r="H23" s="1438">
        <v>13</v>
      </c>
      <c r="I23" s="1438">
        <v>2040</v>
      </c>
      <c r="J23" s="1288"/>
      <c r="K23" s="1438">
        <v>6</v>
      </c>
      <c r="L23" s="1305">
        <f t="shared" si="0"/>
        <v>0.109375</v>
      </c>
      <c r="M23" s="1291"/>
      <c r="N23" s="1288"/>
      <c r="O23" s="1438">
        <v>1280</v>
      </c>
      <c r="P23" s="1291"/>
      <c r="Q23" s="1288"/>
      <c r="R23" s="1438">
        <v>140</v>
      </c>
      <c r="S23" s="1313">
        <f t="shared" si="1"/>
        <v>3.6312500000000001</v>
      </c>
      <c r="T23" s="1313">
        <f t="shared" si="2"/>
        <v>3.2453682013990366</v>
      </c>
      <c r="U23" s="1291"/>
      <c r="V23" s="1288"/>
      <c r="W23" s="1292">
        <f t="shared" si="3"/>
        <v>406.84000000000003</v>
      </c>
      <c r="X23" s="834">
        <v>2.9060000000000001</v>
      </c>
      <c r="Y23" s="840">
        <v>0.89542998503136284</v>
      </c>
    </row>
    <row r="24" spans="1:25" s="844" customFormat="1">
      <c r="A24" s="834" t="s">
        <v>139</v>
      </c>
      <c r="B24" s="1446">
        <v>42825</v>
      </c>
      <c r="C24" s="834" t="s">
        <v>347</v>
      </c>
      <c r="D24" s="1274"/>
      <c r="E24" s="1450" t="s">
        <v>82</v>
      </c>
      <c r="F24" s="834" t="s">
        <v>237</v>
      </c>
      <c r="G24" s="834" t="s">
        <v>301</v>
      </c>
      <c r="H24" s="1438">
        <v>14</v>
      </c>
      <c r="I24" s="1438">
        <v>2253</v>
      </c>
      <c r="J24" s="1288"/>
      <c r="K24" s="1438">
        <v>6</v>
      </c>
      <c r="L24" s="1305">
        <f t="shared" si="0"/>
        <v>0.14729370008873113</v>
      </c>
      <c r="M24" s="1291"/>
      <c r="N24" s="1288"/>
      <c r="O24" s="1438">
        <v>1127</v>
      </c>
      <c r="P24" s="1291"/>
      <c r="Q24" s="1288"/>
      <c r="R24" s="1438">
        <v>166</v>
      </c>
      <c r="S24" s="1313">
        <f t="shared" si="1"/>
        <v>4.9785270629991123</v>
      </c>
      <c r="T24" s="1313">
        <f t="shared" si="2"/>
        <v>2.999181827260109</v>
      </c>
      <c r="U24" s="1291"/>
      <c r="V24" s="1288"/>
      <c r="W24" s="1292">
        <f t="shared" si="3"/>
        <v>521.24</v>
      </c>
      <c r="X24" s="834">
        <v>3.14</v>
      </c>
      <c r="Y24" s="840">
        <v>1.0469521959155557</v>
      </c>
    </row>
    <row r="25" spans="1:25" s="844" customFormat="1">
      <c r="A25" s="834" t="s">
        <v>139</v>
      </c>
      <c r="B25" s="1446">
        <v>42825</v>
      </c>
      <c r="C25" s="834" t="s">
        <v>348</v>
      </c>
      <c r="D25" s="1274"/>
      <c r="E25" s="1450" t="s">
        <v>82</v>
      </c>
      <c r="F25" s="834" t="s">
        <v>238</v>
      </c>
      <c r="G25" s="834" t="s">
        <v>301</v>
      </c>
      <c r="H25" s="1438">
        <v>16</v>
      </c>
      <c r="I25" s="1438">
        <v>2238</v>
      </c>
      <c r="J25" s="1288"/>
      <c r="K25" s="1438">
        <v>6</v>
      </c>
      <c r="L25" s="1305">
        <f t="shared" si="0"/>
        <v>0.10734149054505006</v>
      </c>
      <c r="M25" s="1291"/>
      <c r="N25" s="1288"/>
      <c r="O25" s="1438">
        <v>899</v>
      </c>
      <c r="P25" s="1291"/>
      <c r="Q25" s="1288"/>
      <c r="R25" s="1438">
        <v>96.5</v>
      </c>
      <c r="S25" s="1313">
        <f t="shared" si="1"/>
        <v>3.3673025583982201</v>
      </c>
      <c r="T25" s="1313">
        <f t="shared" si="2"/>
        <v>3.3071773042940218</v>
      </c>
      <c r="U25" s="1291"/>
      <c r="V25" s="1288"/>
      <c r="W25" s="1292">
        <f t="shared" si="3"/>
        <v>273.48099999999999</v>
      </c>
      <c r="X25" s="834">
        <v>2.8340000000000001</v>
      </c>
      <c r="Y25" s="840">
        <v>0.85692411964739512</v>
      </c>
    </row>
    <row r="26" spans="1:25" s="844" customFormat="1" ht="15.75" thickBot="1">
      <c r="A26" s="834" t="s">
        <v>139</v>
      </c>
      <c r="B26" s="1446">
        <v>42825</v>
      </c>
      <c r="C26" s="834" t="s">
        <v>349</v>
      </c>
      <c r="D26" s="1293"/>
      <c r="E26" s="1450" t="s">
        <v>82</v>
      </c>
      <c r="F26" s="834" t="s">
        <v>239</v>
      </c>
      <c r="G26" s="834" t="s">
        <v>301</v>
      </c>
      <c r="H26" s="1438">
        <v>13</v>
      </c>
      <c r="I26" s="1438">
        <v>2580</v>
      </c>
      <c r="J26" s="1299"/>
      <c r="K26" s="1438">
        <v>6</v>
      </c>
      <c r="L26" s="1307">
        <f t="shared" si="0"/>
        <v>0.10404191616766467</v>
      </c>
      <c r="M26" s="1302"/>
      <c r="N26" s="1299"/>
      <c r="O26" s="1438">
        <v>1336</v>
      </c>
      <c r="P26" s="1302"/>
      <c r="Q26" s="1299"/>
      <c r="R26" s="1438">
        <v>139</v>
      </c>
      <c r="S26" s="1315">
        <f t="shared" si="1"/>
        <v>4.074281437125749</v>
      </c>
      <c r="T26" s="1315">
        <f t="shared" si="2"/>
        <v>3.1532997595214991</v>
      </c>
      <c r="U26" s="1302"/>
      <c r="V26" s="1299"/>
      <c r="W26" s="1303">
        <f t="shared" si="3"/>
        <v>390.86799999999999</v>
      </c>
      <c r="X26" s="834">
        <v>2.8119999999999998</v>
      </c>
      <c r="Y26" s="840">
        <v>0.89176425156189709</v>
      </c>
    </row>
    <row r="27" spans="1:25" s="844" customFormat="1" ht="15.75" thickTop="1">
      <c r="A27" s="834" t="s">
        <v>139</v>
      </c>
      <c r="B27" s="1446">
        <v>42825</v>
      </c>
      <c r="C27" s="834" t="s">
        <v>350</v>
      </c>
      <c r="D27" s="1272"/>
      <c r="E27" s="1450" t="s">
        <v>82</v>
      </c>
      <c r="F27" s="834" t="s">
        <v>240</v>
      </c>
      <c r="G27" s="834" t="s">
        <v>301</v>
      </c>
      <c r="H27" s="1438">
        <v>9</v>
      </c>
      <c r="I27" s="1438">
        <v>1253</v>
      </c>
      <c r="J27" s="1279"/>
      <c r="K27" s="1438">
        <v>6</v>
      </c>
      <c r="L27" s="1510">
        <f t="shared" si="0"/>
        <v>0.11814345991561181</v>
      </c>
      <c r="M27" s="1281"/>
      <c r="N27" s="1282"/>
      <c r="O27" s="1438">
        <v>1185</v>
      </c>
      <c r="P27" s="1281"/>
      <c r="Q27" s="1282"/>
      <c r="R27" s="1438">
        <v>140</v>
      </c>
      <c r="S27" s="1534">
        <f t="shared" si="1"/>
        <v>2.8803375527426156</v>
      </c>
      <c r="T27" s="1534">
        <f t="shared" si="2"/>
        <v>3.4388811560717505</v>
      </c>
      <c r="U27" s="1281"/>
      <c r="V27" s="1282"/>
      <c r="W27" s="1440">
        <f t="shared" si="3"/>
        <v>374.64000000000004</v>
      </c>
      <c r="X27" s="834">
        <v>2.6760000000000002</v>
      </c>
      <c r="Y27" s="840">
        <v>0.77816006967126683</v>
      </c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1"/>
      <c r="C29" s="1"/>
      <c r="D29" s="1"/>
      <c r="E29" s="1"/>
      <c r="F29" s="1"/>
      <c r="R29" s="1"/>
      <c r="S29" s="4"/>
      <c r="T29" s="4"/>
      <c r="U29" s="1"/>
      <c r="V29" s="1"/>
      <c r="W29" s="4"/>
      <c r="X29" s="4"/>
      <c r="Y29" s="4"/>
    </row>
    <row r="30" spans="1:25">
      <c r="A30" s="55" t="s">
        <v>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750" t="s">
        <v>390</v>
      </c>
      <c r="N30" s="751"/>
      <c r="O30" s="751"/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56" t="s">
        <v>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6"/>
      <c r="N31" s="752" t="s">
        <v>63</v>
      </c>
      <c r="O31" s="753" t="s">
        <v>64</v>
      </c>
      <c r="P31" s="1"/>
      <c r="Q31" s="1"/>
      <c r="R31" s="1"/>
      <c r="S31" s="4"/>
      <c r="T31" s="4"/>
      <c r="U31" s="1"/>
      <c r="V31" s="1"/>
      <c r="W31" s="4"/>
      <c r="X31" s="4"/>
      <c r="Y31" s="4"/>
    </row>
    <row r="32" spans="1:25">
      <c r="A32" s="56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6" t="s">
        <v>391</v>
      </c>
      <c r="N32" s="774">
        <f>AVERAGE(Y3:Y7,Y9:Y22)</f>
        <v>0.70663375940023609</v>
      </c>
      <c r="O32" s="774">
        <f>AVERAGE(Y23:Y27)</f>
        <v>0.89384612436549538</v>
      </c>
      <c r="P32" s="1"/>
      <c r="Q32" s="1"/>
      <c r="R32" s="1"/>
      <c r="S32" s="4"/>
      <c r="T32" s="4"/>
      <c r="U32" s="1"/>
      <c r="V32" s="1"/>
      <c r="W32" s="4"/>
      <c r="X32" s="4"/>
      <c r="Y32" s="4"/>
    </row>
    <row r="33" spans="1:25">
      <c r="A33" s="56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6" t="s">
        <v>25</v>
      </c>
      <c r="N33" s="1498">
        <f>AVERAGE(W3:W7,W9:W22)</f>
        <v>337.91992105263154</v>
      </c>
      <c r="O33" s="774">
        <f>AVERAGE(W23:W27)</f>
        <v>393.41380000000004</v>
      </c>
      <c r="P33" s="1"/>
      <c r="Q33" s="1"/>
      <c r="R33" s="1"/>
      <c r="S33" s="4"/>
      <c r="T33" s="4"/>
      <c r="U33" s="1"/>
      <c r="V33" s="1"/>
      <c r="W33" s="4"/>
      <c r="X33" s="4"/>
      <c r="Y33" s="4"/>
    </row>
    <row r="34" spans="1:25">
      <c r="A34" s="55" t="s">
        <v>87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6" t="s">
        <v>392</v>
      </c>
      <c r="N34" s="774">
        <f>AVERAGE(X3:X7,X9:X22)</f>
        <v>2.1783684210526313</v>
      </c>
      <c r="O34" s="774">
        <f>AVERAGE(X23:X27)</f>
        <v>2.8736000000000002</v>
      </c>
      <c r="P34" s="1"/>
      <c r="Q34" s="1"/>
      <c r="R34" s="1"/>
      <c r="S34" s="4"/>
      <c r="T34" s="4"/>
      <c r="U34" s="1"/>
      <c r="V34" s="1"/>
      <c r="W34" s="4"/>
      <c r="X34" s="4"/>
      <c r="Y34" s="4"/>
    </row>
    <row r="35" spans="1:25">
      <c r="A35" s="55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6" t="s">
        <v>393</v>
      </c>
      <c r="N35" s="774">
        <f>AVERAGE(S3:S7,S9:S22)</f>
        <v>4.4817717717387247</v>
      </c>
      <c r="O35" s="774">
        <f>AVERAGE(S23:S27)</f>
        <v>3.7863397222531399</v>
      </c>
      <c r="P35" s="1"/>
      <c r="Q35" s="1"/>
      <c r="R35" s="1"/>
      <c r="S35" s="4"/>
      <c r="T35" s="4"/>
      <c r="U35" s="1"/>
      <c r="V35" s="1"/>
      <c r="W35" s="4"/>
      <c r="X35" s="4"/>
      <c r="Y35" s="4"/>
    </row>
    <row r="36" spans="1:25">
      <c r="A36" s="55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"/>
      <c r="T36" s="4"/>
      <c r="U36" s="1"/>
      <c r="V36" s="1"/>
      <c r="W36" s="4"/>
      <c r="X36" s="4"/>
      <c r="Y36" s="4"/>
    </row>
    <row r="37" spans="1:25">
      <c r="A37" s="56" t="s">
        <v>46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"/>
      <c r="T37" s="4"/>
      <c r="U37" s="1"/>
      <c r="V37" s="1"/>
      <c r="W37" s="4"/>
      <c r="X37" s="4"/>
      <c r="Y37" s="4"/>
    </row>
    <row r="38" spans="1:25">
      <c r="A38" s="56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4"/>
      <c r="T38" s="4"/>
      <c r="U38" s="1"/>
      <c r="V38" s="1"/>
      <c r="W38" s="4"/>
      <c r="X38" s="4"/>
      <c r="Y38" s="4"/>
    </row>
    <row r="39" spans="1:25">
      <c r="A39" s="56" t="s">
        <v>48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4"/>
      <c r="T39" s="4"/>
      <c r="U39" s="1"/>
      <c r="V39" s="1"/>
      <c r="W39" s="4"/>
      <c r="X39" s="4"/>
      <c r="Y39" s="4"/>
    </row>
    <row r="40" spans="1:25">
      <c r="A40" s="56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/>
      <c r="P40" s="1"/>
      <c r="Q40" s="1"/>
      <c r="R40" s="1"/>
      <c r="S40" s="4"/>
      <c r="T40" s="4"/>
      <c r="U40" s="1"/>
      <c r="V40" s="1"/>
      <c r="W40" s="4"/>
      <c r="X40" s="4"/>
      <c r="Y40" s="4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  <c r="P41" s="1"/>
      <c r="Q41" s="1"/>
      <c r="R41" s="1"/>
      <c r="S41" s="4"/>
      <c r="T41" s="4"/>
      <c r="U41" s="1"/>
      <c r="V41" s="1"/>
      <c r="W41" s="4"/>
      <c r="X41" s="4"/>
      <c r="Y41" s="4"/>
    </row>
    <row r="42" spans="1:25">
      <c r="A42" s="1" t="s">
        <v>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/>
      <c r="P42" s="1"/>
      <c r="Q42" s="1"/>
      <c r="R42" s="1"/>
      <c r="S42" s="4"/>
      <c r="T42" s="4"/>
      <c r="U42" s="1"/>
      <c r="V42" s="1"/>
      <c r="W42" s="4"/>
      <c r="X42" s="4"/>
      <c r="Y42" s="4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"/>
      <c r="P43" s="1"/>
      <c r="Q43" s="1"/>
      <c r="R43" s="1"/>
      <c r="S43" s="4"/>
      <c r="T43" s="4"/>
      <c r="U43" s="1"/>
      <c r="V43" s="1"/>
      <c r="W43" s="4"/>
      <c r="X43" s="4"/>
      <c r="Y43" s="4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"/>
      <c r="P44" s="1"/>
      <c r="Q44" s="1"/>
      <c r="R44" s="1"/>
      <c r="S44" s="4"/>
      <c r="T44" s="4"/>
      <c r="U44" s="1"/>
      <c r="V44" s="1"/>
      <c r="W44" s="4"/>
      <c r="X44" s="4"/>
      <c r="Y44" s="4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  <c r="P45" s="1"/>
      <c r="Q45" s="1"/>
      <c r="R45" s="1"/>
      <c r="S45" s="4"/>
      <c r="T45" s="4"/>
      <c r="U45" s="1"/>
      <c r="V45" s="1"/>
      <c r="W45" s="4"/>
      <c r="X45" s="4"/>
      <c r="Y45" s="4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Y44"/>
  <sheetViews>
    <sheetView topLeftCell="E1" workbookViewId="0">
      <selection activeCell="P30" sqref="P30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856" t="s">
        <v>35</v>
      </c>
      <c r="B3" s="1069"/>
      <c r="C3" s="1070"/>
      <c r="D3" s="1070"/>
      <c r="E3" s="976" t="s">
        <v>79</v>
      </c>
      <c r="F3" s="976" t="s">
        <v>81</v>
      </c>
      <c r="G3" s="1109"/>
      <c r="H3" s="1110">
        <v>6.2222222222222223</v>
      </c>
      <c r="I3" s="1110">
        <v>942.22222222222217</v>
      </c>
      <c r="J3" s="1075"/>
      <c r="K3" s="1110">
        <v>2.67</v>
      </c>
      <c r="L3" s="1499">
        <f>R3/O3</f>
        <v>0.10673076923076924</v>
      </c>
      <c r="M3" s="1077"/>
      <c r="N3" s="1075"/>
      <c r="O3" s="1110">
        <v>462.22222222222223</v>
      </c>
      <c r="P3" s="1077"/>
      <c r="Q3" s="1075"/>
      <c r="R3" s="1110">
        <v>49.333333333333336</v>
      </c>
      <c r="S3" s="1561">
        <f>(R3+(I3*L3))/100</f>
        <v>1.4989743589743592</v>
      </c>
      <c r="T3" s="1502">
        <f>MIN(4.63,4.48*S3^(-0.25))</f>
        <v>4.0488292612724299</v>
      </c>
      <c r="U3" s="1077"/>
      <c r="V3" s="1075"/>
      <c r="W3" s="1563">
        <f>X3*R3</f>
        <v>135.56800000000001</v>
      </c>
      <c r="X3" s="976">
        <v>2.7480000000000002</v>
      </c>
      <c r="Y3" s="862">
        <v>0.67871471545737216</v>
      </c>
    </row>
    <row r="4" spans="1:25" s="866" customFormat="1">
      <c r="A4" s="856" t="s">
        <v>35</v>
      </c>
      <c r="B4" s="961"/>
      <c r="C4" s="960"/>
      <c r="D4" s="960"/>
      <c r="E4" s="976" t="s">
        <v>79</v>
      </c>
      <c r="F4" s="976" t="s">
        <v>81</v>
      </c>
      <c r="G4" s="1111"/>
      <c r="H4" s="1110">
        <v>6.2222222222222223</v>
      </c>
      <c r="I4" s="1110">
        <v>942.22222222222217</v>
      </c>
      <c r="J4" s="1080"/>
      <c r="K4" s="1110">
        <v>2.67</v>
      </c>
      <c r="L4" s="1500">
        <f t="shared" ref="L4:L26" si="0">R4/O4</f>
        <v>0.10526315789473684</v>
      </c>
      <c r="M4" s="1082"/>
      <c r="N4" s="1080"/>
      <c r="O4" s="1110">
        <v>506.66666666666669</v>
      </c>
      <c r="P4" s="1082"/>
      <c r="Q4" s="1080"/>
      <c r="R4" s="1110">
        <v>53.333333333333336</v>
      </c>
      <c r="S4" s="1561">
        <f t="shared" ref="S4:S26" si="1">(R4+(I4*L4))/100</f>
        <v>1.5251461988304091</v>
      </c>
      <c r="T4" s="1503">
        <f t="shared" ref="T4:T26" si="2">MIN(4.63,4.48*S4^(-0.25))</f>
        <v>4.0313466563336116</v>
      </c>
      <c r="U4" s="1082"/>
      <c r="V4" s="1080"/>
      <c r="W4" s="1564">
        <f t="shared" ref="W4:W26" si="3">X4*R4</f>
        <v>124.48</v>
      </c>
      <c r="X4" s="976">
        <v>2.3340000000000001</v>
      </c>
      <c r="Y4" s="862">
        <v>0.57896286252959028</v>
      </c>
    </row>
    <row r="5" spans="1:25" s="866" customFormat="1">
      <c r="A5" s="856" t="s">
        <v>35</v>
      </c>
      <c r="B5" s="961"/>
      <c r="C5" s="960"/>
      <c r="D5" s="960"/>
      <c r="E5" s="976" t="s">
        <v>79</v>
      </c>
      <c r="F5" s="976" t="s">
        <v>237</v>
      </c>
      <c r="G5" s="1111"/>
      <c r="H5" s="1110">
        <v>6.666666666666667</v>
      </c>
      <c r="I5" s="1110">
        <v>1311.1111111111111</v>
      </c>
      <c r="J5" s="1080"/>
      <c r="K5" s="1110">
        <v>2.67</v>
      </c>
      <c r="L5" s="1501">
        <f t="shared" si="0"/>
        <v>9.285714285714286E-2</v>
      </c>
      <c r="M5" s="1082"/>
      <c r="N5" s="1080"/>
      <c r="O5" s="1110">
        <v>746.66666666666663</v>
      </c>
      <c r="P5" s="1082"/>
      <c r="Q5" s="1080"/>
      <c r="R5" s="1110">
        <v>69.333333333333329</v>
      </c>
      <c r="S5" s="1561">
        <f t="shared" si="1"/>
        <v>1.9107936507936507</v>
      </c>
      <c r="T5" s="1504">
        <f t="shared" si="2"/>
        <v>3.8104350786671244</v>
      </c>
      <c r="U5" s="1082"/>
      <c r="V5" s="1080"/>
      <c r="W5" s="1565">
        <f t="shared" si="3"/>
        <v>192.46933333333331</v>
      </c>
      <c r="X5" s="976">
        <v>2.7759999999999998</v>
      </c>
      <c r="Y5" s="862">
        <v>0.72852573070764248</v>
      </c>
    </row>
    <row r="6" spans="1:25" s="866" customFormat="1">
      <c r="A6" s="856" t="s">
        <v>35</v>
      </c>
      <c r="B6" s="961"/>
      <c r="C6" s="960"/>
      <c r="D6" s="960"/>
      <c r="E6" s="976" t="s">
        <v>79</v>
      </c>
      <c r="F6" s="976" t="s">
        <v>247</v>
      </c>
      <c r="G6" s="1111"/>
      <c r="H6" s="1110">
        <v>7.5555555555555554</v>
      </c>
      <c r="I6" s="1110">
        <v>1306.6666666666667</v>
      </c>
      <c r="J6" s="1080"/>
      <c r="K6" s="1110">
        <v>2.67</v>
      </c>
      <c r="L6" s="1306">
        <f t="shared" si="0"/>
        <v>9.9999999999999992E-2</v>
      </c>
      <c r="M6" s="1082"/>
      <c r="N6" s="1080"/>
      <c r="O6" s="1110">
        <v>577.77777777777783</v>
      </c>
      <c r="P6" s="1082"/>
      <c r="Q6" s="1080"/>
      <c r="R6" s="1110">
        <v>57.777777777777779</v>
      </c>
      <c r="S6" s="1561">
        <f t="shared" si="1"/>
        <v>1.8844444444444444</v>
      </c>
      <c r="T6" s="1314">
        <f t="shared" si="2"/>
        <v>3.8236856341612904</v>
      </c>
      <c r="U6" s="1082"/>
      <c r="V6" s="1080"/>
      <c r="W6" s="1564">
        <f t="shared" si="3"/>
        <v>154.09333333333333</v>
      </c>
      <c r="X6" s="976">
        <v>2.6669999999999998</v>
      </c>
      <c r="Y6" s="862">
        <v>0.69749457857431718</v>
      </c>
    </row>
    <row r="7" spans="1:25" s="866" customFormat="1">
      <c r="A7" s="856" t="s">
        <v>35</v>
      </c>
      <c r="B7" s="961"/>
      <c r="C7" s="960"/>
      <c r="D7" s="960"/>
      <c r="E7" s="976" t="s">
        <v>79</v>
      </c>
      <c r="F7" s="976" t="s">
        <v>249</v>
      </c>
      <c r="G7" s="1111"/>
      <c r="H7" s="1110">
        <v>6.2222222222222223</v>
      </c>
      <c r="I7" s="1110">
        <v>973.33333333333337</v>
      </c>
      <c r="J7" s="1080"/>
      <c r="K7" s="1110">
        <v>2.67</v>
      </c>
      <c r="L7" s="1306">
        <f t="shared" si="0"/>
        <v>0.11384615384615382</v>
      </c>
      <c r="M7" s="1082"/>
      <c r="N7" s="1080"/>
      <c r="O7" s="1110">
        <v>577.77777777777783</v>
      </c>
      <c r="P7" s="1082"/>
      <c r="Q7" s="1080"/>
      <c r="R7" s="1110">
        <v>65.777777777777771</v>
      </c>
      <c r="S7" s="1561">
        <f t="shared" si="1"/>
        <v>1.7658803418803415</v>
      </c>
      <c r="T7" s="1314">
        <f t="shared" si="2"/>
        <v>3.8863122901281049</v>
      </c>
      <c r="U7" s="1082"/>
      <c r="V7" s="1080"/>
      <c r="W7" s="1564">
        <f t="shared" si="3"/>
        <v>178.84977777777775</v>
      </c>
      <c r="X7" s="976">
        <v>2.7189999999999999</v>
      </c>
      <c r="Y7" s="862">
        <v>0.69963497449927614</v>
      </c>
    </row>
    <row r="8" spans="1:25" s="866" customFormat="1" ht="15.75" thickBot="1">
      <c r="A8" s="856" t="s">
        <v>35</v>
      </c>
      <c r="B8" s="1088"/>
      <c r="C8" s="1089"/>
      <c r="D8" s="1089"/>
      <c r="E8" s="976" t="s">
        <v>79</v>
      </c>
      <c r="F8" s="976" t="s">
        <v>251</v>
      </c>
      <c r="G8" s="1112"/>
      <c r="H8" s="1110">
        <v>4.4444444444444446</v>
      </c>
      <c r="I8" s="1110">
        <v>973.33333333333337</v>
      </c>
      <c r="J8" s="1090"/>
      <c r="K8" s="1110">
        <v>3.11</v>
      </c>
      <c r="L8" s="1508">
        <f t="shared" si="0"/>
        <v>0.10069444444444445</v>
      </c>
      <c r="M8" s="1092"/>
      <c r="N8" s="1090"/>
      <c r="O8" s="1110">
        <v>640</v>
      </c>
      <c r="P8" s="1092"/>
      <c r="Q8" s="1090"/>
      <c r="R8" s="1110">
        <v>64.444444444444443</v>
      </c>
      <c r="S8" s="1561">
        <f t="shared" si="1"/>
        <v>1.6245370370370369</v>
      </c>
      <c r="T8" s="1515">
        <f t="shared" si="2"/>
        <v>3.9682187947190961</v>
      </c>
      <c r="U8" s="1092"/>
      <c r="V8" s="1090"/>
      <c r="W8" s="1566">
        <f t="shared" si="3"/>
        <v>213.82666666666665</v>
      </c>
      <c r="X8" s="976">
        <v>3.3180000000000001</v>
      </c>
      <c r="Y8" s="862">
        <v>0.83614341135009818</v>
      </c>
    </row>
    <row r="9" spans="1:25" s="866" customFormat="1" ht="15.75" thickTop="1">
      <c r="A9" s="856" t="s">
        <v>35</v>
      </c>
      <c r="B9" s="1069"/>
      <c r="C9" s="1070"/>
      <c r="D9" s="1070"/>
      <c r="E9" s="976" t="s">
        <v>79</v>
      </c>
      <c r="F9" s="976" t="s">
        <v>253</v>
      </c>
      <c r="G9" s="1109"/>
      <c r="H9" s="1110">
        <v>7.5555555555555554</v>
      </c>
      <c r="I9" s="1110">
        <v>1235.5555555555557</v>
      </c>
      <c r="J9" s="1075"/>
      <c r="K9" s="1110">
        <v>3.11</v>
      </c>
      <c r="L9" s="1509">
        <f t="shared" si="0"/>
        <v>0.10153846153846152</v>
      </c>
      <c r="M9" s="1077"/>
      <c r="N9" s="1075"/>
      <c r="O9" s="1110">
        <v>577.77777777777783</v>
      </c>
      <c r="P9" s="1077"/>
      <c r="Q9" s="1075"/>
      <c r="R9" s="1110">
        <v>58.666666666666664</v>
      </c>
      <c r="S9" s="1561">
        <f t="shared" si="1"/>
        <v>1.8412307692307692</v>
      </c>
      <c r="T9" s="1516">
        <f t="shared" si="2"/>
        <v>3.8459263043374059</v>
      </c>
      <c r="U9" s="1077"/>
      <c r="V9" s="1075"/>
      <c r="W9" s="1567">
        <f t="shared" si="3"/>
        <v>171.01333333333332</v>
      </c>
      <c r="X9" s="976">
        <v>2.915</v>
      </c>
      <c r="Y9" s="862">
        <v>0.75794484067791024</v>
      </c>
    </row>
    <row r="10" spans="1:25" s="866" customFormat="1">
      <c r="A10" s="856" t="s">
        <v>35</v>
      </c>
      <c r="B10" s="961"/>
      <c r="C10" s="960"/>
      <c r="D10" s="960"/>
      <c r="E10" s="976" t="s">
        <v>79</v>
      </c>
      <c r="F10" s="976" t="s">
        <v>255</v>
      </c>
      <c r="G10" s="1111"/>
      <c r="H10" s="1110">
        <v>10.222222222222221</v>
      </c>
      <c r="I10" s="1110">
        <v>1733.3333333333333</v>
      </c>
      <c r="J10" s="1080"/>
      <c r="K10" s="1110">
        <v>2.67</v>
      </c>
      <c r="L10" s="1306">
        <f t="shared" si="0"/>
        <v>8.873239436619719E-2</v>
      </c>
      <c r="M10" s="1082"/>
      <c r="N10" s="1080"/>
      <c r="O10" s="1110">
        <v>631.11111111111109</v>
      </c>
      <c r="P10" s="1082"/>
      <c r="Q10" s="1080"/>
      <c r="R10" s="1110">
        <v>56</v>
      </c>
      <c r="S10" s="1561">
        <f t="shared" si="1"/>
        <v>2.0980281690140843</v>
      </c>
      <c r="T10" s="1524">
        <f t="shared" si="2"/>
        <v>3.7224183915182927</v>
      </c>
      <c r="U10" s="1082"/>
      <c r="V10" s="1080"/>
      <c r="W10" s="1564">
        <f t="shared" si="3"/>
        <v>175.72800000000001</v>
      </c>
      <c r="X10" s="976">
        <v>3.1379999999999999</v>
      </c>
      <c r="Y10" s="862">
        <v>0.84300034814734481</v>
      </c>
    </row>
    <row r="11" spans="1:25" s="866" customFormat="1">
      <c r="A11" s="856" t="s">
        <v>35</v>
      </c>
      <c r="B11" s="961"/>
      <c r="C11" s="960"/>
      <c r="D11" s="960"/>
      <c r="E11" s="976" t="s">
        <v>79</v>
      </c>
      <c r="F11" s="976" t="s">
        <v>238</v>
      </c>
      <c r="G11" s="1111"/>
      <c r="H11" s="1110">
        <v>7.1111111111111107</v>
      </c>
      <c r="I11" s="1110">
        <v>968.88888888888891</v>
      </c>
      <c r="J11" s="1080"/>
      <c r="K11" s="1110">
        <v>3.11</v>
      </c>
      <c r="L11" s="1306">
        <f t="shared" si="0"/>
        <v>9.7499999999999989E-2</v>
      </c>
      <c r="M11" s="1082"/>
      <c r="N11" s="1080"/>
      <c r="O11" s="1110">
        <v>533.33333333333337</v>
      </c>
      <c r="P11" s="1082"/>
      <c r="Q11" s="1080"/>
      <c r="R11" s="1110">
        <v>52</v>
      </c>
      <c r="S11" s="1561">
        <f t="shared" si="1"/>
        <v>1.4646666666666663</v>
      </c>
      <c r="T11" s="1524">
        <f t="shared" si="2"/>
        <v>4.0723332899609623</v>
      </c>
      <c r="U11" s="1082"/>
      <c r="V11" s="1080"/>
      <c r="W11" s="1564">
        <f t="shared" si="3"/>
        <v>148.72</v>
      </c>
      <c r="X11" s="976">
        <v>2.86</v>
      </c>
      <c r="Y11" s="862">
        <v>0.70230008114768439</v>
      </c>
    </row>
    <row r="12" spans="1:25" s="866" customFormat="1">
      <c r="A12" s="856" t="s">
        <v>35</v>
      </c>
      <c r="B12" s="961"/>
      <c r="C12" s="960"/>
      <c r="D12" s="960"/>
      <c r="E12" s="976" t="s">
        <v>79</v>
      </c>
      <c r="F12" s="976" t="s">
        <v>258</v>
      </c>
      <c r="G12" s="1111"/>
      <c r="H12" s="1110">
        <v>8</v>
      </c>
      <c r="I12" s="1110">
        <v>1040</v>
      </c>
      <c r="J12" s="1080"/>
      <c r="K12" s="1110">
        <v>3.11</v>
      </c>
      <c r="L12" s="1306">
        <f t="shared" si="0"/>
        <v>0.10304878048780487</v>
      </c>
      <c r="M12" s="1082"/>
      <c r="N12" s="1080"/>
      <c r="O12" s="1110">
        <v>728.88888888888891</v>
      </c>
      <c r="P12" s="1082"/>
      <c r="Q12" s="1080"/>
      <c r="R12" s="1110">
        <v>75.111111111111114</v>
      </c>
      <c r="S12" s="1561">
        <f t="shared" si="1"/>
        <v>1.8228184281842816</v>
      </c>
      <c r="T12" s="1314">
        <f t="shared" si="2"/>
        <v>3.8556016847221177</v>
      </c>
      <c r="U12" s="1082"/>
      <c r="V12" s="1080"/>
      <c r="W12" s="1564">
        <f t="shared" si="3"/>
        <v>231.94311111111114</v>
      </c>
      <c r="X12" s="976">
        <v>3.0880000000000001</v>
      </c>
      <c r="Y12" s="862">
        <v>0.80091260781326257</v>
      </c>
    </row>
    <row r="13" spans="1:25" s="866" customFormat="1">
      <c r="A13" s="856" t="s">
        <v>35</v>
      </c>
      <c r="B13" s="961"/>
      <c r="C13" s="960"/>
      <c r="D13" s="960"/>
      <c r="E13" s="976" t="s">
        <v>79</v>
      </c>
      <c r="F13" s="976" t="s">
        <v>260</v>
      </c>
      <c r="G13" s="1111"/>
      <c r="H13" s="1110">
        <v>7.5555555555555554</v>
      </c>
      <c r="I13" s="1110">
        <v>1422.2222222222222</v>
      </c>
      <c r="J13" s="1080"/>
      <c r="K13" s="1110">
        <v>3.11</v>
      </c>
      <c r="L13" s="1306">
        <f t="shared" si="0"/>
        <v>9.0163934426229511E-2</v>
      </c>
      <c r="M13" s="1082"/>
      <c r="N13" s="1080"/>
      <c r="O13" s="1110">
        <v>542.22222222222217</v>
      </c>
      <c r="P13" s="1082"/>
      <c r="Q13" s="1080"/>
      <c r="R13" s="1110">
        <v>48.888888888888886</v>
      </c>
      <c r="S13" s="1561">
        <f t="shared" si="1"/>
        <v>1.7712204007285974</v>
      </c>
      <c r="T13" s="1314">
        <f t="shared" si="2"/>
        <v>3.8833797582790517</v>
      </c>
      <c r="U13" s="1082"/>
      <c r="V13" s="1080"/>
      <c r="W13" s="1564">
        <f t="shared" si="3"/>
        <v>161.91999999999999</v>
      </c>
      <c r="X13" s="976">
        <v>3.3119999999999998</v>
      </c>
      <c r="Y13" s="862">
        <v>0.85286534054236773</v>
      </c>
    </row>
    <row r="14" spans="1:25" s="866" customFormat="1" ht="15.75" thickBot="1">
      <c r="A14" s="856" t="s">
        <v>35</v>
      </c>
      <c r="B14" s="1088"/>
      <c r="C14" s="1089"/>
      <c r="D14" s="1089"/>
      <c r="E14" s="976" t="s">
        <v>79</v>
      </c>
      <c r="F14" s="976" t="s">
        <v>239</v>
      </c>
      <c r="G14" s="1112"/>
      <c r="H14" s="1110">
        <v>9.3333333333333339</v>
      </c>
      <c r="I14" s="1110">
        <v>1106.6666666666667</v>
      </c>
      <c r="J14" s="1090"/>
      <c r="K14" s="1110">
        <v>3.11</v>
      </c>
      <c r="L14" s="1508">
        <f t="shared" si="0"/>
        <v>9.7368421052631576E-2</v>
      </c>
      <c r="M14" s="1092"/>
      <c r="N14" s="1090"/>
      <c r="O14" s="1110">
        <v>506.66666666666669</v>
      </c>
      <c r="P14" s="1092"/>
      <c r="Q14" s="1090"/>
      <c r="R14" s="1110">
        <v>49.333333333333336</v>
      </c>
      <c r="S14" s="1561">
        <f t="shared" si="1"/>
        <v>1.5708771929824561</v>
      </c>
      <c r="T14" s="1515">
        <f t="shared" si="2"/>
        <v>4.0016809093328538</v>
      </c>
      <c r="U14" s="1092"/>
      <c r="V14" s="1090"/>
      <c r="W14" s="1566">
        <f t="shared" si="3"/>
        <v>143.01733333333334</v>
      </c>
      <c r="X14" s="976">
        <v>2.899</v>
      </c>
      <c r="Y14" s="862">
        <v>0.72444556817082928</v>
      </c>
    </row>
    <row r="15" spans="1:25" s="866" customFormat="1" ht="15.75" thickTop="1">
      <c r="A15" s="856" t="s">
        <v>35</v>
      </c>
      <c r="B15" s="1069"/>
      <c r="C15" s="960"/>
      <c r="D15" s="960"/>
      <c r="E15" s="976" t="s">
        <v>79</v>
      </c>
      <c r="F15" s="976" t="s">
        <v>240</v>
      </c>
      <c r="G15" s="1109"/>
      <c r="H15" s="1110">
        <v>8</v>
      </c>
      <c r="I15" s="1110">
        <v>1124.4444444444443</v>
      </c>
      <c r="J15" s="1099"/>
      <c r="K15" s="1110">
        <v>3.11</v>
      </c>
      <c r="L15" s="1509">
        <f t="shared" si="0"/>
        <v>0.10092592592592592</v>
      </c>
      <c r="M15" s="1100"/>
      <c r="N15" s="1101"/>
      <c r="O15" s="1110">
        <v>480</v>
      </c>
      <c r="P15" s="1100"/>
      <c r="Q15" s="1101"/>
      <c r="R15" s="1110">
        <v>48.444444444444443</v>
      </c>
      <c r="S15" s="1561">
        <f t="shared" si="1"/>
        <v>1.6193004115226335</v>
      </c>
      <c r="T15" s="1516">
        <f t="shared" si="2"/>
        <v>3.9714230987134984</v>
      </c>
      <c r="U15" s="1100"/>
      <c r="V15" s="1101"/>
      <c r="W15" s="1567">
        <f t="shared" si="3"/>
        <v>154.48933333333332</v>
      </c>
      <c r="X15" s="976">
        <v>3.1890000000000001</v>
      </c>
      <c r="Y15" s="862">
        <v>0.8029867180439787</v>
      </c>
    </row>
    <row r="16" spans="1:25" s="866" customFormat="1">
      <c r="A16" s="856" t="s">
        <v>35</v>
      </c>
      <c r="B16" s="961"/>
      <c r="C16" s="960"/>
      <c r="D16" s="960"/>
      <c r="E16" s="976" t="s">
        <v>79</v>
      </c>
      <c r="F16" s="976" t="s">
        <v>264</v>
      </c>
      <c r="G16" s="1111"/>
      <c r="H16" s="1110">
        <v>10.222222222222221</v>
      </c>
      <c r="I16" s="1110">
        <v>1280</v>
      </c>
      <c r="J16" s="966"/>
      <c r="K16" s="1110">
        <v>3.11</v>
      </c>
      <c r="L16" s="1306">
        <f t="shared" si="0"/>
        <v>9.6721311475409841E-2</v>
      </c>
      <c r="M16" s="969"/>
      <c r="N16" s="966"/>
      <c r="O16" s="1110">
        <v>542.22222222222217</v>
      </c>
      <c r="P16" s="969"/>
      <c r="Q16" s="966"/>
      <c r="R16" s="1110">
        <v>52.444444444444443</v>
      </c>
      <c r="S16" s="1561">
        <f t="shared" si="1"/>
        <v>1.7624772313296904</v>
      </c>
      <c r="T16" s="1314">
        <f t="shared" si="2"/>
        <v>3.8881869221231393</v>
      </c>
      <c r="U16" s="969"/>
      <c r="V16" s="966"/>
      <c r="W16" s="1564">
        <f t="shared" si="3"/>
        <v>154.39644444444443</v>
      </c>
      <c r="X16" s="976">
        <v>2.944</v>
      </c>
      <c r="Y16" s="862">
        <v>0.75716524410108166</v>
      </c>
    </row>
    <row r="17" spans="1:25" s="866" customFormat="1">
      <c r="A17" s="856" t="s">
        <v>35</v>
      </c>
      <c r="B17" s="961"/>
      <c r="C17" s="960"/>
      <c r="D17" s="960"/>
      <c r="E17" s="976" t="s">
        <v>79</v>
      </c>
      <c r="F17" s="976" t="s">
        <v>266</v>
      </c>
      <c r="G17" s="1111"/>
      <c r="H17" s="1110">
        <v>8.8888888888888893</v>
      </c>
      <c r="I17" s="1110">
        <v>1004.4444444444445</v>
      </c>
      <c r="J17" s="966"/>
      <c r="K17" s="1110">
        <v>3.11</v>
      </c>
      <c r="L17" s="1306">
        <f t="shared" si="0"/>
        <v>0.11805555555555555</v>
      </c>
      <c r="M17" s="969"/>
      <c r="N17" s="966"/>
      <c r="O17" s="1110">
        <v>640</v>
      </c>
      <c r="P17" s="969"/>
      <c r="Q17" s="966"/>
      <c r="R17" s="1110">
        <v>75.555555555555557</v>
      </c>
      <c r="S17" s="1561">
        <f t="shared" si="1"/>
        <v>1.941358024691358</v>
      </c>
      <c r="T17" s="1314">
        <f t="shared" si="2"/>
        <v>3.7953480187933546</v>
      </c>
      <c r="U17" s="969"/>
      <c r="V17" s="966"/>
      <c r="W17" s="1564">
        <f t="shared" si="3"/>
        <v>159.95111111111112</v>
      </c>
      <c r="X17" s="976">
        <v>2.117</v>
      </c>
      <c r="Y17" s="862">
        <v>0.55778811047558496</v>
      </c>
    </row>
    <row r="18" spans="1:25" s="866" customFormat="1">
      <c r="A18" s="856" t="s">
        <v>35</v>
      </c>
      <c r="B18" s="961"/>
      <c r="C18" s="960"/>
      <c r="D18" s="960"/>
      <c r="E18" s="976" t="s">
        <v>79</v>
      </c>
      <c r="F18" s="976" t="s">
        <v>268</v>
      </c>
      <c r="G18" s="1111"/>
      <c r="H18" s="1110">
        <v>9.3333333333333339</v>
      </c>
      <c r="I18" s="1110">
        <v>1195.5555555555557</v>
      </c>
      <c r="J18" s="966"/>
      <c r="K18" s="1110">
        <v>2.67</v>
      </c>
      <c r="L18" s="1306">
        <f t="shared" si="0"/>
        <v>9.8809523809523805E-2</v>
      </c>
      <c r="M18" s="969"/>
      <c r="N18" s="966"/>
      <c r="O18" s="1110">
        <v>746.66666666666663</v>
      </c>
      <c r="P18" s="969"/>
      <c r="Q18" s="966"/>
      <c r="R18" s="1110">
        <v>73.777777777777771</v>
      </c>
      <c r="S18" s="1561">
        <f t="shared" si="1"/>
        <v>1.9191005291005292</v>
      </c>
      <c r="T18" s="1314">
        <f t="shared" si="2"/>
        <v>3.8063049759297303</v>
      </c>
      <c r="U18" s="969"/>
      <c r="V18" s="966"/>
      <c r="W18" s="1564">
        <f t="shared" si="3"/>
        <v>251.65599999999998</v>
      </c>
      <c r="X18" s="976">
        <v>3.411</v>
      </c>
      <c r="Y18" s="862">
        <v>0.89614469191786861</v>
      </c>
    </row>
    <row r="19" spans="1:25" s="866" customFormat="1">
      <c r="A19" s="856" t="s">
        <v>35</v>
      </c>
      <c r="B19" s="961"/>
      <c r="C19" s="960"/>
      <c r="D19" s="960"/>
      <c r="E19" s="976" t="s">
        <v>79</v>
      </c>
      <c r="F19" s="976" t="s">
        <v>270</v>
      </c>
      <c r="G19" s="1111"/>
      <c r="H19" s="1110">
        <v>8</v>
      </c>
      <c r="I19" s="1110">
        <v>1168.8888888888889</v>
      </c>
      <c r="J19" s="966"/>
      <c r="K19" s="1110">
        <v>2.67</v>
      </c>
      <c r="L19" s="1306">
        <f t="shared" si="0"/>
        <v>0.12456140350877193</v>
      </c>
      <c r="M19" s="969"/>
      <c r="N19" s="966"/>
      <c r="O19" s="1110">
        <v>506.66666666666669</v>
      </c>
      <c r="P19" s="969"/>
      <c r="Q19" s="966"/>
      <c r="R19" s="1110">
        <v>63.111111111111114</v>
      </c>
      <c r="S19" s="1561">
        <f t="shared" si="1"/>
        <v>2.0870955165692009</v>
      </c>
      <c r="T19" s="1314">
        <f t="shared" si="2"/>
        <v>3.727283550946904</v>
      </c>
      <c r="U19" s="969"/>
      <c r="V19" s="966"/>
      <c r="W19" s="1564">
        <f t="shared" si="3"/>
        <v>163.77333333333334</v>
      </c>
      <c r="X19" s="976">
        <v>2.5950000000000002</v>
      </c>
      <c r="Y19" s="862">
        <v>0.69621749044039039</v>
      </c>
    </row>
    <row r="20" spans="1:25" s="866" customFormat="1">
      <c r="A20" s="856" t="s">
        <v>35</v>
      </c>
      <c r="B20" s="961"/>
      <c r="C20" s="960"/>
      <c r="D20" s="960"/>
      <c r="E20" s="976" t="s">
        <v>79</v>
      </c>
      <c r="F20" s="976" t="s">
        <v>272</v>
      </c>
      <c r="G20" s="1111"/>
      <c r="H20" s="1110">
        <v>7.5555555555555554</v>
      </c>
      <c r="I20" s="1110">
        <v>1284.4444444444443</v>
      </c>
      <c r="J20" s="966"/>
      <c r="K20" s="1110">
        <v>2.67</v>
      </c>
      <c r="L20" s="1306">
        <f t="shared" si="0"/>
        <v>9.5312499999999994E-2</v>
      </c>
      <c r="M20" s="969"/>
      <c r="N20" s="966"/>
      <c r="O20" s="1110">
        <v>568.88888888888891</v>
      </c>
      <c r="P20" s="969"/>
      <c r="Q20" s="966"/>
      <c r="R20" s="1110">
        <v>54.222222222222221</v>
      </c>
      <c r="S20" s="1561">
        <f t="shared" si="1"/>
        <v>1.7664583333333332</v>
      </c>
      <c r="T20" s="1314">
        <f t="shared" si="2"/>
        <v>3.8859943473105338</v>
      </c>
      <c r="U20" s="969"/>
      <c r="V20" s="966"/>
      <c r="W20" s="1564">
        <f t="shared" si="3"/>
        <v>169.93244444444443</v>
      </c>
      <c r="X20" s="976">
        <v>3.1339999999999999</v>
      </c>
      <c r="Y20" s="862">
        <v>0.80648599043099889</v>
      </c>
    </row>
    <row r="21" spans="1:25" s="866" customFormat="1">
      <c r="A21" s="856" t="s">
        <v>35</v>
      </c>
      <c r="B21" s="961"/>
      <c r="C21" s="960"/>
      <c r="D21" s="960"/>
      <c r="E21" s="976" t="s">
        <v>79</v>
      </c>
      <c r="F21" s="976" t="s">
        <v>274</v>
      </c>
      <c r="G21" s="1111"/>
      <c r="H21" s="1110">
        <v>8.4444444444444446</v>
      </c>
      <c r="I21" s="1110">
        <v>915.55555555555554</v>
      </c>
      <c r="J21" s="966"/>
      <c r="K21" s="1110">
        <v>3.11</v>
      </c>
      <c r="L21" s="1306">
        <f t="shared" si="0"/>
        <v>0.12045454545454547</v>
      </c>
      <c r="M21" s="969"/>
      <c r="N21" s="974"/>
      <c r="O21" s="1110">
        <v>391.11111111111109</v>
      </c>
      <c r="P21" s="969"/>
      <c r="Q21" s="966"/>
      <c r="R21" s="1110">
        <v>47.111111111111114</v>
      </c>
      <c r="S21" s="1561">
        <f t="shared" si="1"/>
        <v>1.573939393939394</v>
      </c>
      <c r="T21" s="1314">
        <f t="shared" si="2"/>
        <v>3.9997331053643803</v>
      </c>
      <c r="U21" s="969"/>
      <c r="V21" s="966"/>
      <c r="W21" s="1564">
        <f t="shared" si="3"/>
        <v>126.25777777777779</v>
      </c>
      <c r="X21" s="976">
        <v>2.68</v>
      </c>
      <c r="Y21" s="862">
        <v>0.6700447078345364</v>
      </c>
    </row>
    <row r="22" spans="1:25" s="866" customFormat="1">
      <c r="A22" s="856" t="s">
        <v>35</v>
      </c>
      <c r="B22" s="961"/>
      <c r="C22" s="960"/>
      <c r="D22" s="960"/>
      <c r="E22" s="976" t="s">
        <v>79</v>
      </c>
      <c r="F22" s="976" t="s">
        <v>276</v>
      </c>
      <c r="G22" s="1111"/>
      <c r="H22" s="1110">
        <v>7.5555555555555554</v>
      </c>
      <c r="I22" s="1110">
        <v>1275.5555555555557</v>
      </c>
      <c r="J22" s="966"/>
      <c r="K22" s="1110">
        <v>2.67</v>
      </c>
      <c r="L22" s="1306">
        <f t="shared" si="0"/>
        <v>0.10769230769230768</v>
      </c>
      <c r="M22" s="969"/>
      <c r="N22" s="966"/>
      <c r="O22" s="1110">
        <v>577.77777777777783</v>
      </c>
      <c r="P22" s="969"/>
      <c r="Q22" s="966"/>
      <c r="R22" s="1110">
        <v>62.222222222222221</v>
      </c>
      <c r="S22" s="1561">
        <f t="shared" si="1"/>
        <v>1.995897435897436</v>
      </c>
      <c r="T22" s="1314">
        <f t="shared" si="2"/>
        <v>3.7691503265659616</v>
      </c>
      <c r="U22" s="969"/>
      <c r="V22" s="966"/>
      <c r="W22" s="1564">
        <f t="shared" si="3"/>
        <v>130.35555555555555</v>
      </c>
      <c r="X22" s="976">
        <v>2.0950000000000002</v>
      </c>
      <c r="Y22" s="862">
        <v>0.55582818897773578</v>
      </c>
    </row>
    <row r="23" spans="1:25" s="844" customFormat="1">
      <c r="A23" s="834" t="s">
        <v>35</v>
      </c>
      <c r="B23" s="1283"/>
      <c r="C23" s="1274"/>
      <c r="D23" s="1274"/>
      <c r="E23" s="1325" t="s">
        <v>82</v>
      </c>
      <c r="F23" s="1325" t="s">
        <v>237</v>
      </c>
      <c r="G23" s="1456"/>
      <c r="H23" s="1457">
        <v>6.666666666666667</v>
      </c>
      <c r="I23" s="1457">
        <v>1311.1111111111111</v>
      </c>
      <c r="J23" s="1288"/>
      <c r="K23" s="1457">
        <v>3.11</v>
      </c>
      <c r="L23" s="1305">
        <f t="shared" si="0"/>
        <v>0.10674157303370786</v>
      </c>
      <c r="M23" s="1291"/>
      <c r="N23" s="1288"/>
      <c r="O23" s="1457">
        <v>791.11111111111109</v>
      </c>
      <c r="P23" s="1291"/>
      <c r="Q23" s="1288"/>
      <c r="R23" s="1457">
        <v>84.444444444444443</v>
      </c>
      <c r="S23" s="1562">
        <f t="shared" si="1"/>
        <v>2.2439450686641695</v>
      </c>
      <c r="T23" s="1313">
        <f t="shared" si="2"/>
        <v>3.6603697591037681</v>
      </c>
      <c r="U23" s="1291"/>
      <c r="V23" s="1288"/>
      <c r="W23" s="1568">
        <f t="shared" si="3"/>
        <v>202.4977777777778</v>
      </c>
      <c r="X23" s="1325">
        <v>2.3980000000000001</v>
      </c>
      <c r="Y23" s="840">
        <v>0.65512507145921361</v>
      </c>
    </row>
    <row r="24" spans="1:25" s="844" customFormat="1">
      <c r="A24" s="834" t="s">
        <v>35</v>
      </c>
      <c r="B24" s="1283"/>
      <c r="C24" s="1274"/>
      <c r="D24" s="1274"/>
      <c r="E24" s="1325" t="s">
        <v>82</v>
      </c>
      <c r="F24" s="1325" t="s">
        <v>238</v>
      </c>
      <c r="G24" s="1456"/>
      <c r="H24" s="1457">
        <v>7.1111111111111107</v>
      </c>
      <c r="I24" s="1457">
        <v>968.88888888888891</v>
      </c>
      <c r="J24" s="1288"/>
      <c r="K24" s="1457">
        <v>2.67</v>
      </c>
      <c r="L24" s="1305">
        <f t="shared" si="0"/>
        <v>0.10784313725490195</v>
      </c>
      <c r="M24" s="1291"/>
      <c r="N24" s="1288"/>
      <c r="O24" s="1457">
        <v>453.33333333333331</v>
      </c>
      <c r="P24" s="1291"/>
      <c r="Q24" s="1288"/>
      <c r="R24" s="1457">
        <v>48.888888888888886</v>
      </c>
      <c r="S24" s="1562">
        <f t="shared" si="1"/>
        <v>1.5337690631808278</v>
      </c>
      <c r="T24" s="1313">
        <f t="shared" si="2"/>
        <v>4.0256686041294838</v>
      </c>
      <c r="U24" s="1291"/>
      <c r="V24" s="1288"/>
      <c r="W24" s="1568">
        <f t="shared" si="3"/>
        <v>126.86666666666667</v>
      </c>
      <c r="X24" s="1325">
        <v>2.5950000000000002</v>
      </c>
      <c r="Y24" s="840">
        <v>0.64461341833703834</v>
      </c>
    </row>
    <row r="25" spans="1:25" s="844" customFormat="1">
      <c r="A25" s="834" t="s">
        <v>35</v>
      </c>
      <c r="B25" s="1283"/>
      <c r="C25" s="1274"/>
      <c r="D25" s="1274"/>
      <c r="E25" s="1325" t="s">
        <v>82</v>
      </c>
      <c r="F25" s="1325" t="s">
        <v>239</v>
      </c>
      <c r="G25" s="1456"/>
      <c r="H25" s="1457">
        <v>9.3333333333333339</v>
      </c>
      <c r="I25" s="1457">
        <v>1106.6666666666667</v>
      </c>
      <c r="J25" s="1288"/>
      <c r="K25" s="1457">
        <v>2.67</v>
      </c>
      <c r="L25" s="1305">
        <f t="shared" si="0"/>
        <v>9.5212765957446807E-2</v>
      </c>
      <c r="M25" s="1291"/>
      <c r="N25" s="1288"/>
      <c r="O25" s="1457">
        <v>835.55555555555554</v>
      </c>
      <c r="P25" s="1291"/>
      <c r="Q25" s="1288"/>
      <c r="R25" s="1457">
        <v>79.555555555555557</v>
      </c>
      <c r="S25" s="1562">
        <f t="shared" si="1"/>
        <v>1.8492434988179669</v>
      </c>
      <c r="T25" s="1313">
        <f t="shared" si="2"/>
        <v>3.841753440281348</v>
      </c>
      <c r="U25" s="1291"/>
      <c r="V25" s="1288"/>
      <c r="W25" s="1568">
        <f t="shared" si="3"/>
        <v>271.9208888888889</v>
      </c>
      <c r="X25" s="1325">
        <v>3.4180000000000001</v>
      </c>
      <c r="Y25" s="840">
        <v>0.88969790829410578</v>
      </c>
    </row>
    <row r="26" spans="1:25" s="844" customFormat="1" ht="15.75" thickBot="1">
      <c r="A26" s="834" t="s">
        <v>35</v>
      </c>
      <c r="B26" s="1294"/>
      <c r="C26" s="1293"/>
      <c r="D26" s="1293"/>
      <c r="E26" s="1325" t="s">
        <v>82</v>
      </c>
      <c r="F26" s="1325" t="s">
        <v>240</v>
      </c>
      <c r="G26" s="1458"/>
      <c r="H26" s="1457">
        <v>8</v>
      </c>
      <c r="I26" s="1457">
        <v>1124.4444444444443</v>
      </c>
      <c r="J26" s="1299"/>
      <c r="K26" s="1300"/>
      <c r="L26" s="1307">
        <f t="shared" si="0"/>
        <v>0.10344827586206896</v>
      </c>
      <c r="M26" s="1302"/>
      <c r="N26" s="1299"/>
      <c r="O26" s="1457">
        <v>773.33333333333337</v>
      </c>
      <c r="P26" s="1302"/>
      <c r="Q26" s="1299"/>
      <c r="R26" s="1457">
        <v>80</v>
      </c>
      <c r="S26" s="1562">
        <f t="shared" si="1"/>
        <v>1.9632183908045977</v>
      </c>
      <c r="T26" s="1315">
        <f t="shared" si="2"/>
        <v>3.7847383476888665</v>
      </c>
      <c r="U26" s="1302"/>
      <c r="V26" s="1299"/>
      <c r="W26" s="1569">
        <f t="shared" si="3"/>
        <v>232.07999999999998</v>
      </c>
      <c r="X26" s="1325">
        <v>2.9009999999999998</v>
      </c>
      <c r="Y26" s="840">
        <v>0.76649948648933219</v>
      </c>
    </row>
    <row r="27" spans="1:25" ht="15.75" thickTop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1"/>
      <c r="C28" s="1"/>
      <c r="D28" s="1"/>
      <c r="E28" s="1"/>
      <c r="F28" s="1"/>
      <c r="R28" s="1"/>
      <c r="S28" s="4"/>
      <c r="T28" s="4"/>
      <c r="U28" s="1"/>
      <c r="V28" s="1"/>
      <c r="W28" s="4"/>
      <c r="X28" s="4"/>
      <c r="Y28" s="4"/>
    </row>
    <row r="29" spans="1:25">
      <c r="A29" s="55" t="s">
        <v>39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750" t="s">
        <v>390</v>
      </c>
      <c r="N29" s="751"/>
      <c r="O29" s="751"/>
      <c r="P29" s="1"/>
      <c r="Q29" s="1"/>
      <c r="R29" s="1"/>
      <c r="S29" s="4"/>
      <c r="T29" s="4"/>
      <c r="U29" s="1"/>
      <c r="V29" s="1"/>
      <c r="W29" s="4"/>
      <c r="X29" s="4"/>
      <c r="Y29" s="4"/>
    </row>
    <row r="30" spans="1:25">
      <c r="A30" s="56" t="s">
        <v>40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6"/>
      <c r="N30" s="752" t="s">
        <v>63</v>
      </c>
      <c r="O30" s="753" t="s">
        <v>64</v>
      </c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56" t="s">
        <v>41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6" t="s">
        <v>391</v>
      </c>
      <c r="N31" s="774">
        <f>AVERAGE(Y3:Y22)</f>
        <v>0.73218031009199347</v>
      </c>
      <c r="O31" s="774">
        <f>AVERAGE(Y23:Y26)</f>
        <v>0.73898397114492242</v>
      </c>
      <c r="P31" s="1"/>
      <c r="Q31" s="1"/>
      <c r="R31" s="1"/>
      <c r="S31" s="4"/>
      <c r="T31" s="4"/>
      <c r="U31" s="1"/>
      <c r="V31" s="1"/>
      <c r="W31" s="4"/>
      <c r="X31" s="4"/>
      <c r="Y31" s="4"/>
    </row>
    <row r="32" spans="1:25">
      <c r="A32" s="56" t="s">
        <v>42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6" t="s">
        <v>25</v>
      </c>
      <c r="N32" s="774">
        <f>AVERAGE(W3:W22)</f>
        <v>167.12204444444447</v>
      </c>
      <c r="O32" s="774">
        <f>AVERAGE(W23:W26)</f>
        <v>208.34133333333335</v>
      </c>
      <c r="P32" s="1"/>
      <c r="Q32" s="1"/>
      <c r="R32" s="1"/>
      <c r="S32" s="4"/>
      <c r="T32" s="4"/>
      <c r="U32" s="1"/>
      <c r="V32" s="1"/>
      <c r="W32" s="4"/>
      <c r="X32" s="4"/>
      <c r="Y32" s="4"/>
    </row>
    <row r="33" spans="1:25">
      <c r="A33" s="55" t="s">
        <v>87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6" t="s">
        <v>392</v>
      </c>
      <c r="N33" s="774">
        <f>AVERAGE(X3:X22)</f>
        <v>2.8469500000000001</v>
      </c>
      <c r="O33" s="774">
        <f>AVERAGE(X23:X26)</f>
        <v>2.8280000000000003</v>
      </c>
      <c r="P33" s="1"/>
      <c r="Q33" s="1"/>
      <c r="R33" s="1"/>
      <c r="S33" s="4"/>
      <c r="T33" s="4"/>
      <c r="U33" s="1"/>
      <c r="V33" s="1"/>
      <c r="W33" s="4"/>
      <c r="X33" s="4"/>
      <c r="Y33" s="4"/>
    </row>
    <row r="34" spans="1:25">
      <c r="A34" s="55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6" t="s">
        <v>393</v>
      </c>
      <c r="N34" s="774">
        <f>AVERAGE(T3:T22)</f>
        <v>3.8896796199589923</v>
      </c>
      <c r="O34" s="774">
        <f>AVERAGE(T23:T26)</f>
        <v>3.8281325378008666</v>
      </c>
      <c r="P34" s="1"/>
      <c r="Q34" s="1"/>
      <c r="R34" s="1"/>
      <c r="S34" s="4"/>
      <c r="T34" s="4"/>
      <c r="U34" s="1"/>
      <c r="V34" s="1"/>
      <c r="W34" s="4"/>
      <c r="X34" s="4"/>
      <c r="Y34" s="4"/>
    </row>
    <row r="35" spans="1:25">
      <c r="A35" s="55" t="s">
        <v>45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4"/>
      <c r="T35" s="4"/>
      <c r="U35" s="1"/>
      <c r="V35" s="1"/>
      <c r="W35" s="4"/>
      <c r="X35" s="4"/>
      <c r="Y35" s="4"/>
    </row>
    <row r="36" spans="1:25">
      <c r="A36" s="56" t="s">
        <v>46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4"/>
      <c r="T36" s="4"/>
      <c r="U36" s="1"/>
      <c r="V36" s="1"/>
      <c r="W36" s="4"/>
      <c r="X36" s="4"/>
      <c r="Y36" s="4"/>
    </row>
    <row r="37" spans="1:25">
      <c r="A37" s="56" t="s">
        <v>47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4"/>
      <c r="T37" s="4"/>
      <c r="U37" s="1"/>
      <c r="V37" s="1"/>
      <c r="W37" s="4"/>
      <c r="X37" s="4"/>
      <c r="Y37" s="4"/>
    </row>
    <row r="38" spans="1:25">
      <c r="A38" s="56" t="s">
        <v>48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4"/>
      <c r="T38" s="4"/>
      <c r="U38" s="1"/>
      <c r="V38" s="1"/>
      <c r="W38" s="4"/>
      <c r="X38" s="4"/>
      <c r="Y38" s="4"/>
    </row>
    <row r="39" spans="1:25">
      <c r="A39" s="56" t="s">
        <v>49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  <c r="P39" s="1"/>
      <c r="Q39" s="1"/>
      <c r="R39" s="1"/>
      <c r="S39" s="4"/>
      <c r="T39" s="4"/>
      <c r="U39" s="1"/>
      <c r="V39" s="1"/>
      <c r="W39" s="4"/>
      <c r="X39" s="4"/>
      <c r="Y39" s="4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/>
      <c r="P40" s="1"/>
      <c r="Q40" s="1"/>
      <c r="R40" s="1"/>
      <c r="S40" s="4"/>
      <c r="T40" s="4"/>
      <c r="U40" s="1"/>
      <c r="V40" s="1"/>
      <c r="W40" s="4"/>
      <c r="X40" s="4"/>
      <c r="Y40" s="4"/>
    </row>
    <row r="41" spans="1:25">
      <c r="A41" s="1" t="s">
        <v>50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  <c r="P41" s="1"/>
      <c r="Q41" s="1"/>
      <c r="R41" s="1"/>
      <c r="S41" s="4"/>
      <c r="T41" s="4"/>
      <c r="U41" s="1"/>
      <c r="V41" s="1"/>
      <c r="W41" s="4"/>
      <c r="X41" s="4"/>
      <c r="Y41" s="4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/>
      <c r="P42" s="1"/>
      <c r="Q42" s="1"/>
      <c r="R42" s="1"/>
      <c r="S42" s="4"/>
      <c r="T42" s="4"/>
      <c r="U42" s="1"/>
      <c r="V42" s="1"/>
      <c r="W42" s="4"/>
      <c r="X42" s="4"/>
      <c r="Y42" s="4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"/>
      <c r="P43" s="1"/>
      <c r="Q43" s="1"/>
      <c r="R43" s="1"/>
      <c r="S43" s="4"/>
      <c r="T43" s="4"/>
      <c r="U43" s="1"/>
      <c r="V43" s="1"/>
      <c r="W43" s="4"/>
      <c r="X43" s="4"/>
      <c r="Y43" s="4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"/>
      <c r="P44" s="1"/>
      <c r="Q44" s="1"/>
      <c r="R44" s="1"/>
      <c r="S44" s="4"/>
      <c r="T44" s="4"/>
      <c r="U44" s="1"/>
      <c r="V44" s="1"/>
      <c r="W44" s="4"/>
      <c r="X44" s="4"/>
      <c r="Y44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Y34"/>
  <sheetViews>
    <sheetView workbookViewId="0">
      <selection activeCell="L29" sqref="L29"/>
    </sheetView>
  </sheetViews>
  <sheetFormatPr baseColWidth="10" defaultRowHeight="15"/>
  <cols>
    <col min="3" max="4" width="2.7109375" bestFit="1" customWidth="1"/>
    <col min="7" max="7" width="3.140625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1" max="21" width="4.28515625" customWidth="1"/>
    <col min="22" max="22" width="2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5.75" thickTop="1">
      <c r="A3" s="976" t="s">
        <v>35</v>
      </c>
      <c r="B3" s="1069"/>
      <c r="C3" s="1070"/>
      <c r="D3" s="1070"/>
      <c r="E3" s="976" t="s">
        <v>79</v>
      </c>
      <c r="F3" s="976" t="s">
        <v>81</v>
      </c>
      <c r="G3" s="1109"/>
      <c r="H3" s="1110">
        <v>6.2222222222222223</v>
      </c>
      <c r="I3" s="1110">
        <v>1275.5555555555557</v>
      </c>
      <c r="J3" s="1075"/>
      <c r="K3" s="1110">
        <v>4</v>
      </c>
      <c r="L3" s="1499">
        <f>R3/O3</f>
        <v>8.7128712871287137E-2</v>
      </c>
      <c r="M3" s="1077"/>
      <c r="N3" s="1075"/>
      <c r="O3" s="1110">
        <v>448.88888888888891</v>
      </c>
      <c r="P3" s="1077"/>
      <c r="Q3" s="1075"/>
      <c r="R3" s="1110">
        <v>39.111111111111114</v>
      </c>
      <c r="S3" s="1502">
        <f>(R3+(I3*L3))/100</f>
        <v>1.5024862486248629</v>
      </c>
      <c r="T3" s="1502">
        <f>MIN(4.63,4.48*S3^(-0.25))</f>
        <v>4.0464612659111685</v>
      </c>
      <c r="U3" s="1077"/>
      <c r="V3" s="1075"/>
      <c r="W3" s="1506">
        <f>X3*R3</f>
        <v>156.40533333333335</v>
      </c>
      <c r="X3" s="976">
        <v>3.9990000000000001</v>
      </c>
      <c r="Y3" s="862">
        <v>0.98827092049267862</v>
      </c>
    </row>
    <row r="4" spans="1:25" s="866" customFormat="1">
      <c r="A4" s="976" t="s">
        <v>35</v>
      </c>
      <c r="B4" s="961"/>
      <c r="C4" s="960"/>
      <c r="D4" s="960"/>
      <c r="E4" s="976" t="s">
        <v>79</v>
      </c>
      <c r="F4" s="976" t="s">
        <v>237</v>
      </c>
      <c r="G4" s="1111"/>
      <c r="H4" s="1110">
        <v>6.666666666666667</v>
      </c>
      <c r="I4" s="1110">
        <v>1711.1111111111111</v>
      </c>
      <c r="J4" s="1080"/>
      <c r="K4" s="1110">
        <v>4.4444444444444446</v>
      </c>
      <c r="L4" s="1500">
        <f t="shared" ref="L4:L17" si="0">R4/O4</f>
        <v>8.8435374149659865E-2</v>
      </c>
      <c r="M4" s="1082"/>
      <c r="N4" s="1080"/>
      <c r="O4" s="1110">
        <v>653.33333333333337</v>
      </c>
      <c r="P4" s="1082"/>
      <c r="Q4" s="1080"/>
      <c r="R4" s="1110">
        <v>57.777777777777779</v>
      </c>
      <c r="S4" s="1503">
        <f t="shared" ref="S4:S17" si="1">(R4+(I4*L4))/100</f>
        <v>2.091005291005291</v>
      </c>
      <c r="T4" s="1503">
        <f t="shared" ref="T4:T17" si="2">MIN(4.63,4.48*S4^(-0.25))</f>
        <v>3.7255400035598276</v>
      </c>
      <c r="U4" s="1082"/>
      <c r="V4" s="1080"/>
      <c r="W4" s="1318">
        <f t="shared" ref="W4:W17" si="3">X4*R4</f>
        <v>139.47555555555556</v>
      </c>
      <c r="X4" s="976">
        <v>2.4140000000000001</v>
      </c>
      <c r="Y4" s="862">
        <v>0.64795975823461183</v>
      </c>
    </row>
    <row r="5" spans="1:25" s="866" customFormat="1">
      <c r="A5" s="976" t="s">
        <v>35</v>
      </c>
      <c r="B5" s="961"/>
      <c r="C5" s="960"/>
      <c r="D5" s="960"/>
      <c r="E5" s="976" t="s">
        <v>79</v>
      </c>
      <c r="F5" s="976" t="s">
        <v>247</v>
      </c>
      <c r="G5" s="1111"/>
      <c r="H5" s="1110">
        <v>7.5555555555555554</v>
      </c>
      <c r="I5" s="1110">
        <v>1231.1111111111111</v>
      </c>
      <c r="J5" s="1080"/>
      <c r="K5" s="1110">
        <v>3.5555555555555554</v>
      </c>
      <c r="L5" s="1501">
        <f t="shared" si="0"/>
        <v>7.9411764705882362E-2</v>
      </c>
      <c r="M5" s="1082"/>
      <c r="N5" s="1080"/>
      <c r="O5" s="1110">
        <v>453.33333333333331</v>
      </c>
      <c r="P5" s="1082"/>
      <c r="Q5" s="1080"/>
      <c r="R5" s="1110">
        <v>36</v>
      </c>
      <c r="S5" s="1504">
        <f t="shared" si="1"/>
        <v>1.3376470588235296</v>
      </c>
      <c r="T5" s="1504">
        <f t="shared" si="2"/>
        <v>4.165744496730265</v>
      </c>
      <c r="U5" s="1082"/>
      <c r="V5" s="1080"/>
      <c r="W5" s="1507">
        <f t="shared" si="3"/>
        <v>117.46799999999999</v>
      </c>
      <c r="X5" s="976">
        <v>3.2629999999999999</v>
      </c>
      <c r="Y5" s="862">
        <v>0.78329335910091502</v>
      </c>
    </row>
    <row r="6" spans="1:25" s="866" customFormat="1">
      <c r="A6" s="976" t="s">
        <v>35</v>
      </c>
      <c r="B6" s="961"/>
      <c r="C6" s="960"/>
      <c r="D6" s="960"/>
      <c r="E6" s="976" t="s">
        <v>79</v>
      </c>
      <c r="F6" s="976" t="s">
        <v>249</v>
      </c>
      <c r="G6" s="1111"/>
      <c r="H6" s="1110">
        <v>6.2222222222222223</v>
      </c>
      <c r="I6" s="1110">
        <v>1208.8888888888889</v>
      </c>
      <c r="J6" s="1080"/>
      <c r="K6" s="1110">
        <v>4</v>
      </c>
      <c r="L6" s="1306">
        <f t="shared" si="0"/>
        <v>0.09</v>
      </c>
      <c r="M6" s="1082"/>
      <c r="N6" s="1080"/>
      <c r="O6" s="1110">
        <v>533.33333333333337</v>
      </c>
      <c r="P6" s="1082"/>
      <c r="Q6" s="1080"/>
      <c r="R6" s="1110">
        <v>48</v>
      </c>
      <c r="S6" s="1314">
        <f t="shared" si="1"/>
        <v>1.5680000000000001</v>
      </c>
      <c r="T6" s="1314">
        <f t="shared" si="2"/>
        <v>4.0035153631175806</v>
      </c>
      <c r="U6" s="1082"/>
      <c r="V6" s="1080"/>
      <c r="W6" s="1318">
        <f t="shared" si="3"/>
        <v>171.31200000000001</v>
      </c>
      <c r="X6" s="976">
        <v>3.569</v>
      </c>
      <c r="Y6" s="862">
        <v>0.89146654284867799</v>
      </c>
    </row>
    <row r="7" spans="1:25" s="866" customFormat="1">
      <c r="A7" s="976" t="s">
        <v>35</v>
      </c>
      <c r="B7" s="961"/>
      <c r="C7" s="960"/>
      <c r="D7" s="960"/>
      <c r="E7" s="976" t="s">
        <v>79</v>
      </c>
      <c r="F7" s="976" t="s">
        <v>251</v>
      </c>
      <c r="G7" s="1111"/>
      <c r="H7" s="1110">
        <v>4.4444444444444446</v>
      </c>
      <c r="I7" s="1110">
        <v>1244.4444444444443</v>
      </c>
      <c r="J7" s="1080"/>
      <c r="K7" s="1110">
        <v>2.6666666666666665</v>
      </c>
      <c r="L7" s="1306">
        <f t="shared" si="0"/>
        <v>9.375E-2</v>
      </c>
      <c r="M7" s="1082"/>
      <c r="N7" s="1080"/>
      <c r="O7" s="1110">
        <v>568.88888888888891</v>
      </c>
      <c r="P7" s="1082"/>
      <c r="Q7" s="1080"/>
      <c r="R7" s="1110">
        <v>53.333333333333336</v>
      </c>
      <c r="S7" s="1314">
        <f t="shared" si="1"/>
        <v>1.7</v>
      </c>
      <c r="T7" s="1314">
        <f t="shared" si="2"/>
        <v>3.9234288718112715</v>
      </c>
      <c r="U7" s="1082"/>
      <c r="V7" s="1080"/>
      <c r="W7" s="1318">
        <f t="shared" si="3"/>
        <v>137.33333333333334</v>
      </c>
      <c r="X7" s="976">
        <v>2.5750000000000002</v>
      </c>
      <c r="Y7" s="862">
        <v>0.65631366953040704</v>
      </c>
    </row>
    <row r="8" spans="1:25" s="866" customFormat="1" ht="15.75" thickBot="1">
      <c r="A8" s="976" t="s">
        <v>35</v>
      </c>
      <c r="B8" s="1088"/>
      <c r="C8" s="1089"/>
      <c r="D8" s="1089"/>
      <c r="E8" s="976" t="s">
        <v>79</v>
      </c>
      <c r="F8" s="976" t="s">
        <v>255</v>
      </c>
      <c r="G8" s="1112"/>
      <c r="H8" s="1110">
        <v>10.222222222222221</v>
      </c>
      <c r="I8" s="1110">
        <v>1293.3333333333333</v>
      </c>
      <c r="J8" s="1090"/>
      <c r="K8" s="1110">
        <v>5.333333333333333</v>
      </c>
      <c r="L8" s="1508">
        <f t="shared" si="0"/>
        <v>7.857142857142857E-2</v>
      </c>
      <c r="M8" s="1092"/>
      <c r="N8" s="1090"/>
      <c r="O8" s="1110">
        <v>808.88888888888891</v>
      </c>
      <c r="P8" s="1092"/>
      <c r="Q8" s="1090"/>
      <c r="R8" s="1110">
        <v>63.555555555555557</v>
      </c>
      <c r="S8" s="1515">
        <f t="shared" si="1"/>
        <v>1.6517460317460317</v>
      </c>
      <c r="T8" s="1515">
        <f t="shared" si="2"/>
        <v>3.9517748774663386</v>
      </c>
      <c r="U8" s="1092"/>
      <c r="V8" s="1090"/>
      <c r="W8" s="1525">
        <f t="shared" si="3"/>
        <v>325.02311111111112</v>
      </c>
      <c r="X8" s="976">
        <v>5.1139999999999999</v>
      </c>
      <c r="Y8" s="862">
        <v>1.2941020575743971</v>
      </c>
    </row>
    <row r="9" spans="1:25" s="866" customFormat="1" ht="15.75" thickTop="1">
      <c r="A9" s="976" t="s">
        <v>35</v>
      </c>
      <c r="B9" s="1069"/>
      <c r="C9" s="1070"/>
      <c r="D9" s="1070"/>
      <c r="E9" s="976" t="s">
        <v>79</v>
      </c>
      <c r="F9" s="976" t="s">
        <v>260</v>
      </c>
      <c r="G9" s="1109"/>
      <c r="H9" s="1110">
        <v>7.5555555555555554</v>
      </c>
      <c r="I9" s="1110">
        <v>1342.2222222222222</v>
      </c>
      <c r="J9" s="1075"/>
      <c r="K9" s="1110">
        <v>4</v>
      </c>
      <c r="L9" s="1509">
        <f t="shared" si="0"/>
        <v>8.4234234234234234E-2</v>
      </c>
      <c r="M9" s="1077"/>
      <c r="N9" s="1075"/>
      <c r="O9" s="1110">
        <v>986.66666666666663</v>
      </c>
      <c r="P9" s="1077"/>
      <c r="Q9" s="1075"/>
      <c r="R9" s="1110">
        <v>83.111111111111114</v>
      </c>
      <c r="S9" s="1516">
        <f t="shared" si="1"/>
        <v>1.9617217217217218</v>
      </c>
      <c r="T9" s="1516">
        <f t="shared" si="2"/>
        <v>3.7854600199971156</v>
      </c>
      <c r="U9" s="1077"/>
      <c r="V9" s="1075"/>
      <c r="W9" s="1526">
        <f t="shared" si="3"/>
        <v>303.5217777777778</v>
      </c>
      <c r="X9" s="976">
        <v>3.6520000000000001</v>
      </c>
      <c r="Y9" s="862">
        <v>0.96474404186225771</v>
      </c>
    </row>
    <row r="10" spans="1:25" s="866" customFormat="1">
      <c r="A10" s="976" t="s">
        <v>35</v>
      </c>
      <c r="B10" s="961"/>
      <c r="C10" s="960"/>
      <c r="D10" s="960"/>
      <c r="E10" s="976" t="s">
        <v>79</v>
      </c>
      <c r="F10" s="976" t="s">
        <v>239</v>
      </c>
      <c r="G10" s="1111"/>
      <c r="H10" s="1110">
        <v>9.3333333333333339</v>
      </c>
      <c r="I10" s="1110">
        <v>1982.2222222222222</v>
      </c>
      <c r="J10" s="1080"/>
      <c r="K10" s="1110">
        <v>4.4444444444444446</v>
      </c>
      <c r="L10" s="1306">
        <f t="shared" si="0"/>
        <v>8.5393258426966295E-2</v>
      </c>
      <c r="M10" s="1082"/>
      <c r="N10" s="1080"/>
      <c r="O10" s="1110">
        <v>791.11111111111109</v>
      </c>
      <c r="P10" s="1082"/>
      <c r="Q10" s="1080"/>
      <c r="R10" s="1110">
        <v>67.555555555555557</v>
      </c>
      <c r="S10" s="1314">
        <f t="shared" si="1"/>
        <v>2.3682397003745321</v>
      </c>
      <c r="T10" s="1524">
        <f t="shared" si="2"/>
        <v>3.6113667877228446</v>
      </c>
      <c r="U10" s="1082"/>
      <c r="V10" s="1080"/>
      <c r="W10" s="1318">
        <f t="shared" si="3"/>
        <v>286.77333333333337</v>
      </c>
      <c r="X10" s="976">
        <v>4.2450000000000001</v>
      </c>
      <c r="Y10" s="862">
        <v>1.1754552360705224</v>
      </c>
    </row>
    <row r="11" spans="1:25" s="866" customFormat="1">
      <c r="A11" s="976" t="s">
        <v>35</v>
      </c>
      <c r="B11" s="961"/>
      <c r="C11" s="960"/>
      <c r="D11" s="960"/>
      <c r="E11" s="976" t="s">
        <v>79</v>
      </c>
      <c r="F11" s="976" t="s">
        <v>270</v>
      </c>
      <c r="G11" s="1111"/>
      <c r="H11" s="1110">
        <v>8</v>
      </c>
      <c r="I11" s="1110">
        <v>1186.6666666666667</v>
      </c>
      <c r="J11" s="1080"/>
      <c r="K11" s="1110">
        <v>3.1111111111111112</v>
      </c>
      <c r="L11" s="1306">
        <f t="shared" si="0"/>
        <v>9.1603053435114518E-2</v>
      </c>
      <c r="M11" s="1082"/>
      <c r="N11" s="1080"/>
      <c r="O11" s="1110">
        <v>582.22222222222217</v>
      </c>
      <c r="P11" s="1082"/>
      <c r="Q11" s="1080"/>
      <c r="R11" s="1110">
        <v>53.333333333333336</v>
      </c>
      <c r="S11" s="1314">
        <f t="shared" si="1"/>
        <v>1.6203562340966924</v>
      </c>
      <c r="T11" s="1524">
        <f t="shared" si="2"/>
        <v>3.97077599669867</v>
      </c>
      <c r="U11" s="1082"/>
      <c r="V11" s="1080"/>
      <c r="W11" s="1318">
        <f t="shared" si="3"/>
        <v>167.52</v>
      </c>
      <c r="X11" s="976">
        <v>3.141</v>
      </c>
      <c r="Y11" s="862">
        <v>0.79102926042956068</v>
      </c>
    </row>
    <row r="12" spans="1:25" s="866" customFormat="1">
      <c r="A12" s="976" t="s">
        <v>35</v>
      </c>
      <c r="B12" s="961"/>
      <c r="C12" s="960"/>
      <c r="D12" s="960"/>
      <c r="E12" s="976" t="s">
        <v>79</v>
      </c>
      <c r="F12" s="976" t="s">
        <v>272</v>
      </c>
      <c r="G12" s="1111"/>
      <c r="H12" s="1110">
        <v>7.5555555555555554</v>
      </c>
      <c r="I12" s="1110">
        <v>1755.5555555555557</v>
      </c>
      <c r="J12" s="1080"/>
      <c r="K12" s="1110">
        <v>4.4444444444444446</v>
      </c>
      <c r="L12" s="1306">
        <f t="shared" si="0"/>
        <v>9.7402597402597407E-2</v>
      </c>
      <c r="M12" s="1082"/>
      <c r="N12" s="1080"/>
      <c r="O12" s="1110">
        <v>684.44444444444446</v>
      </c>
      <c r="P12" s="1082"/>
      <c r="Q12" s="1080"/>
      <c r="R12" s="1110">
        <v>66.666666666666671</v>
      </c>
      <c r="S12" s="1314">
        <f t="shared" si="1"/>
        <v>2.3766233766233769</v>
      </c>
      <c r="T12" s="1314">
        <f t="shared" si="2"/>
        <v>3.6081777397961603</v>
      </c>
      <c r="U12" s="1082"/>
      <c r="V12" s="1080"/>
      <c r="W12" s="1318">
        <f t="shared" si="3"/>
        <v>206.40000000000003</v>
      </c>
      <c r="X12" s="976">
        <v>3.0960000000000001</v>
      </c>
      <c r="Y12" s="862">
        <v>0.8580508564899314</v>
      </c>
    </row>
    <row r="13" spans="1:25" s="866" customFormat="1">
      <c r="A13" s="976" t="s">
        <v>35</v>
      </c>
      <c r="B13" s="961"/>
      <c r="C13" s="960"/>
      <c r="D13" s="960"/>
      <c r="E13" s="976" t="s">
        <v>79</v>
      </c>
      <c r="F13" s="976" t="s">
        <v>274</v>
      </c>
      <c r="G13" s="1111"/>
      <c r="H13" s="1110">
        <v>8.4444444444444446</v>
      </c>
      <c r="I13" s="1110">
        <v>1222.2222222222222</v>
      </c>
      <c r="J13" s="1080"/>
      <c r="K13" s="1110">
        <v>4.4444444444444446</v>
      </c>
      <c r="L13" s="1306">
        <f t="shared" si="0"/>
        <v>9.0476190476190474E-2</v>
      </c>
      <c r="M13" s="1082"/>
      <c r="N13" s="1080"/>
      <c r="O13" s="1110">
        <v>653.33333333333337</v>
      </c>
      <c r="P13" s="1082"/>
      <c r="Q13" s="1080"/>
      <c r="R13" s="1110">
        <v>59.111111111111114</v>
      </c>
      <c r="S13" s="1314">
        <f t="shared" si="1"/>
        <v>1.6969312169312167</v>
      </c>
      <c r="T13" s="1314">
        <f t="shared" si="2"/>
        <v>3.9252014827761394</v>
      </c>
      <c r="U13" s="1082"/>
      <c r="V13" s="1080"/>
      <c r="W13" s="1318">
        <f t="shared" si="3"/>
        <v>143.52177777777777</v>
      </c>
      <c r="X13" s="976">
        <v>2.4279999999999999</v>
      </c>
      <c r="Y13" s="862">
        <v>0.61856697309784237</v>
      </c>
    </row>
    <row r="14" spans="1:25" s="844" customFormat="1" ht="15.75" thickBot="1">
      <c r="A14" s="1325" t="s">
        <v>35</v>
      </c>
      <c r="B14" s="1294"/>
      <c r="C14" s="1293"/>
      <c r="D14" s="1293"/>
      <c r="E14" s="1325" t="s">
        <v>82</v>
      </c>
      <c r="F14" s="1325" t="s">
        <v>81</v>
      </c>
      <c r="G14" s="1458"/>
      <c r="H14" s="1457">
        <v>6.2222222222222223</v>
      </c>
      <c r="I14" s="1457">
        <v>1275.5555555555557</v>
      </c>
      <c r="J14" s="1432"/>
      <c r="K14" s="1457">
        <v>3.1111111111111112</v>
      </c>
      <c r="L14" s="1307">
        <f t="shared" si="0"/>
        <v>8.1632653061224483E-2</v>
      </c>
      <c r="M14" s="1433"/>
      <c r="N14" s="1432"/>
      <c r="O14" s="1457">
        <v>653.33333333333337</v>
      </c>
      <c r="P14" s="1433"/>
      <c r="Q14" s="1432"/>
      <c r="R14" s="1457">
        <v>53.333333333333336</v>
      </c>
      <c r="S14" s="1315">
        <f t="shared" si="1"/>
        <v>1.5746031746031748</v>
      </c>
      <c r="T14" s="1315">
        <f t="shared" si="2"/>
        <v>3.9993115125873828</v>
      </c>
      <c r="U14" s="1433"/>
      <c r="V14" s="1432"/>
      <c r="W14" s="1319">
        <f t="shared" si="3"/>
        <v>224.26666666666668</v>
      </c>
      <c r="X14" s="1325">
        <v>4.2050000000000001</v>
      </c>
      <c r="Y14" s="840">
        <v>1.0514309742477517</v>
      </c>
    </row>
    <row r="15" spans="1:25" s="844" customFormat="1" ht="15.75" thickTop="1">
      <c r="A15" s="1325" t="s">
        <v>35</v>
      </c>
      <c r="B15" s="1273"/>
      <c r="C15" s="1274"/>
      <c r="D15" s="1274"/>
      <c r="E15" s="1325" t="s">
        <v>82</v>
      </c>
      <c r="F15" s="1325" t="s">
        <v>237</v>
      </c>
      <c r="G15" s="1459"/>
      <c r="H15" s="1457">
        <v>6.666666666666667</v>
      </c>
      <c r="I15" s="1457">
        <v>1711.1111111111111</v>
      </c>
      <c r="J15" s="1279"/>
      <c r="K15" s="1457">
        <v>4</v>
      </c>
      <c r="L15" s="1304">
        <f t="shared" si="0"/>
        <v>8.2142857142857142E-2</v>
      </c>
      <c r="M15" s="1281"/>
      <c r="N15" s="1282"/>
      <c r="O15" s="1457">
        <v>871.11111111111109</v>
      </c>
      <c r="P15" s="1281"/>
      <c r="Q15" s="1282"/>
      <c r="R15" s="1457">
        <v>71.555555555555557</v>
      </c>
      <c r="S15" s="1312">
        <f t="shared" si="1"/>
        <v>2.1211111111111109</v>
      </c>
      <c r="T15" s="1312">
        <f t="shared" si="2"/>
        <v>3.7122495156720579</v>
      </c>
      <c r="U15" s="1281"/>
      <c r="V15" s="1282"/>
      <c r="W15" s="1316">
        <f t="shared" si="3"/>
        <v>281.35644444444443</v>
      </c>
      <c r="X15" s="1325">
        <v>3.9319999999999999</v>
      </c>
      <c r="Y15" s="840">
        <v>1.0591960436388281</v>
      </c>
    </row>
    <row r="16" spans="1:25" s="844" customFormat="1">
      <c r="A16" s="1325" t="s">
        <v>35</v>
      </c>
      <c r="B16" s="1283"/>
      <c r="C16" s="1274"/>
      <c r="D16" s="1274"/>
      <c r="E16" s="1325" t="s">
        <v>82</v>
      </c>
      <c r="F16" s="1325" t="s">
        <v>238</v>
      </c>
      <c r="G16" s="1456"/>
      <c r="H16" s="1457">
        <v>7.1111111111111107</v>
      </c>
      <c r="I16" s="1457">
        <v>973.33333333333337</v>
      </c>
      <c r="J16" s="1288"/>
      <c r="K16" s="1457">
        <v>3.5555555555555554</v>
      </c>
      <c r="L16" s="1305">
        <f t="shared" si="0"/>
        <v>7.8606965174129351E-2</v>
      </c>
      <c r="M16" s="1291"/>
      <c r="N16" s="1288"/>
      <c r="O16" s="1457">
        <v>893.33333333333337</v>
      </c>
      <c r="P16" s="1291"/>
      <c r="Q16" s="1288"/>
      <c r="R16" s="1457">
        <v>70.222222222222229</v>
      </c>
      <c r="S16" s="1313">
        <f t="shared" si="1"/>
        <v>1.467330016583748</v>
      </c>
      <c r="T16" s="1313">
        <f t="shared" si="2"/>
        <v>4.0704841083300076</v>
      </c>
      <c r="U16" s="1291"/>
      <c r="V16" s="1288"/>
      <c r="W16" s="1317">
        <f t="shared" si="3"/>
        <v>307.36266666666666</v>
      </c>
      <c r="X16" s="1325">
        <v>4.3769999999999998</v>
      </c>
      <c r="Y16" s="840">
        <v>1.0753020730489347</v>
      </c>
    </row>
    <row r="17" spans="1:25" s="844" customFormat="1">
      <c r="A17" s="1325" t="s">
        <v>35</v>
      </c>
      <c r="B17" s="1283"/>
      <c r="C17" s="1274"/>
      <c r="D17" s="1274"/>
      <c r="E17" s="1325" t="s">
        <v>82</v>
      </c>
      <c r="F17" s="1325" t="s">
        <v>240</v>
      </c>
      <c r="G17" s="1456"/>
      <c r="H17" s="1457">
        <v>8</v>
      </c>
      <c r="I17" s="1457">
        <v>1817.7777777777778</v>
      </c>
      <c r="J17" s="1288"/>
      <c r="K17" s="1457">
        <v>4.4444444444444446</v>
      </c>
      <c r="L17" s="1305">
        <f t="shared" si="0"/>
        <v>8.1659388646288203E-2</v>
      </c>
      <c r="M17" s="1291"/>
      <c r="N17" s="1288"/>
      <c r="O17" s="1457">
        <v>1017.7777777777778</v>
      </c>
      <c r="P17" s="1291"/>
      <c r="Q17" s="1288"/>
      <c r="R17" s="1457">
        <v>83.111111111111114</v>
      </c>
      <c r="S17" s="1313">
        <f t="shared" si="1"/>
        <v>2.3154973313925278</v>
      </c>
      <c r="T17" s="1313">
        <f t="shared" si="2"/>
        <v>3.6317583423058797</v>
      </c>
      <c r="U17" s="1291"/>
      <c r="V17" s="1288"/>
      <c r="W17" s="1317">
        <f t="shared" si="3"/>
        <v>334.60533333333331</v>
      </c>
      <c r="X17" s="1325">
        <v>4.0259999999999998</v>
      </c>
      <c r="Y17" s="840">
        <v>1.1085539346331639</v>
      </c>
    </row>
    <row r="18" spans="1:25">
      <c r="A18" s="1"/>
      <c r="C18" s="1"/>
      <c r="D18" s="1"/>
      <c r="E18" s="1"/>
      <c r="F18" s="1"/>
      <c r="R18" s="1"/>
      <c r="S18" s="4"/>
      <c r="T18" s="4"/>
      <c r="U18" s="1"/>
      <c r="V18" s="1"/>
      <c r="W18" s="4"/>
      <c r="X18" s="4"/>
      <c r="Y18" s="4"/>
    </row>
    <row r="19" spans="1:25">
      <c r="A19" s="55" t="s">
        <v>39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750" t="s">
        <v>390</v>
      </c>
      <c r="N19" s="751"/>
      <c r="O19" s="75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6"/>
      <c r="N20" s="752" t="s">
        <v>63</v>
      </c>
      <c r="O20" s="753" t="s">
        <v>64</v>
      </c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6" t="s">
        <v>41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6" t="s">
        <v>391</v>
      </c>
      <c r="N21" s="774">
        <f>AVERAGE(Y3:Y13)</f>
        <v>0.87902297052107281</v>
      </c>
      <c r="O21" s="774">
        <f>AVERAGE(Y14:Y17)</f>
        <v>1.0736207563921696</v>
      </c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56" t="s">
        <v>42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6" t="s">
        <v>25</v>
      </c>
      <c r="N22" s="774">
        <f>AVERAGE(W3:W13)</f>
        <v>195.88674747474749</v>
      </c>
      <c r="O22" s="774">
        <f>AVERAGE(W14:W17)</f>
        <v>286.89777777777778</v>
      </c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55" t="s">
        <v>87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6" t="s">
        <v>392</v>
      </c>
      <c r="N23" s="774">
        <f>AVERAGE(X3:X13)</f>
        <v>3.4087272727272722</v>
      </c>
      <c r="O23" s="774">
        <f>AVERAGE(X14:X17)</f>
        <v>4.1349999999999998</v>
      </c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55" t="s">
        <v>44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6" t="s">
        <v>393</v>
      </c>
      <c r="N24" s="774">
        <f>AVERAGE(S3:S13)</f>
        <v>1.8067960799952052</v>
      </c>
      <c r="O24" s="774">
        <f>AVERAGE(S14:S17)</f>
        <v>1.8696354084226403</v>
      </c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55" t="s">
        <v>45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56" t="s">
        <v>46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4"/>
      <c r="T26" s="4"/>
      <c r="U26" s="1"/>
      <c r="V26" s="1"/>
      <c r="W26" s="4"/>
      <c r="X26" s="4"/>
      <c r="Y26" s="4"/>
    </row>
    <row r="27" spans="1:25">
      <c r="A27" s="56" t="s">
        <v>47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56" t="s">
        <v>48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56" t="s">
        <v>49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4"/>
      <c r="T29" s="4"/>
      <c r="U29" s="1"/>
      <c r="V29" s="1"/>
      <c r="W29" s="4"/>
      <c r="X29" s="4"/>
      <c r="Y29" s="4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1" t="s">
        <v>50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1"/>
      <c r="Q31" s="1"/>
      <c r="R31" s="1"/>
      <c r="S31" s="4"/>
      <c r="T31" s="4"/>
      <c r="U31" s="1"/>
      <c r="V31" s="1"/>
      <c r="W31" s="4"/>
      <c r="X31" s="4"/>
      <c r="Y31" s="4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1"/>
      <c r="Q32" s="1"/>
      <c r="R32" s="1"/>
      <c r="S32" s="4"/>
      <c r="T32" s="4"/>
      <c r="U32" s="1"/>
      <c r="V32" s="1"/>
      <c r="W32" s="4"/>
      <c r="X32" s="4"/>
      <c r="Y32" s="4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"/>
      <c r="P33" s="1"/>
      <c r="Q33" s="1"/>
      <c r="R33" s="1"/>
      <c r="S33" s="4"/>
      <c r="T33" s="4"/>
      <c r="U33" s="1"/>
      <c r="V33" s="1"/>
      <c r="W33" s="4"/>
      <c r="X33" s="4"/>
      <c r="Y33" s="4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"/>
      <c r="P34" s="1"/>
      <c r="Q34" s="1"/>
      <c r="R34" s="1"/>
      <c r="S34" s="4"/>
      <c r="T34" s="4"/>
      <c r="U34" s="1"/>
      <c r="V34" s="1"/>
      <c r="W34" s="4"/>
      <c r="X34" s="4"/>
      <c r="Y34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Y50"/>
  <sheetViews>
    <sheetView topLeftCell="A13" zoomScaleNormal="100" workbookViewId="0">
      <selection activeCell="Q34" sqref="Q34"/>
    </sheetView>
  </sheetViews>
  <sheetFormatPr baseColWidth="10" defaultRowHeight="15"/>
  <cols>
    <col min="3" max="4" width="2.7109375" bestFit="1" customWidth="1"/>
    <col min="6" max="6" width="15.28515625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1117" customFormat="1" ht="15.75" thickTop="1">
      <c r="A3" s="856" t="s">
        <v>35</v>
      </c>
      <c r="B3" s="856" t="s">
        <v>351</v>
      </c>
      <c r="C3" s="1113"/>
      <c r="D3" s="1113"/>
      <c r="E3" s="856" t="s">
        <v>79</v>
      </c>
      <c r="F3" s="1114" t="s">
        <v>81</v>
      </c>
      <c r="G3" s="1073" t="s">
        <v>242</v>
      </c>
      <c r="H3" s="1087">
        <v>40</v>
      </c>
      <c r="I3" s="1087">
        <v>1476.7</v>
      </c>
      <c r="J3" s="1115"/>
      <c r="K3" s="1087">
        <v>10</v>
      </c>
      <c r="L3" s="1570">
        <f>R3/O3</f>
        <v>0.12477893495775202</v>
      </c>
      <c r="M3" s="1116"/>
      <c r="N3" s="1115"/>
      <c r="O3" s="1087">
        <v>508.9</v>
      </c>
      <c r="P3" s="1116"/>
      <c r="Q3" s="1115"/>
      <c r="R3" s="1087">
        <v>63.5</v>
      </c>
      <c r="S3" s="1579">
        <f>(R3+(I3*L3))/100</f>
        <v>2.4776105325211244</v>
      </c>
      <c r="T3" s="1579">
        <f>MIN(4.63,4.48*S3^(-0.25))</f>
        <v>3.5708347651648626</v>
      </c>
      <c r="U3" s="1116"/>
      <c r="V3" s="1115"/>
      <c r="W3" s="1588">
        <f>X3*R3</f>
        <v>170.815</v>
      </c>
      <c r="X3" s="856">
        <v>2.69</v>
      </c>
      <c r="Y3" s="862">
        <v>0.75332525219094104</v>
      </c>
    </row>
    <row r="4" spans="1:25" s="1117" customFormat="1">
      <c r="A4" s="856" t="s">
        <v>35</v>
      </c>
      <c r="B4" s="856" t="s">
        <v>351</v>
      </c>
      <c r="C4" s="1118"/>
      <c r="D4" s="1118"/>
      <c r="E4" s="856" t="s">
        <v>79</v>
      </c>
      <c r="F4" s="1114" t="s">
        <v>237</v>
      </c>
      <c r="G4" s="1073" t="s">
        <v>140</v>
      </c>
      <c r="H4" s="1087">
        <v>47</v>
      </c>
      <c r="I4" s="1087">
        <v>2434.4</v>
      </c>
      <c r="J4" s="1119"/>
      <c r="K4" s="1087">
        <v>11</v>
      </c>
      <c r="L4" s="1571">
        <f t="shared" ref="L4:L27" si="0">R4/O4</f>
        <v>0.11828571428571429</v>
      </c>
      <c r="M4" s="1120"/>
      <c r="N4" s="1119"/>
      <c r="O4" s="1087">
        <v>525</v>
      </c>
      <c r="P4" s="1120"/>
      <c r="Q4" s="1119"/>
      <c r="R4" s="1087">
        <v>62.1</v>
      </c>
      <c r="S4" s="1580">
        <f t="shared" ref="S4:S27" si="1">(R4+(I4*L4))/100</f>
        <v>3.5005474285714291</v>
      </c>
      <c r="T4" s="1580">
        <f t="shared" ref="T4:T27" si="2">MIN(4.63,4.48*S4^(-0.25))</f>
        <v>3.2752467354558412</v>
      </c>
      <c r="U4" s="1120"/>
      <c r="V4" s="1119"/>
      <c r="W4" s="1589">
        <f t="shared" ref="W4:W27" si="3">X4*R4</f>
        <v>175.9914</v>
      </c>
      <c r="X4" s="856">
        <v>2.8340000000000001</v>
      </c>
      <c r="Y4" s="862">
        <v>0.86527832218587664</v>
      </c>
    </row>
    <row r="5" spans="1:25" s="1117" customFormat="1">
      <c r="A5" s="856" t="s">
        <v>35</v>
      </c>
      <c r="B5" s="856" t="s">
        <v>351</v>
      </c>
      <c r="C5" s="1118"/>
      <c r="D5" s="1118"/>
      <c r="E5" s="856" t="s">
        <v>79</v>
      </c>
      <c r="F5" s="1114" t="s">
        <v>245</v>
      </c>
      <c r="G5" s="1073" t="s">
        <v>140</v>
      </c>
      <c r="H5" s="1087">
        <v>50</v>
      </c>
      <c r="I5" s="1087">
        <v>1870.8</v>
      </c>
      <c r="J5" s="1119"/>
      <c r="K5" s="1087">
        <v>13</v>
      </c>
      <c r="L5" s="1572">
        <f t="shared" si="0"/>
        <v>0.12564350064350063</v>
      </c>
      <c r="M5" s="1120"/>
      <c r="N5" s="1119"/>
      <c r="O5" s="1087">
        <v>621.6</v>
      </c>
      <c r="P5" s="1120"/>
      <c r="Q5" s="1119"/>
      <c r="R5" s="1087">
        <v>78.099999999999994</v>
      </c>
      <c r="S5" s="1581">
        <f t="shared" si="1"/>
        <v>3.1315386100386098</v>
      </c>
      <c r="T5" s="1581">
        <f t="shared" si="2"/>
        <v>3.3677401248009238</v>
      </c>
      <c r="U5" s="1120"/>
      <c r="V5" s="1119"/>
      <c r="W5" s="1590">
        <f t="shared" si="3"/>
        <v>187.43999999999997</v>
      </c>
      <c r="X5" s="856">
        <v>2.4</v>
      </c>
      <c r="Y5" s="862">
        <v>0.71264406131748992</v>
      </c>
    </row>
    <row r="6" spans="1:25" s="1117" customFormat="1">
      <c r="A6" s="856" t="s">
        <v>35</v>
      </c>
      <c r="B6" s="856" t="s">
        <v>351</v>
      </c>
      <c r="C6" s="1118"/>
      <c r="D6" s="1118"/>
      <c r="E6" s="856" t="s">
        <v>79</v>
      </c>
      <c r="F6" s="1114" t="s">
        <v>247</v>
      </c>
      <c r="G6" s="1073" t="s">
        <v>140</v>
      </c>
      <c r="H6" s="1087">
        <v>29</v>
      </c>
      <c r="I6" s="1087">
        <v>1316.9</v>
      </c>
      <c r="J6" s="1119"/>
      <c r="K6" s="1087">
        <v>9</v>
      </c>
      <c r="L6" s="1573">
        <f t="shared" si="0"/>
        <v>0.11934571890145397</v>
      </c>
      <c r="M6" s="1120"/>
      <c r="N6" s="1119"/>
      <c r="O6" s="1087">
        <v>495.2</v>
      </c>
      <c r="P6" s="1120"/>
      <c r="Q6" s="1119"/>
      <c r="R6" s="1087">
        <v>59.1</v>
      </c>
      <c r="S6" s="1582">
        <f t="shared" si="1"/>
        <v>2.1626637722132473</v>
      </c>
      <c r="T6" s="1582">
        <f t="shared" si="2"/>
        <v>3.6942881144475721</v>
      </c>
      <c r="U6" s="1120"/>
      <c r="V6" s="1119"/>
      <c r="W6" s="1589">
        <f t="shared" si="3"/>
        <v>173.69490000000002</v>
      </c>
      <c r="X6" s="856">
        <v>2.9390000000000001</v>
      </c>
      <c r="Y6" s="862">
        <v>0.79555246070445851</v>
      </c>
    </row>
    <row r="7" spans="1:25" s="1117" customFormat="1">
      <c r="A7" s="856" t="s">
        <v>35</v>
      </c>
      <c r="B7" s="856" t="s">
        <v>351</v>
      </c>
      <c r="C7" s="1118"/>
      <c r="D7" s="1118"/>
      <c r="E7" s="856" t="s">
        <v>79</v>
      </c>
      <c r="F7" s="1114" t="s">
        <v>249</v>
      </c>
      <c r="G7" s="1073" t="s">
        <v>242</v>
      </c>
      <c r="H7" s="1087">
        <v>55</v>
      </c>
      <c r="I7" s="1087">
        <v>1878</v>
      </c>
      <c r="J7" s="1119"/>
      <c r="K7" s="1087">
        <v>14</v>
      </c>
      <c r="L7" s="1573">
        <f t="shared" si="0"/>
        <v>0.12834298318169285</v>
      </c>
      <c r="M7" s="1120"/>
      <c r="N7" s="1119"/>
      <c r="O7" s="1087">
        <v>725.4</v>
      </c>
      <c r="P7" s="1120"/>
      <c r="Q7" s="1119"/>
      <c r="R7" s="1087">
        <v>93.1</v>
      </c>
      <c r="S7" s="1582">
        <f t="shared" si="1"/>
        <v>3.3412812241521919</v>
      </c>
      <c r="T7" s="1582">
        <f t="shared" si="2"/>
        <v>3.3135975194336367</v>
      </c>
      <c r="U7" s="1120"/>
      <c r="V7" s="1119"/>
      <c r="W7" s="1589">
        <f t="shared" si="3"/>
        <v>254.7216</v>
      </c>
      <c r="X7" s="856">
        <v>2.7360000000000002</v>
      </c>
      <c r="Y7" s="862">
        <v>0.82568869150639645</v>
      </c>
    </row>
    <row r="8" spans="1:25" s="1117" customFormat="1" ht="15.75" thickBot="1">
      <c r="A8" s="856" t="s">
        <v>35</v>
      </c>
      <c r="B8" s="856" t="s">
        <v>351</v>
      </c>
      <c r="C8" s="1121"/>
      <c r="D8" s="1121"/>
      <c r="E8" s="856" t="s">
        <v>79</v>
      </c>
      <c r="F8" s="1114" t="s">
        <v>251</v>
      </c>
      <c r="G8" s="1073" t="s">
        <v>140</v>
      </c>
      <c r="H8" s="1087">
        <v>22</v>
      </c>
      <c r="I8" s="1087">
        <v>1476.7</v>
      </c>
      <c r="J8" s="1122"/>
      <c r="K8" s="1087">
        <v>6</v>
      </c>
      <c r="L8" s="1574">
        <f t="shared" si="0"/>
        <v>0.13213077790304398</v>
      </c>
      <c r="M8" s="1123"/>
      <c r="N8" s="1122"/>
      <c r="O8" s="1087">
        <v>443.5</v>
      </c>
      <c r="P8" s="1123"/>
      <c r="Q8" s="1122"/>
      <c r="R8" s="1087">
        <v>58.6</v>
      </c>
      <c r="S8" s="1583">
        <f t="shared" si="1"/>
        <v>2.5371751972942507</v>
      </c>
      <c r="T8" s="1583">
        <f t="shared" si="2"/>
        <v>3.5496897760820043</v>
      </c>
      <c r="U8" s="1123"/>
      <c r="V8" s="1122"/>
      <c r="W8" s="1591">
        <f t="shared" si="3"/>
        <v>158.68880000000001</v>
      </c>
      <c r="X8" s="856">
        <v>2.7080000000000002</v>
      </c>
      <c r="Y8" s="862">
        <v>0.7628835675293788</v>
      </c>
    </row>
    <row r="9" spans="1:25" s="1117" customFormat="1" ht="15.75" thickTop="1">
      <c r="A9" s="856" t="s">
        <v>35</v>
      </c>
      <c r="B9" s="856" t="s">
        <v>351</v>
      </c>
      <c r="C9" s="1113"/>
      <c r="D9" s="1113"/>
      <c r="E9" s="856" t="s">
        <v>79</v>
      </c>
      <c r="F9" s="1114" t="s">
        <v>253</v>
      </c>
      <c r="G9" s="1073" t="s">
        <v>140</v>
      </c>
      <c r="H9" s="1087">
        <v>49</v>
      </c>
      <c r="I9" s="1087">
        <v>1614.8</v>
      </c>
      <c r="J9" s="1115"/>
      <c r="K9" s="1087">
        <v>13</v>
      </c>
      <c r="L9" s="1575">
        <f t="shared" si="0"/>
        <v>0.12676056338028172</v>
      </c>
      <c r="M9" s="1116"/>
      <c r="N9" s="1115"/>
      <c r="O9" s="1087">
        <v>518.29999999999995</v>
      </c>
      <c r="P9" s="1116"/>
      <c r="Q9" s="1115"/>
      <c r="R9" s="1087">
        <v>65.7</v>
      </c>
      <c r="S9" s="1584">
        <f t="shared" si="1"/>
        <v>2.7039295774647889</v>
      </c>
      <c r="T9" s="1584">
        <f t="shared" si="2"/>
        <v>3.4936481936239625</v>
      </c>
      <c r="U9" s="1116"/>
      <c r="V9" s="1115"/>
      <c r="W9" s="1592">
        <f t="shared" si="3"/>
        <v>175.81320000000002</v>
      </c>
      <c r="X9" s="856">
        <v>2.6760000000000002</v>
      </c>
      <c r="Y9" s="862">
        <v>0.76596149689135828</v>
      </c>
    </row>
    <row r="10" spans="1:25" s="1117" customFormat="1">
      <c r="A10" s="856" t="s">
        <v>35</v>
      </c>
      <c r="B10" s="856" t="s">
        <v>351</v>
      </c>
      <c r="C10" s="1118"/>
      <c r="D10" s="1118"/>
      <c r="E10" s="856" t="s">
        <v>79</v>
      </c>
      <c r="F10" s="1114" t="s">
        <v>255</v>
      </c>
      <c r="G10" s="1073" t="s">
        <v>140</v>
      </c>
      <c r="H10" s="1087">
        <v>42</v>
      </c>
      <c r="I10" s="1087">
        <v>1853</v>
      </c>
      <c r="J10" s="1119"/>
      <c r="K10" s="1087">
        <v>10</v>
      </c>
      <c r="L10" s="1573">
        <f t="shared" si="0"/>
        <v>0.11797752808988764</v>
      </c>
      <c r="M10" s="1120"/>
      <c r="N10" s="1119"/>
      <c r="O10" s="1087">
        <v>569.6</v>
      </c>
      <c r="P10" s="1120"/>
      <c r="Q10" s="1119"/>
      <c r="R10" s="1087">
        <v>67.2</v>
      </c>
      <c r="S10" s="1582">
        <f t="shared" si="1"/>
        <v>2.8581235955056177</v>
      </c>
      <c r="T10" s="1587">
        <f t="shared" si="2"/>
        <v>3.445543701639143</v>
      </c>
      <c r="U10" s="1120"/>
      <c r="V10" s="1119"/>
      <c r="W10" s="1589">
        <f t="shared" si="3"/>
        <v>166.18559999999999</v>
      </c>
      <c r="X10" s="856">
        <v>2.4729999999999999</v>
      </c>
      <c r="Y10" s="862">
        <v>0.71773868339662139</v>
      </c>
    </row>
    <row r="11" spans="1:25" s="1117" customFormat="1">
      <c r="A11" s="856" t="s">
        <v>35</v>
      </c>
      <c r="B11" s="856" t="s">
        <v>351</v>
      </c>
      <c r="C11" s="1118"/>
      <c r="D11" s="1118"/>
      <c r="E11" s="856" t="s">
        <v>79</v>
      </c>
      <c r="F11" s="1114" t="s">
        <v>238</v>
      </c>
      <c r="G11" s="1073" t="s">
        <v>140</v>
      </c>
      <c r="H11" s="1087">
        <v>44</v>
      </c>
      <c r="I11" s="1087">
        <v>2510.4</v>
      </c>
      <c r="J11" s="1119"/>
      <c r="K11" s="1087">
        <v>11</v>
      </c>
      <c r="L11" s="1573">
        <f t="shared" si="0"/>
        <v>0.11524390243902438</v>
      </c>
      <c r="M11" s="1120"/>
      <c r="N11" s="1119"/>
      <c r="O11" s="1087">
        <v>656</v>
      </c>
      <c r="P11" s="1120"/>
      <c r="Q11" s="1119"/>
      <c r="R11" s="1087">
        <v>75.599999999999994</v>
      </c>
      <c r="S11" s="1582">
        <f t="shared" si="1"/>
        <v>3.6490829268292679</v>
      </c>
      <c r="T11" s="1587">
        <f t="shared" si="2"/>
        <v>3.2413959171662801</v>
      </c>
      <c r="U11" s="1120"/>
      <c r="V11" s="1119"/>
      <c r="W11" s="1589">
        <f t="shared" si="3"/>
        <v>203.96879999999999</v>
      </c>
      <c r="X11" s="856">
        <v>2.698</v>
      </c>
      <c r="Y11" s="862">
        <v>0.83235743764330639</v>
      </c>
    </row>
    <row r="12" spans="1:25" s="1117" customFormat="1">
      <c r="A12" s="856" t="s">
        <v>35</v>
      </c>
      <c r="B12" s="856" t="s">
        <v>351</v>
      </c>
      <c r="C12" s="1118"/>
      <c r="D12" s="1118"/>
      <c r="E12" s="856" t="s">
        <v>79</v>
      </c>
      <c r="F12" s="1114" t="s">
        <v>258</v>
      </c>
      <c r="G12" s="1073" t="s">
        <v>140</v>
      </c>
      <c r="H12" s="1087">
        <v>28</v>
      </c>
      <c r="I12" s="1087">
        <v>2143.8000000000002</v>
      </c>
      <c r="J12" s="1119"/>
      <c r="K12" s="1087">
        <v>8</v>
      </c>
      <c r="L12" s="1573">
        <f t="shared" si="0"/>
        <v>0.12319068596601636</v>
      </c>
      <c r="M12" s="1120"/>
      <c r="N12" s="1119"/>
      <c r="O12" s="1087">
        <v>635.6</v>
      </c>
      <c r="P12" s="1120"/>
      <c r="Q12" s="1119"/>
      <c r="R12" s="1087">
        <v>78.3</v>
      </c>
      <c r="S12" s="1582">
        <f t="shared" si="1"/>
        <v>3.4239619257394587</v>
      </c>
      <c r="T12" s="1582">
        <f t="shared" si="2"/>
        <v>3.2934098671251162</v>
      </c>
      <c r="U12" s="1120"/>
      <c r="V12" s="1119"/>
      <c r="W12" s="1589">
        <f t="shared" si="3"/>
        <v>195.75</v>
      </c>
      <c r="X12" s="856">
        <v>2.5</v>
      </c>
      <c r="Y12" s="862">
        <v>0.75909167120529097</v>
      </c>
    </row>
    <row r="13" spans="1:25" s="1117" customFormat="1">
      <c r="A13" s="856" t="s">
        <v>35</v>
      </c>
      <c r="B13" s="856" t="s">
        <v>351</v>
      </c>
      <c r="C13" s="1118"/>
      <c r="D13" s="1118"/>
      <c r="E13" s="856" t="s">
        <v>79</v>
      </c>
      <c r="F13" s="1114" t="s">
        <v>260</v>
      </c>
      <c r="G13" s="1073" t="s">
        <v>140</v>
      </c>
      <c r="H13" s="1087">
        <v>42</v>
      </c>
      <c r="I13" s="1087">
        <v>1942.1</v>
      </c>
      <c r="J13" s="1119"/>
      <c r="K13" s="1087">
        <v>10</v>
      </c>
      <c r="L13" s="1573">
        <f t="shared" si="0"/>
        <v>0.11406455381919087</v>
      </c>
      <c r="M13" s="1120"/>
      <c r="N13" s="1119"/>
      <c r="O13" s="1087">
        <v>684.7</v>
      </c>
      <c r="P13" s="1120"/>
      <c r="Q13" s="1119"/>
      <c r="R13" s="1087">
        <v>78.099999999999994</v>
      </c>
      <c r="S13" s="1582">
        <f t="shared" si="1"/>
        <v>2.9962476997225052</v>
      </c>
      <c r="T13" s="1582">
        <f t="shared" si="2"/>
        <v>3.40512912707486</v>
      </c>
      <c r="U13" s="1120"/>
      <c r="V13" s="1119"/>
      <c r="W13" s="1589">
        <f t="shared" si="3"/>
        <v>172.75720000000001</v>
      </c>
      <c r="X13" s="856">
        <v>2.2120000000000002</v>
      </c>
      <c r="Y13" s="862">
        <v>0.64960825785194098</v>
      </c>
    </row>
    <row r="14" spans="1:25" s="1117" customFormat="1" ht="15.75" thickBot="1">
      <c r="A14" s="856" t="s">
        <v>35</v>
      </c>
      <c r="B14" s="856" t="s">
        <v>351</v>
      </c>
      <c r="C14" s="1121"/>
      <c r="D14" s="1121"/>
      <c r="E14" s="856" t="s">
        <v>79</v>
      </c>
      <c r="F14" s="1114" t="s">
        <v>239</v>
      </c>
      <c r="G14" s="1073" t="s">
        <v>140</v>
      </c>
      <c r="H14" s="1087">
        <v>36</v>
      </c>
      <c r="I14" s="1087">
        <v>2428</v>
      </c>
      <c r="J14" s="1122"/>
      <c r="K14" s="1087">
        <v>9</v>
      </c>
      <c r="L14" s="1574">
        <f t="shared" si="0"/>
        <v>0.11235697940503434</v>
      </c>
      <c r="M14" s="1123"/>
      <c r="N14" s="1122"/>
      <c r="O14" s="1087">
        <v>874</v>
      </c>
      <c r="P14" s="1123"/>
      <c r="Q14" s="1122"/>
      <c r="R14" s="1087">
        <v>98.2</v>
      </c>
      <c r="S14" s="1583">
        <f t="shared" si="1"/>
        <v>3.7100274599542336</v>
      </c>
      <c r="T14" s="1583">
        <f t="shared" si="2"/>
        <v>3.2280015380454454</v>
      </c>
      <c r="U14" s="1123"/>
      <c r="V14" s="1122"/>
      <c r="W14" s="1591">
        <f t="shared" si="3"/>
        <v>272.21039999999999</v>
      </c>
      <c r="X14" s="856">
        <v>2.7719999999999998</v>
      </c>
      <c r="Y14" s="862">
        <v>0.85873565031770294</v>
      </c>
    </row>
    <row r="15" spans="1:25" s="1117" customFormat="1" ht="15.75" thickTop="1">
      <c r="A15" s="856" t="s">
        <v>35</v>
      </c>
      <c r="B15" s="856" t="s">
        <v>351</v>
      </c>
      <c r="C15" s="1118"/>
      <c r="D15" s="1118"/>
      <c r="E15" s="856" t="s">
        <v>79</v>
      </c>
      <c r="F15" s="1114" t="s">
        <v>240</v>
      </c>
      <c r="G15" s="1073" t="s">
        <v>140</v>
      </c>
      <c r="H15" s="1087">
        <v>47</v>
      </c>
      <c r="I15" s="1087">
        <v>1533</v>
      </c>
      <c r="J15" s="1124"/>
      <c r="K15" s="1087">
        <v>12</v>
      </c>
      <c r="L15" s="1575">
        <f t="shared" si="0"/>
        <v>0.12458500786300891</v>
      </c>
      <c r="M15" s="1125"/>
      <c r="N15" s="1126"/>
      <c r="O15" s="1087">
        <v>572.29999999999995</v>
      </c>
      <c r="P15" s="1125"/>
      <c r="Q15" s="1126"/>
      <c r="R15" s="1087">
        <v>71.3</v>
      </c>
      <c r="S15" s="1584">
        <f t="shared" si="1"/>
        <v>2.6228881705399267</v>
      </c>
      <c r="T15" s="1584">
        <f t="shared" si="2"/>
        <v>3.5203275173329982</v>
      </c>
      <c r="U15" s="1125"/>
      <c r="V15" s="1126"/>
      <c r="W15" s="1592">
        <f t="shared" si="3"/>
        <v>177.10919999999999</v>
      </c>
      <c r="X15" s="856">
        <v>2.484</v>
      </c>
      <c r="Y15" s="862">
        <v>0.70561616433969754</v>
      </c>
    </row>
    <row r="16" spans="1:25" s="1117" customFormat="1">
      <c r="A16" s="856" t="s">
        <v>35</v>
      </c>
      <c r="B16" s="856" t="s">
        <v>351</v>
      </c>
      <c r="C16" s="1118"/>
      <c r="D16" s="1118"/>
      <c r="E16" s="856" t="s">
        <v>79</v>
      </c>
      <c r="F16" s="1114" t="s">
        <v>264</v>
      </c>
      <c r="G16" s="1073" t="s">
        <v>140</v>
      </c>
      <c r="H16" s="1087">
        <v>34</v>
      </c>
      <c r="I16" s="1087">
        <v>2805.1</v>
      </c>
      <c r="J16" s="1127"/>
      <c r="K16" s="1087">
        <v>8</v>
      </c>
      <c r="L16" s="1573">
        <f t="shared" si="0"/>
        <v>0.11804363814660457</v>
      </c>
      <c r="M16" s="1128"/>
      <c r="N16" s="1127"/>
      <c r="O16" s="1087">
        <v>815.8</v>
      </c>
      <c r="P16" s="1128"/>
      <c r="Q16" s="1127"/>
      <c r="R16" s="1087">
        <v>96.3</v>
      </c>
      <c r="S16" s="1582">
        <f t="shared" si="1"/>
        <v>4.2742420936504049</v>
      </c>
      <c r="T16" s="1582">
        <f t="shared" si="2"/>
        <v>3.1157545273234417</v>
      </c>
      <c r="U16" s="1128"/>
      <c r="V16" s="1127"/>
      <c r="W16" s="1589">
        <f t="shared" si="3"/>
        <v>215.61569999999998</v>
      </c>
      <c r="X16" s="856">
        <v>2.2389999999999999</v>
      </c>
      <c r="Y16" s="862">
        <v>0.71860603278121216</v>
      </c>
    </row>
    <row r="17" spans="1:25" s="1117" customFormat="1">
      <c r="A17" s="856" t="s">
        <v>35</v>
      </c>
      <c r="B17" s="856" t="s">
        <v>351</v>
      </c>
      <c r="C17" s="1118"/>
      <c r="D17" s="1118"/>
      <c r="E17" s="856" t="s">
        <v>79</v>
      </c>
      <c r="F17" s="1114" t="s">
        <v>266</v>
      </c>
      <c r="G17" s="1073" t="s">
        <v>242</v>
      </c>
      <c r="H17" s="1087">
        <v>49</v>
      </c>
      <c r="I17" s="1087">
        <v>2212.9</v>
      </c>
      <c r="J17" s="1127"/>
      <c r="K17" s="1087">
        <v>12</v>
      </c>
      <c r="L17" s="1573">
        <f t="shared" si="0"/>
        <v>0.12475961538461539</v>
      </c>
      <c r="M17" s="1128"/>
      <c r="N17" s="1127"/>
      <c r="O17" s="1087">
        <v>832</v>
      </c>
      <c r="P17" s="1128"/>
      <c r="Q17" s="1127"/>
      <c r="R17" s="1087">
        <v>103.8</v>
      </c>
      <c r="S17" s="1582">
        <f t="shared" si="1"/>
        <v>3.7988055288461537</v>
      </c>
      <c r="T17" s="1582">
        <f t="shared" si="2"/>
        <v>3.2089743717383006</v>
      </c>
      <c r="U17" s="1128"/>
      <c r="V17" s="1127"/>
      <c r="W17" s="1589">
        <f t="shared" si="3"/>
        <v>220.99019999999999</v>
      </c>
      <c r="X17" s="856">
        <v>2.129</v>
      </c>
      <c r="Y17" s="862">
        <v>0.66345185513174443</v>
      </c>
    </row>
    <row r="18" spans="1:25" s="1117" customFormat="1">
      <c r="A18" s="856" t="s">
        <v>35</v>
      </c>
      <c r="B18" s="856" t="s">
        <v>351</v>
      </c>
      <c r="C18" s="1118"/>
      <c r="D18" s="1118"/>
      <c r="E18" s="856" t="s">
        <v>79</v>
      </c>
      <c r="F18" s="1114" t="s">
        <v>268</v>
      </c>
      <c r="G18" s="1073" t="s">
        <v>140</v>
      </c>
      <c r="H18" s="1087">
        <v>54</v>
      </c>
      <c r="I18" s="1087">
        <v>1571.3</v>
      </c>
      <c r="J18" s="1127"/>
      <c r="K18" s="1087">
        <v>12</v>
      </c>
      <c r="L18" s="1573">
        <f t="shared" si="0"/>
        <v>0.12897282358360204</v>
      </c>
      <c r="M18" s="1128"/>
      <c r="N18" s="1127"/>
      <c r="O18" s="1087">
        <v>651.29999999999995</v>
      </c>
      <c r="P18" s="1128"/>
      <c r="Q18" s="1127"/>
      <c r="R18" s="1087">
        <v>84</v>
      </c>
      <c r="S18" s="1582">
        <f t="shared" si="1"/>
        <v>2.8665499769691389</v>
      </c>
      <c r="T18" s="1582">
        <f t="shared" si="2"/>
        <v>3.4430088142872028</v>
      </c>
      <c r="U18" s="1128"/>
      <c r="V18" s="1127"/>
      <c r="W18" s="1589">
        <f t="shared" si="3"/>
        <v>179.08800000000002</v>
      </c>
      <c r="X18" s="856">
        <v>2.1320000000000001</v>
      </c>
      <c r="Y18" s="862">
        <v>0.61922583269406539</v>
      </c>
    </row>
    <row r="19" spans="1:25" s="1117" customFormat="1">
      <c r="A19" s="856" t="s">
        <v>35</v>
      </c>
      <c r="B19" s="856" t="s">
        <v>351</v>
      </c>
      <c r="C19" s="1118"/>
      <c r="D19" s="1118"/>
      <c r="E19" s="856" t="s">
        <v>79</v>
      </c>
      <c r="F19" s="1114" t="s">
        <v>270</v>
      </c>
      <c r="G19" s="1073" t="s">
        <v>242</v>
      </c>
      <c r="H19" s="1087">
        <v>17</v>
      </c>
      <c r="I19" s="1087">
        <v>2283.1999999999998</v>
      </c>
      <c r="J19" s="1127"/>
      <c r="K19" s="1087">
        <v>12</v>
      </c>
      <c r="L19" s="1573">
        <f t="shared" si="0"/>
        <v>0.12228303362001564</v>
      </c>
      <c r="M19" s="1128"/>
      <c r="N19" s="1127"/>
      <c r="O19" s="1087">
        <v>639.5</v>
      </c>
      <c r="P19" s="1128"/>
      <c r="Q19" s="1127"/>
      <c r="R19" s="1087">
        <v>78.2</v>
      </c>
      <c r="S19" s="1582">
        <f t="shared" si="1"/>
        <v>3.5739662236121967</v>
      </c>
      <c r="T19" s="1582">
        <f t="shared" si="2"/>
        <v>3.2582950080530635</v>
      </c>
      <c r="U19" s="1128"/>
      <c r="V19" s="1127"/>
      <c r="W19" s="1589">
        <f t="shared" si="3"/>
        <v>189.32219999999998</v>
      </c>
      <c r="X19" s="856">
        <v>2.4209999999999998</v>
      </c>
      <c r="Y19" s="862">
        <v>0.74302664246679917</v>
      </c>
    </row>
    <row r="20" spans="1:25" s="1117" customFormat="1">
      <c r="A20" s="856" t="s">
        <v>35</v>
      </c>
      <c r="B20" s="856" t="s">
        <v>351</v>
      </c>
      <c r="C20" s="1118"/>
      <c r="D20" s="1118"/>
      <c r="E20" s="856" t="s">
        <v>79</v>
      </c>
      <c r="F20" s="1114" t="s">
        <v>272</v>
      </c>
      <c r="G20" s="1073" t="s">
        <v>140</v>
      </c>
      <c r="H20" s="1087">
        <v>42</v>
      </c>
      <c r="I20" s="1087">
        <v>2458.8000000000002</v>
      </c>
      <c r="J20" s="1127"/>
      <c r="K20" s="1087">
        <v>11</v>
      </c>
      <c r="L20" s="1573">
        <f t="shared" si="0"/>
        <v>0.11848341232227488</v>
      </c>
      <c r="M20" s="1128"/>
      <c r="N20" s="1127"/>
      <c r="O20" s="1087">
        <v>970.6</v>
      </c>
      <c r="P20" s="1128"/>
      <c r="Q20" s="1127"/>
      <c r="R20" s="1087">
        <v>115</v>
      </c>
      <c r="S20" s="1582">
        <f t="shared" si="1"/>
        <v>4.0632701421800945</v>
      </c>
      <c r="T20" s="1582">
        <f t="shared" si="2"/>
        <v>3.1554339200964376</v>
      </c>
      <c r="U20" s="1128"/>
      <c r="V20" s="1127"/>
      <c r="W20" s="1589">
        <f t="shared" si="3"/>
        <v>269.33</v>
      </c>
      <c r="X20" s="856">
        <v>2.3420000000000001</v>
      </c>
      <c r="Y20" s="862">
        <v>0.74221170821679672</v>
      </c>
    </row>
    <row r="21" spans="1:25" s="1117" customFormat="1">
      <c r="A21" s="856" t="s">
        <v>35</v>
      </c>
      <c r="B21" s="856" t="s">
        <v>351</v>
      </c>
      <c r="C21" s="1118"/>
      <c r="D21" s="1118"/>
      <c r="E21" s="856" t="s">
        <v>79</v>
      </c>
      <c r="F21" s="1114" t="s">
        <v>274</v>
      </c>
      <c r="G21" s="1073" t="s">
        <v>242</v>
      </c>
      <c r="H21" s="1087">
        <v>32</v>
      </c>
      <c r="I21" s="1087">
        <v>1769.5</v>
      </c>
      <c r="J21" s="1127"/>
      <c r="K21" s="1087">
        <v>8</v>
      </c>
      <c r="L21" s="1573">
        <f t="shared" si="0"/>
        <v>0.13286432160804018</v>
      </c>
      <c r="M21" s="1128"/>
      <c r="N21" s="1129"/>
      <c r="O21" s="1087">
        <v>497.5</v>
      </c>
      <c r="P21" s="1128"/>
      <c r="Q21" s="1127"/>
      <c r="R21" s="1087">
        <v>66.099999999999994</v>
      </c>
      <c r="S21" s="1582">
        <f t="shared" si="1"/>
        <v>3.0120341708542706</v>
      </c>
      <c r="T21" s="1582">
        <f t="shared" si="2"/>
        <v>3.4006586475629028</v>
      </c>
      <c r="U21" s="1128"/>
      <c r="V21" s="1127"/>
      <c r="W21" s="1589">
        <f t="shared" si="3"/>
        <v>145.68440000000001</v>
      </c>
      <c r="X21" s="856">
        <v>2.2040000000000002</v>
      </c>
      <c r="Y21" s="862">
        <v>0.64810974238167285</v>
      </c>
    </row>
    <row r="22" spans="1:25" s="1117" customFormat="1">
      <c r="A22" s="856" t="s">
        <v>35</v>
      </c>
      <c r="B22" s="856" t="s">
        <v>351</v>
      </c>
      <c r="C22" s="1118"/>
      <c r="D22" s="1118"/>
      <c r="E22" s="856" t="s">
        <v>79</v>
      </c>
      <c r="F22" s="1114" t="s">
        <v>276</v>
      </c>
      <c r="G22" s="1073" t="s">
        <v>140</v>
      </c>
      <c r="H22" s="1087">
        <v>44</v>
      </c>
      <c r="I22" s="1087">
        <v>1665.9</v>
      </c>
      <c r="J22" s="1127"/>
      <c r="K22" s="1087">
        <v>11</v>
      </c>
      <c r="L22" s="1573">
        <f t="shared" si="0"/>
        <v>0.13215339233038348</v>
      </c>
      <c r="M22" s="1128"/>
      <c r="N22" s="1127"/>
      <c r="O22" s="1087">
        <v>508.5</v>
      </c>
      <c r="P22" s="1128"/>
      <c r="Q22" s="1127"/>
      <c r="R22" s="1087">
        <v>67.2</v>
      </c>
      <c r="S22" s="1582">
        <f t="shared" si="1"/>
        <v>2.8735433628318585</v>
      </c>
      <c r="T22" s="1582">
        <f t="shared" si="2"/>
        <v>3.4409120741079837</v>
      </c>
      <c r="U22" s="1128"/>
      <c r="V22" s="1127"/>
      <c r="W22" s="1589">
        <f t="shared" si="3"/>
        <v>142.66560000000001</v>
      </c>
      <c r="X22" s="856">
        <v>2.1230000000000002</v>
      </c>
      <c r="Y22" s="862">
        <v>0.61698757604852872</v>
      </c>
    </row>
    <row r="23" spans="1:25" s="1464" customFormat="1">
      <c r="A23" s="834" t="s">
        <v>35</v>
      </c>
      <c r="B23" s="834" t="s">
        <v>351</v>
      </c>
      <c r="C23" s="1460"/>
      <c r="D23" s="1460"/>
      <c r="E23" s="834" t="s">
        <v>82</v>
      </c>
      <c r="F23" s="1461" t="s">
        <v>81</v>
      </c>
      <c r="G23" s="1430" t="s">
        <v>242</v>
      </c>
      <c r="H23" s="1438">
        <v>25</v>
      </c>
      <c r="I23" s="1438">
        <v>2553</v>
      </c>
      <c r="J23" s="1462"/>
      <c r="K23" s="1438">
        <v>6</v>
      </c>
      <c r="L23" s="1576">
        <f t="shared" si="0"/>
        <v>0.10371718221991162</v>
      </c>
      <c r="M23" s="1463"/>
      <c r="N23" s="1462"/>
      <c r="O23" s="1438">
        <v>769.4</v>
      </c>
      <c r="P23" s="1463"/>
      <c r="Q23" s="1462"/>
      <c r="R23" s="1438">
        <v>79.8</v>
      </c>
      <c r="S23" s="1585">
        <f t="shared" si="1"/>
        <v>3.4458996620743436</v>
      </c>
      <c r="T23" s="1585">
        <f t="shared" si="2"/>
        <v>3.2881555724952629</v>
      </c>
      <c r="U23" s="1463"/>
      <c r="V23" s="1462"/>
      <c r="W23" s="1593">
        <f t="shared" si="3"/>
        <v>327.73860000000002</v>
      </c>
      <c r="X23" s="834">
        <v>4.1070000000000002</v>
      </c>
      <c r="Y23" s="840">
        <v>1.2490284931632187</v>
      </c>
    </row>
    <row r="24" spans="1:25" s="1464" customFormat="1">
      <c r="A24" s="834" t="s">
        <v>35</v>
      </c>
      <c r="B24" s="834" t="s">
        <v>351</v>
      </c>
      <c r="C24" s="1460"/>
      <c r="D24" s="1460"/>
      <c r="E24" s="834" t="s">
        <v>82</v>
      </c>
      <c r="F24" s="1461" t="s">
        <v>237</v>
      </c>
      <c r="G24" s="1430" t="s">
        <v>140</v>
      </c>
      <c r="H24" s="1438">
        <v>18</v>
      </c>
      <c r="I24" s="1438">
        <v>3729.6</v>
      </c>
      <c r="J24" s="1462"/>
      <c r="K24" s="1438">
        <v>5</v>
      </c>
      <c r="L24" s="1576">
        <f t="shared" si="0"/>
        <v>9.0489130434782614E-2</v>
      </c>
      <c r="M24" s="1463"/>
      <c r="N24" s="1462"/>
      <c r="O24" s="1438">
        <v>1104</v>
      </c>
      <c r="P24" s="1463"/>
      <c r="Q24" s="1462"/>
      <c r="R24" s="1438">
        <v>99.9</v>
      </c>
      <c r="S24" s="1585">
        <f t="shared" si="1"/>
        <v>4.3738826086956522</v>
      </c>
      <c r="T24" s="1585">
        <f t="shared" si="2"/>
        <v>3.0978560503342965</v>
      </c>
      <c r="U24" s="1463"/>
      <c r="V24" s="1462"/>
      <c r="W24" s="1593">
        <f t="shared" si="3"/>
        <v>484.21530000000007</v>
      </c>
      <c r="X24" s="834">
        <v>4.8470000000000004</v>
      </c>
      <c r="Y24" s="840">
        <v>1.5646304803210431</v>
      </c>
    </row>
    <row r="25" spans="1:25" s="1464" customFormat="1">
      <c r="A25" s="834" t="s">
        <v>35</v>
      </c>
      <c r="B25" s="834" t="s">
        <v>351</v>
      </c>
      <c r="C25" s="1460"/>
      <c r="D25" s="1460"/>
      <c r="E25" s="834" t="s">
        <v>82</v>
      </c>
      <c r="F25" s="1461" t="s">
        <v>238</v>
      </c>
      <c r="G25" s="1430" t="s">
        <v>140</v>
      </c>
      <c r="H25" s="1438">
        <v>40</v>
      </c>
      <c r="I25" s="1438">
        <v>3428</v>
      </c>
      <c r="J25" s="1462"/>
      <c r="K25" s="1438">
        <v>10</v>
      </c>
      <c r="L25" s="1576">
        <f t="shared" si="0"/>
        <v>9.8252146033716001E-2</v>
      </c>
      <c r="M25" s="1463"/>
      <c r="N25" s="1462"/>
      <c r="O25" s="1438">
        <v>966.9</v>
      </c>
      <c r="P25" s="1463"/>
      <c r="Q25" s="1462"/>
      <c r="R25" s="1438">
        <v>95</v>
      </c>
      <c r="S25" s="1585">
        <f t="shared" si="1"/>
        <v>4.3180835660357841</v>
      </c>
      <c r="T25" s="1585">
        <f t="shared" si="2"/>
        <v>3.1078156784016713</v>
      </c>
      <c r="U25" s="1463"/>
      <c r="V25" s="1462"/>
      <c r="W25" s="1593">
        <f t="shared" si="3"/>
        <v>405.08000000000004</v>
      </c>
      <c r="X25" s="834">
        <v>4.2640000000000002</v>
      </c>
      <c r="Y25" s="840">
        <v>1.3720247406026818</v>
      </c>
    </row>
    <row r="26" spans="1:25" s="1464" customFormat="1" ht="15.75" thickBot="1">
      <c r="A26" s="834" t="s">
        <v>35</v>
      </c>
      <c r="B26" s="834" t="s">
        <v>351</v>
      </c>
      <c r="C26" s="1465"/>
      <c r="D26" s="1465"/>
      <c r="E26" s="834" t="s">
        <v>82</v>
      </c>
      <c r="F26" s="1461" t="s">
        <v>260</v>
      </c>
      <c r="G26" s="1430" t="s">
        <v>140</v>
      </c>
      <c r="H26" s="1438">
        <v>30</v>
      </c>
      <c r="I26" s="1438">
        <v>3488.3</v>
      </c>
      <c r="J26" s="1466"/>
      <c r="K26" s="1438">
        <v>8</v>
      </c>
      <c r="L26" s="1577">
        <f t="shared" si="0"/>
        <v>9.4065595844955274E-2</v>
      </c>
      <c r="M26" s="1467"/>
      <c r="N26" s="1466"/>
      <c r="O26" s="1438">
        <v>1039.7</v>
      </c>
      <c r="P26" s="1467"/>
      <c r="Q26" s="1466"/>
      <c r="R26" s="1438">
        <v>97.8</v>
      </c>
      <c r="S26" s="1586">
        <f t="shared" si="1"/>
        <v>4.2592901798595753</v>
      </c>
      <c r="T26" s="1586">
        <f t="shared" si="2"/>
        <v>3.1184853398253454</v>
      </c>
      <c r="U26" s="1467"/>
      <c r="V26" s="1466"/>
      <c r="W26" s="1594">
        <f t="shared" si="3"/>
        <v>432.0804</v>
      </c>
      <c r="X26" s="834">
        <v>4.4180000000000001</v>
      </c>
      <c r="Y26" s="840">
        <v>1.4167134100580492</v>
      </c>
    </row>
    <row r="27" spans="1:25" s="1464" customFormat="1" ht="15.75" thickTop="1">
      <c r="A27" s="834" t="s">
        <v>35</v>
      </c>
      <c r="B27" s="834" t="s">
        <v>351</v>
      </c>
      <c r="C27" s="1468"/>
      <c r="D27" s="1468"/>
      <c r="E27" s="834" t="s">
        <v>82</v>
      </c>
      <c r="F27" s="1461" t="s">
        <v>239</v>
      </c>
      <c r="G27" s="1430" t="s">
        <v>140</v>
      </c>
      <c r="H27" s="1438">
        <v>30</v>
      </c>
      <c r="I27" s="1438">
        <v>3956.3</v>
      </c>
      <c r="J27" s="1469"/>
      <c r="K27" s="1438">
        <v>8</v>
      </c>
      <c r="L27" s="1578">
        <f t="shared" si="0"/>
        <v>9.9559801442352713E-2</v>
      </c>
      <c r="M27" s="1470"/>
      <c r="N27" s="1471"/>
      <c r="O27" s="1438">
        <v>1067.7</v>
      </c>
      <c r="P27" s="1470"/>
      <c r="Q27" s="1471"/>
      <c r="R27" s="1438">
        <v>106.3</v>
      </c>
      <c r="S27" s="1578">
        <f t="shared" si="1"/>
        <v>5.0018844244638005</v>
      </c>
      <c r="T27" s="1578">
        <f t="shared" si="2"/>
        <v>2.9956743500758325</v>
      </c>
      <c r="U27" s="1470"/>
      <c r="V27" s="1471"/>
      <c r="W27" s="1578">
        <f t="shared" si="3"/>
        <v>416.90859999999998</v>
      </c>
      <c r="X27" s="834">
        <v>3.9220000000000002</v>
      </c>
      <c r="Y27" s="840">
        <v>1.3092210773513209</v>
      </c>
    </row>
    <row r="28" spans="1:25" s="684" customFormat="1">
      <c r="A28" s="685"/>
      <c r="B28" s="685"/>
      <c r="C28" s="685"/>
      <c r="D28" s="685"/>
      <c r="E28" s="685"/>
      <c r="F28" s="685"/>
      <c r="G28" s="685"/>
      <c r="H28" s="685"/>
      <c r="I28" s="685"/>
      <c r="J28" s="685"/>
      <c r="K28" s="685"/>
      <c r="L28" s="685"/>
      <c r="M28" s="685"/>
      <c r="N28" s="685"/>
      <c r="O28" s="685"/>
      <c r="P28" s="685"/>
      <c r="Q28" s="685"/>
      <c r="R28" s="685"/>
      <c r="S28" s="686"/>
      <c r="T28" s="686"/>
      <c r="U28" s="685"/>
      <c r="V28" s="685"/>
      <c r="W28" s="686"/>
      <c r="X28" s="686"/>
      <c r="Y28" s="686"/>
    </row>
    <row r="29" spans="1:25" s="684" customFormat="1">
      <c r="A29" s="685"/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  <c r="M29" s="750" t="s">
        <v>390</v>
      </c>
      <c r="N29" s="751"/>
      <c r="O29" s="751"/>
      <c r="P29" s="685"/>
      <c r="Q29" s="685"/>
      <c r="R29" s="685"/>
      <c r="S29" s="686"/>
      <c r="T29" s="686"/>
      <c r="U29" s="685"/>
      <c r="V29" s="685"/>
      <c r="W29" s="686"/>
      <c r="X29" s="686"/>
      <c r="Y29" s="686"/>
    </row>
    <row r="30" spans="1:25" s="684" customFormat="1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  <c r="M30" s="36"/>
      <c r="N30" s="752" t="s">
        <v>63</v>
      </c>
      <c r="O30" s="753" t="s">
        <v>64</v>
      </c>
      <c r="P30" s="685"/>
      <c r="Q30" s="685"/>
      <c r="R30" s="685"/>
      <c r="S30" s="686"/>
      <c r="T30" s="686"/>
      <c r="U30" s="685"/>
      <c r="V30" s="685"/>
      <c r="W30" s="686"/>
      <c r="X30" s="686"/>
      <c r="Y30" s="686"/>
    </row>
    <row r="31" spans="1:25" s="684" customFormat="1">
      <c r="A31" s="685"/>
      <c r="B31" s="685"/>
      <c r="C31" s="685"/>
      <c r="D31" s="685"/>
      <c r="E31" s="685"/>
      <c r="F31" s="685"/>
      <c r="G31" s="685"/>
      <c r="H31" s="685"/>
      <c r="I31" s="685"/>
      <c r="J31" s="685"/>
      <c r="K31" s="685"/>
      <c r="L31" s="685"/>
      <c r="M31" s="36" t="s">
        <v>391</v>
      </c>
      <c r="N31" s="774">
        <f>AVERAGE(Y3:Y22)</f>
        <v>0.73780505534006391</v>
      </c>
      <c r="O31" s="774">
        <f>AVERAGE(Y23:Y27)</f>
        <v>1.3823236402992627</v>
      </c>
      <c r="P31" s="685"/>
      <c r="Q31" s="685"/>
      <c r="R31" s="685"/>
      <c r="S31" s="686"/>
      <c r="T31" s="686"/>
      <c r="U31" s="685"/>
      <c r="V31" s="685"/>
      <c r="W31" s="686"/>
      <c r="X31" s="686"/>
      <c r="Y31" s="686"/>
    </row>
    <row r="32" spans="1:25" s="684" customFormat="1">
      <c r="A32" s="685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36" t="s">
        <v>25</v>
      </c>
      <c r="N32" s="774">
        <f>AVERAGE(W3:W22)</f>
        <v>192.39211</v>
      </c>
      <c r="O32" s="774">
        <f>AVERAGE(W23:W27)</f>
        <v>413.20457999999996</v>
      </c>
      <c r="P32" s="685"/>
      <c r="Q32" s="685"/>
      <c r="R32" s="685"/>
      <c r="S32" s="686"/>
      <c r="T32" s="686"/>
      <c r="U32" s="685"/>
      <c r="V32" s="685"/>
      <c r="W32" s="686"/>
      <c r="X32" s="686"/>
      <c r="Y32" s="686"/>
    </row>
    <row r="33" spans="1:25" s="684" customFormat="1">
      <c r="A33" s="685"/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36" t="s">
        <v>392</v>
      </c>
      <c r="N33" s="774">
        <f>AVERAGE(X3:X22)</f>
        <v>2.4855999999999994</v>
      </c>
      <c r="O33" s="774">
        <f>AVERAGE(X23:X27)</f>
        <v>4.3116000000000003</v>
      </c>
      <c r="P33" s="685"/>
      <c r="Q33" s="685"/>
      <c r="R33" s="685"/>
      <c r="S33" s="686"/>
      <c r="T33" s="686"/>
      <c r="U33" s="685"/>
      <c r="V33" s="685"/>
      <c r="W33" s="686"/>
      <c r="X33" s="686"/>
      <c r="Y33" s="686"/>
    </row>
    <row r="34" spans="1:25" s="684" customFormat="1">
      <c r="A34" s="685"/>
      <c r="C34" s="685"/>
      <c r="D34" s="685"/>
      <c r="E34" s="685"/>
      <c r="F34" s="685"/>
      <c r="M34" s="36" t="s">
        <v>393</v>
      </c>
      <c r="N34" s="774">
        <f>AVERAGE(S3:S22)</f>
        <v>3.1788744809745388</v>
      </c>
      <c r="O34" s="774">
        <f>AVERAGE(S23:S27)</f>
        <v>4.2798080882258311</v>
      </c>
      <c r="R34" s="685"/>
      <c r="S34" s="686"/>
      <c r="T34" s="686"/>
      <c r="U34" s="685"/>
      <c r="V34" s="685"/>
      <c r="W34" s="686"/>
      <c r="X34" s="686"/>
      <c r="Y34" s="686"/>
    </row>
    <row r="35" spans="1:25" s="690" customFormat="1">
      <c r="A35" s="687" t="s">
        <v>39</v>
      </c>
      <c r="B35" s="688"/>
      <c r="C35" s="688"/>
      <c r="D35" s="688"/>
      <c r="E35" s="688"/>
      <c r="F35" s="688"/>
      <c r="G35" s="688"/>
      <c r="H35" s="688"/>
      <c r="I35" s="688"/>
      <c r="J35" s="688"/>
      <c r="K35" s="688"/>
      <c r="L35" s="688"/>
      <c r="M35" s="688"/>
      <c r="N35" s="688"/>
      <c r="O35" s="688"/>
      <c r="P35" s="688"/>
      <c r="Q35" s="688"/>
      <c r="R35" s="688"/>
      <c r="S35" s="689"/>
      <c r="T35" s="689"/>
      <c r="U35" s="688"/>
      <c r="V35" s="688"/>
      <c r="W35" s="689"/>
      <c r="X35" s="689"/>
      <c r="Y35" s="689"/>
    </row>
    <row r="36" spans="1:25" s="690" customFormat="1">
      <c r="A36" s="691" t="s">
        <v>40</v>
      </c>
      <c r="B36" s="688"/>
      <c r="C36" s="688"/>
      <c r="D36" s="688"/>
      <c r="E36" s="688"/>
      <c r="F36" s="688"/>
      <c r="G36" s="688"/>
      <c r="H36" s="688"/>
      <c r="I36" s="688"/>
      <c r="J36" s="688"/>
      <c r="K36" s="688"/>
      <c r="L36" s="688"/>
      <c r="M36" s="688"/>
      <c r="N36" s="688"/>
      <c r="O36" s="688"/>
      <c r="P36" s="688"/>
      <c r="Q36" s="688"/>
      <c r="R36" s="688"/>
      <c r="S36" s="689"/>
      <c r="T36" s="689"/>
      <c r="U36" s="688"/>
      <c r="V36" s="688"/>
      <c r="W36" s="689"/>
      <c r="X36" s="689"/>
      <c r="Y36" s="689"/>
    </row>
    <row r="37" spans="1:25" s="690" customFormat="1">
      <c r="A37" s="691" t="s">
        <v>41</v>
      </c>
      <c r="B37" s="688"/>
      <c r="C37" s="688"/>
      <c r="D37" s="688"/>
      <c r="E37" s="688"/>
      <c r="F37" s="688"/>
      <c r="G37" s="688"/>
      <c r="H37" s="688"/>
      <c r="I37" s="688"/>
      <c r="J37" s="688"/>
      <c r="K37" s="688"/>
      <c r="L37" s="688"/>
      <c r="M37" s="688"/>
      <c r="N37" s="688"/>
      <c r="O37" s="688"/>
      <c r="P37" s="688"/>
      <c r="Q37" s="688"/>
      <c r="R37" s="688"/>
      <c r="S37" s="689"/>
      <c r="T37" s="689"/>
      <c r="U37" s="688"/>
      <c r="V37" s="688"/>
      <c r="W37" s="689"/>
      <c r="X37" s="689"/>
      <c r="Y37" s="689"/>
    </row>
    <row r="38" spans="1:25" s="690" customFormat="1">
      <c r="A38" s="691" t="s">
        <v>42</v>
      </c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688"/>
      <c r="O38" s="688"/>
      <c r="P38" s="688"/>
      <c r="Q38" s="688"/>
      <c r="R38" s="688"/>
      <c r="S38" s="689"/>
      <c r="T38" s="689"/>
      <c r="U38" s="688"/>
      <c r="V38" s="688"/>
      <c r="W38" s="689"/>
      <c r="X38" s="689"/>
      <c r="Y38" s="689"/>
    </row>
    <row r="39" spans="1:25" s="690" customFormat="1">
      <c r="A39" s="687" t="s">
        <v>87</v>
      </c>
      <c r="B39" s="688"/>
      <c r="C39" s="688"/>
      <c r="D39" s="688"/>
      <c r="E39" s="688"/>
      <c r="F39" s="688"/>
      <c r="G39" s="688"/>
      <c r="H39" s="688"/>
      <c r="I39" s="688"/>
      <c r="J39" s="688"/>
      <c r="K39" s="688"/>
      <c r="L39" s="688"/>
      <c r="M39" s="688"/>
      <c r="N39" s="688"/>
      <c r="O39" s="688"/>
      <c r="P39" s="688"/>
      <c r="Q39" s="688"/>
      <c r="R39" s="688"/>
      <c r="S39" s="689"/>
      <c r="T39" s="689"/>
      <c r="U39" s="688"/>
      <c r="V39" s="688"/>
      <c r="W39" s="689"/>
      <c r="X39" s="689"/>
      <c r="Y39" s="689"/>
    </row>
    <row r="40" spans="1:25" s="690" customFormat="1">
      <c r="A40" s="687" t="s">
        <v>44</v>
      </c>
      <c r="B40" s="688"/>
      <c r="C40" s="688"/>
      <c r="D40" s="688"/>
      <c r="E40" s="688"/>
      <c r="F40" s="688"/>
      <c r="G40" s="688"/>
      <c r="H40" s="688"/>
      <c r="I40" s="688"/>
      <c r="J40" s="688"/>
      <c r="K40" s="688"/>
      <c r="L40" s="688"/>
      <c r="M40" s="688"/>
      <c r="N40" s="688"/>
      <c r="O40" s="688"/>
      <c r="P40" s="688"/>
      <c r="Q40" s="688"/>
      <c r="R40" s="688"/>
      <c r="S40" s="689"/>
      <c r="T40" s="689"/>
      <c r="U40" s="688"/>
      <c r="V40" s="688"/>
      <c r="W40" s="689"/>
      <c r="X40" s="689"/>
      <c r="Y40" s="689"/>
    </row>
    <row r="41" spans="1:25" s="690" customFormat="1">
      <c r="A41" s="687" t="s">
        <v>45</v>
      </c>
      <c r="B41" s="688"/>
      <c r="C41" s="688"/>
      <c r="D41" s="688"/>
      <c r="E41" s="688"/>
      <c r="F41" s="688"/>
      <c r="G41" s="688"/>
      <c r="H41" s="688"/>
      <c r="I41" s="688"/>
      <c r="J41" s="688"/>
      <c r="K41" s="688"/>
      <c r="L41" s="688"/>
      <c r="M41" s="688"/>
      <c r="N41" s="688"/>
      <c r="O41" s="688"/>
      <c r="P41" s="688"/>
      <c r="Q41" s="688"/>
      <c r="R41" s="688"/>
      <c r="S41" s="689"/>
      <c r="T41" s="689"/>
      <c r="U41" s="688"/>
      <c r="V41" s="688"/>
      <c r="W41" s="689"/>
      <c r="X41" s="689"/>
      <c r="Y41" s="689"/>
    </row>
    <row r="42" spans="1:25" s="690" customFormat="1">
      <c r="A42" s="691" t="s">
        <v>46</v>
      </c>
      <c r="B42" s="688"/>
      <c r="C42" s="688"/>
      <c r="D42" s="688"/>
      <c r="E42" s="688"/>
      <c r="F42" s="688"/>
      <c r="G42" s="688"/>
      <c r="H42" s="688"/>
      <c r="I42" s="688"/>
      <c r="J42" s="688"/>
      <c r="K42" s="688"/>
      <c r="L42" s="688"/>
      <c r="M42" s="688"/>
      <c r="N42" s="688"/>
      <c r="O42" s="688"/>
      <c r="P42" s="688"/>
      <c r="Q42" s="688"/>
      <c r="R42" s="688"/>
      <c r="S42" s="689"/>
      <c r="T42" s="689"/>
      <c r="U42" s="688"/>
      <c r="V42" s="688"/>
      <c r="W42" s="689"/>
      <c r="X42" s="689"/>
      <c r="Y42" s="689"/>
    </row>
    <row r="43" spans="1:25" s="690" customFormat="1">
      <c r="A43" s="691" t="s">
        <v>47</v>
      </c>
      <c r="B43" s="688"/>
      <c r="C43" s="688"/>
      <c r="D43" s="688"/>
      <c r="E43" s="688"/>
      <c r="F43" s="688"/>
      <c r="G43" s="688"/>
      <c r="H43" s="688"/>
      <c r="I43" s="688"/>
      <c r="J43" s="688"/>
      <c r="K43" s="688"/>
      <c r="L43" s="688"/>
      <c r="M43" s="688"/>
      <c r="N43" s="688"/>
      <c r="O43" s="688"/>
      <c r="P43" s="688"/>
      <c r="Q43" s="688"/>
      <c r="R43" s="688"/>
      <c r="S43" s="689"/>
      <c r="T43" s="689"/>
      <c r="U43" s="688"/>
      <c r="V43" s="688"/>
      <c r="W43" s="689"/>
      <c r="X43" s="689"/>
      <c r="Y43" s="689"/>
    </row>
    <row r="44" spans="1:25" s="690" customFormat="1">
      <c r="A44" s="691" t="s">
        <v>48</v>
      </c>
      <c r="B44" s="688"/>
      <c r="C44" s="688"/>
      <c r="D44" s="688"/>
      <c r="E44" s="688"/>
      <c r="F44" s="688"/>
      <c r="G44" s="688"/>
      <c r="H44" s="688"/>
      <c r="I44" s="688"/>
      <c r="J44" s="688"/>
      <c r="K44" s="688"/>
      <c r="L44" s="688"/>
      <c r="M44" s="688"/>
      <c r="N44" s="688"/>
      <c r="O44" s="688"/>
      <c r="P44" s="688"/>
      <c r="Q44" s="688"/>
      <c r="R44" s="688"/>
      <c r="S44" s="689"/>
      <c r="T44" s="689"/>
      <c r="U44" s="688"/>
      <c r="V44" s="688"/>
      <c r="W44" s="689"/>
      <c r="X44" s="689"/>
      <c r="Y44" s="689"/>
    </row>
    <row r="45" spans="1:25" s="690" customFormat="1">
      <c r="A45" s="691" t="s">
        <v>49</v>
      </c>
      <c r="B45" s="688"/>
      <c r="C45" s="688"/>
      <c r="D45" s="688"/>
      <c r="E45" s="688"/>
      <c r="F45" s="688"/>
      <c r="G45" s="688"/>
      <c r="H45" s="688"/>
      <c r="I45" s="688"/>
      <c r="J45" s="688"/>
      <c r="K45" s="688"/>
      <c r="L45" s="688"/>
      <c r="M45" s="688"/>
      <c r="N45" s="688"/>
      <c r="O45" s="689"/>
      <c r="P45" s="688"/>
      <c r="Q45" s="688"/>
      <c r="R45" s="688"/>
      <c r="S45" s="689"/>
      <c r="T45" s="689"/>
      <c r="U45" s="688"/>
      <c r="V45" s="688"/>
      <c r="W45" s="689"/>
      <c r="X45" s="689"/>
      <c r="Y45" s="689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  <c r="P46" s="1"/>
      <c r="Q46" s="1"/>
      <c r="R46" s="1"/>
      <c r="S46" s="4"/>
      <c r="T46" s="4"/>
      <c r="U46" s="1"/>
      <c r="V46" s="1"/>
      <c r="W46" s="4"/>
      <c r="X46" s="4"/>
      <c r="Y46" s="4"/>
    </row>
    <row r="47" spans="1:25">
      <c r="A47" s="1" t="s">
        <v>50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"/>
      <c r="P47" s="1"/>
      <c r="Q47" s="1"/>
      <c r="R47" s="1"/>
      <c r="S47" s="4"/>
      <c r="T47" s="4"/>
      <c r="U47" s="1"/>
      <c r="V47" s="1"/>
      <c r="W47" s="4"/>
      <c r="X47" s="4"/>
      <c r="Y47" s="4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"/>
      <c r="P48" s="1"/>
      <c r="Q48" s="1"/>
      <c r="R48" s="1"/>
      <c r="S48" s="4"/>
      <c r="T48" s="4"/>
      <c r="U48" s="1"/>
      <c r="V48" s="1"/>
      <c r="W48" s="4"/>
      <c r="X48" s="4"/>
      <c r="Y48" s="4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4"/>
      <c r="P49" s="1"/>
      <c r="Q49" s="1"/>
      <c r="R49" s="1"/>
      <c r="S49" s="4"/>
      <c r="T49" s="4"/>
      <c r="U49" s="1"/>
      <c r="V49" s="1"/>
      <c r="W49" s="4"/>
      <c r="X49" s="4"/>
      <c r="Y49" s="4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4"/>
      <c r="P50" s="1"/>
      <c r="Q50" s="1"/>
      <c r="R50" s="1"/>
      <c r="S50" s="4"/>
      <c r="T50" s="4"/>
      <c r="U50" s="1"/>
      <c r="V50" s="1"/>
      <c r="W50" s="4"/>
      <c r="X50" s="4"/>
      <c r="Y50" s="4"/>
    </row>
  </sheetData>
  <mergeCells count="4">
    <mergeCell ref="H1:J1"/>
    <mergeCell ref="K1:R1"/>
    <mergeCell ref="S1:T1"/>
    <mergeCell ref="U1:W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4"/>
  <sheetViews>
    <sheetView workbookViewId="0">
      <selection activeCell="J30" sqref="J30"/>
    </sheetView>
  </sheetViews>
  <sheetFormatPr baseColWidth="10" defaultRowHeight="15"/>
  <cols>
    <col min="3" max="4" width="2.7109375" bestFit="1" customWidth="1"/>
    <col min="7" max="7" width="6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1" max="21" width="9.85546875" customWidth="1"/>
    <col min="22" max="22" width="11.42578125" hidden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44" customFormat="1" ht="15.75" thickTop="1">
      <c r="A3" s="1275" t="s">
        <v>35</v>
      </c>
      <c r="B3" s="1273"/>
      <c r="C3" s="1272" t="s">
        <v>136</v>
      </c>
      <c r="D3" s="1272" t="s">
        <v>352</v>
      </c>
      <c r="E3" s="1275" t="s">
        <v>82</v>
      </c>
      <c r="F3" s="1275" t="s">
        <v>33</v>
      </c>
      <c r="G3" s="1705"/>
      <c r="H3" s="1472">
        <v>17</v>
      </c>
      <c r="I3" s="1793">
        <v>2300</v>
      </c>
      <c r="J3" s="1794"/>
      <c r="K3" s="1473">
        <v>5</v>
      </c>
      <c r="L3" s="1595">
        <f>R3/O3</f>
        <v>0.12888888888888889</v>
      </c>
      <c r="M3" s="1795"/>
      <c r="N3" s="1796"/>
      <c r="O3" s="1474">
        <v>450</v>
      </c>
      <c r="P3" s="1795"/>
      <c r="Q3" s="1796"/>
      <c r="R3" s="1475">
        <v>58</v>
      </c>
      <c r="S3" s="1476">
        <f>(R3+(I3*L3))/100</f>
        <v>3.5444444444444447</v>
      </c>
      <c r="T3" s="1476">
        <f>4.48*S3^(-0.25)</f>
        <v>3.2650585275591193</v>
      </c>
      <c r="U3" s="1795"/>
      <c r="V3" s="1796"/>
      <c r="W3" s="1477">
        <f>X3*R3</f>
        <v>203</v>
      </c>
      <c r="X3" s="1599">
        <v>3.5</v>
      </c>
      <c r="Y3" s="1479">
        <f>X3/T3</f>
        <v>1.0719562820873896</v>
      </c>
    </row>
    <row r="4" spans="1:25" s="844" customFormat="1">
      <c r="A4" s="1275" t="s">
        <v>35</v>
      </c>
      <c r="B4" s="1283"/>
      <c r="C4" s="1274" t="s">
        <v>136</v>
      </c>
      <c r="D4" s="1274" t="s">
        <v>353</v>
      </c>
      <c r="E4" s="1284" t="s">
        <v>82</v>
      </c>
      <c r="F4" s="1284" t="s">
        <v>30</v>
      </c>
      <c r="G4" s="1705"/>
      <c r="H4" s="1286">
        <v>31</v>
      </c>
      <c r="I4" s="1797">
        <v>3500</v>
      </c>
      <c r="J4" s="1798"/>
      <c r="K4" s="1287">
        <v>8</v>
      </c>
      <c r="L4" s="1596">
        <f t="shared" ref="L4:L6" si="0">R4/O4</f>
        <v>0.11391304347826087</v>
      </c>
      <c r="M4" s="1797"/>
      <c r="N4" s="1798"/>
      <c r="O4" s="1290">
        <v>1150</v>
      </c>
      <c r="P4" s="1797"/>
      <c r="Q4" s="1798"/>
      <c r="R4" s="1480">
        <v>131</v>
      </c>
      <c r="S4" s="1481">
        <f t="shared" ref="S4:S6" si="1">(R4+(I4*L4))/100</f>
        <v>5.2969565217391299</v>
      </c>
      <c r="T4" s="1481">
        <f t="shared" ref="T4:T6" si="2">4.48*S4^(-0.25)</f>
        <v>2.953054158681462</v>
      </c>
      <c r="U4" s="1797"/>
      <c r="V4" s="1798"/>
      <c r="W4" s="1482">
        <f t="shared" ref="W4:W6" si="3">X4*R4</f>
        <v>472.38600000000002</v>
      </c>
      <c r="X4" s="1317">
        <v>3.6060000000000003</v>
      </c>
      <c r="Y4" s="1483">
        <f t="shared" ref="Y4:Y6" si="4">X4/T4</f>
        <v>1.2211086577599641</v>
      </c>
    </row>
    <row r="5" spans="1:25" s="866" customFormat="1">
      <c r="A5" s="1130" t="s">
        <v>35</v>
      </c>
      <c r="B5" s="961"/>
      <c r="C5" s="960" t="s">
        <v>138</v>
      </c>
      <c r="D5" s="960" t="s">
        <v>354</v>
      </c>
      <c r="E5" s="962" t="s">
        <v>79</v>
      </c>
      <c r="F5" s="962" t="s">
        <v>30</v>
      </c>
      <c r="G5" s="1705"/>
      <c r="H5" s="964">
        <v>30</v>
      </c>
      <c r="I5" s="1787">
        <v>2300</v>
      </c>
      <c r="J5" s="1788"/>
      <c r="K5" s="965">
        <v>8</v>
      </c>
      <c r="L5" s="1597">
        <f t="shared" si="0"/>
        <v>0.1275</v>
      </c>
      <c r="M5" s="1789"/>
      <c r="N5" s="1790"/>
      <c r="O5" s="1131">
        <v>800</v>
      </c>
      <c r="P5" s="1789"/>
      <c r="Q5" s="1790"/>
      <c r="R5" s="1132">
        <v>102</v>
      </c>
      <c r="S5" s="1085">
        <f t="shared" si="1"/>
        <v>3.9525000000000001</v>
      </c>
      <c r="T5" s="1085">
        <f t="shared" si="2"/>
        <v>3.1773133267868028</v>
      </c>
      <c r="U5" s="1789"/>
      <c r="V5" s="1790"/>
      <c r="W5" s="1133">
        <f t="shared" si="3"/>
        <v>215.01599999999996</v>
      </c>
      <c r="X5" s="1507">
        <v>2.1079999999999997</v>
      </c>
      <c r="Y5" s="1134">
        <f t="shared" si="4"/>
        <v>0.66345361102041733</v>
      </c>
    </row>
    <row r="6" spans="1:25" s="866" customFormat="1">
      <c r="A6" s="1130" t="s">
        <v>35</v>
      </c>
      <c r="B6" s="961"/>
      <c r="C6" s="960" t="s">
        <v>138</v>
      </c>
      <c r="D6" s="960" t="s">
        <v>355</v>
      </c>
      <c r="E6" s="962" t="s">
        <v>79</v>
      </c>
      <c r="F6" s="962" t="s">
        <v>33</v>
      </c>
      <c r="G6" s="1705"/>
      <c r="H6" s="964">
        <v>23</v>
      </c>
      <c r="I6" s="1787">
        <v>1200</v>
      </c>
      <c r="J6" s="1788"/>
      <c r="K6" s="965">
        <v>5</v>
      </c>
      <c r="L6" s="1598">
        <f t="shared" si="0"/>
        <v>0.17142857142857143</v>
      </c>
      <c r="M6" s="1783"/>
      <c r="N6" s="1784"/>
      <c r="O6" s="968">
        <v>420</v>
      </c>
      <c r="P6" s="1783"/>
      <c r="Q6" s="1784"/>
      <c r="R6" s="970">
        <v>72</v>
      </c>
      <c r="S6" s="971">
        <f t="shared" si="1"/>
        <v>2.7771428571428571</v>
      </c>
      <c r="T6" s="971">
        <f t="shared" si="2"/>
        <v>3.4703914032821355</v>
      </c>
      <c r="U6" s="1783"/>
      <c r="V6" s="1784"/>
      <c r="W6" s="1135">
        <f t="shared" si="3"/>
        <v>150.40799999999999</v>
      </c>
      <c r="X6" s="1318">
        <v>2.089</v>
      </c>
      <c r="Y6" s="1136">
        <f t="shared" si="4"/>
        <v>0.60194939338090814</v>
      </c>
    </row>
    <row r="7" spans="1: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1"/>
      <c r="V7" s="1"/>
      <c r="W7" s="4"/>
      <c r="X7" s="4"/>
      <c r="Y7" s="4"/>
    </row>
    <row r="8" spans="1:25">
      <c r="A8" s="1"/>
      <c r="C8" s="1"/>
      <c r="D8" s="1"/>
      <c r="E8" s="1"/>
      <c r="F8" s="1"/>
      <c r="R8" s="1"/>
      <c r="S8" s="4"/>
      <c r="T8" s="4"/>
      <c r="U8" s="1"/>
      <c r="V8" s="1"/>
      <c r="W8" s="4"/>
      <c r="X8" s="4"/>
      <c r="Y8" s="4"/>
    </row>
    <row r="9" spans="1:25">
      <c r="A9" s="55" t="s">
        <v>39</v>
      </c>
      <c r="B9" s="1"/>
      <c r="C9" s="1"/>
      <c r="D9" s="1"/>
      <c r="E9" s="1"/>
      <c r="F9" s="1"/>
      <c r="G9" s="1"/>
      <c r="H9" s="1"/>
      <c r="I9" s="1"/>
      <c r="J9" s="1"/>
      <c r="K9" s="1"/>
      <c r="L9" s="750" t="s">
        <v>390</v>
      </c>
      <c r="M9" s="751"/>
      <c r="N9" s="751"/>
      <c r="O9" s="1"/>
      <c r="P9" s="1"/>
      <c r="Q9" s="1"/>
      <c r="R9" s="1"/>
      <c r="S9" s="4"/>
      <c r="T9" s="4"/>
      <c r="U9" s="1"/>
      <c r="V9" s="1"/>
      <c r="W9" s="4"/>
      <c r="X9" s="4"/>
      <c r="Y9" s="4"/>
    </row>
    <row r="10" spans="1:25">
      <c r="A10" s="56" t="s">
        <v>40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36"/>
      <c r="M10" s="752" t="s">
        <v>63</v>
      </c>
      <c r="N10" s="753" t="s">
        <v>64</v>
      </c>
      <c r="O10" s="1"/>
      <c r="P10" s="1"/>
      <c r="Q10" s="1"/>
      <c r="R10" s="1"/>
      <c r="S10" s="4"/>
      <c r="T10" s="4"/>
      <c r="U10" s="1"/>
      <c r="V10" s="1"/>
      <c r="W10" s="4"/>
      <c r="X10" s="4"/>
      <c r="Y10" s="4"/>
    </row>
    <row r="11" spans="1:25">
      <c r="A11" s="56" t="s">
        <v>41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36" t="s">
        <v>391</v>
      </c>
      <c r="M11" s="774">
        <f>AVERAGE(Y5:Y6)</f>
        <v>0.63270150220066279</v>
      </c>
      <c r="N11" s="774">
        <f>AVERAGE(Y3:Y4)</f>
        <v>1.146532469923677</v>
      </c>
      <c r="O11" s="1"/>
      <c r="P11" s="1"/>
      <c r="Q11" s="1"/>
      <c r="R11" s="1"/>
      <c r="S11" s="4"/>
      <c r="T11" s="4"/>
      <c r="U11" s="1"/>
      <c r="V11" s="1"/>
      <c r="W11" s="4"/>
      <c r="X11" s="4"/>
      <c r="Y11" s="4"/>
    </row>
    <row r="12" spans="1:25">
      <c r="A12" s="56" t="s">
        <v>42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36" t="s">
        <v>25</v>
      </c>
      <c r="M12" s="774">
        <f>AVERAGE(W5:W6)</f>
        <v>182.71199999999999</v>
      </c>
      <c r="N12" s="774">
        <f>AVERAGE(W3:W4)</f>
        <v>337.69299999999998</v>
      </c>
      <c r="O12" s="1"/>
      <c r="P12" s="1"/>
      <c r="Q12" s="1"/>
      <c r="R12" s="1"/>
      <c r="S12" s="4"/>
      <c r="T12" s="4"/>
      <c r="U12" s="1"/>
      <c r="V12" s="1"/>
      <c r="W12" s="4"/>
      <c r="X12" s="4"/>
      <c r="Y12" s="4"/>
    </row>
    <row r="13" spans="1:25">
      <c r="A13" s="55" t="s">
        <v>87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36" t="s">
        <v>392</v>
      </c>
      <c r="M13" s="774">
        <f>AVERAGE(X5:X6)</f>
        <v>2.0984999999999996</v>
      </c>
      <c r="N13" s="774">
        <f>AVERAGE(X3:X4)</f>
        <v>3.5529999999999999</v>
      </c>
      <c r="O13" s="1"/>
      <c r="P13" s="1"/>
      <c r="Q13" s="1"/>
      <c r="R13" s="1"/>
      <c r="S13" s="4"/>
      <c r="T13" s="4"/>
      <c r="U13" s="1"/>
      <c r="V13" s="1"/>
      <c r="W13" s="4"/>
      <c r="X13" s="4"/>
      <c r="Y13" s="4"/>
    </row>
    <row r="14" spans="1:25">
      <c r="A14" s="55" t="s">
        <v>44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36" t="s">
        <v>393</v>
      </c>
      <c r="M14" s="774">
        <f>AVERAGE(S5:S6)</f>
        <v>3.3648214285714286</v>
      </c>
      <c r="N14" s="774">
        <f>AVERAGE(S3:S4)</f>
        <v>4.4207004830917871</v>
      </c>
      <c r="O14" s="1"/>
      <c r="P14" s="1"/>
      <c r="Q14" s="1"/>
      <c r="R14" s="1"/>
      <c r="S14" s="4"/>
      <c r="T14" s="4"/>
      <c r="U14" s="1"/>
      <c r="V14" s="1"/>
      <c r="W14" s="4"/>
      <c r="X14" s="4"/>
      <c r="Y14" s="4"/>
    </row>
    <row r="15" spans="1:25">
      <c r="A15" s="55" t="s">
        <v>45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56" t="s">
        <v>46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4"/>
      <c r="T16" s="4"/>
      <c r="U16" s="1"/>
      <c r="V16" s="1"/>
      <c r="W16" s="4"/>
      <c r="X16" s="4"/>
      <c r="Y16" s="4"/>
    </row>
    <row r="17" spans="1:25">
      <c r="A17" s="56" t="s">
        <v>47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1" t="s">
        <v>50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1"/>
      <c r="Q24" s="1"/>
      <c r="R24" s="1"/>
      <c r="S24" s="4"/>
      <c r="T24" s="4"/>
      <c r="U24" s="1"/>
      <c r="V24" s="1"/>
      <c r="W24" s="4"/>
      <c r="X24" s="4"/>
      <c r="Y24" s="4"/>
    </row>
  </sheetData>
  <mergeCells count="21"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6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2"/>
  <sheetViews>
    <sheetView workbookViewId="0">
      <selection activeCell="L19" sqref="L19:L22"/>
    </sheetView>
  </sheetViews>
  <sheetFormatPr baseColWidth="10" defaultRowHeight="15"/>
  <cols>
    <col min="3" max="4" width="2.7109375" bestFit="1" customWidth="1"/>
    <col min="7" max="7" width="3.28515625" customWidth="1"/>
    <col min="8" max="8" width="7.7109375" customWidth="1"/>
    <col min="9" max="9" width="14.28515625" bestFit="1" customWidth="1"/>
    <col min="10" max="10" width="11.140625" bestFit="1" customWidth="1"/>
    <col min="13" max="13" width="10.140625" customWidth="1"/>
    <col min="14" max="14" width="11.140625" hidden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6.5" thickTop="1" thickBot="1">
      <c r="A3" s="1130" t="s">
        <v>35</v>
      </c>
      <c r="B3" s="1069"/>
      <c r="C3" s="960" t="s">
        <v>127</v>
      </c>
      <c r="D3" s="1070" t="s">
        <v>356</v>
      </c>
      <c r="E3" s="1130" t="s">
        <v>79</v>
      </c>
      <c r="F3" s="866" t="s">
        <v>166</v>
      </c>
      <c r="G3" s="1705" t="s">
        <v>242</v>
      </c>
      <c r="H3" s="1110">
        <v>32</v>
      </c>
      <c r="I3" s="1799">
        <v>1700</v>
      </c>
      <c r="J3" s="1800"/>
      <c r="K3" s="1137">
        <v>8</v>
      </c>
      <c r="L3" s="1600">
        <f>1-(O3-R3)/O3</f>
        <v>0.21999999999999997</v>
      </c>
      <c r="M3" s="1785"/>
      <c r="N3" s="1786"/>
      <c r="O3" s="1138">
        <v>500</v>
      </c>
      <c r="P3" s="1785"/>
      <c r="Q3" s="1786"/>
      <c r="R3" s="1139">
        <v>110</v>
      </c>
      <c r="S3" s="1078">
        <f>((I3+O3)*L3)/100</f>
        <v>4.84</v>
      </c>
      <c r="T3" s="1078">
        <f>4.48*S3^(-0.25)</f>
        <v>3.0204153838353247</v>
      </c>
      <c r="U3" s="1785"/>
      <c r="V3" s="1786"/>
      <c r="W3" s="1140">
        <f>X3*R3</f>
        <v>196.13</v>
      </c>
      <c r="X3" s="866">
        <v>1.7829999999999999</v>
      </c>
      <c r="Y3" s="1079">
        <f>X3/T3</f>
        <v>0.59031615636123058</v>
      </c>
    </row>
    <row r="4" spans="1:25" s="866" customFormat="1" ht="15.75" thickTop="1">
      <c r="A4" s="1130" t="s">
        <v>35</v>
      </c>
      <c r="B4" s="961"/>
      <c r="C4" s="960" t="s">
        <v>131</v>
      </c>
      <c r="D4" s="960" t="s">
        <v>357</v>
      </c>
      <c r="E4" s="1130" t="s">
        <v>79</v>
      </c>
      <c r="F4" s="866" t="s">
        <v>158</v>
      </c>
      <c r="G4" s="1705"/>
      <c r="H4" s="1110">
        <v>35</v>
      </c>
      <c r="I4" s="1787">
        <v>2840</v>
      </c>
      <c r="J4" s="1788"/>
      <c r="K4" s="965">
        <v>8</v>
      </c>
      <c r="L4" s="1601">
        <f>1-(O4-R4)/O4</f>
        <v>8.7777777777777732E-2</v>
      </c>
      <c r="M4" s="1787"/>
      <c r="N4" s="1788"/>
      <c r="O4" s="968">
        <v>900</v>
      </c>
      <c r="P4" s="1787"/>
      <c r="Q4" s="1788"/>
      <c r="R4" s="1141">
        <v>79</v>
      </c>
      <c r="S4" s="1083">
        <f>((I4+O4)*L4)/100</f>
        <v>3.2828888888888872</v>
      </c>
      <c r="T4" s="1083">
        <f>4.48*S4^(-0.25)</f>
        <v>3.3282348821450127</v>
      </c>
      <c r="U4" s="1787"/>
      <c r="V4" s="1788"/>
      <c r="W4" s="1140">
        <f>X4*R4</f>
        <v>148.125</v>
      </c>
      <c r="X4" s="866">
        <v>1.875</v>
      </c>
      <c r="Y4" s="972">
        <f>X4/T4</f>
        <v>0.56336168161051847</v>
      </c>
    </row>
    <row r="5" spans="1:25">
      <c r="A5" s="348"/>
      <c r="B5" s="349"/>
      <c r="C5" s="350"/>
      <c r="D5" s="350"/>
      <c r="E5" s="348"/>
      <c r="F5" s="348"/>
      <c r="G5" s="1705"/>
      <c r="H5" s="351"/>
      <c r="I5" s="1711"/>
      <c r="J5" s="1712"/>
      <c r="K5" s="352"/>
      <c r="L5" s="359"/>
      <c r="M5" s="1713"/>
      <c r="N5" s="1714"/>
      <c r="O5" s="360"/>
      <c r="P5" s="1713"/>
      <c r="Q5" s="1714"/>
      <c r="R5" s="361"/>
      <c r="S5" s="362"/>
      <c r="T5" s="362"/>
      <c r="U5" s="1713"/>
      <c r="V5" s="1714"/>
      <c r="W5" s="363"/>
      <c r="X5" s="363"/>
      <c r="Y5" s="364"/>
    </row>
    <row r="6" spans="1:25">
      <c r="A6" s="348"/>
      <c r="B6" s="349"/>
      <c r="C6" s="350"/>
      <c r="D6" s="350"/>
      <c r="E6" s="348"/>
      <c r="F6" s="348"/>
      <c r="G6" s="1705"/>
      <c r="H6" s="365"/>
      <c r="I6" s="1711"/>
      <c r="J6" s="1712"/>
      <c r="K6" s="352"/>
      <c r="L6" s="354"/>
      <c r="M6" s="1715"/>
      <c r="N6" s="1716"/>
      <c r="O6" s="354"/>
      <c r="P6" s="1715"/>
      <c r="Q6" s="1716"/>
      <c r="R6" s="366"/>
      <c r="S6" s="367"/>
      <c r="T6" s="367"/>
      <c r="U6" s="1715"/>
      <c r="V6" s="1716"/>
      <c r="W6" s="357"/>
      <c r="X6" s="357"/>
      <c r="Y6" s="358"/>
    </row>
    <row r="7" spans="1:25">
      <c r="A7" s="348"/>
      <c r="B7" s="349"/>
      <c r="C7" s="350"/>
      <c r="D7" s="350"/>
      <c r="E7" s="348"/>
      <c r="F7" s="348"/>
      <c r="G7" s="1705"/>
      <c r="H7" s="351"/>
      <c r="I7" s="1711"/>
      <c r="J7" s="1712"/>
      <c r="K7" s="352"/>
      <c r="L7" s="354"/>
      <c r="M7" s="1715"/>
      <c r="N7" s="1716"/>
      <c r="O7" s="354"/>
      <c r="P7" s="1715"/>
      <c r="Q7" s="1716"/>
      <c r="R7" s="366"/>
      <c r="S7" s="367"/>
      <c r="T7" s="367"/>
      <c r="U7" s="1715"/>
      <c r="V7" s="1716"/>
      <c r="W7" s="357"/>
      <c r="X7" s="357"/>
      <c r="Y7" s="358"/>
    </row>
    <row r="8" spans="1:25" ht="15.75" thickBot="1">
      <c r="A8" s="368"/>
      <c r="B8" s="369"/>
      <c r="C8" s="370"/>
      <c r="D8" s="370"/>
      <c r="E8" s="368"/>
      <c r="F8" s="368"/>
      <c r="G8" s="1706"/>
      <c r="H8" s="371"/>
      <c r="I8" s="1717"/>
      <c r="J8" s="1718"/>
      <c r="K8" s="372"/>
      <c r="L8" s="373"/>
      <c r="M8" s="1719"/>
      <c r="N8" s="1720"/>
      <c r="O8" s="373"/>
      <c r="P8" s="1719"/>
      <c r="Q8" s="1720"/>
      <c r="R8" s="374"/>
      <c r="S8" s="375"/>
      <c r="T8" s="375"/>
      <c r="U8" s="1719"/>
      <c r="V8" s="1720"/>
      <c r="W8" s="376"/>
      <c r="X8" s="376"/>
      <c r="Y8" s="377"/>
    </row>
    <row r="9" spans="1:25" ht="15.75" thickTop="1">
      <c r="A9" s="337"/>
      <c r="B9" s="338"/>
      <c r="C9" s="339"/>
      <c r="D9" s="339"/>
      <c r="E9" s="337"/>
      <c r="F9" s="337"/>
      <c r="G9" s="1726"/>
      <c r="H9" s="340"/>
      <c r="I9" s="1709"/>
      <c r="J9" s="1710"/>
      <c r="K9" s="341"/>
      <c r="L9" s="378"/>
      <c r="M9" s="1721"/>
      <c r="N9" s="1722"/>
      <c r="O9" s="378"/>
      <c r="P9" s="1721"/>
      <c r="Q9" s="1722"/>
      <c r="R9" s="379"/>
      <c r="S9" s="380"/>
      <c r="T9" s="380"/>
      <c r="U9" s="1721"/>
      <c r="V9" s="1722"/>
      <c r="W9" s="381"/>
      <c r="X9" s="381"/>
      <c r="Y9" s="382"/>
    </row>
    <row r="10" spans="1:25">
      <c r="A10" s="348"/>
      <c r="B10" s="349"/>
      <c r="C10" s="350"/>
      <c r="D10" s="350"/>
      <c r="E10" s="348"/>
      <c r="F10" s="348"/>
      <c r="G10" s="1705"/>
      <c r="H10" s="351"/>
      <c r="I10" s="1711"/>
      <c r="J10" s="1712"/>
      <c r="K10" s="352"/>
      <c r="L10" s="354"/>
      <c r="M10" s="1715"/>
      <c r="N10" s="1716"/>
      <c r="O10" s="354"/>
      <c r="P10" s="1715"/>
      <c r="Q10" s="1716"/>
      <c r="R10" s="366"/>
      <c r="S10" s="367"/>
      <c r="T10" s="383"/>
      <c r="U10" s="1715"/>
      <c r="V10" s="1716"/>
      <c r="W10" s="357"/>
      <c r="X10" s="357"/>
      <c r="Y10" s="358"/>
    </row>
    <row r="11" spans="1:25">
      <c r="A11" s="348"/>
      <c r="B11" s="349"/>
      <c r="C11" s="350"/>
      <c r="D11" s="350"/>
      <c r="E11" s="348"/>
      <c r="F11" s="348"/>
      <c r="G11" s="1705"/>
      <c r="H11" s="351"/>
      <c r="I11" s="1711"/>
      <c r="J11" s="1712"/>
      <c r="K11" s="352"/>
      <c r="L11" s="354"/>
      <c r="M11" s="1715"/>
      <c r="N11" s="1716"/>
      <c r="O11" s="354"/>
      <c r="P11" s="1715"/>
      <c r="Q11" s="1716"/>
      <c r="R11" s="366"/>
      <c r="S11" s="367"/>
      <c r="T11" s="383"/>
      <c r="U11" s="1715"/>
      <c r="V11" s="1716"/>
      <c r="W11" s="357"/>
      <c r="X11" s="357"/>
      <c r="Y11" s="358"/>
    </row>
    <row r="12" spans="1:25">
      <c r="A12" s="348"/>
      <c r="B12" s="349"/>
      <c r="C12" s="350"/>
      <c r="D12" s="350"/>
      <c r="E12" s="348"/>
      <c r="F12" s="348"/>
      <c r="G12" s="1705"/>
      <c r="H12" s="351"/>
      <c r="I12" s="1711"/>
      <c r="J12" s="1712"/>
      <c r="K12" s="352"/>
      <c r="L12" s="354"/>
      <c r="M12" s="1715"/>
      <c r="N12" s="1716"/>
      <c r="O12" s="354"/>
      <c r="P12" s="1715"/>
      <c r="Q12" s="1716"/>
      <c r="R12" s="366"/>
      <c r="S12" s="367"/>
      <c r="T12" s="367"/>
      <c r="U12" s="1715"/>
      <c r="V12" s="1716"/>
      <c r="W12" s="357"/>
      <c r="X12" s="357"/>
      <c r="Y12" s="358"/>
    </row>
    <row r="13" spans="1:25">
      <c r="A13" s="348"/>
      <c r="B13" s="349"/>
      <c r="C13" s="350"/>
      <c r="D13" s="350"/>
      <c r="E13" s="348"/>
      <c r="F13" s="348"/>
      <c r="G13" s="1705"/>
      <c r="H13" s="351"/>
      <c r="I13" s="1711"/>
      <c r="J13" s="1712"/>
      <c r="K13" s="352"/>
      <c r="L13" s="354"/>
      <c r="M13" s="1715"/>
      <c r="N13" s="1716"/>
      <c r="O13" s="354"/>
      <c r="P13" s="1715"/>
      <c r="Q13" s="1716"/>
      <c r="R13" s="366"/>
      <c r="S13" s="367"/>
      <c r="T13" s="367"/>
      <c r="U13" s="1715"/>
      <c r="V13" s="1716"/>
      <c r="W13" s="357"/>
      <c r="X13" s="357"/>
      <c r="Y13" s="358"/>
    </row>
    <row r="14" spans="1:25" ht="15.75" thickBot="1">
      <c r="A14" s="368"/>
      <c r="B14" s="369"/>
      <c r="C14" s="370"/>
      <c r="D14" s="370"/>
      <c r="E14" s="368"/>
      <c r="F14" s="368"/>
      <c r="G14" s="1706"/>
      <c r="H14" s="384"/>
      <c r="I14" s="1717"/>
      <c r="J14" s="1718"/>
      <c r="K14" s="385"/>
      <c r="L14" s="373"/>
      <c r="M14" s="1719"/>
      <c r="N14" s="1720"/>
      <c r="O14" s="373"/>
      <c r="P14" s="1719"/>
      <c r="Q14" s="1720"/>
      <c r="R14" s="374"/>
      <c r="S14" s="375"/>
      <c r="T14" s="375"/>
      <c r="U14" s="1719"/>
      <c r="V14" s="1720"/>
      <c r="W14" s="376"/>
      <c r="X14" s="376"/>
      <c r="Y14" s="377"/>
    </row>
    <row r="15" spans="1:25" ht="15.7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1"/>
      <c r="C16" s="1"/>
      <c r="D16" s="1"/>
      <c r="E16" s="1"/>
      <c r="F16" s="1"/>
      <c r="R16" s="1"/>
      <c r="S16" s="4"/>
      <c r="T16" s="4"/>
      <c r="U16" s="1"/>
      <c r="V16" s="1"/>
      <c r="W16" s="4"/>
      <c r="X16" s="4"/>
      <c r="Y16" s="4"/>
    </row>
    <row r="17" spans="1:25">
      <c r="A17" s="55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750" t="s">
        <v>390</v>
      </c>
      <c r="L17" s="751"/>
      <c r="M17" s="751"/>
      <c r="N17" s="1"/>
      <c r="O17" s="1"/>
      <c r="P17" s="1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36"/>
      <c r="L18" s="752" t="s">
        <v>63</v>
      </c>
      <c r="M18" s="753" t="s">
        <v>64</v>
      </c>
      <c r="N18" s="1"/>
      <c r="O18" s="1"/>
      <c r="P18" s="1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36" t="s">
        <v>391</v>
      </c>
      <c r="L19" s="774">
        <f>AVERAGE(Y3:Y4)</f>
        <v>0.57683891898587447</v>
      </c>
      <c r="M19" s="751"/>
      <c r="N19" s="1"/>
      <c r="O19" s="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36" t="s">
        <v>25</v>
      </c>
      <c r="L20" s="774">
        <f>AVERAGE(W3:W4)</f>
        <v>172.1275</v>
      </c>
      <c r="M20" s="751"/>
      <c r="N20" s="1"/>
      <c r="O20" s="1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5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36" t="s">
        <v>392</v>
      </c>
      <c r="L21" s="774">
        <f>AVERAGE(X3:X4)</f>
        <v>1.829</v>
      </c>
      <c r="M21" s="36"/>
      <c r="N21" s="1"/>
      <c r="O21" s="1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55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36" t="s">
        <v>393</v>
      </c>
      <c r="L22" s="774">
        <f>AVERAGE(S3:S4)</f>
        <v>4.0614444444444437</v>
      </c>
      <c r="M22" s="36"/>
      <c r="N22" s="1"/>
      <c r="O22" s="1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55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56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56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56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4"/>
      <c r="T26" s="4"/>
      <c r="U26" s="1"/>
      <c r="V26" s="1"/>
      <c r="W26" s="4"/>
      <c r="X26" s="4"/>
      <c r="Y26" s="4"/>
    </row>
    <row r="27" spans="1:25">
      <c r="A27" s="56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1" t="s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4"/>
      <c r="T29" s="4"/>
      <c r="U29" s="1"/>
      <c r="V29" s="1"/>
      <c r="W29" s="4"/>
      <c r="X29" s="4"/>
      <c r="Y29" s="4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1"/>
      <c r="Q31" s="1"/>
      <c r="R31" s="1"/>
      <c r="S31" s="4"/>
      <c r="T31" s="4"/>
      <c r="U31" s="1"/>
      <c r="V31" s="1"/>
      <c r="W31" s="4"/>
      <c r="X31" s="4"/>
      <c r="Y31" s="4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1"/>
      <c r="Q32" s="1"/>
      <c r="R32" s="1"/>
      <c r="S32" s="4"/>
      <c r="T32" s="4"/>
      <c r="U32" s="1"/>
      <c r="V32" s="1"/>
      <c r="W32" s="4"/>
      <c r="X32" s="4"/>
      <c r="Y32" s="4"/>
    </row>
  </sheetData>
  <mergeCells count="54">
    <mergeCell ref="U14:V14"/>
    <mergeCell ref="I12:J12"/>
    <mergeCell ref="M12:N12"/>
    <mergeCell ref="P12:Q12"/>
    <mergeCell ref="U12:V12"/>
    <mergeCell ref="I13:J13"/>
    <mergeCell ref="M13:N13"/>
    <mergeCell ref="P13:Q13"/>
    <mergeCell ref="U13:V13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4:J14"/>
    <mergeCell ref="M14:N14"/>
    <mergeCell ref="P14:Q14"/>
    <mergeCell ref="I7:J7"/>
    <mergeCell ref="M7:N7"/>
    <mergeCell ref="P7:Q7"/>
    <mergeCell ref="U7:V7"/>
    <mergeCell ref="I8:J8"/>
    <mergeCell ref="M8:N8"/>
    <mergeCell ref="P8:Q8"/>
    <mergeCell ref="U8:V8"/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CC"/>
  </sheetPr>
  <dimension ref="A1:AD44"/>
  <sheetViews>
    <sheetView topLeftCell="C1" workbookViewId="0">
      <selection activeCell="AA21" sqref="AA21"/>
    </sheetView>
  </sheetViews>
  <sheetFormatPr baseColWidth="10" defaultRowHeight="12.75"/>
  <cols>
    <col min="1" max="1" width="9.42578125" style="1" customWidth="1"/>
    <col min="2" max="2" width="10.140625" style="1" bestFit="1" customWidth="1"/>
    <col min="3" max="3" width="4" style="1" bestFit="1" customWidth="1"/>
    <col min="4" max="4" width="3" style="1" bestFit="1" customWidth="1"/>
    <col min="5" max="5" width="6.5703125" style="1" customWidth="1"/>
    <col min="6" max="6" width="8.85546875" style="1" bestFit="1" customWidth="1"/>
    <col min="7" max="7" width="11.140625" style="1" bestFit="1" customWidth="1"/>
    <col min="8" max="8" width="0.85546875" style="1" customWidth="1"/>
    <col min="9" max="9" width="4.140625" style="1" bestFit="1" customWidth="1"/>
    <col min="10" max="10" width="8.42578125" style="1" customWidth="1"/>
    <col min="11" max="11" width="12" style="1" bestFit="1" customWidth="1"/>
    <col min="12" max="12" width="4.140625" style="1" bestFit="1" customWidth="1"/>
    <col min="13" max="13" width="12" style="1" bestFit="1" customWidth="1"/>
    <col min="14" max="14" width="7.42578125" style="1" bestFit="1" customWidth="1"/>
    <col min="15" max="15" width="12.140625" style="1" bestFit="1" customWidth="1"/>
    <col min="16" max="16" width="6.85546875" style="1" bestFit="1" customWidth="1"/>
    <col min="17" max="17" width="10" style="1" bestFit="1" customWidth="1"/>
    <col min="18" max="18" width="13.140625" style="1" bestFit="1" customWidth="1"/>
    <col min="19" max="19" width="11.42578125" style="1" bestFit="1" customWidth="1"/>
    <col min="20" max="20" width="10.42578125" style="1" bestFit="1" customWidth="1"/>
    <col min="21" max="21" width="13" style="4" bestFit="1" customWidth="1"/>
    <col min="22" max="22" width="11.42578125" style="4"/>
    <col min="23" max="23" width="6.42578125" style="1" bestFit="1" customWidth="1"/>
    <col min="24" max="24" width="7.5703125" style="1" customWidth="1"/>
    <col min="25" max="25" width="7" style="1" bestFit="1" customWidth="1"/>
    <col min="26" max="26" width="9.7109375" style="1" bestFit="1" customWidth="1"/>
    <col min="27" max="27" width="12.5703125" style="1" bestFit="1" customWidth="1"/>
    <col min="28" max="28" width="12.140625" style="4" customWidth="1"/>
    <col min="29" max="29" width="15.85546875" style="4" bestFit="1" customWidth="1"/>
    <col min="30" max="16384" width="11.42578125" style="4"/>
  </cols>
  <sheetData>
    <row r="1" spans="1:30" ht="15.75">
      <c r="C1" s="2"/>
      <c r="D1" s="2"/>
      <c r="E1" s="2"/>
      <c r="F1" s="2"/>
      <c r="G1" s="2"/>
      <c r="H1" s="2"/>
      <c r="I1" s="1617" t="s">
        <v>407</v>
      </c>
      <c r="J1" s="1618"/>
      <c r="K1" s="1619"/>
      <c r="L1" s="1620" t="s">
        <v>408</v>
      </c>
      <c r="M1" s="1618"/>
      <c r="N1" s="1618"/>
      <c r="O1" s="1618"/>
      <c r="P1" s="1618"/>
      <c r="Q1" s="1618"/>
      <c r="R1" s="1618"/>
      <c r="S1" s="1618"/>
      <c r="T1" s="1619"/>
      <c r="U1" s="1621" t="s">
        <v>2</v>
      </c>
      <c r="V1" s="1622"/>
      <c r="W1" s="1623" t="s">
        <v>414</v>
      </c>
      <c r="X1" s="1623"/>
      <c r="Y1" s="1624"/>
      <c r="Z1" s="1624"/>
      <c r="AA1" s="1624"/>
      <c r="AB1" s="1624"/>
      <c r="AC1" s="3"/>
    </row>
    <row r="2" spans="1:30">
      <c r="A2" s="5" t="s">
        <v>4</v>
      </c>
      <c r="B2" s="5" t="s">
        <v>5</v>
      </c>
      <c r="C2" s="5" t="s">
        <v>6</v>
      </c>
      <c r="D2" s="5" t="s">
        <v>7</v>
      </c>
      <c r="E2" s="5" t="s">
        <v>401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6" t="s">
        <v>13</v>
      </c>
      <c r="L2" s="7" t="s">
        <v>11</v>
      </c>
      <c r="M2" s="5" t="s">
        <v>14</v>
      </c>
      <c r="N2" s="5" t="s">
        <v>17</v>
      </c>
      <c r="O2" s="8" t="s">
        <v>409</v>
      </c>
      <c r="P2" s="8" t="s">
        <v>410</v>
      </c>
      <c r="Q2" s="8" t="s">
        <v>411</v>
      </c>
      <c r="R2" s="8" t="s">
        <v>412</v>
      </c>
      <c r="S2" s="8" t="s">
        <v>413</v>
      </c>
      <c r="T2" s="9" t="s">
        <v>20</v>
      </c>
      <c r="U2" s="10" t="s">
        <v>21</v>
      </c>
      <c r="V2" s="8" t="s">
        <v>22</v>
      </c>
      <c r="W2" s="11" t="s">
        <v>415</v>
      </c>
      <c r="X2" s="11" t="s">
        <v>416</v>
      </c>
      <c r="Y2" s="12" t="s">
        <v>24</v>
      </c>
      <c r="Z2" s="12" t="s">
        <v>417</v>
      </c>
      <c r="AA2" s="12" t="s">
        <v>418</v>
      </c>
      <c r="AB2" s="12" t="s">
        <v>25</v>
      </c>
      <c r="AC2" s="13" t="s">
        <v>26</v>
      </c>
      <c r="AD2" s="14" t="s">
        <v>27</v>
      </c>
    </row>
    <row r="3" spans="1:30" s="771" customFormat="1">
      <c r="A3" s="867" t="s">
        <v>419</v>
      </c>
      <c r="B3" s="880">
        <v>43185</v>
      </c>
      <c r="C3" s="869">
        <v>113</v>
      </c>
      <c r="D3" s="869">
        <v>17</v>
      </c>
      <c r="E3" s="869" t="s">
        <v>406</v>
      </c>
      <c r="F3" s="867" t="s">
        <v>63</v>
      </c>
      <c r="G3" s="870" t="s">
        <v>33</v>
      </c>
      <c r="H3" s="870"/>
      <c r="I3" s="870">
        <f>15+9</f>
        <v>24</v>
      </c>
      <c r="J3" s="875">
        <f>833.3+377.48</f>
        <v>1210.78</v>
      </c>
      <c r="K3" s="1327">
        <f>J3*M3</f>
        <v>205.33731708550332</v>
      </c>
      <c r="L3" s="874">
        <v>10</v>
      </c>
      <c r="M3" s="1329">
        <f>T3/N3</f>
        <v>0.16959093896951</v>
      </c>
      <c r="N3" s="876">
        <v>395.54</v>
      </c>
      <c r="O3" s="1610">
        <v>2.95</v>
      </c>
      <c r="P3" s="1611">
        <v>25.12</v>
      </c>
      <c r="Q3" s="1611">
        <v>37.53</v>
      </c>
      <c r="R3" s="1611">
        <v>0.6</v>
      </c>
      <c r="S3" s="1611">
        <v>0.88</v>
      </c>
      <c r="T3" s="1327">
        <f>O3+P3+Q3+R3+S3</f>
        <v>67.079999999999984</v>
      </c>
      <c r="U3" s="1333">
        <f>(T3+K3)/100</f>
        <v>2.7241731708550332</v>
      </c>
      <c r="V3" s="1334">
        <f>MIN(4.63,4.48*U3^(-0.25))</f>
        <v>3.4871396191367809</v>
      </c>
      <c r="W3" s="1612">
        <v>2.0364</v>
      </c>
      <c r="X3" s="1612">
        <v>2.7959000000000001</v>
      </c>
      <c r="Y3" s="1613">
        <v>2.4293</v>
      </c>
      <c r="Z3" s="1613"/>
      <c r="AA3" s="1613">
        <v>5.7988999999999997</v>
      </c>
      <c r="AB3" s="1337">
        <f>(W3*O3)+(X3*P3)+(Y3*Q3)+(Z3*R3)+(AA3*S3)</f>
        <v>172.515049</v>
      </c>
      <c r="AC3" s="1337">
        <f>AB3/T3</f>
        <v>2.5717806946929045</v>
      </c>
      <c r="AD3" s="1337">
        <f>AC3/V3</f>
        <v>0.73750436620875315</v>
      </c>
    </row>
    <row r="4" spans="1:30" s="771" customFormat="1">
      <c r="A4" s="867" t="s">
        <v>419</v>
      </c>
      <c r="B4" s="880">
        <v>43185</v>
      </c>
      <c r="C4" s="869">
        <v>107</v>
      </c>
      <c r="D4" s="869">
        <v>18</v>
      </c>
      <c r="E4" s="869" t="s">
        <v>406</v>
      </c>
      <c r="F4" s="867" t="s">
        <v>63</v>
      </c>
      <c r="G4" s="870" t="s">
        <v>30</v>
      </c>
      <c r="H4" s="870"/>
      <c r="I4" s="870">
        <f>20+9</f>
        <v>29</v>
      </c>
      <c r="J4" s="875">
        <f>974.81+573.96</f>
        <v>1548.77</v>
      </c>
      <c r="K4" s="1327">
        <f t="shared" ref="K4:K20" si="0">J4*M4</f>
        <v>202.7555517015837</v>
      </c>
      <c r="L4" s="874">
        <v>10</v>
      </c>
      <c r="M4" s="1329">
        <f t="shared" ref="M4:M20" si="1">T4/N4</f>
        <v>0.13091391988583437</v>
      </c>
      <c r="N4" s="876">
        <v>504.53</v>
      </c>
      <c r="O4" s="1610">
        <v>4.17</v>
      </c>
      <c r="P4" s="1611">
        <v>38.090000000000003</v>
      </c>
      <c r="Q4" s="1611">
        <v>22.11</v>
      </c>
      <c r="R4" s="1611">
        <v>0.65</v>
      </c>
      <c r="S4" s="1611">
        <v>1.03</v>
      </c>
      <c r="T4" s="1327">
        <f t="shared" ref="T4:T20" si="2">O4+P4+Q4+R4+S4</f>
        <v>66.050000000000011</v>
      </c>
      <c r="U4" s="1333">
        <f t="shared" ref="U4:U20" si="3">(T4+K4)/100</f>
        <v>2.6880555170158367</v>
      </c>
      <c r="V4" s="1334">
        <f t="shared" ref="V4:V20" si="4">MIN(4.63,4.48*U4^(-0.25))</f>
        <v>3.4987946637689955</v>
      </c>
      <c r="W4" s="1612">
        <v>1.9298999999999999</v>
      </c>
      <c r="X4" s="1612">
        <v>2.5590999999999999</v>
      </c>
      <c r="Y4" s="1613">
        <v>3.0066999999999999</v>
      </c>
      <c r="Z4" s="1613"/>
      <c r="AA4" s="1613">
        <v>5.8224</v>
      </c>
      <c r="AB4" s="1337">
        <f t="shared" ref="AB4:AB14" si="5">(W4*O4)+(X4*P4)+(Y4*Q4)+(Z4*R4)+(AA4*S4)</f>
        <v>177.99901100000002</v>
      </c>
      <c r="AC4" s="1337">
        <f t="shared" ref="AC4:AC14" si="6">AB4/T4</f>
        <v>2.6949131112793339</v>
      </c>
      <c r="AD4" s="1337">
        <f t="shared" ref="AD4:AD14" si="7">AC4/V4</f>
        <v>0.77024043142226051</v>
      </c>
    </row>
    <row r="5" spans="1:30" s="771" customFormat="1">
      <c r="A5" s="867" t="s">
        <v>419</v>
      </c>
      <c r="B5" s="880">
        <v>43185</v>
      </c>
      <c r="C5" s="869">
        <v>99</v>
      </c>
      <c r="D5" s="869">
        <v>19</v>
      </c>
      <c r="E5" s="869" t="s">
        <v>406</v>
      </c>
      <c r="F5" s="867" t="s">
        <v>63</v>
      </c>
      <c r="G5" s="870" t="s">
        <v>33</v>
      </c>
      <c r="H5" s="870"/>
      <c r="I5" s="870">
        <f>13+8</f>
        <v>21</v>
      </c>
      <c r="J5" s="875">
        <f>638.59+428.94</f>
        <v>1067.53</v>
      </c>
      <c r="K5" s="1327">
        <f t="shared" si="0"/>
        <v>167.86424634326758</v>
      </c>
      <c r="L5" s="874">
        <v>8</v>
      </c>
      <c r="M5" s="1329">
        <f t="shared" si="1"/>
        <v>0.15724546040230025</v>
      </c>
      <c r="N5" s="876">
        <v>419.09</v>
      </c>
      <c r="O5" s="1610">
        <v>4.22</v>
      </c>
      <c r="P5" s="1611">
        <v>27.17</v>
      </c>
      <c r="Q5" s="1611">
        <v>32.86</v>
      </c>
      <c r="R5" s="1611">
        <v>0.54</v>
      </c>
      <c r="S5" s="1611">
        <v>1.1100000000000001</v>
      </c>
      <c r="T5" s="1327">
        <f t="shared" si="2"/>
        <v>65.900000000000006</v>
      </c>
      <c r="U5" s="1333">
        <f t="shared" si="3"/>
        <v>2.337642463432676</v>
      </c>
      <c r="V5" s="1334">
        <f t="shared" si="4"/>
        <v>3.623126454697251</v>
      </c>
      <c r="W5" s="1612">
        <v>2.0792000000000002</v>
      </c>
      <c r="X5" s="1612">
        <v>2.8835000000000002</v>
      </c>
      <c r="Y5" s="1613">
        <v>2.5482</v>
      </c>
      <c r="Z5" s="1613"/>
      <c r="AA5" s="1613">
        <v>5.8129999999999997</v>
      </c>
      <c r="AB5" s="1337">
        <f t="shared" si="5"/>
        <v>177.30520100000001</v>
      </c>
      <c r="AC5" s="1337">
        <f t="shared" si="6"/>
        <v>2.6905189833080425</v>
      </c>
      <c r="AD5" s="1337">
        <f t="shared" si="7"/>
        <v>0.74259593667228563</v>
      </c>
    </row>
    <row r="6" spans="1:30" s="771" customFormat="1">
      <c r="A6" s="867" t="s">
        <v>419</v>
      </c>
      <c r="B6" s="880">
        <v>43185</v>
      </c>
      <c r="C6" s="869">
        <v>96</v>
      </c>
      <c r="D6" s="869">
        <v>20</v>
      </c>
      <c r="E6" s="869" t="s">
        <v>406</v>
      </c>
      <c r="F6" s="867" t="s">
        <v>63</v>
      </c>
      <c r="G6" s="870" t="s">
        <v>30</v>
      </c>
      <c r="H6" s="870"/>
      <c r="I6" s="870">
        <f>20+10</f>
        <v>30</v>
      </c>
      <c r="J6" s="875">
        <f>1257.72+518.94</f>
        <v>1776.66</v>
      </c>
      <c r="K6" s="1327">
        <f t="shared" si="0"/>
        <v>234.38472211225141</v>
      </c>
      <c r="L6" s="874">
        <v>13</v>
      </c>
      <c r="M6" s="1329">
        <f t="shared" si="1"/>
        <v>0.13192435362548344</v>
      </c>
      <c r="N6" s="876">
        <v>656.74</v>
      </c>
      <c r="O6" s="1610">
        <v>8.84</v>
      </c>
      <c r="P6" s="1611">
        <v>50.52</v>
      </c>
      <c r="Q6" s="1611">
        <v>25.17</v>
      </c>
      <c r="R6" s="1611">
        <v>0.69</v>
      </c>
      <c r="S6" s="1611">
        <v>1.42</v>
      </c>
      <c r="T6" s="1327">
        <f t="shared" si="2"/>
        <v>86.64</v>
      </c>
      <c r="U6" s="1333">
        <f t="shared" si="3"/>
        <v>3.2102472211225144</v>
      </c>
      <c r="V6" s="1334">
        <f t="shared" si="4"/>
        <v>3.3469050692878426</v>
      </c>
      <c r="W6" s="1612">
        <v>1.7178</v>
      </c>
      <c r="X6" s="1612">
        <v>2.6314000000000002</v>
      </c>
      <c r="Y6" s="1613">
        <v>3.1892</v>
      </c>
      <c r="Z6" s="1613"/>
      <c r="AA6" s="1613">
        <v>5.8651999999999997</v>
      </c>
      <c r="AB6" s="1337">
        <f t="shared" si="5"/>
        <v>236.72442800000002</v>
      </c>
      <c r="AC6" s="1337">
        <f t="shared" si="6"/>
        <v>2.7322764081255775</v>
      </c>
      <c r="AD6" s="1337">
        <f t="shared" si="7"/>
        <v>0.81635909939535678</v>
      </c>
    </row>
    <row r="7" spans="1:30" s="771" customFormat="1">
      <c r="A7" s="867" t="s">
        <v>419</v>
      </c>
      <c r="B7" s="880">
        <v>43185</v>
      </c>
      <c r="C7" s="869">
        <v>113</v>
      </c>
      <c r="D7" s="869">
        <v>21</v>
      </c>
      <c r="E7" s="869" t="s">
        <v>406</v>
      </c>
      <c r="F7" s="867" t="s">
        <v>63</v>
      </c>
      <c r="G7" s="870" t="s">
        <v>30</v>
      </c>
      <c r="H7" s="870"/>
      <c r="I7" s="870">
        <f>13+8</f>
        <v>21</v>
      </c>
      <c r="J7" s="875">
        <f>649.36+486.42</f>
        <v>1135.78</v>
      </c>
      <c r="K7" s="1327">
        <f t="shared" si="0"/>
        <v>144.55537706650566</v>
      </c>
      <c r="L7" s="874">
        <v>9</v>
      </c>
      <c r="M7" s="1329">
        <f t="shared" si="1"/>
        <v>0.12727409979618029</v>
      </c>
      <c r="N7" s="876">
        <v>529.88</v>
      </c>
      <c r="O7" s="1610">
        <v>5.71</v>
      </c>
      <c r="P7" s="1611">
        <v>38.42</v>
      </c>
      <c r="Q7" s="1611">
        <v>21.8</v>
      </c>
      <c r="R7" s="1611">
        <v>0.54</v>
      </c>
      <c r="S7" s="1611">
        <v>0.97</v>
      </c>
      <c r="T7" s="1327">
        <f t="shared" si="2"/>
        <v>67.440000000000012</v>
      </c>
      <c r="U7" s="1333">
        <f t="shared" si="3"/>
        <v>2.1199537706650569</v>
      </c>
      <c r="V7" s="1334">
        <f t="shared" si="4"/>
        <v>3.7127560664860595</v>
      </c>
      <c r="W7" s="1612">
        <v>1.7364999999999999</v>
      </c>
      <c r="X7" s="1612">
        <v>2.8130999999999999</v>
      </c>
      <c r="Y7" s="1613">
        <v>3.1023000000000001</v>
      </c>
      <c r="Z7" s="1613"/>
      <c r="AA7" s="1613">
        <v>5.8281999999999998</v>
      </c>
      <c r="AB7" s="1337">
        <f t="shared" si="5"/>
        <v>191.278211</v>
      </c>
      <c r="AC7" s="1337">
        <f t="shared" si="6"/>
        <v>2.8362724051008299</v>
      </c>
      <c r="AD7" s="1337">
        <f t="shared" si="7"/>
        <v>0.76392640785184196</v>
      </c>
    </row>
    <row r="8" spans="1:30" s="771" customFormat="1">
      <c r="A8" s="867" t="s">
        <v>419</v>
      </c>
      <c r="B8" s="880">
        <v>43185</v>
      </c>
      <c r="C8" s="869">
        <v>113</v>
      </c>
      <c r="D8" s="869">
        <v>22</v>
      </c>
      <c r="E8" s="869" t="s">
        <v>406</v>
      </c>
      <c r="F8" s="867" t="s">
        <v>63</v>
      </c>
      <c r="G8" s="870" t="s">
        <v>33</v>
      </c>
      <c r="H8" s="870"/>
      <c r="I8" s="870">
        <f>16+6</f>
        <v>22</v>
      </c>
      <c r="J8" s="875">
        <f>1056+209.66</f>
        <v>1265.6600000000001</v>
      </c>
      <c r="K8" s="1327">
        <f t="shared" si="0"/>
        <v>208.99541955835969</v>
      </c>
      <c r="L8" s="874">
        <v>6</v>
      </c>
      <c r="M8" s="1329">
        <f t="shared" si="1"/>
        <v>0.16512761686263266</v>
      </c>
      <c r="N8" s="876">
        <v>348.7</v>
      </c>
      <c r="O8" s="1610">
        <v>2.63</v>
      </c>
      <c r="P8" s="1611">
        <v>30.07</v>
      </c>
      <c r="Q8" s="1611">
        <v>23.11</v>
      </c>
      <c r="R8" s="1611">
        <v>0.67</v>
      </c>
      <c r="S8" s="1611">
        <v>1.1000000000000001</v>
      </c>
      <c r="T8" s="1327">
        <f t="shared" si="2"/>
        <v>57.580000000000005</v>
      </c>
      <c r="U8" s="1333">
        <f t="shared" si="3"/>
        <v>2.6657541955835966</v>
      </c>
      <c r="V8" s="1334">
        <f t="shared" si="4"/>
        <v>3.5060894233459226</v>
      </c>
      <c r="W8" s="1612">
        <v>1.7601</v>
      </c>
      <c r="X8" s="1612">
        <v>2.7835999999999999</v>
      </c>
      <c r="Y8" s="1613">
        <v>2.5972</v>
      </c>
      <c r="Z8" s="1613"/>
      <c r="AA8" s="1613">
        <v>5.4766000000000004</v>
      </c>
      <c r="AB8" s="1337">
        <f t="shared" si="5"/>
        <v>154.377467</v>
      </c>
      <c r="AC8" s="1337">
        <f t="shared" si="6"/>
        <v>2.681095293504689</v>
      </c>
      <c r="AD8" s="1337">
        <f t="shared" si="7"/>
        <v>0.76469678030803701</v>
      </c>
    </row>
    <row r="9" spans="1:30" s="771" customFormat="1">
      <c r="A9" s="867" t="s">
        <v>419</v>
      </c>
      <c r="B9" s="880">
        <v>43185</v>
      </c>
      <c r="C9" s="869">
        <v>74</v>
      </c>
      <c r="D9" s="869">
        <v>1</v>
      </c>
      <c r="E9" s="869" t="s">
        <v>420</v>
      </c>
      <c r="F9" s="867" t="s">
        <v>63</v>
      </c>
      <c r="G9" s="870" t="s">
        <v>33</v>
      </c>
      <c r="H9" s="870"/>
      <c r="I9" s="870">
        <f>19+14</f>
        <v>33</v>
      </c>
      <c r="J9" s="875">
        <f>783.98+435.95</f>
        <v>1219.93</v>
      </c>
      <c r="K9" s="1327">
        <f t="shared" si="0"/>
        <v>177.25453706581243</v>
      </c>
      <c r="L9" s="874">
        <v>12</v>
      </c>
      <c r="M9" s="1329">
        <f t="shared" si="1"/>
        <v>0.14529894097678753</v>
      </c>
      <c r="N9" s="876">
        <v>418.31</v>
      </c>
      <c r="O9" s="1610">
        <v>3.25</v>
      </c>
      <c r="P9" s="1611">
        <v>23.83</v>
      </c>
      <c r="Q9" s="1611">
        <v>31.52</v>
      </c>
      <c r="R9" s="1611">
        <v>0.82</v>
      </c>
      <c r="S9" s="1611">
        <v>1.36</v>
      </c>
      <c r="T9" s="1327">
        <f t="shared" si="2"/>
        <v>60.779999999999994</v>
      </c>
      <c r="U9" s="1333">
        <f t="shared" si="3"/>
        <v>2.3803453706581243</v>
      </c>
      <c r="V9" s="1334">
        <f t="shared" si="4"/>
        <v>3.6067664427195716</v>
      </c>
      <c r="W9" s="1612"/>
      <c r="X9" s="1612"/>
      <c r="Y9" s="1613"/>
      <c r="Z9" s="1613"/>
      <c r="AA9" s="1613"/>
      <c r="AB9" s="1337">
        <f t="shared" si="5"/>
        <v>0</v>
      </c>
      <c r="AC9" s="1337">
        <f t="shared" si="6"/>
        <v>0</v>
      </c>
      <c r="AD9" s="1337">
        <f t="shared" si="7"/>
        <v>0</v>
      </c>
    </row>
    <row r="10" spans="1:30" s="771" customFormat="1">
      <c r="A10" s="867" t="s">
        <v>419</v>
      </c>
      <c r="B10" s="880">
        <v>43185</v>
      </c>
      <c r="C10" s="869">
        <v>17</v>
      </c>
      <c r="D10" s="869">
        <v>4</v>
      </c>
      <c r="E10" s="869" t="s">
        <v>420</v>
      </c>
      <c r="F10" s="867" t="s">
        <v>63</v>
      </c>
      <c r="G10" s="870" t="s">
        <v>33</v>
      </c>
      <c r="H10" s="870"/>
      <c r="I10" s="870">
        <f>22+12</f>
        <v>34</v>
      </c>
      <c r="J10" s="875">
        <f>1374.6+419.82</f>
        <v>1794.4199999999998</v>
      </c>
      <c r="K10" s="1327">
        <f t="shared" si="0"/>
        <v>253.52789152024448</v>
      </c>
      <c r="L10" s="874">
        <v>10</v>
      </c>
      <c r="M10" s="1329">
        <f t="shared" si="1"/>
        <v>0.14128681775740601</v>
      </c>
      <c r="N10" s="876">
        <v>706.86</v>
      </c>
      <c r="O10" s="1610">
        <v>5.55</v>
      </c>
      <c r="P10" s="1611">
        <v>40.130000000000003</v>
      </c>
      <c r="Q10" s="1611">
        <v>50.66</v>
      </c>
      <c r="R10" s="1611">
        <v>0.97</v>
      </c>
      <c r="S10" s="1611">
        <v>2.56</v>
      </c>
      <c r="T10" s="1327">
        <f t="shared" si="2"/>
        <v>99.87</v>
      </c>
      <c r="U10" s="1333">
        <f t="shared" si="3"/>
        <v>3.5339789152024448</v>
      </c>
      <c r="V10" s="1334">
        <f t="shared" si="4"/>
        <v>3.2674731347521808</v>
      </c>
      <c r="W10" s="1612"/>
      <c r="X10" s="1612"/>
      <c r="Y10" s="1613"/>
      <c r="Z10" s="1613"/>
      <c r="AA10" s="1613"/>
      <c r="AB10" s="1337">
        <f t="shared" si="5"/>
        <v>0</v>
      </c>
      <c r="AC10" s="1337">
        <f t="shared" si="6"/>
        <v>0</v>
      </c>
      <c r="AD10" s="1337">
        <f t="shared" si="7"/>
        <v>0</v>
      </c>
    </row>
    <row r="11" spans="1:30" s="771" customFormat="1">
      <c r="A11" s="867" t="s">
        <v>419</v>
      </c>
      <c r="B11" s="880">
        <v>43185</v>
      </c>
      <c r="C11" s="869">
        <v>48</v>
      </c>
      <c r="D11" s="869">
        <v>4</v>
      </c>
      <c r="E11" s="869" t="s">
        <v>420</v>
      </c>
      <c r="F11" s="867" t="s">
        <v>63</v>
      </c>
      <c r="G11" s="870" t="s">
        <v>30</v>
      </c>
      <c r="H11" s="870"/>
      <c r="I11" s="870">
        <f>19+9</f>
        <v>28</v>
      </c>
      <c r="J11" s="875">
        <f>870.7+675.89</f>
        <v>1546.5900000000001</v>
      </c>
      <c r="K11" s="1327">
        <f t="shared" si="0"/>
        <v>204.99549900053631</v>
      </c>
      <c r="L11" s="874">
        <v>11</v>
      </c>
      <c r="M11" s="1329">
        <f t="shared" si="1"/>
        <v>0.13254676352526287</v>
      </c>
      <c r="N11" s="876">
        <v>615.33000000000004</v>
      </c>
      <c r="O11" s="1610">
        <v>9.6</v>
      </c>
      <c r="P11" s="1611">
        <v>44.87</v>
      </c>
      <c r="Q11" s="1611">
        <v>25.11</v>
      </c>
      <c r="R11" s="1611">
        <v>0.67</v>
      </c>
      <c r="S11" s="1611">
        <v>1.31</v>
      </c>
      <c r="T11" s="1327">
        <f t="shared" si="2"/>
        <v>81.56</v>
      </c>
      <c r="U11" s="1333">
        <f t="shared" si="3"/>
        <v>2.865554990005363</v>
      </c>
      <c r="V11" s="1334">
        <f t="shared" si="4"/>
        <v>3.443307648450781</v>
      </c>
      <c r="W11" s="1612"/>
      <c r="X11" s="1612"/>
      <c r="Y11" s="1613"/>
      <c r="Z11" s="1613"/>
      <c r="AA11" s="1613"/>
      <c r="AB11" s="1337">
        <f t="shared" si="5"/>
        <v>0</v>
      </c>
      <c r="AC11" s="1337">
        <f t="shared" si="6"/>
        <v>0</v>
      </c>
      <c r="AD11" s="1337">
        <f t="shared" si="7"/>
        <v>0</v>
      </c>
    </row>
    <row r="12" spans="1:30" s="771" customFormat="1">
      <c r="A12" s="867" t="s">
        <v>419</v>
      </c>
      <c r="B12" s="880">
        <v>43185</v>
      </c>
      <c r="C12" s="869">
        <v>53</v>
      </c>
      <c r="D12" s="869">
        <v>11</v>
      </c>
      <c r="E12" s="869" t="s">
        <v>420</v>
      </c>
      <c r="F12" s="867" t="s">
        <v>63</v>
      </c>
      <c r="G12" s="870" t="s">
        <v>33</v>
      </c>
      <c r="H12" s="870"/>
      <c r="I12" s="870">
        <f>19+11</f>
        <v>30</v>
      </c>
      <c r="J12" s="875">
        <f>1021.5+576.42</f>
        <v>1597.92</v>
      </c>
      <c r="K12" s="1327">
        <f t="shared" si="0"/>
        <v>234.87300854160074</v>
      </c>
      <c r="L12" s="874">
        <v>10</v>
      </c>
      <c r="M12" s="1329">
        <f t="shared" si="1"/>
        <v>0.14698671306548558</v>
      </c>
      <c r="N12" s="876">
        <v>505.76</v>
      </c>
      <c r="O12" s="1610">
        <v>4.0999999999999996</v>
      </c>
      <c r="P12" s="1611">
        <v>25.43</v>
      </c>
      <c r="Q12" s="1611">
        <v>42.36</v>
      </c>
      <c r="R12" s="1611">
        <v>0.82</v>
      </c>
      <c r="S12" s="1611">
        <v>1.63</v>
      </c>
      <c r="T12" s="1327">
        <f t="shared" si="2"/>
        <v>74.339999999999989</v>
      </c>
      <c r="U12" s="1333">
        <f t="shared" si="3"/>
        <v>3.0921300854160076</v>
      </c>
      <c r="V12" s="1334">
        <f t="shared" si="4"/>
        <v>3.3784194982449742</v>
      </c>
      <c r="W12" s="1612"/>
      <c r="X12" s="1612"/>
      <c r="Y12" s="1613"/>
      <c r="Z12" s="1613"/>
      <c r="AA12" s="1613"/>
      <c r="AB12" s="1337">
        <f t="shared" si="5"/>
        <v>0</v>
      </c>
      <c r="AC12" s="1337">
        <f t="shared" si="6"/>
        <v>0</v>
      </c>
      <c r="AD12" s="1337">
        <f t="shared" si="7"/>
        <v>0</v>
      </c>
    </row>
    <row r="13" spans="1:30" s="771" customFormat="1">
      <c r="A13" s="867" t="s">
        <v>419</v>
      </c>
      <c r="B13" s="880">
        <v>43185</v>
      </c>
      <c r="C13" s="869">
        <v>69</v>
      </c>
      <c r="D13" s="869">
        <v>12</v>
      </c>
      <c r="E13" s="869" t="s">
        <v>420</v>
      </c>
      <c r="F13" s="867" t="s">
        <v>63</v>
      </c>
      <c r="G13" s="870" t="s">
        <v>30</v>
      </c>
      <c r="H13" s="870"/>
      <c r="I13" s="870">
        <f>15+9</f>
        <v>24</v>
      </c>
      <c r="J13" s="875">
        <f>822.7+393.37</f>
        <v>1216.0700000000002</v>
      </c>
      <c r="K13" s="1327">
        <f t="shared" si="0"/>
        <v>165.44466325006223</v>
      </c>
      <c r="L13" s="874">
        <v>10</v>
      </c>
      <c r="M13" s="1329">
        <f t="shared" si="1"/>
        <v>0.1360486347414723</v>
      </c>
      <c r="N13" s="876">
        <v>481.96</v>
      </c>
      <c r="O13" s="1610">
        <v>7.12</v>
      </c>
      <c r="P13" s="1611">
        <v>34.299999999999997</v>
      </c>
      <c r="Q13" s="1611">
        <v>22.18</v>
      </c>
      <c r="R13" s="1611">
        <v>0.64</v>
      </c>
      <c r="S13" s="1611">
        <v>1.33</v>
      </c>
      <c r="T13" s="1327">
        <f t="shared" si="2"/>
        <v>65.569999999999993</v>
      </c>
      <c r="U13" s="1333">
        <f t="shared" si="3"/>
        <v>2.3101466325006221</v>
      </c>
      <c r="V13" s="1334">
        <f t="shared" si="4"/>
        <v>3.6338594632363077</v>
      </c>
      <c r="W13" s="1612"/>
      <c r="X13" s="1612"/>
      <c r="Y13" s="1613"/>
      <c r="Z13" s="1613"/>
      <c r="AA13" s="1613"/>
      <c r="AB13" s="1337">
        <f t="shared" si="5"/>
        <v>0</v>
      </c>
      <c r="AC13" s="1337">
        <f t="shared" si="6"/>
        <v>0</v>
      </c>
      <c r="AD13" s="1337">
        <f t="shared" si="7"/>
        <v>0</v>
      </c>
    </row>
    <row r="14" spans="1:30" s="771" customFormat="1">
      <c r="A14" s="867" t="s">
        <v>419</v>
      </c>
      <c r="B14" s="880">
        <v>43185</v>
      </c>
      <c r="C14" s="869">
        <v>2</v>
      </c>
      <c r="D14" s="869">
        <v>16</v>
      </c>
      <c r="E14" s="869" t="s">
        <v>420</v>
      </c>
      <c r="F14" s="867" t="s">
        <v>63</v>
      </c>
      <c r="G14" s="870" t="s">
        <v>30</v>
      </c>
      <c r="H14" s="870"/>
      <c r="I14" s="870">
        <f>17+12</f>
        <v>29</v>
      </c>
      <c r="J14" s="875">
        <f>836.4+497.68</f>
        <v>1334.08</v>
      </c>
      <c r="K14" s="1327">
        <f t="shared" si="0"/>
        <v>177.36989902989507</v>
      </c>
      <c r="L14" s="874">
        <v>9</v>
      </c>
      <c r="M14" s="1329">
        <f t="shared" si="1"/>
        <v>0.13295297060888034</v>
      </c>
      <c r="N14" s="876">
        <v>555.61</v>
      </c>
      <c r="O14" s="1610">
        <v>7.28</v>
      </c>
      <c r="P14" s="1611">
        <v>38.22</v>
      </c>
      <c r="Q14" s="1611">
        <v>26.2</v>
      </c>
      <c r="R14" s="1611">
        <v>0.56000000000000005</v>
      </c>
      <c r="S14" s="1611">
        <v>1.61</v>
      </c>
      <c r="T14" s="1327">
        <f t="shared" si="2"/>
        <v>73.87</v>
      </c>
      <c r="U14" s="1333">
        <f t="shared" si="3"/>
        <v>2.5123989902989505</v>
      </c>
      <c r="V14" s="1334">
        <f t="shared" si="4"/>
        <v>3.5584089791536484</v>
      </c>
      <c r="W14" s="1612"/>
      <c r="X14" s="1612"/>
      <c r="Y14" s="1613"/>
      <c r="Z14" s="1613"/>
      <c r="AA14" s="1613"/>
      <c r="AB14" s="1337">
        <f t="shared" si="5"/>
        <v>0</v>
      </c>
      <c r="AC14" s="1337">
        <f t="shared" si="6"/>
        <v>0</v>
      </c>
      <c r="AD14" s="1337">
        <f t="shared" si="7"/>
        <v>0</v>
      </c>
    </row>
    <row r="15" spans="1:30" s="773" customFormat="1">
      <c r="A15" s="1213" t="s">
        <v>419</v>
      </c>
      <c r="B15" s="1224">
        <v>43185</v>
      </c>
      <c r="C15" s="1214">
        <v>93</v>
      </c>
      <c r="D15" s="1214">
        <v>17</v>
      </c>
      <c r="E15" s="1214" t="s">
        <v>406</v>
      </c>
      <c r="F15" s="1213" t="s">
        <v>64</v>
      </c>
      <c r="G15" s="1215" t="s">
        <v>33</v>
      </c>
      <c r="H15" s="1215"/>
      <c r="I15" s="1215">
        <f>21+6</f>
        <v>27</v>
      </c>
      <c r="J15" s="1219">
        <f>1440.9+384.99</f>
        <v>1825.89</v>
      </c>
      <c r="K15" s="1328">
        <f t="shared" si="0"/>
        <v>257.9156688580473</v>
      </c>
      <c r="L15" s="1218">
        <v>8</v>
      </c>
      <c r="M15" s="1330">
        <f t="shared" si="1"/>
        <v>0.14125476828179534</v>
      </c>
      <c r="N15" s="1220">
        <v>616.04999999999995</v>
      </c>
      <c r="O15" s="1204">
        <v>3.73</v>
      </c>
      <c r="P15" s="1204">
        <v>49.29</v>
      </c>
      <c r="Q15" s="1204">
        <v>32.090000000000003</v>
      </c>
      <c r="R15" s="1204">
        <v>0.48</v>
      </c>
      <c r="S15" s="1204">
        <v>1.43</v>
      </c>
      <c r="T15" s="1328">
        <f t="shared" si="2"/>
        <v>87.02000000000001</v>
      </c>
      <c r="U15" s="1335">
        <f t="shared" si="3"/>
        <v>3.449356688580473</v>
      </c>
      <c r="V15" s="1336">
        <f t="shared" si="4"/>
        <v>3.2873313959393027</v>
      </c>
      <c r="W15" s="1223">
        <v>2.3591000000000002</v>
      </c>
      <c r="X15" s="1223">
        <v>3.8593000000000002</v>
      </c>
      <c r="Y15" s="1223">
        <v>3.6406000000000001</v>
      </c>
      <c r="Z15" s="1223"/>
      <c r="AA15" s="1223">
        <v>6.1803999999999997</v>
      </c>
      <c r="AB15" s="1338">
        <f t="shared" ref="AB15:AB20" si="8">(W15*O15)+(X15*P15)+(Y15*Q15)+(Z15*R15)+(AA15*S15)</f>
        <v>324.689166</v>
      </c>
      <c r="AC15" s="1338">
        <f t="shared" ref="AC15:AC20" si="9">AB15/T15</f>
        <v>3.7312016318087791</v>
      </c>
      <c r="AD15" s="1338">
        <f t="shared" ref="AD15:AD20" si="10">AC15/V15</f>
        <v>1.1350244871623743</v>
      </c>
    </row>
    <row r="16" spans="1:30" s="773" customFormat="1">
      <c r="A16" s="1213" t="s">
        <v>419</v>
      </c>
      <c r="B16" s="1224">
        <v>43185</v>
      </c>
      <c r="C16" s="1214">
        <v>99</v>
      </c>
      <c r="D16" s="1214">
        <v>18</v>
      </c>
      <c r="E16" s="1214" t="s">
        <v>406</v>
      </c>
      <c r="F16" s="1213" t="s">
        <v>64</v>
      </c>
      <c r="G16" s="1215" t="s">
        <v>30</v>
      </c>
      <c r="H16" s="1215"/>
      <c r="I16" s="1215">
        <f>17+10</f>
        <v>27</v>
      </c>
      <c r="J16" s="1219">
        <f>1481.63+818.34</f>
        <v>2299.9700000000003</v>
      </c>
      <c r="K16" s="1328">
        <f t="shared" si="0"/>
        <v>269.89834583369844</v>
      </c>
      <c r="L16" s="1218">
        <v>11</v>
      </c>
      <c r="M16" s="1330">
        <f t="shared" si="1"/>
        <v>0.11734863751861913</v>
      </c>
      <c r="N16" s="1220">
        <v>1141.3</v>
      </c>
      <c r="O16" s="1215">
        <v>9.4600000000000009</v>
      </c>
      <c r="P16" s="1215">
        <v>86.3</v>
      </c>
      <c r="Q16" s="1215">
        <v>35.49</v>
      </c>
      <c r="R16" s="1215">
        <v>0.85</v>
      </c>
      <c r="S16" s="1215">
        <v>1.83</v>
      </c>
      <c r="T16" s="1328">
        <f t="shared" si="2"/>
        <v>133.93</v>
      </c>
      <c r="U16" s="1335">
        <f t="shared" si="3"/>
        <v>4.0382834583369842</v>
      </c>
      <c r="V16" s="1336">
        <f t="shared" si="4"/>
        <v>3.1603036591307641</v>
      </c>
      <c r="W16" s="1223">
        <v>2.1265999999999998</v>
      </c>
      <c r="X16" s="1223">
        <v>3.2566999999999999</v>
      </c>
      <c r="Y16" s="1223">
        <v>3.5889000000000002</v>
      </c>
      <c r="Z16" s="1223"/>
      <c r="AA16" s="1223">
        <v>6.39</v>
      </c>
      <c r="AB16" s="1338">
        <f t="shared" si="8"/>
        <v>440.23460699999998</v>
      </c>
      <c r="AC16" s="1338">
        <f t="shared" si="9"/>
        <v>3.287050003733293</v>
      </c>
      <c r="AD16" s="1338">
        <f t="shared" si="10"/>
        <v>1.0401057487739613</v>
      </c>
    </row>
    <row r="17" spans="1:30" s="773" customFormat="1">
      <c r="A17" s="1213" t="s">
        <v>419</v>
      </c>
      <c r="B17" s="1224">
        <v>43185</v>
      </c>
      <c r="C17" s="1214">
        <v>110</v>
      </c>
      <c r="D17" s="1214">
        <v>19</v>
      </c>
      <c r="E17" s="1214" t="s">
        <v>406</v>
      </c>
      <c r="F17" s="1213" t="s">
        <v>64</v>
      </c>
      <c r="G17" s="1215" t="s">
        <v>30</v>
      </c>
      <c r="H17" s="1215"/>
      <c r="I17" s="1215">
        <f>18+9</f>
        <v>27</v>
      </c>
      <c r="J17" s="1219">
        <f>1459.82+701.09</f>
        <v>2160.91</v>
      </c>
      <c r="K17" s="1328">
        <f t="shared" si="0"/>
        <v>166.5902865849705</v>
      </c>
      <c r="L17" s="1218">
        <v>8</v>
      </c>
      <c r="M17" s="1330">
        <f t="shared" si="1"/>
        <v>7.7092653828697399E-2</v>
      </c>
      <c r="N17" s="1220">
        <v>771.15</v>
      </c>
      <c r="O17" s="1215">
        <v>4.88</v>
      </c>
      <c r="P17" s="1215">
        <v>40.270000000000003</v>
      </c>
      <c r="Q17" s="1215">
        <v>13.26</v>
      </c>
      <c r="R17" s="1215">
        <v>0.38</v>
      </c>
      <c r="S17" s="1215">
        <v>0.66</v>
      </c>
      <c r="T17" s="1328">
        <f t="shared" si="2"/>
        <v>59.45</v>
      </c>
      <c r="U17" s="1335">
        <f t="shared" si="3"/>
        <v>2.2604028658497048</v>
      </c>
      <c r="V17" s="1336">
        <f t="shared" si="4"/>
        <v>3.6536887813021313</v>
      </c>
      <c r="W17" s="1223">
        <v>2.1760999999999999</v>
      </c>
      <c r="X17" s="1223">
        <v>3.6928000000000001</v>
      </c>
      <c r="Y17" s="1223">
        <v>3.9622000000000002</v>
      </c>
      <c r="Z17" s="1223"/>
      <c r="AA17" s="1223">
        <v>6.0766999999999998</v>
      </c>
      <c r="AB17" s="1338">
        <f t="shared" si="8"/>
        <v>215.87781800000002</v>
      </c>
      <c r="AC17" s="1338">
        <f t="shared" si="9"/>
        <v>3.6312500925147182</v>
      </c>
      <c r="AD17" s="1338">
        <f t="shared" si="10"/>
        <v>0.99385862066242647</v>
      </c>
    </row>
    <row r="18" spans="1:30" s="773" customFormat="1">
      <c r="A18" s="1213" t="s">
        <v>419</v>
      </c>
      <c r="B18" s="1224">
        <v>43185</v>
      </c>
      <c r="C18" s="1214">
        <v>107</v>
      </c>
      <c r="D18" s="1214">
        <v>20</v>
      </c>
      <c r="E18" s="1214" t="s">
        <v>406</v>
      </c>
      <c r="F18" s="1213" t="s">
        <v>64</v>
      </c>
      <c r="G18" s="1215" t="s">
        <v>33</v>
      </c>
      <c r="H18" s="1215"/>
      <c r="I18" s="1215">
        <f>18+11</f>
        <v>29</v>
      </c>
      <c r="J18" s="1219">
        <f>942.1+579.68</f>
        <v>1521.78</v>
      </c>
      <c r="K18" s="1328">
        <f t="shared" si="0"/>
        <v>236.87747147394424</v>
      </c>
      <c r="L18" s="1218">
        <v>14</v>
      </c>
      <c r="M18" s="1330">
        <f t="shared" si="1"/>
        <v>0.15565815786378073</v>
      </c>
      <c r="N18" s="1220">
        <v>680.08</v>
      </c>
      <c r="O18" s="1215">
        <v>4.41</v>
      </c>
      <c r="P18" s="1215">
        <v>50.26</v>
      </c>
      <c r="Q18" s="1215">
        <v>49.54</v>
      </c>
      <c r="R18" s="1215">
        <v>0.56000000000000005</v>
      </c>
      <c r="S18" s="1215">
        <v>1.0900000000000001</v>
      </c>
      <c r="T18" s="1328">
        <f t="shared" si="2"/>
        <v>105.86000000000001</v>
      </c>
      <c r="U18" s="1335">
        <f t="shared" si="3"/>
        <v>3.4273747147394427</v>
      </c>
      <c r="V18" s="1336">
        <f t="shared" si="4"/>
        <v>3.2925897122472931</v>
      </c>
      <c r="W18" s="1223">
        <v>1.6356999999999999</v>
      </c>
      <c r="X18" s="1223">
        <v>3.3298000000000001</v>
      </c>
      <c r="Y18" s="1223">
        <v>3.0657999999999999</v>
      </c>
      <c r="Z18" s="1223"/>
      <c r="AA18" s="1223">
        <v>6.1896000000000004</v>
      </c>
      <c r="AB18" s="1338">
        <f t="shared" si="8"/>
        <v>333.195581</v>
      </c>
      <c r="AC18" s="1338">
        <f t="shared" si="9"/>
        <v>3.1475116285660301</v>
      </c>
      <c r="AD18" s="1338">
        <f t="shared" si="10"/>
        <v>0.95593800128159823</v>
      </c>
    </row>
    <row r="19" spans="1:30" s="773" customFormat="1">
      <c r="A19" s="1213" t="s">
        <v>419</v>
      </c>
      <c r="B19" s="1224">
        <v>43185</v>
      </c>
      <c r="C19" s="1214">
        <v>102</v>
      </c>
      <c r="D19" s="1214">
        <v>21</v>
      </c>
      <c r="E19" s="1214" t="s">
        <v>406</v>
      </c>
      <c r="F19" s="1213" t="s">
        <v>64</v>
      </c>
      <c r="G19" s="1215" t="s">
        <v>30</v>
      </c>
      <c r="H19" s="1215"/>
      <c r="I19" s="1215">
        <f>21+10</f>
        <v>31</v>
      </c>
      <c r="J19" s="1219">
        <f>1319.6+829.54</f>
        <v>2149.14</v>
      </c>
      <c r="K19" s="1328">
        <f t="shared" si="0"/>
        <v>246.03327757449034</v>
      </c>
      <c r="L19" s="1218">
        <v>12</v>
      </c>
      <c r="M19" s="1330">
        <f t="shared" si="1"/>
        <v>0.11447987454260325</v>
      </c>
      <c r="N19" s="1220">
        <v>765.2</v>
      </c>
      <c r="O19" s="1215">
        <v>6.31</v>
      </c>
      <c r="P19" s="1215">
        <v>52.97</v>
      </c>
      <c r="Q19" s="1215">
        <v>26.69</v>
      </c>
      <c r="R19" s="1215">
        <v>0.51</v>
      </c>
      <c r="S19" s="1215">
        <v>1.1200000000000001</v>
      </c>
      <c r="T19" s="1328">
        <f t="shared" si="2"/>
        <v>87.600000000000009</v>
      </c>
      <c r="U19" s="1335">
        <f t="shared" si="3"/>
        <v>3.3363327757449035</v>
      </c>
      <c r="V19" s="1336">
        <f t="shared" si="4"/>
        <v>3.3148255185009061</v>
      </c>
      <c r="W19" s="1223">
        <v>2.0470000000000002</v>
      </c>
      <c r="X19" s="1223">
        <v>3.4617</v>
      </c>
      <c r="Y19" s="1223">
        <v>3.5314999999999999</v>
      </c>
      <c r="Z19" s="1223"/>
      <c r="AA19" s="1223">
        <v>6.4428999999999998</v>
      </c>
      <c r="AB19" s="1338">
        <f t="shared" si="8"/>
        <v>297.75460199999998</v>
      </c>
      <c r="AC19" s="1338">
        <f t="shared" si="9"/>
        <v>3.3990251369863009</v>
      </c>
      <c r="AD19" s="1338">
        <f t="shared" si="10"/>
        <v>1.0254009202039307</v>
      </c>
    </row>
    <row r="20" spans="1:30" s="773" customFormat="1">
      <c r="A20" s="1213" t="s">
        <v>419</v>
      </c>
      <c r="B20" s="1224">
        <v>43185</v>
      </c>
      <c r="C20" s="1214">
        <v>99</v>
      </c>
      <c r="D20" s="1214">
        <v>22</v>
      </c>
      <c r="E20" s="1214" t="s">
        <v>406</v>
      </c>
      <c r="F20" s="1213" t="s">
        <v>64</v>
      </c>
      <c r="G20" s="1215" t="s">
        <v>33</v>
      </c>
      <c r="H20" s="1215"/>
      <c r="I20" s="1215">
        <f>19+9</f>
        <v>28</v>
      </c>
      <c r="J20" s="1219">
        <f>1536.1+706.61</f>
        <v>2242.71</v>
      </c>
      <c r="K20" s="1328">
        <f t="shared" si="0"/>
        <v>299.38592430832205</v>
      </c>
      <c r="L20" s="1218">
        <v>8</v>
      </c>
      <c r="M20" s="1330">
        <f t="shared" si="1"/>
        <v>0.13349292789006248</v>
      </c>
      <c r="N20" s="1220">
        <v>547.22</v>
      </c>
      <c r="O20" s="1215">
        <v>3.1</v>
      </c>
      <c r="P20" s="1215">
        <v>39.979999999999997</v>
      </c>
      <c r="Q20" s="1215">
        <v>28.36</v>
      </c>
      <c r="R20" s="1215">
        <v>0.46</v>
      </c>
      <c r="S20" s="1215">
        <v>1.1499999999999999</v>
      </c>
      <c r="T20" s="1328">
        <f t="shared" si="2"/>
        <v>73.05</v>
      </c>
      <c r="U20" s="1335">
        <f t="shared" si="3"/>
        <v>3.7243592430832204</v>
      </c>
      <c r="V20" s="1336">
        <f t="shared" si="4"/>
        <v>3.2248916119588231</v>
      </c>
      <c r="W20" s="1223">
        <v>2.3769999999999998</v>
      </c>
      <c r="X20" s="1223">
        <v>3.7353999999999998</v>
      </c>
      <c r="Y20" s="1223">
        <v>3.5819999999999999</v>
      </c>
      <c r="Z20" s="1223"/>
      <c r="AA20" s="1223">
        <v>6.2529000000000003</v>
      </c>
      <c r="AB20" s="1338">
        <f t="shared" si="8"/>
        <v>265.48634699999997</v>
      </c>
      <c r="AC20" s="1338">
        <f t="shared" si="9"/>
        <v>3.6343100205338805</v>
      </c>
      <c r="AD20" s="1338">
        <f t="shared" si="10"/>
        <v>1.1269557113351707</v>
      </c>
    </row>
    <row r="21" spans="1:30">
      <c r="A21" s="17"/>
      <c r="B21" s="156"/>
      <c r="C21" s="34"/>
      <c r="D21" s="34"/>
      <c r="E21" s="34"/>
      <c r="F21" s="17"/>
      <c r="G21" s="19"/>
      <c r="H21" s="19"/>
      <c r="I21" s="19"/>
      <c r="J21" s="1604"/>
      <c r="K21" s="157"/>
      <c r="L21" s="187"/>
      <c r="M21" s="1604"/>
      <c r="N21" s="159"/>
      <c r="O21" s="19"/>
      <c r="P21" s="19"/>
      <c r="Q21" s="19"/>
      <c r="R21" s="19"/>
      <c r="S21" s="19"/>
      <c r="T21" s="157"/>
      <c r="U21" s="160"/>
      <c r="V21" s="161"/>
      <c r="W21" s="193"/>
      <c r="X21" s="193"/>
      <c r="Y21" s="193"/>
      <c r="Z21" s="193"/>
      <c r="AA21" s="193"/>
      <c r="AB21" s="1605"/>
      <c r="AC21" s="1605"/>
      <c r="AD21" s="1605"/>
    </row>
    <row r="22" spans="1:30">
      <c r="A22" s="17"/>
      <c r="B22" s="156"/>
      <c r="C22" s="34"/>
      <c r="D22" s="34"/>
      <c r="E22" s="34"/>
      <c r="F22" s="17"/>
      <c r="G22" s="19"/>
      <c r="H22" s="19"/>
      <c r="I22" s="19"/>
      <c r="J22" s="1604"/>
      <c r="K22" s="157"/>
      <c r="L22" s="187"/>
      <c r="M22" s="1604"/>
      <c r="N22" s="159"/>
      <c r="O22" s="19"/>
      <c r="P22" s="19"/>
      <c r="Q22" s="19"/>
      <c r="R22" s="19"/>
      <c r="S22" s="19"/>
      <c r="T22" s="157"/>
      <c r="U22" s="160"/>
      <c r="V22" s="161"/>
      <c r="W22" s="1605"/>
      <c r="X22" s="1605"/>
      <c r="Y22" s="1605"/>
      <c r="Z22" s="1605"/>
      <c r="AA22" s="1605"/>
      <c r="AB22" s="1605"/>
      <c r="AC22" s="1605"/>
      <c r="AD22" s="1605"/>
    </row>
    <row r="23" spans="1:30">
      <c r="A23" s="17"/>
      <c r="B23" s="156"/>
      <c r="C23" s="34"/>
      <c r="D23" s="34"/>
      <c r="E23" s="34"/>
      <c r="F23" s="17"/>
      <c r="G23" s="19"/>
      <c r="H23" s="19"/>
      <c r="I23" s="19"/>
      <c r="J23" s="1604"/>
      <c r="K23" s="157"/>
      <c r="L23" s="187"/>
      <c r="M23" s="1604"/>
      <c r="N23" s="159"/>
      <c r="O23" s="19"/>
      <c r="P23" s="19"/>
      <c r="Q23" s="19"/>
      <c r="R23" s="19"/>
      <c r="S23" s="19"/>
      <c r="T23" s="157"/>
      <c r="U23" s="160"/>
      <c r="V23" s="161"/>
      <c r="W23" s="1605"/>
      <c r="X23" s="1605"/>
      <c r="Y23" s="1605"/>
      <c r="Z23" s="1605"/>
      <c r="AA23" s="1605"/>
      <c r="AB23" s="1605"/>
      <c r="AC23" s="1605"/>
      <c r="AD23" s="1605"/>
    </row>
    <row r="24" spans="1:30">
      <c r="A24" s="17"/>
      <c r="B24" s="156"/>
      <c r="C24" s="34"/>
      <c r="D24" s="34"/>
      <c r="E24" s="34"/>
      <c r="F24" s="17"/>
      <c r="G24" s="19"/>
      <c r="H24" s="19"/>
      <c r="I24" s="19"/>
      <c r="J24" s="1604"/>
      <c r="K24" s="157"/>
      <c r="L24" s="187"/>
      <c r="M24" s="1604"/>
      <c r="N24" s="159"/>
      <c r="O24" s="19"/>
      <c r="P24" s="19"/>
      <c r="Q24" s="19"/>
      <c r="R24" s="19"/>
      <c r="S24" s="19"/>
      <c r="T24" s="157"/>
      <c r="U24" s="160"/>
      <c r="V24" s="161"/>
      <c r="W24" s="1605"/>
      <c r="X24" s="1605"/>
      <c r="Y24" s="1605"/>
      <c r="Z24" s="1605"/>
      <c r="AA24" s="1605"/>
      <c r="AB24" s="1605"/>
      <c r="AC24" s="1605"/>
      <c r="AD24" s="1605"/>
    </row>
    <row r="25" spans="1:30">
      <c r="A25" s="17"/>
      <c r="B25" s="156"/>
      <c r="C25" s="34"/>
      <c r="D25" s="34"/>
      <c r="E25" s="34"/>
      <c r="F25" s="17"/>
      <c r="G25" s="19"/>
      <c r="H25" s="19"/>
      <c r="I25" s="19"/>
      <c r="J25" s="1604"/>
      <c r="K25" s="157"/>
      <c r="L25" s="187"/>
      <c r="M25" s="1604"/>
      <c r="N25" s="159"/>
      <c r="O25" s="19"/>
      <c r="P25" s="19"/>
      <c r="Q25" s="19"/>
      <c r="R25" s="19"/>
      <c r="S25" s="19"/>
      <c r="T25" s="157"/>
      <c r="U25" s="160"/>
      <c r="V25" s="161"/>
      <c r="W25" s="1605"/>
      <c r="X25" s="1605"/>
      <c r="Y25" s="1605"/>
      <c r="Z25" s="1605"/>
      <c r="AA25" s="1605"/>
      <c r="AB25" s="1605"/>
      <c r="AC25" s="1605"/>
      <c r="AD25" s="1605"/>
    </row>
    <row r="26" spans="1:30">
      <c r="A26" s="17"/>
      <c r="B26" s="156"/>
      <c r="C26" s="34"/>
      <c r="D26" s="34"/>
      <c r="E26" s="34"/>
      <c r="F26" s="17"/>
      <c r="G26" s="19"/>
      <c r="H26" s="19"/>
      <c r="I26" s="19"/>
      <c r="J26" s="1604"/>
      <c r="K26" s="157"/>
      <c r="L26" s="187"/>
      <c r="M26" s="1604"/>
      <c r="N26" s="159"/>
      <c r="O26" s="19"/>
      <c r="P26" s="19"/>
      <c r="Q26" s="19"/>
      <c r="R26" s="19"/>
      <c r="S26" s="19"/>
      <c r="T26" s="157"/>
      <c r="U26" s="160"/>
      <c r="V26" s="161"/>
      <c r="W26" s="1605"/>
      <c r="X26" s="1605"/>
      <c r="Y26" s="1605"/>
      <c r="Z26" s="1605"/>
      <c r="AA26" s="1605"/>
      <c r="AB26" s="1605"/>
      <c r="AC26" s="1605"/>
      <c r="AD26" s="1605"/>
    </row>
    <row r="27" spans="1:30">
      <c r="A27" s="17"/>
      <c r="B27" s="156"/>
      <c r="C27" s="34"/>
      <c r="D27" s="34"/>
      <c r="E27" s="34"/>
      <c r="F27" s="17"/>
      <c r="G27" s="19"/>
      <c r="H27" s="19"/>
      <c r="I27" s="19"/>
      <c r="J27" s="1604"/>
      <c r="K27" s="157"/>
      <c r="L27" s="187"/>
      <c r="M27" s="1604"/>
      <c r="N27" s="159"/>
      <c r="O27" s="19"/>
      <c r="P27" s="19"/>
      <c r="Q27" s="19"/>
      <c r="R27" s="19"/>
      <c r="S27" s="19"/>
      <c r="T27" s="157"/>
      <c r="U27" s="160"/>
      <c r="V27" s="161"/>
      <c r="W27" s="1605"/>
      <c r="X27" s="1605"/>
      <c r="Y27" s="1605"/>
      <c r="Z27" s="1605"/>
      <c r="AA27" s="1605"/>
      <c r="AB27" s="1605"/>
      <c r="AC27" s="1605"/>
      <c r="AD27" s="1605"/>
    </row>
    <row r="28" spans="1:30">
      <c r="A28" s="17"/>
      <c r="B28" s="156"/>
      <c r="C28" s="34"/>
      <c r="D28" s="34"/>
      <c r="E28" s="34"/>
      <c r="F28" s="17"/>
      <c r="G28" s="19"/>
      <c r="H28" s="19"/>
      <c r="I28" s="19"/>
      <c r="J28" s="1604"/>
      <c r="K28" s="157"/>
      <c r="L28" s="187"/>
      <c r="M28" s="1604"/>
      <c r="N28" s="159"/>
      <c r="O28" s="19"/>
      <c r="P28" s="19"/>
      <c r="Q28" s="19"/>
      <c r="R28" s="19"/>
      <c r="S28" s="19"/>
      <c r="T28" s="157"/>
      <c r="U28" s="160"/>
      <c r="V28" s="161"/>
      <c r="W28" s="1605"/>
      <c r="X28" s="1605"/>
      <c r="Y28" s="1605"/>
      <c r="Z28" s="1605"/>
      <c r="AA28" s="1605"/>
      <c r="AB28" s="1605"/>
      <c r="AC28" s="1605"/>
      <c r="AD28" s="1605"/>
    </row>
    <row r="29" spans="1:30">
      <c r="A29" s="17"/>
      <c r="B29" s="156"/>
      <c r="C29" s="34"/>
      <c r="D29" s="34"/>
      <c r="E29" s="34"/>
      <c r="F29" s="17"/>
      <c r="G29" s="19"/>
      <c r="H29" s="19"/>
      <c r="I29" s="19"/>
      <c r="J29" s="1604"/>
      <c r="K29" s="157"/>
      <c r="L29" s="187"/>
      <c r="M29" s="1604"/>
      <c r="N29" s="159"/>
      <c r="O29" s="19"/>
      <c r="P29" s="19"/>
      <c r="Q29" s="19"/>
      <c r="R29" s="19"/>
      <c r="S29" s="19"/>
      <c r="T29" s="157"/>
      <c r="U29" s="160"/>
      <c r="V29" s="161"/>
      <c r="W29" s="193"/>
      <c r="X29" s="193"/>
      <c r="Y29" s="193"/>
      <c r="Z29" s="193"/>
      <c r="AA29" s="193"/>
      <c r="AB29" s="1605"/>
      <c r="AC29" s="1605"/>
      <c r="AD29" s="1605"/>
    </row>
    <row r="30" spans="1:30">
      <c r="A30" s="17"/>
      <c r="B30" s="156"/>
      <c r="C30" s="34"/>
      <c r="D30" s="34"/>
      <c r="E30" s="34"/>
      <c r="F30" s="17"/>
      <c r="G30" s="19"/>
      <c r="H30" s="19"/>
      <c r="I30" s="19"/>
      <c r="J30" s="1604"/>
      <c r="K30" s="157"/>
      <c r="L30" s="187"/>
      <c r="M30" s="1604"/>
      <c r="N30" s="159"/>
      <c r="O30" s="19"/>
      <c r="P30" s="19"/>
      <c r="Q30" s="19"/>
      <c r="R30" s="19"/>
      <c r="S30" s="19"/>
      <c r="T30" s="157"/>
      <c r="U30" s="160"/>
      <c r="V30" s="161"/>
      <c r="W30" s="1605"/>
      <c r="X30" s="1605"/>
      <c r="Y30" s="1605"/>
      <c r="Z30" s="1605"/>
      <c r="AA30" s="1605"/>
      <c r="AB30" s="1605"/>
      <c r="AC30" s="1605"/>
      <c r="AD30" s="1605"/>
    </row>
    <row r="31" spans="1:30">
      <c r="O31" s="54"/>
      <c r="P31" s="54"/>
      <c r="Q31" s="54"/>
      <c r="R31" s="54"/>
      <c r="S31" s="54"/>
    </row>
    <row r="32" spans="1:30">
      <c r="A32" s="55" t="s">
        <v>39</v>
      </c>
      <c r="O32" s="54"/>
      <c r="P32" s="54"/>
      <c r="Q32" s="54"/>
      <c r="R32" s="750" t="s">
        <v>390</v>
      </c>
      <c r="S32" s="751"/>
      <c r="T32" s="751"/>
    </row>
    <row r="33" spans="1:20">
      <c r="A33" s="56" t="s">
        <v>40</v>
      </c>
      <c r="M33" s="1727" t="s">
        <v>161</v>
      </c>
      <c r="N33" s="1727"/>
      <c r="O33" s="54"/>
      <c r="P33" s="54"/>
      <c r="Q33" s="54"/>
      <c r="R33" s="36"/>
      <c r="S33" s="752" t="s">
        <v>63</v>
      </c>
      <c r="T33" s="753" t="s">
        <v>64</v>
      </c>
    </row>
    <row r="34" spans="1:20">
      <c r="A34" s="56" t="s">
        <v>41</v>
      </c>
      <c r="M34" s="1727"/>
      <c r="N34" s="1727"/>
      <c r="R34" s="36" t="s">
        <v>391</v>
      </c>
      <c r="S34" s="774">
        <f>AVERAGE(AD3:AD8)</f>
        <v>0.76588717030975584</v>
      </c>
      <c r="T34" s="774">
        <f>AVERAGE(AD15:AD20)</f>
        <v>1.0462139149032437</v>
      </c>
    </row>
    <row r="35" spans="1:20">
      <c r="A35" s="56" t="s">
        <v>42</v>
      </c>
      <c r="R35" s="36" t="s">
        <v>25</v>
      </c>
      <c r="S35" s="774">
        <f>AVERAGE(AB3:AB8)</f>
        <v>185.03322783333337</v>
      </c>
      <c r="T35" s="774">
        <f>AVERAGE(AB15:AB20)</f>
        <v>312.87302016666666</v>
      </c>
    </row>
    <row r="36" spans="1:20">
      <c r="A36" s="55" t="s">
        <v>87</v>
      </c>
      <c r="O36" s="54"/>
      <c r="P36" s="54"/>
      <c r="Q36" s="54"/>
      <c r="R36" s="36" t="s">
        <v>392</v>
      </c>
      <c r="S36" s="774">
        <f>AVERAGE(AC3:AC8)</f>
        <v>2.7011428160018962</v>
      </c>
      <c r="T36" s="774">
        <f>AVERAGE(AC15:AC20)</f>
        <v>3.4717247523571668</v>
      </c>
    </row>
    <row r="37" spans="1:20">
      <c r="A37" s="55" t="s">
        <v>44</v>
      </c>
      <c r="O37" s="54"/>
      <c r="P37" s="54"/>
      <c r="Q37" s="54"/>
      <c r="R37" s="36" t="s">
        <v>393</v>
      </c>
      <c r="S37" s="774">
        <f>AVERAGE(U3:U8)</f>
        <v>2.6243043897791192</v>
      </c>
      <c r="T37" s="774">
        <f>AVERAGE(U15:U20)</f>
        <v>3.3726849577224551</v>
      </c>
    </row>
    <row r="38" spans="1:20">
      <c r="A38" s="55" t="s">
        <v>45</v>
      </c>
    </row>
    <row r="39" spans="1:20">
      <c r="A39" s="56" t="s">
        <v>46</v>
      </c>
    </row>
    <row r="40" spans="1:20">
      <c r="A40" s="56" t="s">
        <v>47</v>
      </c>
    </row>
    <row r="41" spans="1:20">
      <c r="A41" s="56" t="s">
        <v>48</v>
      </c>
    </row>
    <row r="42" spans="1:20">
      <c r="A42" s="56" t="s">
        <v>49</v>
      </c>
    </row>
    <row r="44" spans="1:20">
      <c r="A44" s="1" t="s">
        <v>50</v>
      </c>
    </row>
  </sheetData>
  <mergeCells count="5">
    <mergeCell ref="M33:N34"/>
    <mergeCell ref="I1:K1"/>
    <mergeCell ref="L1:T1"/>
    <mergeCell ref="U1:V1"/>
    <mergeCell ref="W1:A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B32"/>
  <sheetViews>
    <sheetView topLeftCell="C1" workbookViewId="0">
      <selection activeCell="U28" sqref="U28"/>
    </sheetView>
  </sheetViews>
  <sheetFormatPr baseColWidth="10" defaultRowHeight="15"/>
  <cols>
    <col min="3" max="4" width="2.7109375" bestFit="1" customWidth="1"/>
    <col min="6" max="6" width="11.42578125" customWidth="1"/>
    <col min="7" max="7" width="1.7109375" customWidth="1"/>
    <col min="8" max="8" width="7.7109375" customWidth="1"/>
    <col min="9" max="9" width="14.28515625" bestFit="1" customWidth="1"/>
    <col min="10" max="10" width="11.140625" bestFit="1" customWidth="1"/>
    <col min="11" max="11" width="8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0.42578125" customWidth="1"/>
    <col min="20" max="20" width="12.42578125" bestFit="1" customWidth="1"/>
    <col min="21" max="21" width="15.5703125" bestFit="1" customWidth="1"/>
    <col min="26" max="26" width="15.85546875" hidden="1" customWidth="1"/>
  </cols>
  <sheetData>
    <row r="1" spans="1:28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692"/>
      <c r="T1" s="1701" t="s">
        <v>2</v>
      </c>
      <c r="U1" s="1801"/>
      <c r="V1" s="1702"/>
      <c r="W1" s="1703" t="s">
        <v>3</v>
      </c>
      <c r="X1" s="1703"/>
      <c r="Y1" s="1704"/>
      <c r="Z1" s="322"/>
      <c r="AA1" s="323"/>
    </row>
    <row r="2" spans="1:28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4" t="s">
        <v>358</v>
      </c>
      <c r="T2" s="693" t="s">
        <v>359</v>
      </c>
      <c r="U2" s="694" t="s">
        <v>360</v>
      </c>
      <c r="V2" s="335" t="s">
        <v>22</v>
      </c>
      <c r="W2" s="324" t="s">
        <v>23</v>
      </c>
      <c r="X2" s="332" t="s">
        <v>24</v>
      </c>
      <c r="Y2" s="330" t="s">
        <v>394</v>
      </c>
      <c r="Z2" s="335" t="s">
        <v>26</v>
      </c>
      <c r="AA2" s="336" t="s">
        <v>27</v>
      </c>
      <c r="AB2" s="1602" t="s">
        <v>395</v>
      </c>
    </row>
    <row r="3" spans="1:28" s="866" customFormat="1" ht="15.75" thickTop="1">
      <c r="A3" s="1130" t="s">
        <v>35</v>
      </c>
      <c r="B3" s="1069">
        <v>43193</v>
      </c>
      <c r="C3" s="1070" t="s">
        <v>361</v>
      </c>
      <c r="D3" s="1070" t="s">
        <v>124</v>
      </c>
      <c r="E3" s="1130" t="s">
        <v>79</v>
      </c>
      <c r="F3" s="1130" t="s">
        <v>158</v>
      </c>
      <c r="G3" s="1726" t="s">
        <v>140</v>
      </c>
      <c r="H3" s="1143">
        <v>40</v>
      </c>
      <c r="I3" s="1785">
        <v>2635</v>
      </c>
      <c r="J3" s="1786"/>
      <c r="K3" s="1137">
        <v>10</v>
      </c>
      <c r="L3" s="1076">
        <f>100*(M3-P3)/M3</f>
        <v>82.802547770700642</v>
      </c>
      <c r="M3" s="1791">
        <v>471</v>
      </c>
      <c r="N3" s="1792"/>
      <c r="O3" s="1095">
        <v>471</v>
      </c>
      <c r="P3" s="1791">
        <v>81</v>
      </c>
      <c r="Q3" s="1792"/>
      <c r="R3" s="1144">
        <v>81</v>
      </c>
      <c r="S3" s="1145">
        <f>R3/O3</f>
        <v>0.17197452229299362</v>
      </c>
      <c r="T3" s="1078">
        <f>O3+I3</f>
        <v>3106</v>
      </c>
      <c r="U3" s="1146">
        <f>(S3*T3)/100</f>
        <v>5.3415286624203819</v>
      </c>
      <c r="V3" s="1078">
        <f>4.48*U3^(-0.25)</f>
        <v>2.9468743811358875</v>
      </c>
      <c r="W3" s="1791">
        <v>3.92</v>
      </c>
      <c r="X3" s="1792"/>
      <c r="Y3" s="1097">
        <v>3.92</v>
      </c>
      <c r="Z3" s="1097"/>
      <c r="AA3" s="1147">
        <f>Y3/V3</f>
        <v>1.3302229728872992</v>
      </c>
      <c r="AB3" s="866">
        <f>Y3*R3</f>
        <v>317.52</v>
      </c>
    </row>
    <row r="4" spans="1:28" s="866" customFormat="1">
      <c r="A4" s="962" t="s">
        <v>35</v>
      </c>
      <c r="B4" s="1069">
        <v>43193</v>
      </c>
      <c r="C4" s="960" t="s">
        <v>127</v>
      </c>
      <c r="D4" s="960" t="s">
        <v>135</v>
      </c>
      <c r="E4" s="962" t="s">
        <v>79</v>
      </c>
      <c r="F4" s="962" t="s">
        <v>166</v>
      </c>
      <c r="G4" s="1705"/>
      <c r="H4" s="964">
        <v>32</v>
      </c>
      <c r="I4" s="1787">
        <v>1794</v>
      </c>
      <c r="J4" s="1788"/>
      <c r="K4" s="965">
        <v>8</v>
      </c>
      <c r="L4" s="1084">
        <f>100*(M4-P4)/M4</f>
        <v>82.446808510638292</v>
      </c>
      <c r="M4" s="1783">
        <v>564</v>
      </c>
      <c r="N4" s="1784"/>
      <c r="O4" s="968">
        <v>564</v>
      </c>
      <c r="P4" s="1783">
        <v>99</v>
      </c>
      <c r="Q4" s="1784"/>
      <c r="R4" s="970">
        <v>99</v>
      </c>
      <c r="S4" s="1148">
        <f>R4/O4</f>
        <v>0.17553191489361702</v>
      </c>
      <c r="T4" s="1085">
        <f>O4+I4</f>
        <v>2358</v>
      </c>
      <c r="U4" s="1146">
        <f>(S4*T4)/100</f>
        <v>4.1390425531914898</v>
      </c>
      <c r="V4" s="1085">
        <f>4.48*U4^(-0.25)</f>
        <v>3.1408922731924163</v>
      </c>
      <c r="W4" s="1783">
        <v>3.72</v>
      </c>
      <c r="X4" s="1784"/>
      <c r="Y4" s="972">
        <v>3.72</v>
      </c>
      <c r="Z4" s="972"/>
      <c r="AA4" s="1149">
        <f>Y4/V4</f>
        <v>1.1843768192084398</v>
      </c>
      <c r="AB4" s="866">
        <f>Y4*R4</f>
        <v>368.28000000000003</v>
      </c>
    </row>
    <row r="5" spans="1:28">
      <c r="A5" s="348"/>
      <c r="B5" s="349"/>
      <c r="C5" s="350"/>
      <c r="D5" s="350"/>
      <c r="E5" s="348"/>
      <c r="F5" s="348"/>
      <c r="G5" s="1705"/>
      <c r="H5" s="351"/>
      <c r="I5" s="1711"/>
      <c r="J5" s="1712"/>
      <c r="K5" s="352"/>
      <c r="L5" s="354"/>
      <c r="M5" s="1715"/>
      <c r="N5" s="1716"/>
      <c r="O5" s="354"/>
      <c r="P5" s="1715"/>
      <c r="Q5" s="1716"/>
      <c r="R5" s="366"/>
      <c r="S5" s="366"/>
      <c r="T5" s="367"/>
      <c r="U5" s="383"/>
      <c r="V5" s="383"/>
      <c r="W5" s="1715"/>
      <c r="X5" s="1716"/>
      <c r="Y5" s="357"/>
      <c r="Z5" s="357"/>
      <c r="AA5" s="358"/>
    </row>
    <row r="6" spans="1:28">
      <c r="A6" s="348"/>
      <c r="B6" s="349"/>
      <c r="C6" s="350"/>
      <c r="D6" s="350"/>
      <c r="E6" s="348"/>
      <c r="F6" s="348"/>
      <c r="G6" s="1705"/>
      <c r="H6" s="351"/>
      <c r="I6" s="1711"/>
      <c r="J6" s="1712"/>
      <c r="K6" s="352"/>
      <c r="L6" s="354"/>
      <c r="M6" s="1715"/>
      <c r="N6" s="1716"/>
      <c r="O6" s="354"/>
      <c r="P6" s="1715"/>
      <c r="Q6" s="1716"/>
      <c r="R6" s="366"/>
      <c r="S6" s="366"/>
      <c r="T6" s="367"/>
      <c r="U6" s="367"/>
      <c r="V6" s="367"/>
      <c r="W6" s="1715"/>
      <c r="X6" s="1716"/>
      <c r="Y6" s="357"/>
      <c r="Z6" s="357"/>
      <c r="AA6" s="358"/>
    </row>
    <row r="7" spans="1:28">
      <c r="A7" s="348"/>
      <c r="B7" s="349"/>
      <c r="C7" s="350"/>
      <c r="D7" s="350"/>
      <c r="E7" s="348"/>
      <c r="F7" s="348"/>
      <c r="G7" s="1705"/>
      <c r="H7" s="351"/>
      <c r="I7" s="1711"/>
      <c r="J7" s="1712"/>
      <c r="K7" s="352"/>
      <c r="L7" s="354"/>
      <c r="M7" s="1715"/>
      <c r="N7" s="1716"/>
      <c r="O7" s="354"/>
      <c r="P7" s="1715"/>
      <c r="Q7" s="1716"/>
      <c r="R7" s="366"/>
      <c r="S7" s="366"/>
      <c r="T7" s="367"/>
      <c r="U7" s="367"/>
      <c r="V7" s="367"/>
      <c r="W7" s="1715"/>
      <c r="X7" s="1716"/>
      <c r="Y7" s="357"/>
      <c r="Z7" s="357"/>
      <c r="AA7" s="358"/>
    </row>
    <row r="8" spans="1:28" ht="15.75" thickBot="1">
      <c r="A8" s="368"/>
      <c r="B8" s="369"/>
      <c r="C8" s="370"/>
      <c r="D8" s="370"/>
      <c r="E8" s="368"/>
      <c r="F8" s="368"/>
      <c r="G8" s="1706"/>
      <c r="H8" s="384"/>
      <c r="I8" s="1717"/>
      <c r="J8" s="1718"/>
      <c r="K8" s="385"/>
      <c r="L8" s="373"/>
      <c r="M8" s="1719"/>
      <c r="N8" s="1720"/>
      <c r="O8" s="373"/>
      <c r="P8" s="1719"/>
      <c r="Q8" s="1720"/>
      <c r="R8" s="374"/>
      <c r="S8" s="374"/>
      <c r="T8" s="375"/>
      <c r="U8" s="375"/>
      <c r="V8" s="375"/>
      <c r="W8" s="1719"/>
      <c r="X8" s="1720"/>
      <c r="Y8" s="376"/>
      <c r="Z8" s="376"/>
      <c r="AA8" s="377"/>
    </row>
    <row r="9" spans="1:28" ht="15.75" thickTop="1"/>
    <row r="13" spans="1:28">
      <c r="L13" s="750" t="s">
        <v>390</v>
      </c>
      <c r="M13" s="751"/>
      <c r="N13" s="751"/>
    </row>
    <row r="14" spans="1:28">
      <c r="L14" s="36"/>
      <c r="M14" s="752" t="s">
        <v>63</v>
      </c>
      <c r="N14" s="753" t="s">
        <v>64</v>
      </c>
    </row>
    <row r="15" spans="1:2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36" t="s">
        <v>391</v>
      </c>
      <c r="M15" s="774">
        <f>AVERAGE(AA3:AA4)</f>
        <v>1.2572998960478694</v>
      </c>
      <c r="N15" s="751"/>
      <c r="O15" s="1"/>
      <c r="P15" s="1"/>
      <c r="Q15" s="1"/>
      <c r="R15" s="1"/>
      <c r="S15" s="1"/>
      <c r="T15" s="4"/>
      <c r="U15" s="4"/>
      <c r="V15" s="4"/>
      <c r="W15" s="1"/>
      <c r="X15" s="1"/>
      <c r="Y15" s="4"/>
      <c r="Z15" s="4"/>
      <c r="AA15" s="4"/>
    </row>
    <row r="16" spans="1:28">
      <c r="A16" s="1"/>
      <c r="C16" s="1"/>
      <c r="D16" s="1"/>
      <c r="E16" s="1"/>
      <c r="F16" s="1"/>
      <c r="L16" s="36" t="s">
        <v>25</v>
      </c>
      <c r="M16" s="774">
        <f>AVERAGE(AB3:AB4)</f>
        <v>342.9</v>
      </c>
      <c r="N16" s="751"/>
      <c r="R16" s="1"/>
      <c r="S16" s="1"/>
      <c r="T16" s="4"/>
      <c r="U16" s="4"/>
      <c r="V16" s="4"/>
      <c r="W16" s="1"/>
      <c r="X16" s="1"/>
      <c r="Y16" s="4"/>
      <c r="Z16" s="4"/>
      <c r="AA16" s="4"/>
    </row>
    <row r="17" spans="1:27">
      <c r="A17" s="55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36" t="s">
        <v>392</v>
      </c>
      <c r="M17" s="774">
        <f>AVERAGE(Y3:Y4)</f>
        <v>3.8200000000000003</v>
      </c>
      <c r="N17" s="36"/>
      <c r="O17" s="1"/>
      <c r="P17" s="1"/>
      <c r="Q17" s="1"/>
      <c r="R17" s="1"/>
      <c r="S17" s="1"/>
      <c r="T17" s="4"/>
      <c r="U17" s="4"/>
      <c r="V17" s="4"/>
      <c r="W17" s="1"/>
      <c r="X17" s="1"/>
      <c r="Y17" s="4"/>
      <c r="Z17" s="4"/>
      <c r="AA17" s="4"/>
    </row>
    <row r="18" spans="1:27">
      <c r="A18" s="56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36" t="s">
        <v>393</v>
      </c>
      <c r="M18" s="774">
        <f>AVERAGE(U3:U4)</f>
        <v>4.7402856078059354</v>
      </c>
      <c r="N18" s="36"/>
      <c r="O18" s="1"/>
      <c r="P18" s="1"/>
      <c r="Q18" s="1"/>
      <c r="R18" s="1"/>
      <c r="S18" s="1"/>
      <c r="T18" s="4"/>
      <c r="U18" s="4"/>
      <c r="V18" s="4"/>
      <c r="W18" s="1"/>
      <c r="X18" s="1"/>
      <c r="Y18" s="4"/>
      <c r="Z18" s="4"/>
      <c r="AA18" s="4"/>
    </row>
    <row r="19" spans="1:27">
      <c r="A19" s="56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4"/>
      <c r="U19" s="4"/>
      <c r="V19" s="4"/>
      <c r="W19" s="1"/>
      <c r="X19" s="1"/>
      <c r="Y19" s="4"/>
      <c r="Z19" s="4"/>
      <c r="AA19" s="4"/>
    </row>
    <row r="20" spans="1:27">
      <c r="A20" s="56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4"/>
      <c r="U20" s="4"/>
      <c r="V20" s="4"/>
      <c r="W20" s="1"/>
      <c r="X20" s="1"/>
      <c r="Y20" s="4"/>
      <c r="Z20" s="4"/>
      <c r="AA20" s="4"/>
    </row>
    <row r="21" spans="1:27">
      <c r="A21" s="55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4"/>
      <c r="U21" s="4"/>
      <c r="V21" s="4"/>
      <c r="W21" s="1"/>
      <c r="X21" s="1"/>
      <c r="Y21" s="4"/>
      <c r="Z21" s="4"/>
      <c r="AA21" s="4"/>
    </row>
    <row r="22" spans="1:27">
      <c r="A22" s="55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4"/>
      <c r="V22" s="4"/>
      <c r="W22" s="1"/>
      <c r="X22" s="1"/>
      <c r="Y22" s="4"/>
      <c r="Z22" s="4"/>
      <c r="AA22" s="4"/>
    </row>
    <row r="23" spans="1:27">
      <c r="A23" s="55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4"/>
      <c r="U23" s="4"/>
      <c r="V23" s="4"/>
      <c r="W23" s="1"/>
      <c r="X23" s="1"/>
      <c r="Y23" s="4"/>
      <c r="Z23" s="4"/>
      <c r="AA23" s="4"/>
    </row>
    <row r="24" spans="1:27">
      <c r="A24" s="56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4"/>
      <c r="U24" s="4"/>
      <c r="V24" s="4"/>
      <c r="W24" s="1"/>
      <c r="X24" s="1"/>
      <c r="Y24" s="4"/>
      <c r="Z24" s="4"/>
      <c r="AA24" s="4"/>
    </row>
    <row r="25" spans="1:27">
      <c r="A25" s="56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4"/>
      <c r="V25" s="4"/>
      <c r="W25" s="1"/>
      <c r="X25" s="1"/>
      <c r="Y25" s="4"/>
      <c r="Z25" s="4"/>
      <c r="AA25" s="4"/>
    </row>
    <row r="26" spans="1:27">
      <c r="A26" s="56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4"/>
      <c r="V26" s="4"/>
      <c r="W26" s="1"/>
      <c r="X26" s="1"/>
      <c r="Y26" s="4"/>
      <c r="Z26" s="4"/>
      <c r="AA26" s="4"/>
    </row>
    <row r="27" spans="1:27">
      <c r="A27" s="56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1"/>
      <c r="Q27" s="1"/>
      <c r="R27" s="1"/>
      <c r="S27" s="1"/>
      <c r="T27" s="4"/>
      <c r="U27" s="4"/>
      <c r="V27" s="4"/>
      <c r="W27" s="1"/>
      <c r="X27" s="1"/>
      <c r="Y27" s="4"/>
      <c r="Z27" s="4"/>
      <c r="AA27" s="4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1"/>
      <c r="T28" s="4"/>
      <c r="U28" s="4"/>
      <c r="V28" s="4"/>
      <c r="W28" s="1"/>
      <c r="X28" s="1"/>
      <c r="Y28" s="4"/>
      <c r="Z28" s="4"/>
      <c r="AA28" s="4"/>
    </row>
    <row r="29" spans="1:27">
      <c r="A29" s="1" t="s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1"/>
      <c r="T29" s="4"/>
      <c r="U29" s="4"/>
      <c r="V29" s="4"/>
      <c r="W29" s="1"/>
      <c r="X29" s="1"/>
      <c r="Y29" s="4"/>
      <c r="Z29" s="4"/>
      <c r="AA29" s="4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1"/>
      <c r="Q30" s="1"/>
      <c r="R30" s="1"/>
      <c r="S30" s="1"/>
      <c r="T30" s="4"/>
      <c r="U30" s="4"/>
      <c r="V30" s="4"/>
      <c r="W30" s="1"/>
      <c r="X30" s="1"/>
      <c r="Y30" s="4"/>
      <c r="Z30" s="4"/>
      <c r="AA30" s="4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1"/>
      <c r="Q31" s="1"/>
      <c r="R31" s="1"/>
      <c r="S31" s="1"/>
      <c r="T31" s="4"/>
      <c r="U31" s="4"/>
      <c r="V31" s="4"/>
      <c r="W31" s="1"/>
      <c r="X31" s="1"/>
      <c r="Y31" s="4"/>
      <c r="Z31" s="4"/>
      <c r="AA31" s="4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1"/>
      <c r="Q32" s="1"/>
      <c r="R32" s="1"/>
      <c r="S32" s="1"/>
      <c r="T32" s="4"/>
      <c r="U32" s="4"/>
      <c r="V32" s="4"/>
      <c r="W32" s="1"/>
      <c r="X32" s="1"/>
      <c r="Y32" s="4"/>
      <c r="Z32" s="4"/>
      <c r="AA32" s="4"/>
    </row>
  </sheetData>
  <mergeCells count="29">
    <mergeCell ref="W5:X5"/>
    <mergeCell ref="I8:J8"/>
    <mergeCell ref="M8:N8"/>
    <mergeCell ref="P8:Q8"/>
    <mergeCell ref="W8:X8"/>
    <mergeCell ref="I6:J6"/>
    <mergeCell ref="M6:N6"/>
    <mergeCell ref="P6:Q6"/>
    <mergeCell ref="W6:X6"/>
    <mergeCell ref="I7:J7"/>
    <mergeCell ref="M7:N7"/>
    <mergeCell ref="P7:Q7"/>
    <mergeCell ref="W7:X7"/>
    <mergeCell ref="H1:J1"/>
    <mergeCell ref="K1:R1"/>
    <mergeCell ref="T1:V1"/>
    <mergeCell ref="W1:Y1"/>
    <mergeCell ref="G3:G8"/>
    <mergeCell ref="I3:J3"/>
    <mergeCell ref="M3:N3"/>
    <mergeCell ref="P3:Q3"/>
    <mergeCell ref="W3:X3"/>
    <mergeCell ref="I4:J4"/>
    <mergeCell ref="M4:N4"/>
    <mergeCell ref="P4:Q4"/>
    <mergeCell ref="W4:X4"/>
    <mergeCell ref="I5:J5"/>
    <mergeCell ref="M5:N5"/>
    <mergeCell ref="P5:Q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B32"/>
  <sheetViews>
    <sheetView topLeftCell="G1" workbookViewId="0">
      <selection activeCell="P26" sqref="P26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0.42578125" customWidth="1"/>
    <col min="20" max="20" width="12.42578125" bestFit="1" customWidth="1"/>
    <col min="21" max="21" width="15.5703125" bestFit="1" customWidth="1"/>
    <col min="26" max="26" width="15.85546875" hidden="1" customWidth="1"/>
  </cols>
  <sheetData>
    <row r="1" spans="1:28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692"/>
      <c r="T1" s="1701" t="s">
        <v>2</v>
      </c>
      <c r="U1" s="1802"/>
      <c r="V1" s="1702"/>
      <c r="W1" s="1703" t="s">
        <v>3</v>
      </c>
      <c r="X1" s="1703"/>
      <c r="Y1" s="1704"/>
      <c r="Z1" s="322"/>
      <c r="AA1" s="323"/>
    </row>
    <row r="2" spans="1:28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4" t="s">
        <v>358</v>
      </c>
      <c r="T2" s="330" t="s">
        <v>362</v>
      </c>
      <c r="U2" s="694" t="s">
        <v>360</v>
      </c>
      <c r="V2" s="335" t="s">
        <v>22</v>
      </c>
      <c r="W2" s="324" t="s">
        <v>23</v>
      </c>
      <c r="X2" s="332" t="s">
        <v>24</v>
      </c>
      <c r="Y2" s="330" t="s">
        <v>394</v>
      </c>
      <c r="Z2" s="335" t="s">
        <v>26</v>
      </c>
      <c r="AA2" s="336" t="s">
        <v>27</v>
      </c>
      <c r="AB2" s="1602" t="s">
        <v>396</v>
      </c>
    </row>
    <row r="3" spans="1:28" s="844" customFormat="1" ht="15.75" thickTop="1">
      <c r="A3" s="1275" t="s">
        <v>35</v>
      </c>
      <c r="B3" s="1273">
        <v>43193</v>
      </c>
      <c r="C3" s="1272" t="s">
        <v>363</v>
      </c>
      <c r="D3" s="1272" t="s">
        <v>133</v>
      </c>
      <c r="E3" s="1275" t="s">
        <v>82</v>
      </c>
      <c r="F3" s="1275" t="s">
        <v>158</v>
      </c>
      <c r="G3" s="1705" t="s">
        <v>140</v>
      </c>
      <c r="H3" s="1472">
        <v>37</v>
      </c>
      <c r="I3" s="1793">
        <v>1907</v>
      </c>
      <c r="J3" s="1794"/>
      <c r="K3" s="1473">
        <v>10</v>
      </c>
      <c r="L3" s="1484">
        <f>100*(M3-P3)/M3</f>
        <v>83.391003460207614</v>
      </c>
      <c r="M3" s="1795">
        <v>578</v>
      </c>
      <c r="N3" s="1796"/>
      <c r="O3" s="1474">
        <v>578</v>
      </c>
      <c r="P3" s="1795">
        <v>96</v>
      </c>
      <c r="Q3" s="1796"/>
      <c r="R3" s="1475">
        <v>96</v>
      </c>
      <c r="S3" s="1485">
        <f>R3/O3</f>
        <v>0.16608996539792387</v>
      </c>
      <c r="T3" s="1476">
        <f>O3+I3</f>
        <v>2485</v>
      </c>
      <c r="U3" s="1486">
        <f>(S3*T3)/100</f>
        <v>4.1273356401384085</v>
      </c>
      <c r="V3" s="1476">
        <f>4.48*U3^(-0.25)</f>
        <v>3.1431171410918179</v>
      </c>
      <c r="W3" s="1795">
        <v>4.33</v>
      </c>
      <c r="X3" s="1796"/>
      <c r="Y3" s="1478">
        <v>4.33</v>
      </c>
      <c r="Z3" s="1478"/>
      <c r="AA3" s="1487">
        <f>Y3/V3</f>
        <v>1.3776133073092838</v>
      </c>
      <c r="AB3" s="844">
        <f>Y3*R3</f>
        <v>415.68</v>
      </c>
    </row>
    <row r="4" spans="1:28" s="844" customFormat="1">
      <c r="A4" s="1284" t="s">
        <v>35</v>
      </c>
      <c r="B4" s="1283">
        <v>43193</v>
      </c>
      <c r="C4" s="1274" t="s">
        <v>361</v>
      </c>
      <c r="D4" s="1274" t="s">
        <v>115</v>
      </c>
      <c r="E4" s="1284" t="s">
        <v>82</v>
      </c>
      <c r="F4" s="1284" t="s">
        <v>166</v>
      </c>
      <c r="G4" s="1705"/>
      <c r="H4" s="1286">
        <v>38</v>
      </c>
      <c r="I4" s="1797">
        <v>991</v>
      </c>
      <c r="J4" s="1798"/>
      <c r="K4" s="1287">
        <v>9</v>
      </c>
      <c r="L4" s="1488">
        <f>100*(M4-P4)/M4</f>
        <v>79.336734693877546</v>
      </c>
      <c r="M4" s="1797">
        <v>392</v>
      </c>
      <c r="N4" s="1798"/>
      <c r="O4" s="1290">
        <v>392</v>
      </c>
      <c r="P4" s="1797">
        <v>81</v>
      </c>
      <c r="Q4" s="1798"/>
      <c r="R4" s="1480">
        <v>81</v>
      </c>
      <c r="S4" s="1489">
        <f>R4/O4</f>
        <v>0.2066326530612245</v>
      </c>
      <c r="T4" s="1490">
        <f>O4+I4</f>
        <v>1383</v>
      </c>
      <c r="U4" s="1486">
        <f>(S4*T4)/100</f>
        <v>2.8577295918367351</v>
      </c>
      <c r="V4" s="1490">
        <f>4.48*U4^(-0.25)</f>
        <v>3.4456624573360046</v>
      </c>
      <c r="W4" s="1797">
        <v>4.68</v>
      </c>
      <c r="X4" s="1798"/>
      <c r="Y4" s="1292">
        <v>4.68</v>
      </c>
      <c r="Z4" s="1292"/>
      <c r="AA4" s="1491">
        <f>Y4/V4</f>
        <v>1.3582293848998537</v>
      </c>
      <c r="AB4" s="844">
        <f t="shared" ref="AB4:AB10" si="0">Y4*R4</f>
        <v>379.08</v>
      </c>
    </row>
    <row r="5" spans="1:28">
      <c r="A5" s="348"/>
      <c r="B5" s="349"/>
      <c r="C5" s="350"/>
      <c r="D5" s="350"/>
      <c r="E5" s="348"/>
      <c r="F5" s="348"/>
      <c r="G5" s="1705"/>
      <c r="H5" s="351"/>
      <c r="I5" s="1711"/>
      <c r="J5" s="1712"/>
      <c r="K5" s="352"/>
      <c r="L5" s="359"/>
      <c r="M5" s="1713"/>
      <c r="N5" s="1714"/>
      <c r="O5" s="360"/>
      <c r="P5" s="1713"/>
      <c r="Q5" s="1714"/>
      <c r="R5" s="361"/>
      <c r="S5" s="695"/>
      <c r="T5" s="362"/>
      <c r="U5" s="362"/>
      <c r="V5" s="362"/>
      <c r="W5" s="1713"/>
      <c r="X5" s="1714"/>
      <c r="Y5" s="363"/>
      <c r="Z5" s="363"/>
      <c r="AA5" s="364"/>
      <c r="AB5" s="844">
        <f t="shared" si="0"/>
        <v>0</v>
      </c>
    </row>
    <row r="6" spans="1:28">
      <c r="A6" s="348"/>
      <c r="B6" s="349"/>
      <c r="C6" s="350"/>
      <c r="D6" s="350"/>
      <c r="E6" s="348"/>
      <c r="F6" s="348"/>
      <c r="G6" s="1705"/>
      <c r="H6" s="365"/>
      <c r="I6" s="1711"/>
      <c r="J6" s="1712"/>
      <c r="K6" s="352"/>
      <c r="L6" s="354"/>
      <c r="M6" s="1715"/>
      <c r="N6" s="1716"/>
      <c r="O6" s="354"/>
      <c r="P6" s="1715"/>
      <c r="Q6" s="1716"/>
      <c r="R6" s="366"/>
      <c r="S6" s="366"/>
      <c r="T6" s="367"/>
      <c r="U6" s="367"/>
      <c r="V6" s="367"/>
      <c r="W6" s="1715"/>
      <c r="X6" s="1716"/>
      <c r="Y6" s="357"/>
      <c r="Z6" s="357"/>
      <c r="AA6" s="358"/>
      <c r="AB6" s="844">
        <f t="shared" si="0"/>
        <v>0</v>
      </c>
    </row>
    <row r="7" spans="1:28">
      <c r="A7" s="348"/>
      <c r="B7" s="349"/>
      <c r="C7" s="350"/>
      <c r="D7" s="350"/>
      <c r="E7" s="348"/>
      <c r="F7" s="348"/>
      <c r="G7" s="1705"/>
      <c r="H7" s="351"/>
      <c r="I7" s="1711"/>
      <c r="J7" s="1712"/>
      <c r="K7" s="352"/>
      <c r="L7" s="354"/>
      <c r="M7" s="1715"/>
      <c r="N7" s="1716"/>
      <c r="O7" s="354"/>
      <c r="P7" s="1715"/>
      <c r="Q7" s="1716"/>
      <c r="R7" s="366"/>
      <c r="S7" s="366"/>
      <c r="T7" s="367"/>
      <c r="U7" s="367"/>
      <c r="V7" s="367"/>
      <c r="W7" s="1715"/>
      <c r="X7" s="1716"/>
      <c r="Y7" s="357"/>
      <c r="Z7" s="357"/>
      <c r="AA7" s="358"/>
      <c r="AB7" s="844">
        <f t="shared" si="0"/>
        <v>0</v>
      </c>
    </row>
    <row r="8" spans="1:28" ht="15.75" thickBot="1">
      <c r="A8" s="368"/>
      <c r="B8" s="369"/>
      <c r="C8" s="370"/>
      <c r="D8" s="370"/>
      <c r="E8" s="368"/>
      <c r="F8" s="368"/>
      <c r="G8" s="1706"/>
      <c r="H8" s="371"/>
      <c r="I8" s="1717"/>
      <c r="J8" s="1718"/>
      <c r="K8" s="372"/>
      <c r="L8" s="373"/>
      <c r="M8" s="1719"/>
      <c r="N8" s="1720"/>
      <c r="O8" s="373"/>
      <c r="P8" s="1719"/>
      <c r="Q8" s="1720"/>
      <c r="R8" s="374"/>
      <c r="S8" s="374"/>
      <c r="T8" s="375"/>
      <c r="U8" s="375"/>
      <c r="V8" s="375"/>
      <c r="W8" s="1719"/>
      <c r="X8" s="1720"/>
      <c r="Y8" s="376"/>
      <c r="Z8" s="376"/>
      <c r="AA8" s="377"/>
      <c r="AB8" s="844">
        <f t="shared" si="0"/>
        <v>0</v>
      </c>
    </row>
    <row r="9" spans="1:28" s="866" customFormat="1" ht="15.75" thickTop="1">
      <c r="A9" s="1130" t="s">
        <v>35</v>
      </c>
      <c r="B9" s="1069">
        <v>43193</v>
      </c>
      <c r="C9" s="1070" t="s">
        <v>364</v>
      </c>
      <c r="D9" s="1070" t="s">
        <v>149</v>
      </c>
      <c r="E9" s="1130" t="s">
        <v>79</v>
      </c>
      <c r="F9" s="1130" t="s">
        <v>158</v>
      </c>
      <c r="G9" s="1726" t="s">
        <v>140</v>
      </c>
      <c r="H9" s="1143">
        <v>23</v>
      </c>
      <c r="I9" s="1785">
        <v>1089</v>
      </c>
      <c r="J9" s="1786"/>
      <c r="K9" s="1137">
        <v>6</v>
      </c>
      <c r="L9" s="1076">
        <f>100*(M9-P9)/M9</f>
        <v>81.015452538631351</v>
      </c>
      <c r="M9" s="1791">
        <v>453</v>
      </c>
      <c r="N9" s="1792"/>
      <c r="O9" s="1095">
        <v>453</v>
      </c>
      <c r="P9" s="1791">
        <v>86</v>
      </c>
      <c r="Q9" s="1792"/>
      <c r="R9" s="1144">
        <v>86</v>
      </c>
      <c r="S9" s="1145">
        <f>R9/O9</f>
        <v>0.18984547461368653</v>
      </c>
      <c r="T9" s="1078">
        <f>O9+I9</f>
        <v>1542</v>
      </c>
      <c r="U9" s="1146">
        <f>(S9*T9)/100</f>
        <v>2.927417218543046</v>
      </c>
      <c r="V9" s="1078">
        <f>4.48*U9^(-0.25)</f>
        <v>3.424970682078528</v>
      </c>
      <c r="W9" s="1791">
        <v>4.09</v>
      </c>
      <c r="X9" s="1792"/>
      <c r="Y9" s="1097">
        <v>4.09</v>
      </c>
      <c r="Z9" s="1097"/>
      <c r="AA9" s="1147">
        <f>Y9/V9</f>
        <v>1.1941708060163254</v>
      </c>
      <c r="AB9" s="844">
        <f t="shared" si="0"/>
        <v>351.74</v>
      </c>
    </row>
    <row r="10" spans="1:28" s="866" customFormat="1">
      <c r="A10" s="962" t="s">
        <v>35</v>
      </c>
      <c r="B10" s="961">
        <v>43193</v>
      </c>
      <c r="C10" s="960" t="s">
        <v>127</v>
      </c>
      <c r="D10" s="960" t="s">
        <v>157</v>
      </c>
      <c r="E10" s="962" t="s">
        <v>79</v>
      </c>
      <c r="F10" s="962" t="s">
        <v>166</v>
      </c>
      <c r="G10" s="1705"/>
      <c r="H10" s="964">
        <v>32</v>
      </c>
      <c r="I10" s="1787">
        <v>1223</v>
      </c>
      <c r="J10" s="1788"/>
      <c r="K10" s="965">
        <v>8</v>
      </c>
      <c r="L10" s="1084">
        <f>100*(M10-P10)/M10</f>
        <v>76.689189189189193</v>
      </c>
      <c r="M10" s="1783">
        <v>296</v>
      </c>
      <c r="N10" s="1784"/>
      <c r="O10" s="968">
        <v>296</v>
      </c>
      <c r="P10" s="1783">
        <v>69</v>
      </c>
      <c r="Q10" s="1784"/>
      <c r="R10" s="970">
        <v>69</v>
      </c>
      <c r="S10" s="1148">
        <f>R10/O10</f>
        <v>0.23310810810810811</v>
      </c>
      <c r="T10" s="1085">
        <f>O10+I10</f>
        <v>1519</v>
      </c>
      <c r="U10" s="1146">
        <f>(S10*T10)/100</f>
        <v>3.5409121621621624</v>
      </c>
      <c r="V10" s="1085">
        <f>4.48*U10^(-0.25)</f>
        <v>3.265872498366174</v>
      </c>
      <c r="W10" s="1783">
        <v>3.88</v>
      </c>
      <c r="X10" s="1784"/>
      <c r="Y10" s="972">
        <v>3.88</v>
      </c>
      <c r="Z10" s="972"/>
      <c r="AA10" s="1149">
        <f>Y10/V10</f>
        <v>1.1880439306620381</v>
      </c>
      <c r="AB10" s="844">
        <f t="shared" si="0"/>
        <v>267.71999999999997</v>
      </c>
    </row>
    <row r="11" spans="1:28">
      <c r="A11" s="348"/>
      <c r="B11" s="349"/>
      <c r="C11" s="350"/>
      <c r="D11" s="350"/>
      <c r="E11" s="348"/>
      <c r="F11" s="348"/>
      <c r="G11" s="1705"/>
      <c r="H11" s="351"/>
      <c r="I11" s="1711"/>
      <c r="J11" s="1712"/>
      <c r="K11" s="352"/>
      <c r="L11" s="354"/>
      <c r="M11" s="1715"/>
      <c r="N11" s="1716"/>
      <c r="O11" s="354"/>
      <c r="P11" s="1715"/>
      <c r="Q11" s="1716"/>
      <c r="R11" s="366"/>
      <c r="S11" s="366"/>
      <c r="T11" s="367"/>
      <c r="U11" s="383"/>
      <c r="V11" s="383"/>
      <c r="W11" s="1715"/>
      <c r="X11" s="1716"/>
      <c r="Y11" s="357"/>
      <c r="Z11" s="357"/>
      <c r="AA11" s="358"/>
    </row>
    <row r="12" spans="1:28">
      <c r="A12" s="348"/>
      <c r="B12" s="349"/>
      <c r="C12" s="350"/>
      <c r="D12" s="350"/>
      <c r="E12" s="348"/>
      <c r="F12" s="348"/>
      <c r="G12" s="1705"/>
      <c r="H12" s="351"/>
      <c r="I12" s="1711"/>
      <c r="J12" s="1712"/>
      <c r="K12" s="352"/>
      <c r="L12" s="354"/>
      <c r="M12" s="1715"/>
      <c r="N12" s="1716"/>
      <c r="O12" s="354"/>
      <c r="P12" s="1715"/>
      <c r="Q12" s="1716"/>
      <c r="R12" s="366"/>
      <c r="S12" s="366"/>
      <c r="T12" s="367"/>
      <c r="U12" s="367"/>
      <c r="V12" s="367"/>
      <c r="W12" s="1715"/>
      <c r="X12" s="1716"/>
      <c r="Y12" s="357"/>
      <c r="Z12" s="357"/>
      <c r="AA12" s="358"/>
    </row>
    <row r="13" spans="1:28">
      <c r="A13" s="348"/>
      <c r="B13" s="349"/>
      <c r="C13" s="350"/>
      <c r="D13" s="350"/>
      <c r="E13" s="348"/>
      <c r="F13" s="348"/>
      <c r="G13" s="1705"/>
      <c r="H13" s="351"/>
      <c r="I13" s="1711"/>
      <c r="J13" s="1712"/>
      <c r="K13" s="352"/>
      <c r="L13" s="354"/>
      <c r="M13" s="1715"/>
      <c r="N13" s="1716"/>
      <c r="O13" s="354"/>
      <c r="P13" s="1715"/>
      <c r="Q13" s="1716"/>
      <c r="R13" s="366"/>
      <c r="S13" s="366"/>
      <c r="T13" s="367"/>
      <c r="U13" s="367"/>
      <c r="V13" s="367"/>
      <c r="W13" s="1715"/>
      <c r="X13" s="1716"/>
      <c r="Y13" s="357"/>
      <c r="Z13" s="357"/>
      <c r="AA13" s="358"/>
    </row>
    <row r="14" spans="1:28" ht="15.75" thickBot="1">
      <c r="A14" s="368"/>
      <c r="B14" s="369"/>
      <c r="C14" s="370"/>
      <c r="D14" s="370"/>
      <c r="E14" s="368"/>
      <c r="F14" s="368"/>
      <c r="G14" s="1706"/>
      <c r="H14" s="384"/>
      <c r="I14" s="1717"/>
      <c r="J14" s="1718"/>
      <c r="K14" s="385"/>
      <c r="L14" s="373"/>
      <c r="M14" s="1719"/>
      <c r="N14" s="1720"/>
      <c r="O14" s="373"/>
      <c r="P14" s="1719"/>
      <c r="Q14" s="1720"/>
      <c r="R14" s="374"/>
      <c r="S14" s="374"/>
      <c r="T14" s="375"/>
      <c r="U14" s="375"/>
      <c r="V14" s="375"/>
      <c r="W14" s="1719"/>
      <c r="X14" s="1720"/>
      <c r="Y14" s="376"/>
      <c r="Z14" s="376"/>
      <c r="AA14" s="377"/>
    </row>
    <row r="15" spans="1:28" ht="15.7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/>
      <c r="U15" s="4"/>
      <c r="V15" s="4"/>
      <c r="W15" s="1"/>
      <c r="X15" s="1"/>
      <c r="Y15" s="4"/>
      <c r="Z15" s="4"/>
      <c r="AA15" s="4"/>
    </row>
    <row r="16" spans="1:28">
      <c r="A16" s="1"/>
      <c r="C16" s="1"/>
      <c r="D16" s="1"/>
      <c r="E16" s="1"/>
      <c r="F16" s="1"/>
      <c r="P16" s="750" t="s">
        <v>390</v>
      </c>
      <c r="Q16" s="751"/>
      <c r="R16" s="751"/>
      <c r="S16" s="1"/>
      <c r="T16" s="4"/>
      <c r="U16" s="4"/>
      <c r="V16" s="4"/>
      <c r="W16" s="1"/>
      <c r="X16" s="1"/>
      <c r="Y16" s="4"/>
      <c r="Z16" s="4"/>
      <c r="AA16" s="4"/>
    </row>
    <row r="17" spans="1:27">
      <c r="A17" s="55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6"/>
      <c r="Q17" s="752" t="s">
        <v>63</v>
      </c>
      <c r="R17" s="753" t="s">
        <v>64</v>
      </c>
      <c r="S17" s="1"/>
      <c r="T17" s="4"/>
      <c r="U17" s="4"/>
      <c r="V17" s="4"/>
      <c r="W17" s="1"/>
      <c r="X17" s="1"/>
      <c r="Y17" s="4"/>
      <c r="Z17" s="4"/>
      <c r="AA17" s="4"/>
    </row>
    <row r="18" spans="1:27">
      <c r="A18" s="56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6" t="s">
        <v>391</v>
      </c>
      <c r="Q18" s="774">
        <f>AVERAGE(AA9:AA10)</f>
        <v>1.1911073683391817</v>
      </c>
      <c r="R18" s="774">
        <f>AVERAGE(AA3:AA4)</f>
        <v>1.3679213461045687</v>
      </c>
      <c r="S18" s="1"/>
      <c r="T18" s="4"/>
      <c r="U18" s="4"/>
      <c r="V18" s="4"/>
      <c r="W18" s="1"/>
      <c r="X18" s="1"/>
      <c r="Y18" s="4"/>
      <c r="Z18" s="4"/>
      <c r="AA18" s="4"/>
    </row>
    <row r="19" spans="1:27">
      <c r="A19" s="56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6" t="s">
        <v>25</v>
      </c>
      <c r="Q19" s="774">
        <f>AVERAGE(AB9:AB10)</f>
        <v>309.73</v>
      </c>
      <c r="R19" s="774">
        <f>AVERAGE(AB3:AB4)</f>
        <v>397.38</v>
      </c>
      <c r="S19" s="1"/>
      <c r="T19" s="4"/>
      <c r="U19" s="4"/>
      <c r="V19" s="4"/>
      <c r="W19" s="1"/>
      <c r="X19" s="1"/>
      <c r="Y19" s="4"/>
      <c r="Z19" s="4"/>
      <c r="AA19" s="4"/>
    </row>
    <row r="20" spans="1:27">
      <c r="A20" s="56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6" t="s">
        <v>392</v>
      </c>
      <c r="Q20" s="774">
        <f>AVERAGE(Y9:Y10)</f>
        <v>3.9849999999999999</v>
      </c>
      <c r="R20" s="774">
        <f>AVERAGE(Y3:Y4)</f>
        <v>4.5049999999999999</v>
      </c>
      <c r="S20" s="1"/>
      <c r="T20" s="4"/>
      <c r="U20" s="4"/>
      <c r="V20" s="4"/>
      <c r="W20" s="1"/>
      <c r="X20" s="1"/>
      <c r="Y20" s="4"/>
      <c r="Z20" s="4"/>
      <c r="AA20" s="4"/>
    </row>
    <row r="21" spans="1:27">
      <c r="A21" s="55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6" t="s">
        <v>393</v>
      </c>
      <c r="Q21" s="774">
        <f>AVERAGE(U9:U10)</f>
        <v>3.2341646903526042</v>
      </c>
      <c r="R21" s="774">
        <f>AVERAGE(U3:U4)</f>
        <v>3.4925326159875718</v>
      </c>
      <c r="S21" s="1"/>
      <c r="T21" s="4"/>
      <c r="U21" s="4"/>
      <c r="V21" s="4"/>
      <c r="W21" s="1"/>
      <c r="X21" s="1"/>
      <c r="Y21" s="4"/>
      <c r="Z21" s="4"/>
      <c r="AA21" s="4"/>
    </row>
    <row r="22" spans="1:27">
      <c r="A22" s="55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4"/>
      <c r="V22" s="4"/>
      <c r="W22" s="1"/>
      <c r="X22" s="1"/>
      <c r="Y22" s="4"/>
      <c r="Z22" s="4"/>
      <c r="AA22" s="4"/>
    </row>
    <row r="23" spans="1:27">
      <c r="A23" s="55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4"/>
      <c r="U23" s="4"/>
      <c r="V23" s="4"/>
      <c r="W23" s="1"/>
      <c r="X23" s="1"/>
      <c r="Y23" s="4"/>
      <c r="Z23" s="4"/>
      <c r="AA23" s="4"/>
    </row>
    <row r="24" spans="1:27">
      <c r="A24" s="56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4"/>
      <c r="U24" s="4"/>
      <c r="V24" s="4"/>
      <c r="W24" s="1"/>
      <c r="X24" s="1"/>
      <c r="Y24" s="4"/>
      <c r="Z24" s="4"/>
      <c r="AA24" s="4"/>
    </row>
    <row r="25" spans="1:27">
      <c r="A25" s="56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4"/>
      <c r="V25" s="4"/>
      <c r="W25" s="1"/>
      <c r="X25" s="1"/>
      <c r="Y25" s="4"/>
      <c r="Z25" s="4"/>
      <c r="AA25" s="4"/>
    </row>
    <row r="26" spans="1:27">
      <c r="A26" s="56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4"/>
      <c r="V26" s="4"/>
      <c r="W26" s="1"/>
      <c r="X26" s="1"/>
      <c r="Y26" s="4"/>
      <c r="Z26" s="4"/>
      <c r="AA26" s="4"/>
    </row>
    <row r="27" spans="1:27">
      <c r="A27" s="56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1"/>
      <c r="Q27" s="1"/>
      <c r="R27" s="1"/>
      <c r="S27" s="1"/>
      <c r="T27" s="4"/>
      <c r="U27" s="4"/>
      <c r="V27" s="4"/>
      <c r="W27" s="1"/>
      <c r="X27" s="1"/>
      <c r="Y27" s="4"/>
      <c r="Z27" s="4"/>
      <c r="AA27" s="4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1"/>
      <c r="T28" s="4"/>
      <c r="U28" s="4"/>
      <c r="V28" s="4"/>
      <c r="W28" s="1"/>
      <c r="X28" s="1"/>
      <c r="Y28" s="4"/>
      <c r="Z28" s="4"/>
      <c r="AA28" s="4"/>
    </row>
    <row r="29" spans="1:27">
      <c r="A29" s="1" t="s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1"/>
      <c r="T29" s="4"/>
      <c r="U29" s="4"/>
      <c r="V29" s="4"/>
      <c r="W29" s="1"/>
      <c r="X29" s="1"/>
      <c r="Y29" s="4"/>
      <c r="Z29" s="4"/>
      <c r="AA29" s="4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1"/>
      <c r="Q30" s="1"/>
      <c r="R30" s="1"/>
      <c r="S30" s="1"/>
      <c r="T30" s="4"/>
      <c r="U30" s="4"/>
      <c r="V30" s="4"/>
      <c r="W30" s="1"/>
      <c r="X30" s="1"/>
      <c r="Y30" s="4"/>
      <c r="Z30" s="4"/>
      <c r="AA30" s="4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1"/>
      <c r="Q31" s="1"/>
      <c r="R31" s="1"/>
      <c r="S31" s="1"/>
      <c r="T31" s="4"/>
      <c r="U31" s="4"/>
      <c r="V31" s="4"/>
      <c r="W31" s="1"/>
      <c r="X31" s="1"/>
      <c r="Y31" s="4"/>
      <c r="Z31" s="4"/>
      <c r="AA31" s="4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1"/>
      <c r="Q32" s="1"/>
      <c r="R32" s="1"/>
      <c r="S32" s="1"/>
      <c r="T32" s="4"/>
      <c r="U32" s="4"/>
      <c r="V32" s="4"/>
      <c r="W32" s="1"/>
      <c r="X32" s="1"/>
      <c r="Y32" s="4"/>
      <c r="Z32" s="4"/>
      <c r="AA32" s="4"/>
    </row>
  </sheetData>
  <mergeCells count="54">
    <mergeCell ref="W14:X14"/>
    <mergeCell ref="I12:J12"/>
    <mergeCell ref="M12:N12"/>
    <mergeCell ref="P12:Q12"/>
    <mergeCell ref="W12:X12"/>
    <mergeCell ref="I13:J13"/>
    <mergeCell ref="M13:N13"/>
    <mergeCell ref="P13:Q13"/>
    <mergeCell ref="W13:X13"/>
    <mergeCell ref="G9:G14"/>
    <mergeCell ref="I9:J9"/>
    <mergeCell ref="M9:N9"/>
    <mergeCell ref="P9:Q9"/>
    <mergeCell ref="W9:X9"/>
    <mergeCell ref="I10:J10"/>
    <mergeCell ref="M10:N10"/>
    <mergeCell ref="P10:Q10"/>
    <mergeCell ref="W10:X10"/>
    <mergeCell ref="I11:J11"/>
    <mergeCell ref="M11:N11"/>
    <mergeCell ref="P11:Q11"/>
    <mergeCell ref="W11:X11"/>
    <mergeCell ref="I14:J14"/>
    <mergeCell ref="M14:N14"/>
    <mergeCell ref="P14:Q14"/>
    <mergeCell ref="I7:J7"/>
    <mergeCell ref="M7:N7"/>
    <mergeCell ref="P7:Q7"/>
    <mergeCell ref="W7:X7"/>
    <mergeCell ref="I8:J8"/>
    <mergeCell ref="M8:N8"/>
    <mergeCell ref="P8:Q8"/>
    <mergeCell ref="W8:X8"/>
    <mergeCell ref="W5:X5"/>
    <mergeCell ref="I6:J6"/>
    <mergeCell ref="M6:N6"/>
    <mergeCell ref="P6:Q6"/>
    <mergeCell ref="W6:X6"/>
    <mergeCell ref="H1:J1"/>
    <mergeCell ref="K1:R1"/>
    <mergeCell ref="T1:V1"/>
    <mergeCell ref="W1:Y1"/>
    <mergeCell ref="G3:G8"/>
    <mergeCell ref="I3:J3"/>
    <mergeCell ref="M3:N3"/>
    <mergeCell ref="P3:Q3"/>
    <mergeCell ref="W3:X3"/>
    <mergeCell ref="I4:J4"/>
    <mergeCell ref="M4:N4"/>
    <mergeCell ref="P4:Q4"/>
    <mergeCell ref="W4:X4"/>
    <mergeCell ref="I5:J5"/>
    <mergeCell ref="M5:N5"/>
    <mergeCell ref="P5:Q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Y27"/>
  <sheetViews>
    <sheetView workbookViewId="0">
      <selection activeCell="U2" sqref="U2:Y4"/>
    </sheetView>
  </sheetViews>
  <sheetFormatPr baseColWidth="10" defaultRowHeight="15"/>
  <cols>
    <col min="3" max="4" width="2.7109375" bestFit="1" customWidth="1"/>
    <col min="8" max="8" width="4.140625" bestFit="1" customWidth="1"/>
    <col min="9" max="9" width="5.28515625" bestFit="1" customWidth="1"/>
    <col min="10" max="10" width="4.42578125" bestFit="1" customWidth="1"/>
    <col min="11" max="11" width="4.140625" bestFit="1" customWidth="1"/>
    <col min="12" max="12" width="6.140625" bestFit="1" customWidth="1"/>
    <col min="13" max="13" width="11.28515625" customWidth="1"/>
  </cols>
  <sheetData>
    <row r="1" spans="1:25" ht="20.25" thickTop="1" thickBot="1">
      <c r="C1" s="2"/>
      <c r="D1" s="2"/>
      <c r="E1" s="2"/>
      <c r="F1" s="2"/>
      <c r="G1" s="321"/>
      <c r="H1" s="1803" t="s">
        <v>1</v>
      </c>
      <c r="I1" s="1804"/>
      <c r="J1" s="1805"/>
      <c r="K1" s="1803" t="s">
        <v>0</v>
      </c>
      <c r="L1" s="1805"/>
      <c r="M1" s="696" t="s">
        <v>365</v>
      </c>
      <c r="N1" s="697" t="s">
        <v>366</v>
      </c>
      <c r="O1" s="698" t="s">
        <v>367</v>
      </c>
      <c r="P1" s="698" t="s">
        <v>368</v>
      </c>
      <c r="Q1" s="699" t="s">
        <v>369</v>
      </c>
      <c r="R1" s="698" t="s">
        <v>370</v>
      </c>
      <c r="S1" s="698" t="s">
        <v>27</v>
      </c>
    </row>
    <row r="2" spans="1:25" ht="16.5" thickTop="1" thickBot="1">
      <c r="A2" s="324" t="s">
        <v>4</v>
      </c>
      <c r="B2" s="325" t="s">
        <v>5</v>
      </c>
      <c r="C2" s="325" t="s">
        <v>6</v>
      </c>
      <c r="D2" s="700" t="s">
        <v>7</v>
      </c>
      <c r="E2" s="700" t="s">
        <v>8</v>
      </c>
      <c r="F2" s="700" t="s">
        <v>9</v>
      </c>
      <c r="G2" s="700" t="s">
        <v>10</v>
      </c>
      <c r="H2" s="701" t="s">
        <v>11</v>
      </c>
      <c r="I2" s="702" t="s">
        <v>371</v>
      </c>
      <c r="J2" s="703" t="s">
        <v>372</v>
      </c>
      <c r="K2" s="704" t="s">
        <v>11</v>
      </c>
      <c r="L2" s="705" t="s">
        <v>371</v>
      </c>
      <c r="M2" s="703"/>
      <c r="N2" s="703"/>
      <c r="O2" s="703"/>
      <c r="P2" s="703"/>
      <c r="Q2" s="703"/>
      <c r="R2" s="703"/>
      <c r="S2" s="703"/>
      <c r="U2" t="s">
        <v>397</v>
      </c>
      <c r="V2" t="s">
        <v>398</v>
      </c>
      <c r="W2" t="s">
        <v>399</v>
      </c>
      <c r="X2" t="s">
        <v>400</v>
      </c>
      <c r="Y2" t="s">
        <v>27</v>
      </c>
    </row>
    <row r="3" spans="1:25" s="866" customFormat="1" ht="15.75" thickTop="1">
      <c r="A3" s="1130"/>
      <c r="B3" s="1150">
        <v>43214</v>
      </c>
      <c r="C3" s="1151">
        <v>4</v>
      </c>
      <c r="D3" s="1107">
        <v>28</v>
      </c>
      <c r="E3" s="962" t="s">
        <v>79</v>
      </c>
      <c r="F3" s="1152" t="s">
        <v>158</v>
      </c>
      <c r="G3" s="1806" t="s">
        <v>373</v>
      </c>
      <c r="H3" s="1153">
        <v>6</v>
      </c>
      <c r="I3" s="1154">
        <v>737.2</v>
      </c>
      <c r="J3" s="1154">
        <v>78</v>
      </c>
      <c r="K3" s="1153">
        <v>24</v>
      </c>
      <c r="L3" s="1153">
        <v>1499.2</v>
      </c>
      <c r="M3" s="976">
        <v>2.5649999999999999</v>
      </c>
      <c r="N3" s="1155">
        <f>+(J3/I3)</f>
        <v>0.10580575149213238</v>
      </c>
      <c r="O3" s="1156">
        <f>+(I3+L3)</f>
        <v>2236.4</v>
      </c>
      <c r="P3" s="976">
        <f>+(N3*O3)</f>
        <v>236.62398263700487</v>
      </c>
      <c r="Q3" s="1155">
        <f>+(P3*10^(-2))</f>
        <v>2.3662398263700486</v>
      </c>
      <c r="R3" s="1157">
        <f>IF(Q3&lt;&gt;"",ROUND(4.48*P3^(-0.25),2),"")</f>
        <v>1.1399999999999999</v>
      </c>
      <c r="S3" s="1158">
        <f>+(M3/R3)</f>
        <v>2.25</v>
      </c>
      <c r="U3" s="866">
        <f>J3/I3</f>
        <v>0.10580575149213238</v>
      </c>
      <c r="V3" s="866">
        <f>(J3+(L3*U3))/100</f>
        <v>2.3662398263700486</v>
      </c>
      <c r="W3" s="866">
        <f>4.48*V3^(-0.25)</f>
        <v>3.6121296003705656</v>
      </c>
      <c r="X3" s="866">
        <f>M3*J3</f>
        <v>200.07</v>
      </c>
      <c r="Y3" s="866">
        <f>M3/W3</f>
        <v>0.71010741135557776</v>
      </c>
    </row>
    <row r="4" spans="1:25" s="866" customFormat="1">
      <c r="A4" s="962"/>
      <c r="B4" s="1150">
        <v>43214</v>
      </c>
      <c r="C4" s="1159">
        <v>6</v>
      </c>
      <c r="D4" s="1107">
        <v>13</v>
      </c>
      <c r="E4" s="962" t="s">
        <v>79</v>
      </c>
      <c r="F4" s="1152" t="s">
        <v>166</v>
      </c>
      <c r="G4" s="1806"/>
      <c r="H4" s="1108">
        <v>6</v>
      </c>
      <c r="I4" s="1108">
        <v>725.6</v>
      </c>
      <c r="J4" s="1154">
        <v>90.3</v>
      </c>
      <c r="K4" s="1108">
        <v>17</v>
      </c>
      <c r="L4" s="1108">
        <v>1236.4000000000001</v>
      </c>
      <c r="M4" s="976">
        <v>3.28</v>
      </c>
      <c r="N4" s="1155">
        <f>+(J4/I4)</f>
        <v>0.12444873208379272</v>
      </c>
      <c r="O4" s="1156">
        <f>+(I4+L4)</f>
        <v>1962</v>
      </c>
      <c r="P4" s="976">
        <f>+(N4*O4)</f>
        <v>244.16841234840132</v>
      </c>
      <c r="Q4" s="1155">
        <f>+(P4*10^(-2))</f>
        <v>2.4416841234840132</v>
      </c>
      <c r="R4" s="1157">
        <f>IF(Q4&lt;&gt;"",ROUND(4.48*P4^(-0.25),2),"")</f>
        <v>1.1299999999999999</v>
      </c>
      <c r="S4" s="1158">
        <f>+(M4/R4)</f>
        <v>2.9026548672566372</v>
      </c>
      <c r="U4" s="866">
        <f>J4/I4</f>
        <v>0.12444873208379272</v>
      </c>
      <c r="V4" s="866">
        <f>(J4+(L4*U4))/100</f>
        <v>2.4416841234840132</v>
      </c>
      <c r="W4" s="866">
        <f>4.48*V4^(-0.25)</f>
        <v>3.5838980272405614</v>
      </c>
      <c r="X4" s="866">
        <f>M4*J4</f>
        <v>296.18399999999997</v>
      </c>
      <c r="Y4" s="866">
        <f>M4/W4</f>
        <v>0.91520461103226503</v>
      </c>
    </row>
    <row r="5" spans="1:25">
      <c r="A5" s="707"/>
      <c r="B5" s="706"/>
      <c r="C5" s="708"/>
      <c r="D5" s="709"/>
      <c r="E5" s="707"/>
      <c r="F5" s="710"/>
      <c r="G5" s="707"/>
      <c r="H5" s="707"/>
      <c r="I5" s="707"/>
      <c r="J5" s="707"/>
      <c r="K5" s="707"/>
      <c r="L5" s="711"/>
    </row>
    <row r="6" spans="1:25">
      <c r="A6" s="707"/>
      <c r="B6" s="706"/>
      <c r="C6" s="708"/>
      <c r="D6" s="709"/>
      <c r="E6" s="707"/>
      <c r="F6" s="710"/>
      <c r="G6" s="707"/>
      <c r="H6" s="707"/>
      <c r="I6" s="707"/>
      <c r="J6" s="707"/>
      <c r="K6" s="707"/>
      <c r="L6" s="711"/>
    </row>
    <row r="7" spans="1:25">
      <c r="A7" s="707"/>
      <c r="B7" s="706"/>
      <c r="C7" s="708"/>
      <c r="D7" s="709"/>
      <c r="E7" s="707"/>
      <c r="F7" s="710"/>
      <c r="G7" s="707"/>
      <c r="H7" s="707"/>
      <c r="I7" s="707"/>
      <c r="J7" s="707"/>
      <c r="K7" s="707"/>
      <c r="L7" s="711"/>
    </row>
    <row r="8" spans="1:25">
      <c r="A8" s="707"/>
      <c r="B8" s="706"/>
      <c r="C8" s="708"/>
      <c r="D8" s="709"/>
      <c r="E8" s="707"/>
      <c r="F8" s="710"/>
      <c r="G8" s="707"/>
      <c r="H8" s="707"/>
      <c r="I8" s="707"/>
      <c r="J8" s="707"/>
      <c r="K8" s="707"/>
      <c r="L8" s="711"/>
    </row>
    <row r="9" spans="1:25">
      <c r="A9" s="707"/>
      <c r="B9" s="706"/>
      <c r="C9" s="708"/>
      <c r="D9" s="709"/>
      <c r="E9" s="707"/>
      <c r="F9" s="710"/>
      <c r="G9" s="707"/>
      <c r="H9" s="707"/>
      <c r="I9" s="707"/>
      <c r="J9" s="707"/>
      <c r="K9" s="707"/>
      <c r="L9" s="711"/>
      <c r="O9" s="750" t="s">
        <v>390</v>
      </c>
      <c r="P9" s="751"/>
      <c r="Q9" s="751"/>
    </row>
    <row r="10" spans="1: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O10" s="36"/>
      <c r="P10" s="752" t="s">
        <v>63</v>
      </c>
      <c r="Q10" s="753" t="s">
        <v>64</v>
      </c>
    </row>
    <row r="11" spans="1:25">
      <c r="A11" s="1"/>
      <c r="C11" s="1"/>
      <c r="D11" s="1"/>
      <c r="E11" s="1"/>
      <c r="F11" s="1"/>
      <c r="O11" s="36" t="s">
        <v>391</v>
      </c>
      <c r="P11" s="774">
        <f>AVERAGE(Y3:Y4)</f>
        <v>0.81265601119392139</v>
      </c>
      <c r="Q11" s="751"/>
    </row>
    <row r="12" spans="1:25">
      <c r="A12" s="55" t="s">
        <v>39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O12" s="36" t="s">
        <v>25</v>
      </c>
      <c r="P12" s="774">
        <f>AVERAGE(X3:X4)</f>
        <v>248.12699999999998</v>
      </c>
      <c r="Q12" s="751"/>
    </row>
    <row r="13" spans="1:25">
      <c r="A13" s="56" t="s">
        <v>40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O13" s="36" t="s">
        <v>392</v>
      </c>
      <c r="P13" s="774">
        <f>AVERAGE(M3:M4)</f>
        <v>2.9224999999999999</v>
      </c>
      <c r="Q13" s="36"/>
    </row>
    <row r="14" spans="1:25">
      <c r="A14" s="56" t="s">
        <v>41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O14" s="36" t="s">
        <v>393</v>
      </c>
      <c r="P14" s="774">
        <f>AVERAGE(V3:V4)</f>
        <v>2.4039619749270309</v>
      </c>
      <c r="Q14" s="36"/>
    </row>
    <row r="15" spans="1:25">
      <c r="A15" s="56" t="s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25">
      <c r="A16" s="55" t="s">
        <v>87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55" t="s">
        <v>44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55" t="s">
        <v>45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56" t="s">
        <v>46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56" t="s">
        <v>47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56" t="s">
        <v>48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56" t="s">
        <v>49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 t="s">
        <v>50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mergeCells count="3">
    <mergeCell ref="H1:J1"/>
    <mergeCell ref="K1:L1"/>
    <mergeCell ref="G3:G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Y27"/>
  <sheetViews>
    <sheetView workbookViewId="0">
      <selection activeCell="X31" sqref="X31"/>
    </sheetView>
  </sheetViews>
  <sheetFormatPr baseColWidth="10" defaultRowHeight="15"/>
  <cols>
    <col min="3" max="4" width="2.7109375" bestFit="1" customWidth="1"/>
    <col min="8" max="8" width="4.140625" bestFit="1" customWidth="1"/>
    <col min="9" max="9" width="5.28515625" bestFit="1" customWidth="1"/>
    <col min="10" max="10" width="5.5703125" bestFit="1" customWidth="1"/>
    <col min="11" max="11" width="4.140625" bestFit="1" customWidth="1"/>
    <col min="12" max="12" width="8.28515625" customWidth="1"/>
    <col min="13" max="13" width="11.28515625" customWidth="1"/>
  </cols>
  <sheetData>
    <row r="1" spans="1:25" ht="20.25" thickTop="1" thickBot="1">
      <c r="C1" s="2"/>
      <c r="D1" s="2"/>
      <c r="E1" s="2"/>
      <c r="F1" s="2"/>
      <c r="G1" s="321"/>
      <c r="H1" s="1803" t="s">
        <v>1</v>
      </c>
      <c r="I1" s="1804"/>
      <c r="J1" s="1805"/>
      <c r="K1" s="1803" t="s">
        <v>0</v>
      </c>
      <c r="L1" s="1805"/>
      <c r="M1" s="696" t="s">
        <v>365</v>
      </c>
      <c r="N1" s="697" t="s">
        <v>366</v>
      </c>
      <c r="O1" s="698" t="s">
        <v>367</v>
      </c>
      <c r="P1" s="698" t="s">
        <v>368</v>
      </c>
      <c r="Q1" s="699" t="s">
        <v>369</v>
      </c>
      <c r="R1" s="698" t="s">
        <v>370</v>
      </c>
      <c r="S1" s="698" t="s">
        <v>27</v>
      </c>
    </row>
    <row r="2" spans="1:25" ht="16.5" thickTop="1" thickBot="1">
      <c r="A2" s="324" t="s">
        <v>4</v>
      </c>
      <c r="B2" s="325" t="s">
        <v>5</v>
      </c>
      <c r="C2" s="325" t="s">
        <v>6</v>
      </c>
      <c r="D2" s="700" t="s">
        <v>7</v>
      </c>
      <c r="E2" s="700" t="s">
        <v>8</v>
      </c>
      <c r="F2" s="700" t="s">
        <v>9</v>
      </c>
      <c r="G2" s="700" t="s">
        <v>10</v>
      </c>
      <c r="H2" s="701" t="s">
        <v>11</v>
      </c>
      <c r="I2" s="702" t="s">
        <v>371</v>
      </c>
      <c r="J2" s="703" t="s">
        <v>372</v>
      </c>
      <c r="K2" s="704" t="s">
        <v>11</v>
      </c>
      <c r="L2" s="705" t="s">
        <v>371</v>
      </c>
      <c r="M2" s="703"/>
      <c r="N2" s="703"/>
      <c r="O2" s="703"/>
      <c r="P2" s="703"/>
      <c r="Q2" s="703"/>
      <c r="R2" s="703"/>
      <c r="S2" s="703"/>
      <c r="U2" t="s">
        <v>397</v>
      </c>
      <c r="V2" t="s">
        <v>398</v>
      </c>
      <c r="W2" t="s">
        <v>399</v>
      </c>
      <c r="X2" t="s">
        <v>400</v>
      </c>
      <c r="Y2" t="s">
        <v>27</v>
      </c>
    </row>
    <row r="3" spans="1:25" s="866" customFormat="1" ht="15.75" thickTop="1">
      <c r="A3" s="1130"/>
      <c r="B3" s="1150">
        <v>43214</v>
      </c>
      <c r="C3" s="1160">
        <v>4</v>
      </c>
      <c r="D3" s="1161">
        <v>28</v>
      </c>
      <c r="E3" s="962" t="s">
        <v>79</v>
      </c>
      <c r="F3" s="1152" t="s">
        <v>158</v>
      </c>
      <c r="G3" s="1806" t="s">
        <v>373</v>
      </c>
      <c r="H3" s="1162">
        <v>6</v>
      </c>
      <c r="I3" s="1163">
        <v>646.4</v>
      </c>
      <c r="J3" s="1164">
        <v>75.400000000000006</v>
      </c>
      <c r="K3" s="1162">
        <v>25</v>
      </c>
      <c r="L3" s="1165">
        <v>2001</v>
      </c>
      <c r="M3" s="1166">
        <v>2.1469999999999998</v>
      </c>
      <c r="N3" s="1155">
        <f>+(J3/I3)</f>
        <v>0.1166460396039604</v>
      </c>
      <c r="O3" s="1156">
        <f>+(I3+L3)</f>
        <v>2647.4</v>
      </c>
      <c r="P3" s="976">
        <f>+(N3*O3)</f>
        <v>308.80872524752476</v>
      </c>
      <c r="Q3" s="1155">
        <f>+(P3*10^(-2))</f>
        <v>3.0880872524752476</v>
      </c>
      <c r="R3" s="1157">
        <f>IF(Q3&lt;&gt;"",ROUND(4.48*P3^(-0.25),2),"")</f>
        <v>1.07</v>
      </c>
      <c r="S3" s="1158">
        <f>+(M3/R3)</f>
        <v>2.0065420560747662</v>
      </c>
      <c r="T3" s="866">
        <v>1.1299999999999999</v>
      </c>
      <c r="U3" s="866">
        <f>J3/I3</f>
        <v>0.1166460396039604</v>
      </c>
      <c r="V3" s="866">
        <f>(J3+(L3*U3))/100</f>
        <v>3.0880872524752476</v>
      </c>
      <c r="W3" s="866">
        <f>4.48*V3^(-0.25)</f>
        <v>3.3795246876552478</v>
      </c>
      <c r="X3" s="866">
        <f>M3*J3</f>
        <v>161.88380000000001</v>
      </c>
      <c r="Y3" s="866">
        <f>M3/W3</f>
        <v>0.63529643912428779</v>
      </c>
    </row>
    <row r="4" spans="1:25" s="866" customFormat="1" ht="15.75" thickBot="1">
      <c r="A4" s="962"/>
      <c r="B4" s="1150">
        <v>43214</v>
      </c>
      <c r="C4" s="1167">
        <v>6</v>
      </c>
      <c r="D4" s="1168">
        <v>13</v>
      </c>
      <c r="E4" s="962" t="s">
        <v>79</v>
      </c>
      <c r="F4" s="1152" t="s">
        <v>166</v>
      </c>
      <c r="G4" s="1806"/>
      <c r="H4" s="1169">
        <v>6</v>
      </c>
      <c r="I4" s="1170">
        <v>743.4</v>
      </c>
      <c r="J4" s="1171">
        <v>103.5</v>
      </c>
      <c r="K4" s="1172">
        <v>14</v>
      </c>
      <c r="L4" s="1173">
        <v>1413.1</v>
      </c>
      <c r="M4" s="1174">
        <v>2.6669999999999998</v>
      </c>
      <c r="N4" s="1155">
        <f>+(J4/I4)</f>
        <v>0.13922518159806296</v>
      </c>
      <c r="O4" s="1156">
        <f>+(I4+L4)</f>
        <v>2156.5</v>
      </c>
      <c r="P4" s="976">
        <f>+(N4*O4)</f>
        <v>300.23910411622279</v>
      </c>
      <c r="Q4" s="1155">
        <f>+(P4*10^(-2))</f>
        <v>3.0023910411622281</v>
      </c>
      <c r="R4" s="1157">
        <f>IF(Q4&lt;&gt;"",ROUND(4.48*P4^(-0.25),2),"")</f>
        <v>1.08</v>
      </c>
      <c r="S4" s="1158">
        <f>+(M4/R4)</f>
        <v>2.4694444444444441</v>
      </c>
      <c r="T4" s="866">
        <v>1.39</v>
      </c>
      <c r="U4" s="866">
        <f>J4/I4</f>
        <v>0.13922518159806296</v>
      </c>
      <c r="V4" s="866">
        <f>(J4+(L4*U4))/100</f>
        <v>3.0023910411622272</v>
      </c>
      <c r="W4" s="866">
        <f>4.48*V4^(-0.25)</f>
        <v>3.4033859379840492</v>
      </c>
      <c r="X4" s="866">
        <f>M4*J4</f>
        <v>276.03449999999998</v>
      </c>
      <c r="Y4" s="866">
        <f>M4/W4</f>
        <v>0.78363137434238861</v>
      </c>
    </row>
    <row r="5" spans="1:25">
      <c r="A5" s="707"/>
      <c r="B5" s="706"/>
      <c r="C5" s="708"/>
      <c r="D5" s="709"/>
      <c r="E5" s="707"/>
      <c r="F5" s="710"/>
      <c r="G5" s="707"/>
      <c r="H5" s="707"/>
      <c r="I5" s="707"/>
      <c r="J5" s="707"/>
      <c r="K5" s="707"/>
      <c r="L5" s="711"/>
    </row>
    <row r="6" spans="1:25">
      <c r="A6" s="707"/>
      <c r="B6" s="706"/>
      <c r="C6" s="708"/>
      <c r="D6" s="709"/>
      <c r="E6" s="707"/>
      <c r="F6" s="710"/>
      <c r="G6" s="707"/>
      <c r="H6" s="707"/>
      <c r="I6" s="707"/>
      <c r="J6" s="707"/>
      <c r="K6" s="707"/>
      <c r="L6" s="711"/>
    </row>
    <row r="7" spans="1:25">
      <c r="A7" s="707"/>
      <c r="B7" s="706"/>
      <c r="C7" s="708"/>
      <c r="D7" s="709"/>
      <c r="E7" s="707"/>
      <c r="F7" s="710"/>
      <c r="G7" s="707"/>
      <c r="H7" s="707"/>
      <c r="I7" s="707"/>
      <c r="J7" s="707"/>
      <c r="K7" s="707"/>
      <c r="L7" s="711"/>
    </row>
    <row r="8" spans="1:25">
      <c r="A8" s="707"/>
      <c r="B8" s="706"/>
      <c r="C8" s="708"/>
      <c r="D8" s="709"/>
      <c r="E8" s="707"/>
      <c r="F8" s="710"/>
      <c r="G8" s="707"/>
      <c r="H8" s="707"/>
      <c r="I8" s="707"/>
      <c r="J8" s="707"/>
      <c r="K8" s="707"/>
      <c r="L8" s="711"/>
    </row>
    <row r="9" spans="1:25">
      <c r="A9" s="707"/>
      <c r="B9" s="706"/>
      <c r="C9" s="708"/>
      <c r="D9" s="709"/>
      <c r="E9" s="707"/>
      <c r="F9" s="710"/>
      <c r="G9" s="707"/>
      <c r="H9" s="707"/>
      <c r="I9" s="707"/>
      <c r="J9" s="707"/>
      <c r="K9" s="707"/>
      <c r="L9" s="711"/>
    </row>
    <row r="10" spans="1: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25">
      <c r="A11" s="1"/>
      <c r="C11" s="1"/>
      <c r="D11" s="1"/>
      <c r="E11" s="1"/>
      <c r="F11" s="1"/>
      <c r="N11" s="750" t="s">
        <v>390</v>
      </c>
      <c r="O11" s="751"/>
      <c r="P11" s="751"/>
    </row>
    <row r="12" spans="1:25">
      <c r="A12" s="55" t="s">
        <v>39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N12" s="36"/>
      <c r="O12" s="752" t="s">
        <v>63</v>
      </c>
      <c r="P12" s="753" t="s">
        <v>64</v>
      </c>
    </row>
    <row r="13" spans="1:25">
      <c r="A13" s="56" t="s">
        <v>40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N13" s="36" t="s">
        <v>391</v>
      </c>
      <c r="O13" s="774">
        <f>AVERAGE(Y3:Y4)</f>
        <v>0.70946390673333815</v>
      </c>
      <c r="P13" s="751"/>
    </row>
    <row r="14" spans="1:25">
      <c r="A14" s="56" t="s">
        <v>41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N14" s="36" t="s">
        <v>25</v>
      </c>
      <c r="O14" s="774">
        <f>AVERAGE(X3:X4)</f>
        <v>218.95914999999999</v>
      </c>
      <c r="P14" s="751"/>
    </row>
    <row r="15" spans="1:25">
      <c r="A15" s="56" t="s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N15" s="36" t="s">
        <v>392</v>
      </c>
      <c r="O15" s="774">
        <f>AVERAGE(M3:M4)</f>
        <v>2.407</v>
      </c>
      <c r="P15" s="36"/>
    </row>
    <row r="16" spans="1:25">
      <c r="A16" s="55" t="s">
        <v>87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N16" s="36" t="s">
        <v>393</v>
      </c>
      <c r="O16" s="774">
        <f>AVERAGE(V3:V4)</f>
        <v>3.0452391468187372</v>
      </c>
      <c r="P16" s="36"/>
    </row>
    <row r="17" spans="1:12">
      <c r="A17" s="55" t="s">
        <v>44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55" t="s">
        <v>45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56" t="s">
        <v>46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56" t="s">
        <v>47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56" t="s">
        <v>48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56" t="s">
        <v>49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 t="s">
        <v>50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mergeCells count="3">
    <mergeCell ref="H1:J1"/>
    <mergeCell ref="K1:L1"/>
    <mergeCell ref="G3:G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31"/>
  <sheetViews>
    <sheetView topLeftCell="B1" workbookViewId="0">
      <selection activeCell="M20" sqref="M20:M23"/>
    </sheetView>
  </sheetViews>
  <sheetFormatPr baseColWidth="10" defaultRowHeight="15"/>
  <cols>
    <col min="3" max="4" width="2.7109375" bestFit="1" customWidth="1"/>
    <col min="7" max="7" width="6" customWidth="1"/>
    <col min="8" max="8" width="4.42578125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6.5" thickTop="1" thickBot="1">
      <c r="A3" s="1130" t="s">
        <v>35</v>
      </c>
      <c r="B3" s="1069">
        <v>43201</v>
      </c>
      <c r="C3" s="1070" t="s">
        <v>374</v>
      </c>
      <c r="D3" s="1070" t="s">
        <v>152</v>
      </c>
      <c r="E3" s="1130" t="s">
        <v>79</v>
      </c>
      <c r="F3" s="1130" t="s">
        <v>158</v>
      </c>
      <c r="G3" s="1705"/>
      <c r="H3" s="1143"/>
      <c r="I3" s="1799">
        <v>1863</v>
      </c>
      <c r="J3" s="1800"/>
      <c r="K3" s="1137"/>
      <c r="L3" s="1076"/>
      <c r="M3" s="1785">
        <v>372</v>
      </c>
      <c r="N3" s="1786"/>
      <c r="O3" s="1138">
        <v>372</v>
      </c>
      <c r="P3" s="1785">
        <v>44</v>
      </c>
      <c r="Q3" s="1786"/>
      <c r="R3" s="1139">
        <v>44</v>
      </c>
      <c r="S3" s="1078">
        <v>2643.5483870967746</v>
      </c>
      <c r="T3" s="1078">
        <v>3.5134291320164501</v>
      </c>
      <c r="U3" s="1785"/>
      <c r="V3" s="1786"/>
      <c r="W3" s="1079">
        <f>X3*R3</f>
        <v>123.684</v>
      </c>
      <c r="X3" s="1079">
        <v>2.8109999999999999</v>
      </c>
      <c r="Y3" s="1147">
        <v>0.80007306092629105</v>
      </c>
    </row>
    <row r="4" spans="1:25" s="866" customFormat="1" ht="16.5" thickTop="1" thickBot="1">
      <c r="A4" s="962" t="s">
        <v>35</v>
      </c>
      <c r="B4" s="961">
        <v>43201</v>
      </c>
      <c r="C4" s="960" t="s">
        <v>375</v>
      </c>
      <c r="D4" s="960" t="s">
        <v>376</v>
      </c>
      <c r="E4" s="962" t="s">
        <v>79</v>
      </c>
      <c r="F4" s="962" t="s">
        <v>377</v>
      </c>
      <c r="G4" s="1705"/>
      <c r="H4" s="964"/>
      <c r="I4" s="1787">
        <v>1823</v>
      </c>
      <c r="J4" s="1788"/>
      <c r="K4" s="965"/>
      <c r="L4" s="1081"/>
      <c r="M4" s="1787">
        <v>364</v>
      </c>
      <c r="N4" s="1788"/>
      <c r="O4" s="968">
        <v>364</v>
      </c>
      <c r="P4" s="1787">
        <v>38</v>
      </c>
      <c r="Q4" s="1788"/>
      <c r="R4" s="1141">
        <v>38</v>
      </c>
      <c r="S4" s="1083">
        <v>2283.131868131868</v>
      </c>
      <c r="T4" s="1083">
        <v>3.6445613479918912</v>
      </c>
      <c r="U4" s="1787"/>
      <c r="V4" s="1788"/>
      <c r="W4" s="1079">
        <f>X4*R4</f>
        <v>131.97399999999999</v>
      </c>
      <c r="X4" s="972">
        <v>3.4729999999999999</v>
      </c>
      <c r="Y4" s="973">
        <v>0.95292674985799874</v>
      </c>
    </row>
    <row r="5" spans="1:25" ht="15.75" thickTop="1">
      <c r="A5" s="348"/>
      <c r="B5" s="349"/>
      <c r="C5" s="350"/>
      <c r="D5" s="350"/>
      <c r="E5" s="348"/>
      <c r="F5" s="348"/>
      <c r="G5" s="1705"/>
      <c r="H5" s="351"/>
      <c r="I5" s="1799">
        <v>1863</v>
      </c>
      <c r="J5" s="1800"/>
      <c r="K5" s="352"/>
      <c r="L5" s="359">
        <f>R5/O5</f>
        <v>0.11827956989247312</v>
      </c>
      <c r="M5" s="1713"/>
      <c r="N5" s="1714"/>
      <c r="O5" s="1138">
        <v>372</v>
      </c>
      <c r="P5" s="1713"/>
      <c r="Q5" s="1714"/>
      <c r="R5" s="1139">
        <v>44</v>
      </c>
      <c r="S5" s="362">
        <f>(R5+(I5*L5))/100</f>
        <v>2.6435483870967742</v>
      </c>
      <c r="T5" s="362">
        <f>4.48*S5^(-0.25)</f>
        <v>3.513429132016447</v>
      </c>
      <c r="U5" s="1713"/>
      <c r="V5" s="1714"/>
      <c r="W5" s="363"/>
      <c r="X5" s="363"/>
      <c r="Y5" s="364">
        <f>X3/T5</f>
        <v>0.80007306092629082</v>
      </c>
    </row>
    <row r="6" spans="1:25">
      <c r="A6" s="348"/>
      <c r="B6" s="349"/>
      <c r="C6" s="350"/>
      <c r="D6" s="350"/>
      <c r="E6" s="348"/>
      <c r="F6" s="348"/>
      <c r="G6" s="1705"/>
      <c r="H6" s="365"/>
      <c r="I6" s="1787">
        <v>1823</v>
      </c>
      <c r="J6" s="1788"/>
      <c r="K6" s="352"/>
      <c r="L6" s="359">
        <f>R6/O6</f>
        <v>0.1043956043956044</v>
      </c>
      <c r="M6" s="1715"/>
      <c r="N6" s="1716"/>
      <c r="O6" s="968">
        <v>364</v>
      </c>
      <c r="P6" s="1715"/>
      <c r="Q6" s="1716"/>
      <c r="R6" s="1141">
        <v>38</v>
      </c>
      <c r="S6" s="362">
        <f>(R6+(I6*L6))/100</f>
        <v>2.2831318681318682</v>
      </c>
      <c r="T6" s="362">
        <f>4.48*S6^(-0.25)</f>
        <v>3.6445613479918912</v>
      </c>
      <c r="U6" s="1715"/>
      <c r="V6" s="1716"/>
      <c r="W6" s="357"/>
      <c r="X6" s="357"/>
      <c r="Y6" s="364">
        <f>X4/T6</f>
        <v>0.95292674985799874</v>
      </c>
    </row>
    <row r="7" spans="1:25">
      <c r="A7" s="348"/>
      <c r="B7" s="349"/>
      <c r="C7" s="350"/>
      <c r="D7" s="350"/>
      <c r="E7" s="348"/>
      <c r="F7" s="348"/>
      <c r="G7" s="1705"/>
      <c r="H7" s="351"/>
      <c r="I7" s="1711"/>
      <c r="J7" s="1712"/>
      <c r="K7" s="352"/>
      <c r="L7" s="354"/>
      <c r="M7" s="1715"/>
      <c r="N7" s="1716"/>
      <c r="O7" s="354"/>
      <c r="P7" s="1715"/>
      <c r="Q7" s="1716"/>
      <c r="R7" s="366"/>
      <c r="S7" s="367"/>
      <c r="T7" s="367"/>
      <c r="U7" s="1715"/>
      <c r="V7" s="1716"/>
      <c r="W7" s="357"/>
      <c r="X7" s="357"/>
      <c r="Y7" s="358"/>
    </row>
    <row r="8" spans="1:25" ht="15.75" thickBot="1">
      <c r="A8" s="368"/>
      <c r="B8" s="369"/>
      <c r="C8" s="370"/>
      <c r="D8" s="370"/>
      <c r="E8" s="368"/>
      <c r="F8" s="368"/>
      <c r="G8" s="1706"/>
      <c r="H8" s="371"/>
      <c r="I8" s="1717"/>
      <c r="J8" s="1718"/>
      <c r="K8" s="372"/>
      <c r="L8" s="373"/>
      <c r="M8" s="1719"/>
      <c r="N8" s="1720"/>
      <c r="O8" s="373"/>
      <c r="P8" s="1719"/>
      <c r="Q8" s="1720"/>
      <c r="R8" s="374"/>
      <c r="S8" s="375"/>
      <c r="T8" s="375"/>
      <c r="U8" s="1719"/>
      <c r="V8" s="1720"/>
      <c r="W8" s="376"/>
      <c r="X8" s="376"/>
      <c r="Y8" s="377"/>
    </row>
    <row r="9" spans="1:25" ht="15.75" thickTop="1">
      <c r="A9" s="337"/>
      <c r="B9" s="338"/>
      <c r="C9" s="339"/>
      <c r="D9" s="339"/>
      <c r="E9" s="337"/>
      <c r="F9" s="337"/>
      <c r="G9" s="1726"/>
      <c r="H9" s="340"/>
      <c r="I9" s="1709"/>
      <c r="J9" s="1710"/>
      <c r="K9" s="341"/>
      <c r="L9" s="378"/>
      <c r="M9" s="1721"/>
      <c r="N9" s="1722"/>
      <c r="O9" s="378"/>
      <c r="P9" s="1721"/>
      <c r="Q9" s="1722"/>
      <c r="R9" s="379"/>
      <c r="S9" s="380"/>
      <c r="T9" s="380"/>
      <c r="U9" s="1721"/>
      <c r="V9" s="1722"/>
      <c r="W9" s="381"/>
      <c r="X9" s="381"/>
      <c r="Y9" s="382"/>
    </row>
    <row r="10" spans="1:25">
      <c r="A10" s="348"/>
      <c r="B10" s="349"/>
      <c r="C10" s="350"/>
      <c r="D10" s="350"/>
      <c r="E10" s="348"/>
      <c r="F10" s="348"/>
      <c r="G10" s="1705"/>
      <c r="H10" s="351"/>
      <c r="I10" s="1711"/>
      <c r="J10" s="1712"/>
      <c r="K10" s="352"/>
      <c r="L10" s="354"/>
      <c r="M10" s="1715"/>
      <c r="N10" s="1716"/>
      <c r="O10" s="354"/>
      <c r="P10" s="1715"/>
      <c r="Q10" s="1716"/>
      <c r="R10" s="366"/>
      <c r="S10" s="367"/>
      <c r="T10" s="383"/>
      <c r="U10" s="1715"/>
      <c r="V10" s="1716"/>
      <c r="W10" s="357"/>
      <c r="X10" s="357"/>
      <c r="Y10" s="358"/>
    </row>
    <row r="11" spans="1:25">
      <c r="A11" s="348"/>
      <c r="B11" s="349"/>
      <c r="C11" s="350"/>
      <c r="D11" s="350"/>
      <c r="E11" s="348"/>
      <c r="F11" s="348"/>
      <c r="G11" s="1705"/>
      <c r="H11" s="351"/>
      <c r="I11" s="1711"/>
      <c r="J11" s="1712"/>
      <c r="K11" s="352"/>
      <c r="L11" s="354"/>
      <c r="M11" s="1715"/>
      <c r="N11" s="1716"/>
      <c r="O11" s="354"/>
      <c r="P11" s="1715"/>
      <c r="Q11" s="1716"/>
      <c r="R11" s="366"/>
      <c r="S11" s="367"/>
      <c r="T11" s="383"/>
      <c r="U11" s="1715"/>
      <c r="V11" s="1716"/>
      <c r="W11" s="357"/>
      <c r="X11" s="357"/>
      <c r="Y11" s="358"/>
    </row>
    <row r="12" spans="1:25">
      <c r="A12" s="348"/>
      <c r="B12" s="349"/>
      <c r="C12" s="350"/>
      <c r="D12" s="350"/>
      <c r="E12" s="348"/>
      <c r="F12" s="348"/>
      <c r="G12" s="1705"/>
      <c r="H12" s="351"/>
      <c r="I12" s="1711"/>
      <c r="J12" s="1712"/>
      <c r="K12" s="352"/>
      <c r="L12" s="354"/>
      <c r="M12" s="1715"/>
      <c r="N12" s="1716"/>
      <c r="O12" s="354"/>
      <c r="P12" s="1715"/>
      <c r="Q12" s="1716"/>
      <c r="R12" s="366"/>
      <c r="S12" s="367"/>
      <c r="T12" s="367"/>
      <c r="U12" s="1715"/>
      <c r="V12" s="1716"/>
      <c r="W12" s="357"/>
      <c r="X12" s="357"/>
      <c r="Y12" s="358"/>
    </row>
    <row r="13" spans="1:25">
      <c r="A13" s="348"/>
      <c r="B13" s="349"/>
      <c r="C13" s="350"/>
      <c r="D13" s="350"/>
      <c r="E13" s="348"/>
      <c r="F13" s="348"/>
      <c r="G13" s="1705"/>
      <c r="H13" s="351"/>
      <c r="I13" s="1711"/>
      <c r="J13" s="1712"/>
      <c r="K13" s="352"/>
      <c r="L13" s="354"/>
      <c r="M13" s="1715"/>
      <c r="N13" s="1716"/>
      <c r="O13" s="354"/>
      <c r="P13" s="1715"/>
      <c r="Q13" s="1716"/>
      <c r="R13" s="366"/>
      <c r="S13" s="367"/>
      <c r="T13" s="367"/>
      <c r="U13" s="1715"/>
      <c r="V13" s="1716"/>
      <c r="W13" s="357"/>
      <c r="X13" s="357"/>
      <c r="Y13" s="358"/>
    </row>
    <row r="14" spans="1:25" ht="15.75" thickBot="1">
      <c r="A14" s="368"/>
      <c r="B14" s="369"/>
      <c r="C14" s="370"/>
      <c r="D14" s="370"/>
      <c r="E14" s="368"/>
      <c r="F14" s="368"/>
      <c r="G14" s="1706"/>
      <c r="H14" s="384"/>
      <c r="I14" s="1717"/>
      <c r="J14" s="1718"/>
      <c r="K14" s="385"/>
      <c r="L14" s="373"/>
      <c r="M14" s="1719"/>
      <c r="N14" s="1720"/>
      <c r="O14" s="373"/>
      <c r="P14" s="1719"/>
      <c r="Q14" s="1720"/>
      <c r="R14" s="374"/>
      <c r="S14" s="375"/>
      <c r="T14" s="375"/>
      <c r="U14" s="1719"/>
      <c r="V14" s="1720"/>
      <c r="W14" s="376"/>
      <c r="X14" s="376"/>
      <c r="Y14" s="377"/>
    </row>
    <row r="15" spans="1:25" ht="15.7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1"/>
      <c r="C16" s="1"/>
      <c r="D16" s="1"/>
      <c r="E16" s="1"/>
      <c r="F16" s="1"/>
      <c r="R16" s="1"/>
      <c r="S16" s="4"/>
      <c r="T16" s="4"/>
      <c r="U16" s="1"/>
      <c r="V16" s="1"/>
      <c r="W16" s="4"/>
      <c r="X16" s="4"/>
      <c r="Y16" s="4"/>
    </row>
    <row r="17" spans="1:25">
      <c r="A17" s="55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750" t="s">
        <v>390</v>
      </c>
      <c r="M18" s="751"/>
      <c r="N18" s="751"/>
      <c r="O18" s="1"/>
      <c r="P18" s="1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36"/>
      <c r="M19" s="752" t="s">
        <v>63</v>
      </c>
      <c r="N19" s="753" t="s">
        <v>64</v>
      </c>
      <c r="O19" s="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36" t="s">
        <v>391</v>
      </c>
      <c r="M20" s="774">
        <f>AVERAGE(Y3:Y4)</f>
        <v>0.87649990539214495</v>
      </c>
      <c r="N20" s="751"/>
      <c r="O20" s="1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5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36" t="s">
        <v>25</v>
      </c>
      <c r="M21" s="774">
        <f>AVERAGE(W3:W4)</f>
        <v>127.82899999999999</v>
      </c>
      <c r="N21" s="751"/>
      <c r="O21" s="1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55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36" t="s">
        <v>392</v>
      </c>
      <c r="M22" s="774">
        <f>AVERAGE(X3:X4)</f>
        <v>3.1419999999999999</v>
      </c>
      <c r="N22" s="36"/>
      <c r="O22" s="1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55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36" t="s">
        <v>393</v>
      </c>
      <c r="M23" s="774">
        <f>AVERAGE(S5:S6)</f>
        <v>2.4633401276143214</v>
      </c>
      <c r="N23" s="36"/>
      <c r="O23" s="1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56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56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56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4"/>
      <c r="T26" s="4"/>
      <c r="U26" s="1"/>
      <c r="V26" s="1"/>
      <c r="W26" s="4"/>
      <c r="X26" s="4"/>
      <c r="Y26" s="4"/>
    </row>
    <row r="27" spans="1:25">
      <c r="A27" s="56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1" t="s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4"/>
      <c r="T29" s="4"/>
      <c r="U29" s="1"/>
      <c r="V29" s="1"/>
      <c r="W29" s="4"/>
      <c r="X29" s="4"/>
      <c r="Y29" s="4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1"/>
      <c r="Q31" s="1"/>
      <c r="R31" s="1"/>
      <c r="S31" s="4"/>
      <c r="T31" s="4"/>
      <c r="U31" s="1"/>
      <c r="V31" s="1"/>
      <c r="W31" s="4"/>
      <c r="X31" s="4"/>
      <c r="Y31" s="4"/>
    </row>
  </sheetData>
  <mergeCells count="54">
    <mergeCell ref="U14:V14"/>
    <mergeCell ref="I12:J12"/>
    <mergeCell ref="M12:N12"/>
    <mergeCell ref="P12:Q12"/>
    <mergeCell ref="U12:V12"/>
    <mergeCell ref="I13:J13"/>
    <mergeCell ref="M13:N13"/>
    <mergeCell ref="P13:Q13"/>
    <mergeCell ref="U13:V13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4:J14"/>
    <mergeCell ref="M14:N14"/>
    <mergeCell ref="P14:Q14"/>
    <mergeCell ref="I7:J7"/>
    <mergeCell ref="M7:N7"/>
    <mergeCell ref="P7:Q7"/>
    <mergeCell ref="U7:V7"/>
    <mergeCell ref="I8:J8"/>
    <mergeCell ref="M8:N8"/>
    <mergeCell ref="P8:Q8"/>
    <mergeCell ref="U8:V8"/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29"/>
  <sheetViews>
    <sheetView workbookViewId="0">
      <selection activeCell="K30" sqref="K30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8.28515625" customWidth="1"/>
    <col min="11" max="11" width="5.28515625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2.7109375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21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6.5" thickTop="1" thickBot="1">
      <c r="A3" s="1130" t="s">
        <v>35</v>
      </c>
      <c r="B3" s="1069">
        <v>43201</v>
      </c>
      <c r="C3" s="1070" t="s">
        <v>378</v>
      </c>
      <c r="D3" s="1070" t="s">
        <v>379</v>
      </c>
      <c r="E3" s="1130" t="s">
        <v>79</v>
      </c>
      <c r="F3" s="1130" t="s">
        <v>158</v>
      </c>
      <c r="G3" s="1705"/>
      <c r="H3" s="1143"/>
      <c r="I3" s="1799">
        <v>6670</v>
      </c>
      <c r="J3" s="1800"/>
      <c r="K3" s="1137"/>
      <c r="L3" s="1076"/>
      <c r="M3" s="1785">
        <v>1334</v>
      </c>
      <c r="N3" s="1786"/>
      <c r="O3" s="1138">
        <v>1334</v>
      </c>
      <c r="P3" s="1785">
        <v>128</v>
      </c>
      <c r="Q3" s="1786"/>
      <c r="R3" s="1139">
        <v>128</v>
      </c>
      <c r="S3" s="1078">
        <v>7680</v>
      </c>
      <c r="T3" s="1078">
        <v>2.6911487838309252</v>
      </c>
      <c r="U3" s="1785"/>
      <c r="V3" s="1786"/>
      <c r="W3" s="1079">
        <f>X3*R3</f>
        <v>530.55999999999995</v>
      </c>
      <c r="X3" s="1079">
        <v>4.1449999999999996</v>
      </c>
      <c r="Y3" s="1147">
        <v>1.5402344251288391</v>
      </c>
    </row>
    <row r="4" spans="1:25" s="866" customFormat="1" ht="15.75" thickTop="1">
      <c r="A4" s="962" t="s">
        <v>35</v>
      </c>
      <c r="B4" s="961">
        <v>43201</v>
      </c>
      <c r="C4" s="960" t="s">
        <v>378</v>
      </c>
      <c r="D4" s="960" t="s">
        <v>136</v>
      </c>
      <c r="E4" s="962" t="s">
        <v>79</v>
      </c>
      <c r="F4" s="962" t="s">
        <v>377</v>
      </c>
      <c r="G4" s="1705"/>
      <c r="H4" s="964"/>
      <c r="I4" s="1787">
        <v>3731</v>
      </c>
      <c r="J4" s="1788"/>
      <c r="K4" s="965"/>
      <c r="L4" s="1081"/>
      <c r="M4" s="1787">
        <v>747</v>
      </c>
      <c r="N4" s="1788"/>
      <c r="O4" s="968">
        <v>747</v>
      </c>
      <c r="P4" s="1787">
        <v>79</v>
      </c>
      <c r="Q4" s="1788"/>
      <c r="R4" s="1141">
        <v>79</v>
      </c>
      <c r="S4" s="1083">
        <v>4735.7697456492633</v>
      </c>
      <c r="T4" s="1083">
        <v>3.0368991451431762</v>
      </c>
      <c r="U4" s="1787"/>
      <c r="V4" s="1788"/>
      <c r="W4" s="1079">
        <f>X4*R4</f>
        <v>232.655</v>
      </c>
      <c r="X4" s="972">
        <v>2.9449999999999998</v>
      </c>
      <c r="Y4" s="973">
        <v>0.96973915143341261</v>
      </c>
    </row>
    <row r="5" spans="1:25">
      <c r="A5" s="348"/>
      <c r="B5" s="349"/>
      <c r="C5" s="350"/>
      <c r="D5" s="350"/>
      <c r="E5" s="348"/>
      <c r="F5" s="348"/>
      <c r="G5" s="1705"/>
      <c r="H5" s="351"/>
      <c r="I5" s="1711"/>
      <c r="J5" s="1712"/>
      <c r="K5" s="352"/>
      <c r="L5" s="359">
        <f>R3/O3</f>
        <v>9.5952023988005994E-2</v>
      </c>
      <c r="M5" s="1713"/>
      <c r="N5" s="1714"/>
      <c r="O5" s="360"/>
      <c r="P5" s="1713"/>
      <c r="Q5" s="1714"/>
      <c r="R5" s="361"/>
      <c r="S5" s="362">
        <f>(R3+(I3*L5))/100</f>
        <v>7.68</v>
      </c>
      <c r="T5" s="362">
        <f>4.48*S5^(-0.25)</f>
        <v>2.6911487838309252</v>
      </c>
      <c r="U5" s="1713"/>
      <c r="V5" s="1714"/>
      <c r="W5" s="363"/>
      <c r="X5" s="363"/>
      <c r="Y5" s="364"/>
    </row>
    <row r="6" spans="1:25">
      <c r="A6" s="348"/>
      <c r="B6" s="349"/>
      <c r="C6" s="350"/>
      <c r="D6" s="350"/>
      <c r="E6" s="348"/>
      <c r="F6" s="348"/>
      <c r="G6" s="1705"/>
      <c r="H6" s="365"/>
      <c r="I6" s="1711"/>
      <c r="J6" s="1712"/>
      <c r="K6" s="352"/>
      <c r="L6" s="359">
        <f>R4/O4</f>
        <v>0.10575635876840696</v>
      </c>
      <c r="M6" s="1715"/>
      <c r="N6" s="1716"/>
      <c r="O6" s="354"/>
      <c r="P6" s="1715"/>
      <c r="Q6" s="1716"/>
      <c r="R6" s="366"/>
      <c r="S6" s="362">
        <f>(R4+(I4*L6))/100</f>
        <v>4.7357697456492636</v>
      </c>
      <c r="T6" s="362">
        <f>4.48*S6^(-0.25)</f>
        <v>3.0368991451431762</v>
      </c>
      <c r="U6" s="1715"/>
      <c r="V6" s="1716"/>
      <c r="W6" s="357"/>
      <c r="X6" s="357"/>
      <c r="Y6" s="358"/>
    </row>
    <row r="7" spans="1:25">
      <c r="A7" s="348"/>
      <c r="B7" s="349"/>
      <c r="C7" s="350"/>
      <c r="D7" s="350"/>
      <c r="E7" s="348"/>
      <c r="F7" s="348"/>
      <c r="G7" s="1705"/>
      <c r="H7" s="351"/>
      <c r="I7" s="1711"/>
      <c r="J7" s="1712"/>
      <c r="K7" s="352"/>
      <c r="L7" s="354"/>
      <c r="M7" s="1715"/>
      <c r="N7" s="1716"/>
      <c r="O7" s="354"/>
      <c r="P7" s="1715"/>
      <c r="Q7" s="1716"/>
      <c r="R7" s="366"/>
      <c r="S7" s="367"/>
      <c r="T7" s="367"/>
      <c r="U7" s="1715"/>
      <c r="V7" s="1716"/>
      <c r="W7" s="357"/>
      <c r="X7" s="357"/>
      <c r="Y7" s="358"/>
    </row>
    <row r="8" spans="1:25" ht="15.75" thickBot="1">
      <c r="A8" s="368"/>
      <c r="B8" s="369"/>
      <c r="C8" s="370"/>
      <c r="D8" s="370"/>
      <c r="E8" s="368"/>
      <c r="F8" s="368"/>
      <c r="G8" s="1706"/>
      <c r="H8" s="371"/>
      <c r="I8" s="1717"/>
      <c r="J8" s="1718"/>
      <c r="K8" s="372"/>
      <c r="L8" s="373"/>
      <c r="M8" s="1719"/>
      <c r="N8" s="1720"/>
      <c r="O8" s="373"/>
      <c r="P8" s="1719"/>
      <c r="Q8" s="1720"/>
      <c r="R8" s="374"/>
      <c r="S8" s="375"/>
      <c r="T8" s="375"/>
      <c r="U8" s="1719"/>
      <c r="V8" s="1720"/>
      <c r="W8" s="376"/>
      <c r="X8" s="376"/>
      <c r="Y8" s="377"/>
    </row>
    <row r="9" spans="1:25" ht="15.75" thickTop="1">
      <c r="A9" s="337"/>
      <c r="B9" s="338"/>
      <c r="C9" s="339"/>
      <c r="D9" s="339"/>
      <c r="E9" s="337"/>
      <c r="F9" s="337"/>
      <c r="G9" s="1726"/>
      <c r="H9" s="340"/>
      <c r="I9" s="1709"/>
      <c r="J9" s="1710"/>
      <c r="K9" s="341"/>
      <c r="L9" s="378"/>
      <c r="M9" s="1721"/>
      <c r="N9" s="1722"/>
      <c r="O9" s="378"/>
      <c r="P9" s="1721"/>
      <c r="Q9" s="1722"/>
      <c r="R9" s="379"/>
      <c r="S9" s="380"/>
      <c r="T9" s="380"/>
      <c r="U9" s="1721"/>
      <c r="V9" s="1722"/>
      <c r="W9" s="381"/>
      <c r="X9" s="381"/>
      <c r="Y9" s="382"/>
    </row>
    <row r="10" spans="1:25">
      <c r="A10" s="348"/>
      <c r="B10" s="349"/>
      <c r="C10" s="350"/>
      <c r="D10" s="350"/>
      <c r="E10" s="348"/>
      <c r="F10" s="348"/>
      <c r="G10" s="1705"/>
      <c r="H10" s="351"/>
      <c r="I10" s="1711"/>
      <c r="J10" s="1712"/>
      <c r="K10" s="352"/>
      <c r="L10" s="354"/>
      <c r="M10" s="1715"/>
      <c r="N10" s="1716"/>
      <c r="O10" s="354"/>
      <c r="P10" s="1715"/>
      <c r="Q10" s="1716"/>
      <c r="R10" s="366"/>
      <c r="S10" s="367"/>
      <c r="T10" s="383"/>
      <c r="U10" s="1715"/>
      <c r="V10" s="1716"/>
      <c r="W10" s="357"/>
      <c r="X10" s="357"/>
      <c r="Y10" s="358"/>
    </row>
    <row r="11" spans="1:25">
      <c r="A11" s="348"/>
      <c r="B11" s="349"/>
      <c r="C11" s="350"/>
      <c r="D11" s="350"/>
      <c r="E11" s="348"/>
      <c r="F11" s="348"/>
      <c r="G11" s="1705"/>
      <c r="H11" s="351"/>
      <c r="I11" s="1711"/>
      <c r="J11" s="1712"/>
      <c r="K11" s="352"/>
      <c r="L11" s="354"/>
      <c r="M11" s="1715"/>
      <c r="N11" s="1716"/>
      <c r="O11" s="354"/>
      <c r="P11" s="1715"/>
      <c r="Q11" s="1716"/>
      <c r="R11" s="366"/>
      <c r="S11" s="367"/>
      <c r="T11" s="383"/>
      <c r="U11" s="1715"/>
      <c r="V11" s="1716"/>
      <c r="W11" s="357"/>
      <c r="X11" s="357"/>
      <c r="Y11" s="358"/>
    </row>
    <row r="12" spans="1:25">
      <c r="A12" s="348"/>
      <c r="B12" s="349"/>
      <c r="C12" s="350"/>
      <c r="D12" s="350"/>
      <c r="E12" s="348"/>
      <c r="F12" s="348"/>
      <c r="G12" s="1705"/>
      <c r="H12" s="351"/>
      <c r="I12" s="1711"/>
      <c r="J12" s="1712"/>
      <c r="K12" s="352"/>
      <c r="L12" s="354"/>
      <c r="M12" s="1715"/>
      <c r="N12" s="1716"/>
      <c r="O12" s="354"/>
      <c r="P12" s="1715"/>
      <c r="Q12" s="1716"/>
      <c r="R12" s="366"/>
      <c r="S12" s="367"/>
      <c r="T12" s="367"/>
      <c r="U12" s="1715"/>
      <c r="V12" s="1716"/>
      <c r="W12" s="357"/>
      <c r="X12" s="357"/>
      <c r="Y12" s="358"/>
    </row>
    <row r="13" spans="1:25">
      <c r="A13" s="348"/>
      <c r="B13" s="349"/>
      <c r="C13" s="350"/>
      <c r="D13" s="350"/>
      <c r="E13" s="348"/>
      <c r="F13" s="348"/>
      <c r="G13" s="1705"/>
      <c r="H13" s="351"/>
      <c r="I13" s="1711"/>
      <c r="J13" s="1712"/>
      <c r="K13" s="352"/>
      <c r="L13" s="354"/>
      <c r="M13" s="1715"/>
      <c r="N13" s="1716"/>
      <c r="O13" s="354"/>
      <c r="P13" s="1715"/>
      <c r="Q13" s="1716"/>
      <c r="R13" s="366"/>
      <c r="S13" s="367"/>
      <c r="T13" s="367"/>
      <c r="U13" s="1715"/>
      <c r="V13" s="1716"/>
      <c r="W13" s="357"/>
      <c r="X13" s="357"/>
      <c r="Y13" s="358"/>
    </row>
    <row r="14" spans="1:25" ht="15.75" thickBot="1">
      <c r="A14" s="368"/>
      <c r="B14" s="369"/>
      <c r="C14" s="370"/>
      <c r="D14" s="370"/>
      <c r="E14" s="368"/>
      <c r="F14" s="368"/>
      <c r="G14" s="1706"/>
      <c r="H14" s="384"/>
      <c r="I14" s="1717"/>
      <c r="J14" s="1718"/>
      <c r="K14" s="385"/>
      <c r="L14" s="373"/>
      <c r="M14" s="1719"/>
      <c r="N14" s="1720"/>
      <c r="O14" s="373"/>
      <c r="P14" s="1719"/>
      <c r="Q14" s="1720"/>
      <c r="R14" s="374"/>
      <c r="S14" s="375"/>
      <c r="T14" s="375"/>
      <c r="U14" s="1719"/>
      <c r="V14" s="1720"/>
      <c r="W14" s="376"/>
      <c r="X14" s="376"/>
      <c r="Y14" s="377"/>
    </row>
    <row r="15" spans="1:25" ht="15.7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1"/>
      <c r="C16" s="1"/>
      <c r="D16" s="1"/>
      <c r="E16" s="1"/>
      <c r="F16" s="1"/>
      <c r="R16" s="1"/>
      <c r="S16" s="4"/>
      <c r="T16" s="4"/>
      <c r="U16" s="1"/>
      <c r="V16" s="1"/>
      <c r="W16" s="4"/>
      <c r="X16" s="4"/>
      <c r="Y16" s="4"/>
    </row>
    <row r="17" spans="1:25">
      <c r="A17" s="55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750" t="s">
        <v>390</v>
      </c>
      <c r="L19" s="751"/>
      <c r="M19" s="751"/>
      <c r="N19" s="1"/>
      <c r="O19" s="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36"/>
      <c r="L20" s="752" t="s">
        <v>63</v>
      </c>
      <c r="M20" s="753" t="s">
        <v>64</v>
      </c>
      <c r="N20" s="1"/>
      <c r="O20" s="1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5" t="s">
        <v>87</v>
      </c>
      <c r="B21" s="1"/>
      <c r="C21" s="1"/>
      <c r="D21" s="1"/>
      <c r="E21" s="1"/>
      <c r="F21" s="1"/>
      <c r="G21" s="1"/>
      <c r="H21" s="1"/>
      <c r="I21" s="1"/>
      <c r="J21" s="1"/>
      <c r="K21" s="36" t="s">
        <v>391</v>
      </c>
      <c r="L21" s="774">
        <f>AVERAGE(Y3:Y4)</f>
        <v>1.2549867882811259</v>
      </c>
      <c r="M21" s="751"/>
      <c r="N21" s="1"/>
      <c r="O21" s="1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55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36" t="s">
        <v>25</v>
      </c>
      <c r="L22" s="774">
        <f>AVERAGE(W3:W4)</f>
        <v>381.60749999999996</v>
      </c>
      <c r="M22" s="751"/>
      <c r="N22" s="1"/>
      <c r="O22" s="1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55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36" t="s">
        <v>392</v>
      </c>
      <c r="L23" s="774">
        <f>AVERAGE(X3:X4)</f>
        <v>3.5449999999999999</v>
      </c>
      <c r="M23" s="36"/>
      <c r="N23" s="1"/>
      <c r="O23" s="1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56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36" t="s">
        <v>393</v>
      </c>
      <c r="L24" s="774">
        <f>AVERAGE(S5:S6)</f>
        <v>6.2078848728246321</v>
      </c>
      <c r="M24" s="36"/>
      <c r="N24" s="1"/>
      <c r="O24" s="1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56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56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4"/>
      <c r="T26" s="4"/>
      <c r="U26" s="1"/>
      <c r="V26" s="1"/>
      <c r="W26" s="4"/>
      <c r="X26" s="4"/>
      <c r="Y26" s="4"/>
    </row>
    <row r="27" spans="1:25">
      <c r="A27" s="56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1" t="s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4"/>
      <c r="T29" s="4"/>
      <c r="U29" s="1"/>
      <c r="V29" s="1"/>
      <c r="W29" s="4"/>
      <c r="X29" s="4"/>
      <c r="Y29" s="4"/>
    </row>
  </sheetData>
  <mergeCells count="54">
    <mergeCell ref="U14:V14"/>
    <mergeCell ref="I12:J12"/>
    <mergeCell ref="M12:N12"/>
    <mergeCell ref="P12:Q12"/>
    <mergeCell ref="U12:V12"/>
    <mergeCell ref="I13:J13"/>
    <mergeCell ref="M13:N13"/>
    <mergeCell ref="P13:Q13"/>
    <mergeCell ref="U13:V13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4:J14"/>
    <mergeCell ref="M14:N14"/>
    <mergeCell ref="P14:Q14"/>
    <mergeCell ref="I7:J7"/>
    <mergeCell ref="M7:N7"/>
    <mergeCell ref="P7:Q7"/>
    <mergeCell ref="U7:V7"/>
    <mergeCell ref="I8:J8"/>
    <mergeCell ref="M8:N8"/>
    <mergeCell ref="P8:Q8"/>
    <mergeCell ref="U8:V8"/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32"/>
  <sheetViews>
    <sheetView workbookViewId="0">
      <selection activeCell="I30" sqref="I30"/>
    </sheetView>
  </sheetViews>
  <sheetFormatPr baseColWidth="10" defaultRowHeight="15"/>
  <cols>
    <col min="1" max="1" width="11.42578125" customWidth="1"/>
    <col min="3" max="3" width="2.140625" bestFit="1" customWidth="1"/>
    <col min="4" max="4" width="2.7109375" bestFit="1" customWidth="1"/>
    <col min="7" max="7" width="4.5703125" customWidth="1"/>
    <col min="9" max="9" width="14.28515625" bestFit="1" customWidth="1"/>
    <col min="10" max="10" width="11.140625" bestFit="1" customWidth="1"/>
    <col min="11" max="11" width="11.42578125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6.7109375" customWidth="1"/>
    <col min="22" max="22" width="0.85546875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324" t="s">
        <v>4</v>
      </c>
      <c r="B2" s="325" t="s">
        <v>5</v>
      </c>
      <c r="C2" s="325" t="s">
        <v>6</v>
      </c>
      <c r="D2" s="325" t="s">
        <v>7</v>
      </c>
      <c r="E2" s="325" t="s">
        <v>8</v>
      </c>
      <c r="F2" s="325" t="s">
        <v>9</v>
      </c>
      <c r="G2" s="325" t="s">
        <v>10</v>
      </c>
      <c r="H2" s="326" t="s">
        <v>11</v>
      </c>
      <c r="I2" s="327" t="s">
        <v>15</v>
      </c>
      <c r="J2" s="328" t="s">
        <v>16</v>
      </c>
      <c r="K2" s="329" t="s">
        <v>11</v>
      </c>
      <c r="L2" s="330" t="s">
        <v>14</v>
      </c>
      <c r="M2" s="331" t="s">
        <v>15</v>
      </c>
      <c r="N2" s="332" t="s">
        <v>16</v>
      </c>
      <c r="O2" s="330" t="s">
        <v>17</v>
      </c>
      <c r="P2" s="331" t="s">
        <v>18</v>
      </c>
      <c r="Q2" s="333" t="s">
        <v>19</v>
      </c>
      <c r="R2" s="334" t="s">
        <v>20</v>
      </c>
      <c r="S2" s="330" t="s">
        <v>380</v>
      </c>
      <c r="T2" s="335" t="s">
        <v>22</v>
      </c>
      <c r="U2" s="324" t="s">
        <v>23</v>
      </c>
      <c r="V2" s="332" t="s">
        <v>24</v>
      </c>
      <c r="W2" s="330" t="s">
        <v>25</v>
      </c>
      <c r="X2" s="335" t="s">
        <v>26</v>
      </c>
      <c r="Y2" s="336" t="s">
        <v>27</v>
      </c>
    </row>
    <row r="3" spans="1:25" s="866" customFormat="1" ht="16.5" thickTop="1" thickBot="1">
      <c r="A3" s="1130" t="s">
        <v>35</v>
      </c>
      <c r="B3" s="1069">
        <v>43206</v>
      </c>
      <c r="C3" s="1070" t="s">
        <v>381</v>
      </c>
      <c r="D3" s="1070" t="s">
        <v>379</v>
      </c>
      <c r="E3" s="1130" t="s">
        <v>79</v>
      </c>
      <c r="F3" s="1130" t="s">
        <v>158</v>
      </c>
      <c r="G3" s="1705"/>
      <c r="H3" s="1143"/>
      <c r="I3" s="1799">
        <v>5100</v>
      </c>
      <c r="J3" s="1800"/>
      <c r="K3" s="1137"/>
      <c r="L3" s="1076"/>
      <c r="M3" s="1785">
        <v>1080</v>
      </c>
      <c r="N3" s="1786"/>
      <c r="O3" s="1138">
        <v>1080</v>
      </c>
      <c r="P3" s="1785">
        <v>109</v>
      </c>
      <c r="Q3" s="1786"/>
      <c r="R3" s="1139">
        <v>109</v>
      </c>
      <c r="S3" s="1078">
        <v>6237.2222222222226</v>
      </c>
      <c r="T3" s="1078">
        <v>2.8348508194312112</v>
      </c>
      <c r="U3" s="1785"/>
      <c r="V3" s="1786"/>
      <c r="W3" s="1079">
        <f>X3*R3</f>
        <v>354.35899999999998</v>
      </c>
      <c r="X3" s="1079">
        <v>3.2509999999999999</v>
      </c>
      <c r="Y3" s="1147">
        <v>1.1467975590519031</v>
      </c>
    </row>
    <row r="4" spans="1:25" s="866" customFormat="1" ht="15.75" thickTop="1">
      <c r="A4" s="962" t="s">
        <v>35</v>
      </c>
      <c r="B4" s="961">
        <v>43206</v>
      </c>
      <c r="C4" s="960" t="s">
        <v>378</v>
      </c>
      <c r="D4" s="960" t="s">
        <v>116</v>
      </c>
      <c r="E4" s="962" t="s">
        <v>79</v>
      </c>
      <c r="F4" s="962" t="s">
        <v>377</v>
      </c>
      <c r="G4" s="1705"/>
      <c r="H4" s="964"/>
      <c r="I4" s="1787">
        <v>2800</v>
      </c>
      <c r="J4" s="1788"/>
      <c r="K4" s="965"/>
      <c r="L4" s="1081"/>
      <c r="M4" s="1787">
        <v>820</v>
      </c>
      <c r="N4" s="1788"/>
      <c r="O4" s="968">
        <v>820</v>
      </c>
      <c r="P4" s="1787">
        <v>103</v>
      </c>
      <c r="Q4" s="1788"/>
      <c r="R4" s="1141">
        <v>103</v>
      </c>
      <c r="S4" s="1083">
        <v>4547.0731707317073</v>
      </c>
      <c r="T4" s="1083">
        <v>3.0679270475737548</v>
      </c>
      <c r="U4" s="1787"/>
      <c r="V4" s="1788"/>
      <c r="W4" s="1079">
        <f>X4*R4</f>
        <v>303.64400000000001</v>
      </c>
      <c r="X4" s="972">
        <v>2.948</v>
      </c>
      <c r="Y4" s="973">
        <v>0.96090942003702529</v>
      </c>
    </row>
    <row r="5" spans="1:25">
      <c r="A5" s="348"/>
      <c r="B5" s="349"/>
      <c r="C5" s="350"/>
      <c r="D5" s="350"/>
      <c r="E5" s="348"/>
      <c r="F5" s="348"/>
      <c r="G5" s="1705"/>
      <c r="H5" s="351"/>
      <c r="I5" s="1711"/>
      <c r="J5" s="1712"/>
      <c r="K5" s="352"/>
      <c r="L5" s="359"/>
      <c r="M5" s="1713"/>
      <c r="N5" s="1714"/>
      <c r="O5" s="360"/>
      <c r="P5" s="1713"/>
      <c r="Q5" s="1714"/>
      <c r="R5" s="361"/>
      <c r="S5" s="362">
        <f>S3/1000</f>
        <v>6.2372222222222229</v>
      </c>
      <c r="T5" s="362"/>
      <c r="U5" s="1713"/>
      <c r="V5" s="1714"/>
      <c r="W5" s="363"/>
      <c r="X5" s="363"/>
      <c r="Y5" s="364"/>
    </row>
    <row r="6" spans="1:25">
      <c r="A6" s="348"/>
      <c r="B6" s="349"/>
      <c r="C6" s="350"/>
      <c r="D6" s="350"/>
      <c r="E6" s="348"/>
      <c r="F6" s="348"/>
      <c r="G6" s="1705"/>
      <c r="H6" s="365"/>
      <c r="I6" s="1711"/>
      <c r="J6" s="1712"/>
      <c r="K6" s="352"/>
      <c r="L6" s="354"/>
      <c r="M6" s="1715"/>
      <c r="N6" s="1716"/>
      <c r="O6" s="354"/>
      <c r="P6" s="1715"/>
      <c r="Q6" s="1716"/>
      <c r="R6" s="366"/>
      <c r="S6" s="362">
        <f>S4/1000</f>
        <v>4.5470731707317071</v>
      </c>
      <c r="T6" s="367"/>
      <c r="U6" s="1715"/>
      <c r="V6" s="1716"/>
      <c r="W6" s="357"/>
      <c r="X6" s="357"/>
      <c r="Y6" s="358"/>
    </row>
    <row r="7" spans="1:25">
      <c r="A7" s="348"/>
      <c r="B7" s="349"/>
      <c r="C7" s="350"/>
      <c r="D7" s="350"/>
      <c r="E7" s="348"/>
      <c r="F7" s="348"/>
      <c r="G7" s="1705"/>
      <c r="H7" s="351"/>
      <c r="I7" s="1711"/>
      <c r="J7" s="1712"/>
      <c r="K7" s="352"/>
      <c r="L7" s="354"/>
      <c r="M7" s="1715"/>
      <c r="N7" s="1716"/>
      <c r="O7" s="354"/>
      <c r="P7" s="1715"/>
      <c r="Q7" s="1716"/>
      <c r="R7" s="366"/>
      <c r="S7" s="367"/>
      <c r="T7" s="367"/>
      <c r="U7" s="1715"/>
      <c r="V7" s="1716"/>
      <c r="W7" s="357"/>
      <c r="X7" s="357"/>
      <c r="Y7" s="358"/>
    </row>
    <row r="8" spans="1:25" ht="15.75" thickBot="1">
      <c r="A8" s="368"/>
      <c r="B8" s="369"/>
      <c r="C8" s="370"/>
      <c r="D8" s="370"/>
      <c r="E8" s="368"/>
      <c r="F8" s="368"/>
      <c r="G8" s="1706"/>
      <c r="H8" s="371"/>
      <c r="I8" s="1717"/>
      <c r="J8" s="1718"/>
      <c r="K8" s="372"/>
      <c r="L8" s="373"/>
      <c r="M8" s="1719"/>
      <c r="N8" s="1720"/>
      <c r="O8" s="373"/>
      <c r="P8" s="1719"/>
      <c r="Q8" s="1720"/>
      <c r="R8" s="374"/>
      <c r="S8" s="375"/>
      <c r="T8" s="375"/>
      <c r="U8" s="1719"/>
      <c r="V8" s="1720"/>
      <c r="W8" s="376"/>
      <c r="X8" s="376"/>
      <c r="Y8" s="377"/>
    </row>
    <row r="9" spans="1:25" ht="15.75" thickTop="1">
      <c r="A9" s="337"/>
      <c r="B9" s="338"/>
      <c r="C9" s="339"/>
      <c r="D9" s="339"/>
      <c r="E9" s="337"/>
      <c r="F9" s="337"/>
      <c r="G9" s="1726"/>
      <c r="H9" s="340"/>
      <c r="I9" s="1709"/>
      <c r="J9" s="1710"/>
      <c r="K9" s="341"/>
      <c r="L9" s="378"/>
      <c r="M9" s="1721"/>
      <c r="N9" s="1722"/>
      <c r="O9" s="378"/>
      <c r="P9" s="1721"/>
      <c r="Q9" s="1722"/>
      <c r="R9" s="379"/>
      <c r="S9" s="380"/>
      <c r="T9" s="380"/>
      <c r="U9" s="1721"/>
      <c r="V9" s="1722"/>
      <c r="W9" s="381"/>
      <c r="X9" s="381"/>
      <c r="Y9" s="382"/>
    </row>
    <row r="10" spans="1:25">
      <c r="A10" s="348"/>
      <c r="B10" s="349"/>
      <c r="C10" s="350"/>
      <c r="D10" s="350"/>
      <c r="E10" s="348"/>
      <c r="F10" s="348"/>
      <c r="G10" s="1705"/>
      <c r="H10" s="351"/>
      <c r="I10" s="1711"/>
      <c r="J10" s="1712"/>
      <c r="K10" s="352"/>
      <c r="L10" s="354"/>
      <c r="M10" s="1715"/>
      <c r="N10" s="1716"/>
      <c r="O10" s="354"/>
      <c r="P10" s="1715"/>
      <c r="Q10" s="1716"/>
      <c r="R10" s="366"/>
      <c r="S10" s="367"/>
      <c r="T10" s="383"/>
      <c r="U10" s="1715"/>
      <c r="V10" s="1716"/>
      <c r="W10" s="357"/>
      <c r="X10" s="357"/>
      <c r="Y10" s="358"/>
    </row>
    <row r="11" spans="1:25">
      <c r="A11" s="348"/>
      <c r="B11" s="349"/>
      <c r="C11" s="350"/>
      <c r="D11" s="350"/>
      <c r="E11" s="348"/>
      <c r="F11" s="348"/>
      <c r="G11" s="1705"/>
      <c r="H11" s="351"/>
      <c r="I11" s="1711"/>
      <c r="J11" s="1712"/>
      <c r="K11" s="352"/>
      <c r="L11" s="354"/>
      <c r="M11" s="1715"/>
      <c r="N11" s="1716"/>
      <c r="O11" s="354"/>
      <c r="P11" s="1715"/>
      <c r="Q11" s="1716"/>
      <c r="R11" s="366"/>
      <c r="S11" s="367"/>
      <c r="T11" s="383"/>
      <c r="U11" s="1715"/>
      <c r="V11" s="1716"/>
      <c r="W11" s="357"/>
      <c r="X11" s="357"/>
      <c r="Y11" s="358"/>
    </row>
    <row r="12" spans="1:25">
      <c r="A12" s="348"/>
      <c r="B12" s="349"/>
      <c r="C12" s="350"/>
      <c r="D12" s="350"/>
      <c r="E12" s="348"/>
      <c r="F12" s="348"/>
      <c r="G12" s="1705"/>
      <c r="H12" s="351"/>
      <c r="I12" s="1711"/>
      <c r="J12" s="1712"/>
      <c r="K12" s="352"/>
      <c r="L12" s="354"/>
      <c r="M12" s="1715"/>
      <c r="N12" s="1716"/>
      <c r="O12" s="354"/>
      <c r="P12" s="1715"/>
      <c r="Q12" s="1716"/>
      <c r="R12" s="366"/>
      <c r="S12" s="367"/>
      <c r="T12" s="367"/>
      <c r="U12" s="1715"/>
      <c r="V12" s="1716"/>
      <c r="W12" s="357"/>
      <c r="X12" s="357"/>
      <c r="Y12" s="358"/>
    </row>
    <row r="13" spans="1:25">
      <c r="A13" s="348"/>
      <c r="B13" s="349"/>
      <c r="C13" s="350"/>
      <c r="D13" s="350"/>
      <c r="E13" s="348"/>
      <c r="F13" s="348"/>
      <c r="G13" s="1705"/>
      <c r="H13" s="351"/>
      <c r="I13" s="1711"/>
      <c r="J13" s="1712"/>
      <c r="K13" s="352"/>
      <c r="L13" s="354"/>
      <c r="M13" s="1715"/>
      <c r="N13" s="1716"/>
      <c r="O13" s="354"/>
      <c r="P13" s="1715"/>
      <c r="Q13" s="1716"/>
      <c r="R13" s="366"/>
      <c r="S13" s="367"/>
      <c r="T13" s="367"/>
      <c r="U13" s="1715"/>
      <c r="V13" s="1716"/>
      <c r="W13" s="357"/>
      <c r="X13" s="357"/>
      <c r="Y13" s="358"/>
    </row>
    <row r="14" spans="1:25" ht="15.75" thickBot="1">
      <c r="A14" s="368"/>
      <c r="B14" s="369"/>
      <c r="C14" s="370"/>
      <c r="D14" s="370"/>
      <c r="E14" s="368"/>
      <c r="F14" s="368"/>
      <c r="G14" s="1706"/>
      <c r="H14" s="384"/>
      <c r="I14" s="1717"/>
      <c r="J14" s="1718"/>
      <c r="K14" s="385"/>
      <c r="L14" s="373"/>
      <c r="M14" s="1719"/>
      <c r="N14" s="1720"/>
      <c r="O14" s="373"/>
      <c r="P14" s="1719"/>
      <c r="Q14" s="1720"/>
      <c r="R14" s="374"/>
      <c r="S14" s="375"/>
      <c r="T14" s="375"/>
      <c r="U14" s="1719"/>
      <c r="V14" s="1720"/>
      <c r="W14" s="376"/>
      <c r="X14" s="376"/>
      <c r="Y14" s="377"/>
    </row>
    <row r="15" spans="1:25" ht="15.7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1"/>
      <c r="C16" s="1"/>
      <c r="D16" s="1"/>
      <c r="E16" s="1"/>
      <c r="F16" s="1"/>
      <c r="R16" s="1"/>
      <c r="S16" s="4"/>
      <c r="T16" s="4"/>
      <c r="U16" s="1"/>
      <c r="V16" s="1"/>
      <c r="W16" s="4"/>
      <c r="X16" s="4"/>
      <c r="Y16" s="4"/>
    </row>
    <row r="17" spans="1:25">
      <c r="A17" s="55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40</v>
      </c>
      <c r="B18" s="1"/>
      <c r="C18" s="1"/>
      <c r="D18" s="1"/>
      <c r="E18" s="1"/>
      <c r="F18" s="1"/>
      <c r="G18" s="1"/>
      <c r="H18" s="1"/>
      <c r="I18" s="1"/>
      <c r="J18" s="750" t="s">
        <v>390</v>
      </c>
      <c r="K18" s="751"/>
      <c r="L18" s="751"/>
      <c r="M18" s="1"/>
      <c r="N18" s="1"/>
      <c r="O18" s="1"/>
      <c r="P18" s="1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41</v>
      </c>
      <c r="B19" s="1"/>
      <c r="C19" s="1"/>
      <c r="D19" s="1"/>
      <c r="E19" s="1"/>
      <c r="F19" s="1"/>
      <c r="G19" s="1"/>
      <c r="H19" s="1"/>
      <c r="I19" s="1"/>
      <c r="J19" s="36"/>
      <c r="K19" s="752" t="s">
        <v>63</v>
      </c>
      <c r="L19" s="753" t="s">
        <v>64</v>
      </c>
      <c r="M19" s="1"/>
      <c r="N19" s="1"/>
      <c r="O19" s="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42</v>
      </c>
      <c r="B20" s="1"/>
      <c r="C20" s="1"/>
      <c r="D20" s="1"/>
      <c r="E20" s="1"/>
      <c r="F20" s="1"/>
      <c r="G20" s="1"/>
      <c r="H20" s="1"/>
      <c r="I20" s="1"/>
      <c r="J20" s="36" t="s">
        <v>391</v>
      </c>
      <c r="K20" s="774">
        <f>AVERAGE(Y3:Y4)</f>
        <v>1.0538534895444642</v>
      </c>
      <c r="L20" s="751"/>
      <c r="M20" s="1"/>
      <c r="N20" s="1"/>
      <c r="O20" s="1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5" t="s">
        <v>87</v>
      </c>
      <c r="B21" s="1"/>
      <c r="C21" s="1"/>
      <c r="D21" s="1"/>
      <c r="E21" s="1"/>
      <c r="F21" s="1"/>
      <c r="G21" s="1"/>
      <c r="H21" s="1"/>
      <c r="I21" s="1"/>
      <c r="J21" s="36" t="s">
        <v>25</v>
      </c>
      <c r="K21" s="774">
        <f>AVERAGE(W3:W4)</f>
        <v>329.00149999999996</v>
      </c>
      <c r="L21" s="751"/>
      <c r="M21" s="1"/>
      <c r="N21" s="1"/>
      <c r="O21" s="1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55" t="s">
        <v>44</v>
      </c>
      <c r="B22" s="1"/>
      <c r="C22" s="1"/>
      <c r="D22" s="1"/>
      <c r="E22" s="1"/>
      <c r="F22" s="1"/>
      <c r="G22" s="1"/>
      <c r="H22" s="1"/>
      <c r="I22" s="1"/>
      <c r="J22" s="36" t="s">
        <v>392</v>
      </c>
      <c r="K22" s="774">
        <f>AVERAGE(X3:X4)</f>
        <v>3.0994999999999999</v>
      </c>
      <c r="L22" s="36"/>
      <c r="M22" s="1"/>
      <c r="N22" s="1"/>
      <c r="O22" s="1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55" t="s">
        <v>45</v>
      </c>
      <c r="B23" s="1"/>
      <c r="C23" s="1"/>
      <c r="D23" s="1"/>
      <c r="E23" s="1"/>
      <c r="F23" s="1"/>
      <c r="G23" s="1"/>
      <c r="H23" s="1"/>
      <c r="I23" s="1"/>
      <c r="J23" s="36" t="s">
        <v>393</v>
      </c>
      <c r="K23" s="774">
        <f>AVERAGE(S5:S6)</f>
        <v>5.3921476964769646</v>
      </c>
      <c r="L23" s="36"/>
      <c r="M23" s="1"/>
      <c r="N23" s="1"/>
      <c r="O23" s="1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56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56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56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4"/>
      <c r="T26" s="4"/>
      <c r="U26" s="1"/>
      <c r="V26" s="1"/>
      <c r="W26" s="4"/>
      <c r="X26" s="4"/>
      <c r="Y26" s="4"/>
    </row>
    <row r="27" spans="1:25">
      <c r="A27" s="56" t="s">
        <v>49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/>
      <c r="P27" s="1"/>
      <c r="Q27" s="1"/>
      <c r="R27" s="1"/>
      <c r="S27" s="4"/>
      <c r="T27" s="4"/>
      <c r="U27" s="1"/>
      <c r="V27" s="1"/>
      <c r="W27" s="4"/>
      <c r="X27" s="4"/>
      <c r="Y27" s="4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/>
      <c r="P28" s="1"/>
      <c r="Q28" s="1"/>
      <c r="R28" s="1"/>
      <c r="S28" s="4"/>
      <c r="T28" s="4"/>
      <c r="U28" s="1"/>
      <c r="V28" s="1"/>
      <c r="W28" s="4"/>
      <c r="X28" s="4"/>
      <c r="Y28" s="4"/>
    </row>
    <row r="29" spans="1:25">
      <c r="A29" s="1" t="s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/>
      <c r="P29" s="1"/>
      <c r="Q29" s="1"/>
      <c r="R29" s="1"/>
      <c r="S29" s="4"/>
      <c r="T29" s="4"/>
      <c r="U29" s="1"/>
      <c r="V29" s="1"/>
      <c r="W29" s="4"/>
      <c r="X29" s="4"/>
      <c r="Y29" s="4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/>
      <c r="P30" s="1"/>
      <c r="Q30" s="1"/>
      <c r="R30" s="1"/>
      <c r="S30" s="4"/>
      <c r="T30" s="4"/>
      <c r="U30" s="1"/>
      <c r="V30" s="1"/>
      <c r="W30" s="4"/>
      <c r="X30" s="4"/>
      <c r="Y30" s="4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/>
      <c r="P31" s="1"/>
      <c r="Q31" s="1"/>
      <c r="R31" s="1"/>
      <c r="S31" s="4"/>
      <c r="T31" s="4"/>
      <c r="U31" s="1"/>
      <c r="V31" s="1"/>
      <c r="W31" s="4"/>
      <c r="X31" s="4"/>
      <c r="Y31" s="4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1"/>
      <c r="Q32" s="1"/>
      <c r="R32" s="1"/>
      <c r="S32" s="4"/>
      <c r="T32" s="4"/>
      <c r="U32" s="1"/>
      <c r="V32" s="1"/>
      <c r="W32" s="4"/>
      <c r="X32" s="4"/>
      <c r="Y32" s="4"/>
    </row>
  </sheetData>
  <mergeCells count="54">
    <mergeCell ref="U14:V14"/>
    <mergeCell ref="I12:J12"/>
    <mergeCell ref="M12:N12"/>
    <mergeCell ref="P12:Q12"/>
    <mergeCell ref="U12:V12"/>
    <mergeCell ref="I13:J13"/>
    <mergeCell ref="M13:N13"/>
    <mergeCell ref="P13:Q13"/>
    <mergeCell ref="U13:V13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4:J14"/>
    <mergeCell ref="M14:N14"/>
    <mergeCell ref="P14:Q14"/>
    <mergeCell ref="I7:J7"/>
    <mergeCell ref="M7:N7"/>
    <mergeCell ref="P7:Q7"/>
    <mergeCell ref="U7:V7"/>
    <mergeCell ref="I8:J8"/>
    <mergeCell ref="M8:N8"/>
    <mergeCell ref="P8:Q8"/>
    <mergeCell ref="U8:V8"/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Y26"/>
  <sheetViews>
    <sheetView topLeftCell="C1" workbookViewId="0">
      <selection activeCell="T16" sqref="T16"/>
    </sheetView>
  </sheetViews>
  <sheetFormatPr baseColWidth="10" defaultColWidth="11.42578125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712" t="s">
        <v>4</v>
      </c>
      <c r="B2" s="700" t="s">
        <v>5</v>
      </c>
      <c r="C2" s="700" t="s">
        <v>6</v>
      </c>
      <c r="D2" s="700" t="s">
        <v>7</v>
      </c>
      <c r="E2" s="700" t="s">
        <v>8</v>
      </c>
      <c r="F2" s="700" t="s">
        <v>9</v>
      </c>
      <c r="G2" s="700" t="s">
        <v>10</v>
      </c>
      <c r="H2" s="713" t="s">
        <v>11</v>
      </c>
      <c r="I2" s="714" t="s">
        <v>15</v>
      </c>
      <c r="J2" s="715" t="s">
        <v>16</v>
      </c>
      <c r="K2" s="716" t="s">
        <v>11</v>
      </c>
      <c r="L2" s="717" t="s">
        <v>14</v>
      </c>
      <c r="M2" s="718" t="s">
        <v>15</v>
      </c>
      <c r="N2" s="719" t="s">
        <v>16</v>
      </c>
      <c r="O2" s="717" t="s">
        <v>17</v>
      </c>
      <c r="P2" s="718" t="s">
        <v>18</v>
      </c>
      <c r="Q2" s="720" t="s">
        <v>19</v>
      </c>
      <c r="R2" s="721" t="s">
        <v>20</v>
      </c>
      <c r="S2" s="717" t="s">
        <v>21</v>
      </c>
      <c r="T2" s="722" t="s">
        <v>22</v>
      </c>
      <c r="U2" s="712" t="s">
        <v>23</v>
      </c>
      <c r="V2" s="719" t="s">
        <v>24</v>
      </c>
      <c r="W2" s="717" t="s">
        <v>25</v>
      </c>
      <c r="X2" s="722" t="s">
        <v>26</v>
      </c>
      <c r="Y2" s="723" t="s">
        <v>27</v>
      </c>
    </row>
    <row r="3" spans="1:25" ht="15.75" thickBot="1">
      <c r="A3" s="724"/>
      <c r="B3" s="725"/>
      <c r="C3" s="726"/>
      <c r="D3" s="726"/>
      <c r="E3" s="727"/>
      <c r="F3" s="727"/>
      <c r="G3" s="1807" t="s">
        <v>383</v>
      </c>
      <c r="H3" s="728"/>
      <c r="I3" s="1809"/>
      <c r="J3" s="1810"/>
      <c r="K3" s="729"/>
      <c r="L3" s="730"/>
      <c r="M3" s="1809"/>
      <c r="N3" s="1810"/>
      <c r="O3" s="731"/>
      <c r="P3" s="1809"/>
      <c r="Q3" s="1810"/>
      <c r="R3" s="732"/>
      <c r="S3" s="733"/>
      <c r="T3" s="733"/>
      <c r="U3" s="1809"/>
      <c r="V3" s="1810"/>
      <c r="W3" s="734"/>
      <c r="X3" s="734"/>
      <c r="Y3" s="735"/>
    </row>
    <row r="4" spans="1:25" ht="15.75" thickBot="1">
      <c r="A4" s="736"/>
      <c r="B4" s="338"/>
      <c r="C4" s="339"/>
      <c r="D4" s="339"/>
      <c r="E4" s="337"/>
      <c r="F4" s="337"/>
      <c r="G4" s="1705"/>
      <c r="H4" s="351"/>
      <c r="I4" s="1711"/>
      <c r="J4" s="1712"/>
      <c r="K4" s="352"/>
      <c r="L4" s="737"/>
      <c r="M4" s="1711"/>
      <c r="N4" s="1712"/>
      <c r="O4" s="354"/>
      <c r="P4" s="1711"/>
      <c r="Q4" s="1712"/>
      <c r="R4" s="355"/>
      <c r="S4" s="362"/>
      <c r="T4" s="733"/>
      <c r="U4" s="1711"/>
      <c r="V4" s="1712"/>
      <c r="W4" s="357"/>
      <c r="X4" s="357"/>
      <c r="Y4" s="735"/>
    </row>
    <row r="5" spans="1:25" s="866" customFormat="1" ht="15.75" thickBot="1">
      <c r="A5" s="1175" t="s">
        <v>384</v>
      </c>
      <c r="B5" s="1069">
        <v>43194</v>
      </c>
      <c r="C5" s="1070"/>
      <c r="D5" s="1070"/>
      <c r="E5" s="1130">
        <v>2</v>
      </c>
      <c r="F5" s="1130" t="s">
        <v>166</v>
      </c>
      <c r="G5" s="1705"/>
      <c r="H5" s="964">
        <v>29</v>
      </c>
      <c r="I5" s="1787">
        <v>2.39</v>
      </c>
      <c r="J5" s="1788"/>
      <c r="K5" s="965">
        <v>7</v>
      </c>
      <c r="L5" s="1176">
        <f t="shared" ref="L5:L6" si="0">(M5-P5)/M5</f>
        <v>0.82608695652173914</v>
      </c>
      <c r="M5" s="1789">
        <v>0.69</v>
      </c>
      <c r="N5" s="1790"/>
      <c r="O5" s="1131">
        <f>M5</f>
        <v>0.69</v>
      </c>
      <c r="P5" s="1789">
        <v>0.12</v>
      </c>
      <c r="Q5" s="1790"/>
      <c r="R5" s="1132">
        <f>P5</f>
        <v>0.12</v>
      </c>
      <c r="S5" s="1085">
        <f>R5+I5*(1-L5)</f>
        <v>0.53565217391304354</v>
      </c>
      <c r="T5" s="1177">
        <f>4.48*(S5^(-0.25))</f>
        <v>5.2366951923518581</v>
      </c>
      <c r="U5" s="1789">
        <v>3.899</v>
      </c>
      <c r="V5" s="1790"/>
      <c r="W5" s="1086"/>
      <c r="X5" s="1086"/>
      <c r="Y5" s="1178">
        <f t="shared" ref="Y5:Y6" si="1">U5/T5</f>
        <v>0.74455355081472974</v>
      </c>
    </row>
    <row r="6" spans="1:25" s="866" customFormat="1" ht="15.75" thickBot="1">
      <c r="A6" s="1175" t="s">
        <v>384</v>
      </c>
      <c r="B6" s="1069">
        <v>43194</v>
      </c>
      <c r="C6" s="1070"/>
      <c r="D6" s="1070"/>
      <c r="E6" s="1130">
        <v>1</v>
      </c>
      <c r="F6" s="1130" t="s">
        <v>158</v>
      </c>
      <c r="G6" s="1705"/>
      <c r="H6" s="964">
        <v>33</v>
      </c>
      <c r="I6" s="1787">
        <v>2.69</v>
      </c>
      <c r="J6" s="1788"/>
      <c r="K6" s="965">
        <v>9</v>
      </c>
      <c r="L6" s="1176">
        <f t="shared" si="0"/>
        <v>0.87634408602150538</v>
      </c>
      <c r="M6" s="1783">
        <v>0.93</v>
      </c>
      <c r="N6" s="1784"/>
      <c r="O6" s="1131">
        <f>M6</f>
        <v>0.93</v>
      </c>
      <c r="P6" s="1783">
        <v>0.115</v>
      </c>
      <c r="Q6" s="1784"/>
      <c r="R6" s="1132">
        <f>P6</f>
        <v>0.115</v>
      </c>
      <c r="S6" s="1085">
        <f t="shared" ref="S6" si="2">R6+I6*(1-L6)</f>
        <v>0.44763440860215054</v>
      </c>
      <c r="T6" s="1177">
        <f t="shared" ref="T6" si="3">4.48*(S6^(-0.25))</f>
        <v>5.4770555842294408</v>
      </c>
      <c r="U6" s="1783">
        <v>4.1210000000000004</v>
      </c>
      <c r="V6" s="1784"/>
      <c r="W6" s="972"/>
      <c r="X6" s="972"/>
      <c r="Y6" s="1178">
        <f t="shared" si="1"/>
        <v>0.75241157162362049</v>
      </c>
    </row>
    <row r="7" spans="1:25" ht="15.75" thickBot="1">
      <c r="A7" s="736"/>
      <c r="B7" s="338"/>
      <c r="C7" s="339"/>
      <c r="D7" s="339"/>
      <c r="E7" s="337"/>
      <c r="F7" s="337"/>
      <c r="G7" s="1705"/>
      <c r="H7" s="351"/>
      <c r="I7" s="1711">
        <f>I5*1000</f>
        <v>2390</v>
      </c>
      <c r="J7" s="1712"/>
      <c r="K7" s="352"/>
      <c r="L7" s="367">
        <f>R7/O7</f>
        <v>0.17391304347826086</v>
      </c>
      <c r="M7" s="1715">
        <f>M5*1000</f>
        <v>690</v>
      </c>
      <c r="N7" s="1716"/>
      <c r="O7" s="360">
        <f>O5*1000</f>
        <v>690</v>
      </c>
      <c r="P7" s="1715">
        <f>P5*1000</f>
        <v>120</v>
      </c>
      <c r="Q7" s="1716"/>
      <c r="R7" s="361">
        <f>R5*1000</f>
        <v>120</v>
      </c>
      <c r="S7" s="362">
        <f>(R7+(I7*L7))/100</f>
        <v>5.3565217391304349</v>
      </c>
      <c r="T7" s="733">
        <f>4.48*S7^(-0.25)</f>
        <v>2.9448101140850738</v>
      </c>
      <c r="U7" s="1715"/>
      <c r="V7" s="1716"/>
      <c r="W7" s="357">
        <f>X7*R7</f>
        <v>467.88</v>
      </c>
      <c r="X7" s="357">
        <f>U5</f>
        <v>3.899</v>
      </c>
      <c r="Y7" s="735">
        <f>X7/T7</f>
        <v>1.3240242490852028</v>
      </c>
    </row>
    <row r="8" spans="1:25" ht="15.75" thickBot="1">
      <c r="A8" s="738"/>
      <c r="B8" s="739"/>
      <c r="C8" s="740"/>
      <c r="D8" s="740"/>
      <c r="E8" s="741"/>
      <c r="F8" s="741"/>
      <c r="G8" s="1808"/>
      <c r="H8" s="742"/>
      <c r="I8" s="1711">
        <f>I6*1000</f>
        <v>2690</v>
      </c>
      <c r="J8" s="1712"/>
      <c r="K8" s="743"/>
      <c r="L8" s="367">
        <f>R8/O8</f>
        <v>0.12365591397849462</v>
      </c>
      <c r="M8" s="1715">
        <f>M6*1000</f>
        <v>930</v>
      </c>
      <c r="N8" s="1716"/>
      <c r="O8" s="360">
        <f>O6*1000</f>
        <v>930</v>
      </c>
      <c r="P8" s="1715">
        <f>P6*1000</f>
        <v>115</v>
      </c>
      <c r="Q8" s="1716"/>
      <c r="R8" s="361">
        <f>R6*1000</f>
        <v>115</v>
      </c>
      <c r="S8" s="362">
        <f>(R8+(I8*L8))/100</f>
        <v>4.4763440860215056</v>
      </c>
      <c r="T8" s="733">
        <f>4.48*S8^(-0.25)</f>
        <v>3.0799746953767855</v>
      </c>
      <c r="U8" s="1811"/>
      <c r="V8" s="1812"/>
      <c r="W8" s="748">
        <f>X8*R8</f>
        <v>473.91500000000008</v>
      </c>
      <c r="X8" s="748">
        <f>U6</f>
        <v>4.1210000000000004</v>
      </c>
      <c r="Y8" s="735">
        <f>X8/T8</f>
        <v>1.3379980056933105</v>
      </c>
    </row>
    <row r="9" spans="1: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"/>
      <c r="T9" s="4"/>
      <c r="U9" s="1"/>
      <c r="V9" s="1"/>
      <c r="W9" s="4"/>
      <c r="X9" s="4"/>
      <c r="Y9" s="4"/>
    </row>
    <row r="10" spans="1:25">
      <c r="A10" s="1"/>
      <c r="C10" s="1"/>
      <c r="D10" s="1"/>
      <c r="E10" s="1"/>
      <c r="F10" s="1"/>
      <c r="R10" s="1"/>
      <c r="S10" s="4"/>
      <c r="T10" s="4"/>
      <c r="U10" s="1"/>
      <c r="V10" s="1"/>
      <c r="W10" s="4"/>
      <c r="X10" s="4"/>
      <c r="Y10" s="4"/>
    </row>
    <row r="11" spans="1:25">
      <c r="A11" s="55" t="s">
        <v>39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4"/>
      <c r="T11" s="4"/>
      <c r="U11" s="1"/>
      <c r="V11" s="1"/>
      <c r="W11" s="4"/>
      <c r="X11" s="4"/>
      <c r="Y11" s="4"/>
    </row>
    <row r="12" spans="1:25">
      <c r="A12" s="56" t="s">
        <v>40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4"/>
      <c r="T12" s="4"/>
      <c r="U12" s="1"/>
      <c r="V12" s="1"/>
      <c r="W12" s="4"/>
      <c r="X12" s="4"/>
      <c r="Y12" s="4"/>
    </row>
    <row r="13" spans="1:25">
      <c r="A13" s="56" t="s">
        <v>41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50" t="s">
        <v>390</v>
      </c>
      <c r="O13" s="751"/>
      <c r="P13" s="751"/>
      <c r="Q13" s="1"/>
      <c r="R13" s="1"/>
      <c r="S13" s="4"/>
      <c r="T13" s="4"/>
      <c r="U13" s="1"/>
      <c r="V13" s="1"/>
      <c r="W13" s="4"/>
      <c r="X13" s="4"/>
      <c r="Y13" s="4"/>
    </row>
    <row r="14" spans="1:25">
      <c r="A14" s="56" t="s">
        <v>42</v>
      </c>
      <c r="B14" s="1"/>
      <c r="C14" s="1"/>
      <c r="D14" s="1"/>
      <c r="E14" s="1"/>
      <c r="F14" s="1"/>
      <c r="G14" s="1"/>
      <c r="H14" s="1"/>
      <c r="I14" s="1"/>
      <c r="J14" s="1"/>
      <c r="K14" s="749" t="s">
        <v>382</v>
      </c>
      <c r="L14" s="749" t="s">
        <v>386</v>
      </c>
      <c r="M14" s="1"/>
      <c r="N14" s="36"/>
      <c r="O14" s="752" t="s">
        <v>63</v>
      </c>
      <c r="P14" s="753" t="s">
        <v>64</v>
      </c>
      <c r="Q14" s="1"/>
      <c r="R14" s="1"/>
      <c r="S14" s="4"/>
      <c r="T14" s="4"/>
      <c r="U14" s="1"/>
      <c r="V14" s="1"/>
      <c r="W14" s="4"/>
      <c r="X14" s="4"/>
      <c r="Y14" s="4"/>
    </row>
    <row r="15" spans="1:25">
      <c r="A15" s="55" t="s">
        <v>87</v>
      </c>
      <c r="B15" s="1"/>
      <c r="C15" s="1"/>
      <c r="D15" s="1"/>
      <c r="E15" s="1"/>
      <c r="F15" s="1"/>
      <c r="G15" s="1"/>
      <c r="H15" s="1"/>
      <c r="I15" s="1"/>
      <c r="J15" s="1"/>
      <c r="K15" s="749" t="s">
        <v>384</v>
      </c>
      <c r="L15" s="749" t="s">
        <v>387</v>
      </c>
      <c r="M15" s="1"/>
      <c r="N15" s="36" t="s">
        <v>391</v>
      </c>
      <c r="O15" s="774">
        <f>AVERAGE(Y7:Y8)</f>
        <v>1.3310111273892566</v>
      </c>
      <c r="P15" s="75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55" t="s">
        <v>44</v>
      </c>
      <c r="B16" s="1"/>
      <c r="C16" s="1"/>
      <c r="D16" s="1"/>
      <c r="E16" s="1"/>
      <c r="F16" s="1"/>
      <c r="G16" s="1"/>
      <c r="H16" s="1"/>
      <c r="I16" s="1"/>
      <c r="J16" s="1"/>
      <c r="K16" s="749" t="s">
        <v>388</v>
      </c>
      <c r="L16" s="749" t="s">
        <v>389</v>
      </c>
      <c r="M16" s="1"/>
      <c r="N16" s="36" t="s">
        <v>25</v>
      </c>
      <c r="O16" s="774">
        <f>AVERAGE(W7:W8)</f>
        <v>470.89750000000004</v>
      </c>
      <c r="P16" s="751"/>
      <c r="Q16" s="1"/>
      <c r="R16" s="1"/>
      <c r="S16" s="4"/>
      <c r="T16" s="4"/>
      <c r="U16" s="1"/>
      <c r="V16" s="1"/>
      <c r="W16" s="4"/>
      <c r="X16" s="4"/>
      <c r="Y16" s="4"/>
    </row>
    <row r="17" spans="1:25">
      <c r="A17" s="55" t="s">
        <v>45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6" t="s">
        <v>392</v>
      </c>
      <c r="O17" s="774">
        <f>AVERAGE(X7:X8)</f>
        <v>4.01</v>
      </c>
      <c r="P17" s="36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6" t="s">
        <v>393</v>
      </c>
      <c r="O18" s="774">
        <f>AVERAGE(S7:S8)</f>
        <v>4.9164329125759707</v>
      </c>
      <c r="P18" s="36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6" t="s">
        <v>49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1" t="s">
        <v>50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/>
      <c r="P26" s="1"/>
      <c r="Q26" s="1"/>
      <c r="R26" s="1"/>
      <c r="S26" s="4"/>
      <c r="T26" s="4"/>
      <c r="U26" s="1"/>
      <c r="V26" s="1"/>
      <c r="W26" s="4"/>
      <c r="X26" s="4"/>
      <c r="Y26" s="4"/>
    </row>
  </sheetData>
  <mergeCells count="29">
    <mergeCell ref="U5:V5"/>
    <mergeCell ref="I8:J8"/>
    <mergeCell ref="M8:N8"/>
    <mergeCell ref="P8:Q8"/>
    <mergeCell ref="U8:V8"/>
    <mergeCell ref="I6:J6"/>
    <mergeCell ref="M6:N6"/>
    <mergeCell ref="P6:Q6"/>
    <mergeCell ref="U6:V6"/>
    <mergeCell ref="I7:J7"/>
    <mergeCell ref="M7:N7"/>
    <mergeCell ref="P7:Q7"/>
    <mergeCell ref="U7:V7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Y26"/>
  <sheetViews>
    <sheetView topLeftCell="D1" workbookViewId="0">
      <selection activeCell="I5" sqref="I5:Y6"/>
    </sheetView>
  </sheetViews>
  <sheetFormatPr baseColWidth="10" defaultColWidth="11.42578125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712" t="s">
        <v>4</v>
      </c>
      <c r="B2" s="700" t="s">
        <v>5</v>
      </c>
      <c r="C2" s="700" t="s">
        <v>6</v>
      </c>
      <c r="D2" s="700" t="s">
        <v>7</v>
      </c>
      <c r="E2" s="700" t="s">
        <v>8</v>
      </c>
      <c r="F2" s="700" t="s">
        <v>9</v>
      </c>
      <c r="G2" s="700" t="s">
        <v>10</v>
      </c>
      <c r="H2" s="713" t="s">
        <v>11</v>
      </c>
      <c r="I2" s="714" t="s">
        <v>15</v>
      </c>
      <c r="J2" s="715" t="s">
        <v>16</v>
      </c>
      <c r="K2" s="716" t="s">
        <v>11</v>
      </c>
      <c r="L2" s="717" t="s">
        <v>14</v>
      </c>
      <c r="M2" s="718" t="s">
        <v>15</v>
      </c>
      <c r="N2" s="719" t="s">
        <v>16</v>
      </c>
      <c r="O2" s="717" t="s">
        <v>17</v>
      </c>
      <c r="P2" s="718" t="s">
        <v>18</v>
      </c>
      <c r="Q2" s="720" t="s">
        <v>19</v>
      </c>
      <c r="R2" s="721" t="s">
        <v>20</v>
      </c>
      <c r="S2" s="717" t="s">
        <v>21</v>
      </c>
      <c r="T2" s="722" t="s">
        <v>22</v>
      </c>
      <c r="U2" s="712" t="s">
        <v>23</v>
      </c>
      <c r="V2" s="719" t="s">
        <v>24</v>
      </c>
      <c r="W2" s="717" t="s">
        <v>25</v>
      </c>
      <c r="X2" s="722" t="s">
        <v>26</v>
      </c>
      <c r="Y2" s="723" t="s">
        <v>27</v>
      </c>
    </row>
    <row r="3" spans="1:25" s="866" customFormat="1" ht="15.75" thickBot="1">
      <c r="A3" s="1179" t="s">
        <v>382</v>
      </c>
      <c r="B3" s="1180">
        <v>43194</v>
      </c>
      <c r="C3" s="1181"/>
      <c r="D3" s="1181"/>
      <c r="E3" s="1182">
        <v>2</v>
      </c>
      <c r="F3" s="1182" t="s">
        <v>166</v>
      </c>
      <c r="G3" s="1807" t="s">
        <v>383</v>
      </c>
      <c r="H3" s="1183">
        <v>55</v>
      </c>
      <c r="I3" s="1813">
        <v>1.75</v>
      </c>
      <c r="J3" s="1814"/>
      <c r="K3" s="1184">
        <v>17</v>
      </c>
      <c r="L3" s="1185">
        <f>(M3-P3)/M3</f>
        <v>0.84482758620689657</v>
      </c>
      <c r="M3" s="1813">
        <v>0.57999999999999996</v>
      </c>
      <c r="N3" s="1814"/>
      <c r="O3" s="1186">
        <v>0.57999999999999996</v>
      </c>
      <c r="P3" s="1813">
        <v>0.09</v>
      </c>
      <c r="Q3" s="1814"/>
      <c r="R3" s="1187">
        <v>0.09</v>
      </c>
      <c r="S3" s="1177">
        <f>R3+I3*(1-L3)</f>
        <v>0.36155172413793102</v>
      </c>
      <c r="T3" s="1177">
        <f>4.48*(S3^(-0.25))</f>
        <v>5.7774394790900727</v>
      </c>
      <c r="U3" s="1813">
        <v>4.8570000000000002</v>
      </c>
      <c r="V3" s="1814"/>
      <c r="W3" s="1188"/>
      <c r="X3" s="1188"/>
      <c r="Y3" s="1178">
        <f>U3/T3</f>
        <v>0.84068383884913689</v>
      </c>
    </row>
    <row r="4" spans="1:25" s="866" customFormat="1" ht="15.75" thickBot="1">
      <c r="A4" s="1175" t="s">
        <v>382</v>
      </c>
      <c r="B4" s="1069">
        <v>43194</v>
      </c>
      <c r="C4" s="1070"/>
      <c r="D4" s="1070"/>
      <c r="E4" s="1130">
        <v>1</v>
      </c>
      <c r="F4" s="1130" t="s">
        <v>158</v>
      </c>
      <c r="G4" s="1705"/>
      <c r="H4" s="964">
        <v>51</v>
      </c>
      <c r="I4" s="1787">
        <v>2.71</v>
      </c>
      <c r="J4" s="1788"/>
      <c r="K4" s="965">
        <v>12</v>
      </c>
      <c r="L4" s="1176">
        <f>(M4-P4)/M4</f>
        <v>0.91935483870967738</v>
      </c>
      <c r="M4" s="1787">
        <v>0.62</v>
      </c>
      <c r="N4" s="1788"/>
      <c r="O4" s="968">
        <v>0.62</v>
      </c>
      <c r="P4" s="1787">
        <v>0.05</v>
      </c>
      <c r="Q4" s="1788"/>
      <c r="R4" s="1141">
        <v>0.05</v>
      </c>
      <c r="S4" s="1085">
        <f>R4+I4*(1-L4)</f>
        <v>0.26854838709677431</v>
      </c>
      <c r="T4" s="1177">
        <f t="shared" ref="T4" si="0">4.48*(S4^(-0.25))</f>
        <v>6.2233234985827428</v>
      </c>
      <c r="U4" s="1787">
        <v>4.5750000000000002</v>
      </c>
      <c r="V4" s="1788"/>
      <c r="W4" s="972"/>
      <c r="X4" s="972"/>
      <c r="Y4" s="1178">
        <f t="shared" ref="Y4" si="1">U4/T4</f>
        <v>0.73513774449325664</v>
      </c>
    </row>
    <row r="5" spans="1:25" ht="15.75" thickBot="1">
      <c r="A5" s="736"/>
      <c r="B5" s="338"/>
      <c r="C5" s="339"/>
      <c r="D5" s="339"/>
      <c r="E5" s="337"/>
      <c r="F5" s="337"/>
      <c r="G5" s="1705"/>
      <c r="H5" s="351"/>
      <c r="I5" s="1711">
        <f>I3*1000</f>
        <v>1750</v>
      </c>
      <c r="J5" s="1712"/>
      <c r="K5" s="352"/>
      <c r="L5" s="367">
        <f>R5/O5</f>
        <v>0.15517241379310345</v>
      </c>
      <c r="M5" s="1715">
        <f>M3*1000</f>
        <v>580</v>
      </c>
      <c r="N5" s="1716"/>
      <c r="O5" s="360">
        <f>O3*1000</f>
        <v>580</v>
      </c>
      <c r="P5" s="1715">
        <f>P3*1000</f>
        <v>90</v>
      </c>
      <c r="Q5" s="1716"/>
      <c r="R5" s="361">
        <f>R3*1000</f>
        <v>90</v>
      </c>
      <c r="S5" s="362">
        <f>(R5+(I5*L5))/100</f>
        <v>3.6155172413793104</v>
      </c>
      <c r="T5" s="733">
        <f>4.48*S5^(-0.25)</f>
        <v>3.2488929728785516</v>
      </c>
      <c r="U5" s="1715"/>
      <c r="V5" s="1716"/>
      <c r="W5" s="357">
        <f>X5*R5</f>
        <v>437.13</v>
      </c>
      <c r="X5" s="357">
        <f>U3</f>
        <v>4.8570000000000002</v>
      </c>
      <c r="Y5" s="735">
        <f>X5/T5</f>
        <v>1.4949707609778999</v>
      </c>
    </row>
    <row r="6" spans="1:25" ht="15.75" thickBot="1">
      <c r="A6" s="736"/>
      <c r="B6" s="338"/>
      <c r="C6" s="339"/>
      <c r="D6" s="339"/>
      <c r="E6" s="337"/>
      <c r="F6" s="337"/>
      <c r="G6" s="1705"/>
      <c r="H6" s="365"/>
      <c r="I6" s="1711">
        <f>I4*1000</f>
        <v>2710</v>
      </c>
      <c r="J6" s="1712"/>
      <c r="K6" s="743"/>
      <c r="L6" s="367">
        <f>R6/O6</f>
        <v>8.0645161290322578E-2</v>
      </c>
      <c r="M6" s="1715">
        <f>M4*1000</f>
        <v>620</v>
      </c>
      <c r="N6" s="1716"/>
      <c r="O6" s="360">
        <f>O4*1000</f>
        <v>620</v>
      </c>
      <c r="P6" s="1715">
        <f>P4*1000</f>
        <v>50</v>
      </c>
      <c r="Q6" s="1716"/>
      <c r="R6" s="361">
        <f>R4*1000</f>
        <v>50</v>
      </c>
      <c r="S6" s="362">
        <f>(R6+(I6*L6))/100</f>
        <v>2.6854838709677415</v>
      </c>
      <c r="T6" s="733">
        <f>4.48*S6^(-0.25)</f>
        <v>3.4996319832812595</v>
      </c>
      <c r="U6" s="1811"/>
      <c r="V6" s="1812"/>
      <c r="W6" s="748">
        <f>X6*R6</f>
        <v>228.75</v>
      </c>
      <c r="X6" s="748">
        <f>U4</f>
        <v>4.5750000000000002</v>
      </c>
      <c r="Y6" s="735">
        <f>X6/T6</f>
        <v>1.3072803145748126</v>
      </c>
    </row>
    <row r="7" spans="1:25" ht="15.75" thickBot="1">
      <c r="A7" s="736"/>
      <c r="B7" s="338"/>
      <c r="C7" s="339"/>
      <c r="D7" s="339"/>
      <c r="E7" s="337"/>
      <c r="F7" s="337"/>
      <c r="G7" s="1705"/>
      <c r="H7" s="351"/>
      <c r="I7" s="1711"/>
      <c r="J7" s="1712"/>
      <c r="K7" s="352"/>
      <c r="L7" s="737"/>
      <c r="M7" s="1715"/>
      <c r="N7" s="1716"/>
      <c r="O7" s="360"/>
      <c r="P7" s="1715"/>
      <c r="Q7" s="1716"/>
      <c r="R7" s="361"/>
      <c r="S7" s="362"/>
      <c r="T7" s="733"/>
      <c r="U7" s="1715"/>
      <c r="V7" s="1716"/>
      <c r="W7" s="357"/>
      <c r="X7" s="357"/>
      <c r="Y7" s="735"/>
    </row>
    <row r="8" spans="1:25" ht="15.75" thickBot="1">
      <c r="A8" s="738"/>
      <c r="B8" s="739"/>
      <c r="C8" s="740"/>
      <c r="D8" s="740"/>
      <c r="E8" s="741"/>
      <c r="F8" s="741"/>
      <c r="G8" s="1808"/>
      <c r="H8" s="742"/>
      <c r="I8" s="1815"/>
      <c r="J8" s="1816"/>
      <c r="K8" s="743"/>
      <c r="L8" s="744"/>
      <c r="M8" s="1811"/>
      <c r="N8" s="1812"/>
      <c r="O8" s="745"/>
      <c r="P8" s="1811"/>
      <c r="Q8" s="1812"/>
      <c r="R8" s="746"/>
      <c r="S8" s="747"/>
      <c r="T8" s="733"/>
      <c r="U8" s="1811"/>
      <c r="V8" s="1812"/>
      <c r="W8" s="748"/>
      <c r="X8" s="748"/>
      <c r="Y8" s="735"/>
    </row>
    <row r="9" spans="1: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"/>
      <c r="T9" s="4"/>
      <c r="U9" s="1"/>
      <c r="V9" s="1"/>
      <c r="W9" s="4"/>
      <c r="X9" s="4"/>
      <c r="Y9" s="4"/>
    </row>
    <row r="10" spans="1:25">
      <c r="A10" s="1"/>
      <c r="C10" s="1"/>
      <c r="D10" s="1"/>
      <c r="E10" s="1"/>
      <c r="F10" s="1"/>
      <c r="R10" s="1"/>
      <c r="S10" s="4"/>
      <c r="T10" s="4"/>
      <c r="U10" s="1"/>
      <c r="V10" s="1"/>
      <c r="W10" s="4"/>
      <c r="X10" s="4"/>
      <c r="Y10" s="4"/>
    </row>
    <row r="11" spans="1:25">
      <c r="A11" s="55" t="s">
        <v>39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4"/>
      <c r="T11" s="4"/>
      <c r="U11" s="1"/>
      <c r="V11" s="1"/>
      <c r="W11" s="4"/>
      <c r="X11" s="4"/>
      <c r="Y11" s="4"/>
    </row>
    <row r="12" spans="1:25">
      <c r="A12" s="56" t="s">
        <v>40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4"/>
      <c r="T12" s="4"/>
      <c r="U12" s="1"/>
      <c r="V12" s="1"/>
      <c r="W12" s="4"/>
      <c r="X12" s="4"/>
      <c r="Y12" s="4"/>
    </row>
    <row r="13" spans="1:25">
      <c r="A13" s="56" t="s">
        <v>41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50" t="s">
        <v>390</v>
      </c>
      <c r="O13" s="751"/>
      <c r="P13" s="751"/>
      <c r="Q13" s="1"/>
      <c r="R13" s="1"/>
      <c r="S13" s="4"/>
      <c r="T13" s="4"/>
      <c r="U13" s="1"/>
      <c r="V13" s="1"/>
      <c r="W13" s="4"/>
      <c r="X13" s="4"/>
      <c r="Y13" s="4"/>
    </row>
    <row r="14" spans="1:25">
      <c r="A14" s="56" t="s">
        <v>42</v>
      </c>
      <c r="B14" s="1"/>
      <c r="C14" s="1"/>
      <c r="D14" s="1"/>
      <c r="E14" s="1"/>
      <c r="F14" s="1"/>
      <c r="G14" s="1"/>
      <c r="H14" s="1"/>
      <c r="I14" s="1"/>
      <c r="J14" s="1"/>
      <c r="K14" s="749" t="s">
        <v>382</v>
      </c>
      <c r="L14" s="749" t="s">
        <v>386</v>
      </c>
      <c r="M14" s="1"/>
      <c r="N14" s="36"/>
      <c r="O14" s="752" t="s">
        <v>63</v>
      </c>
      <c r="P14" s="753" t="s">
        <v>64</v>
      </c>
      <c r="Q14" s="1"/>
      <c r="R14" s="1"/>
      <c r="S14" s="4"/>
      <c r="T14" s="4"/>
      <c r="U14" s="1"/>
      <c r="V14" s="1"/>
      <c r="W14" s="4"/>
      <c r="X14" s="4"/>
      <c r="Y14" s="4"/>
    </row>
    <row r="15" spans="1:25">
      <c r="A15" s="55" t="s">
        <v>87</v>
      </c>
      <c r="B15" s="1"/>
      <c r="C15" s="1"/>
      <c r="D15" s="1"/>
      <c r="E15" s="1"/>
      <c r="F15" s="1"/>
      <c r="G15" s="1"/>
      <c r="H15" s="1"/>
      <c r="I15" s="1"/>
      <c r="J15" s="1"/>
      <c r="K15" s="749" t="s">
        <v>384</v>
      </c>
      <c r="L15" s="749" t="s">
        <v>387</v>
      </c>
      <c r="M15" s="1"/>
      <c r="N15" s="36" t="s">
        <v>391</v>
      </c>
      <c r="O15" s="774">
        <f>AVERAGE(Y5:Y6)</f>
        <v>1.4011255377763563</v>
      </c>
      <c r="P15" s="75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55" t="s">
        <v>44</v>
      </c>
      <c r="B16" s="1"/>
      <c r="C16" s="1"/>
      <c r="D16" s="1"/>
      <c r="E16" s="1"/>
      <c r="F16" s="1"/>
      <c r="G16" s="1"/>
      <c r="H16" s="1"/>
      <c r="I16" s="1"/>
      <c r="J16" s="1"/>
      <c r="K16" s="749" t="s">
        <v>388</v>
      </c>
      <c r="L16" s="749" t="s">
        <v>389</v>
      </c>
      <c r="M16" s="1"/>
      <c r="N16" s="36" t="s">
        <v>25</v>
      </c>
      <c r="O16" s="774">
        <f>AVERAGE(W5:W6)</f>
        <v>332.94</v>
      </c>
      <c r="P16" s="751"/>
      <c r="Q16" s="1"/>
      <c r="R16" s="1"/>
      <c r="S16" s="4"/>
      <c r="T16" s="4"/>
      <c r="U16" s="1"/>
      <c r="V16" s="1"/>
      <c r="W16" s="4"/>
      <c r="X16" s="4"/>
      <c r="Y16" s="4"/>
    </row>
    <row r="17" spans="1:25">
      <c r="A17" s="55" t="s">
        <v>45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6" t="s">
        <v>392</v>
      </c>
      <c r="O17" s="774">
        <f>AVERAGE(X5:X6)</f>
        <v>4.7160000000000002</v>
      </c>
      <c r="P17" s="36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6" t="s">
        <v>393</v>
      </c>
      <c r="O18" s="774">
        <f>AVERAGE(S5:S6)</f>
        <v>3.150500556173526</v>
      </c>
      <c r="P18" s="36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6" t="s">
        <v>49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1" t="s">
        <v>50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/>
      <c r="P26" s="1"/>
      <c r="Q26" s="1"/>
      <c r="R26" s="1"/>
      <c r="S26" s="4"/>
      <c r="T26" s="4"/>
      <c r="U26" s="1"/>
      <c r="V26" s="1"/>
      <c r="W26" s="4"/>
      <c r="X26" s="4"/>
      <c r="Y26" s="4"/>
    </row>
  </sheetData>
  <mergeCells count="29">
    <mergeCell ref="U5:V5"/>
    <mergeCell ref="I8:J8"/>
    <mergeCell ref="M8:N8"/>
    <mergeCell ref="P8:Q8"/>
    <mergeCell ref="U8:V8"/>
    <mergeCell ref="I6:J6"/>
    <mergeCell ref="M6:N6"/>
    <mergeCell ref="P6:Q6"/>
    <mergeCell ref="U6:V6"/>
    <mergeCell ref="I7:J7"/>
    <mergeCell ref="M7:N7"/>
    <mergeCell ref="P7:Q7"/>
    <mergeCell ref="U7:V7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Y26"/>
  <sheetViews>
    <sheetView topLeftCell="D1" workbookViewId="0">
      <selection activeCell="M22" sqref="M22"/>
    </sheetView>
  </sheetViews>
  <sheetFormatPr baseColWidth="10" defaultColWidth="11.42578125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2"/>
      <c r="D1" s="2"/>
      <c r="E1" s="2"/>
      <c r="F1" s="2"/>
      <c r="G1" s="321"/>
      <c r="H1" s="1699" t="s">
        <v>0</v>
      </c>
      <c r="I1" s="1699"/>
      <c r="J1" s="1699"/>
      <c r="K1" s="1700" t="s">
        <v>1</v>
      </c>
      <c r="L1" s="1699"/>
      <c r="M1" s="1699"/>
      <c r="N1" s="1699"/>
      <c r="O1" s="1699"/>
      <c r="P1" s="1699"/>
      <c r="Q1" s="1699"/>
      <c r="R1" s="1699"/>
      <c r="S1" s="1701" t="s">
        <v>2</v>
      </c>
      <c r="T1" s="1702"/>
      <c r="U1" s="1703" t="s">
        <v>3</v>
      </c>
      <c r="V1" s="1703"/>
      <c r="W1" s="1704"/>
      <c r="X1" s="322"/>
      <c r="Y1" s="323"/>
    </row>
    <row r="2" spans="1:25" ht="16.5" thickTop="1" thickBot="1">
      <c r="A2" s="712" t="s">
        <v>4</v>
      </c>
      <c r="B2" s="700" t="s">
        <v>5</v>
      </c>
      <c r="C2" s="700" t="s">
        <v>6</v>
      </c>
      <c r="D2" s="700" t="s">
        <v>7</v>
      </c>
      <c r="E2" s="700" t="s">
        <v>8</v>
      </c>
      <c r="F2" s="700" t="s">
        <v>9</v>
      </c>
      <c r="G2" s="700" t="s">
        <v>10</v>
      </c>
      <c r="H2" s="713" t="s">
        <v>11</v>
      </c>
      <c r="I2" s="714" t="s">
        <v>15</v>
      </c>
      <c r="J2" s="715" t="s">
        <v>16</v>
      </c>
      <c r="K2" s="716" t="s">
        <v>11</v>
      </c>
      <c r="L2" s="717" t="s">
        <v>14</v>
      </c>
      <c r="M2" s="718" t="s">
        <v>15</v>
      </c>
      <c r="N2" s="719" t="s">
        <v>16</v>
      </c>
      <c r="O2" s="717" t="s">
        <v>17</v>
      </c>
      <c r="P2" s="718" t="s">
        <v>18</v>
      </c>
      <c r="Q2" s="720" t="s">
        <v>19</v>
      </c>
      <c r="R2" s="721" t="s">
        <v>20</v>
      </c>
      <c r="S2" s="717" t="s">
        <v>21</v>
      </c>
      <c r="T2" s="722" t="s">
        <v>22</v>
      </c>
      <c r="U2" s="712" t="s">
        <v>23</v>
      </c>
      <c r="V2" s="719" t="s">
        <v>24</v>
      </c>
      <c r="W2" s="717" t="s">
        <v>25</v>
      </c>
      <c r="X2" s="722" t="s">
        <v>26</v>
      </c>
      <c r="Y2" s="723" t="s">
        <v>27</v>
      </c>
    </row>
    <row r="3" spans="1:25" ht="15.75" thickBot="1">
      <c r="A3" s="724"/>
      <c r="B3" s="725"/>
      <c r="C3" s="726"/>
      <c r="D3" s="726"/>
      <c r="E3" s="727"/>
      <c r="F3" s="727"/>
      <c r="G3" s="1807" t="s">
        <v>383</v>
      </c>
      <c r="H3" s="728"/>
      <c r="I3" s="1809"/>
      <c r="J3" s="1810"/>
      <c r="K3" s="729"/>
      <c r="L3" s="730"/>
      <c r="M3" s="1809"/>
      <c r="N3" s="1810"/>
      <c r="O3" s="731"/>
      <c r="P3" s="1809"/>
      <c r="Q3" s="1810"/>
      <c r="R3" s="732"/>
      <c r="S3" s="733"/>
      <c r="T3" s="733"/>
      <c r="U3" s="1809"/>
      <c r="V3" s="1810"/>
      <c r="W3" s="734"/>
      <c r="X3" s="734"/>
      <c r="Y3" s="735"/>
    </row>
    <row r="4" spans="1:25" ht="15.75" thickBot="1">
      <c r="A4" s="736"/>
      <c r="B4" s="338"/>
      <c r="C4" s="339"/>
      <c r="D4" s="339"/>
      <c r="E4" s="337"/>
      <c r="F4" s="337"/>
      <c r="G4" s="1705"/>
      <c r="H4" s="351"/>
      <c r="I4" s="1711"/>
      <c r="J4" s="1712"/>
      <c r="K4" s="352"/>
      <c r="L4" s="737"/>
      <c r="M4" s="1711"/>
      <c r="N4" s="1712"/>
      <c r="O4" s="354"/>
      <c r="P4" s="1711"/>
      <c r="Q4" s="1712"/>
      <c r="R4" s="355"/>
      <c r="S4" s="362"/>
      <c r="T4" s="733"/>
      <c r="U4" s="1711"/>
      <c r="V4" s="1712"/>
      <c r="W4" s="357"/>
      <c r="X4" s="357"/>
      <c r="Y4" s="735"/>
    </row>
    <row r="5" spans="1:25" ht="15.75" thickBot="1">
      <c r="A5" s="736"/>
      <c r="B5" s="338"/>
      <c r="C5" s="339"/>
      <c r="D5" s="339"/>
      <c r="E5" s="337"/>
      <c r="F5" s="337"/>
      <c r="G5" s="1705"/>
      <c r="H5" s="351"/>
      <c r="I5" s="1711"/>
      <c r="J5" s="1712"/>
      <c r="K5" s="352"/>
      <c r="L5" s="737"/>
      <c r="M5" s="1713"/>
      <c r="N5" s="1714"/>
      <c r="O5" s="360"/>
      <c r="P5" s="1713"/>
      <c r="Q5" s="1714"/>
      <c r="R5" s="361"/>
      <c r="S5" s="362"/>
      <c r="T5" s="733"/>
      <c r="U5" s="1713"/>
      <c r="V5" s="1714"/>
      <c r="W5" s="363"/>
      <c r="X5" s="363"/>
      <c r="Y5" s="735"/>
    </row>
    <row r="6" spans="1:25" ht="15.75" thickBot="1">
      <c r="A6" s="736"/>
      <c r="B6" s="338"/>
      <c r="C6" s="339"/>
      <c r="D6" s="339"/>
      <c r="E6" s="337"/>
      <c r="F6" s="337"/>
      <c r="G6" s="1705"/>
      <c r="H6" s="365"/>
      <c r="I6" s="1711"/>
      <c r="J6" s="1712"/>
      <c r="K6" s="352"/>
      <c r="L6" s="737"/>
      <c r="M6" s="1715"/>
      <c r="N6" s="1716"/>
      <c r="O6" s="360"/>
      <c r="P6" s="1715"/>
      <c r="Q6" s="1716"/>
      <c r="R6" s="361"/>
      <c r="S6" s="362"/>
      <c r="T6" s="733"/>
      <c r="U6" s="1715"/>
      <c r="V6" s="1716"/>
      <c r="W6" s="357"/>
      <c r="X6" s="357"/>
      <c r="Y6" s="735"/>
    </row>
    <row r="7" spans="1:25" s="866" customFormat="1" ht="15.75" thickBot="1">
      <c r="A7" s="1175" t="s">
        <v>385</v>
      </c>
      <c r="B7" s="1069">
        <v>43194</v>
      </c>
      <c r="C7" s="1070"/>
      <c r="D7" s="1070"/>
      <c r="E7" s="1130">
        <v>2</v>
      </c>
      <c r="F7" s="1130" t="s">
        <v>166</v>
      </c>
      <c r="G7" s="1705"/>
      <c r="H7" s="964">
        <v>15</v>
      </c>
      <c r="I7" s="1787">
        <v>1.77</v>
      </c>
      <c r="J7" s="1788"/>
      <c r="K7" s="965">
        <v>8</v>
      </c>
      <c r="L7" s="1176">
        <f t="shared" ref="L7:L8" si="0">(M7-P7)/M7</f>
        <v>0.85263157894736841</v>
      </c>
      <c r="M7" s="1783">
        <v>0.47499999999999998</v>
      </c>
      <c r="N7" s="1784"/>
      <c r="O7" s="1131">
        <f t="shared" ref="O7:O8" si="1">M7</f>
        <v>0.47499999999999998</v>
      </c>
      <c r="P7" s="1783">
        <v>7.0000000000000007E-2</v>
      </c>
      <c r="Q7" s="1784"/>
      <c r="R7" s="1132">
        <f t="shared" ref="R7:R8" si="2">P7</f>
        <v>7.0000000000000007E-2</v>
      </c>
      <c r="S7" s="1085">
        <f>R7+I7*(1-L7)</f>
        <v>0.33084210526315794</v>
      </c>
      <c r="T7" s="1177">
        <f t="shared" ref="T7:T8" si="3">4.48*(S7^(-0.25))</f>
        <v>5.9070795577812643</v>
      </c>
      <c r="U7" s="1783">
        <v>3.4889999999999999</v>
      </c>
      <c r="V7" s="1784"/>
      <c r="W7" s="972"/>
      <c r="X7" s="972"/>
      <c r="Y7" s="1178">
        <f t="shared" ref="Y7:Y8" si="4">U7/T7</f>
        <v>0.59064719983397174</v>
      </c>
    </row>
    <row r="8" spans="1:25" s="866" customFormat="1" ht="15.75" thickBot="1">
      <c r="A8" s="1189" t="s">
        <v>385</v>
      </c>
      <c r="B8" s="1190">
        <v>43194</v>
      </c>
      <c r="C8" s="1191"/>
      <c r="D8" s="1191"/>
      <c r="E8" s="1192">
        <v>1</v>
      </c>
      <c r="F8" s="1192" t="s">
        <v>158</v>
      </c>
      <c r="G8" s="1808"/>
      <c r="H8" s="1193">
        <v>23</v>
      </c>
      <c r="I8" s="1817">
        <v>1.8049999999999999</v>
      </c>
      <c r="J8" s="1818"/>
      <c r="K8" s="1194">
        <v>15</v>
      </c>
      <c r="L8" s="1195">
        <f t="shared" si="0"/>
        <v>0.88020833333333337</v>
      </c>
      <c r="M8" s="1819">
        <v>0.96</v>
      </c>
      <c r="N8" s="1820"/>
      <c r="O8" s="1196">
        <f t="shared" si="1"/>
        <v>0.96</v>
      </c>
      <c r="P8" s="1819">
        <v>0.115</v>
      </c>
      <c r="Q8" s="1820"/>
      <c r="R8" s="1197">
        <f t="shared" si="2"/>
        <v>0.115</v>
      </c>
      <c r="S8" s="1198">
        <f>R8+I8*(1-L8)</f>
        <v>0.33122395833333329</v>
      </c>
      <c r="T8" s="1177">
        <f t="shared" si="3"/>
        <v>5.9053763202721035</v>
      </c>
      <c r="U8" s="1819">
        <v>3.5219999999999998</v>
      </c>
      <c r="V8" s="1820"/>
      <c r="W8" s="1199"/>
      <c r="X8" s="1199"/>
      <c r="Y8" s="1178">
        <f t="shared" si="4"/>
        <v>0.59640568339558686</v>
      </c>
    </row>
    <row r="9" spans="1:25" ht="15.75" thickBot="1">
      <c r="A9" s="1"/>
      <c r="B9" s="1"/>
      <c r="C9" s="1"/>
      <c r="D9" s="1"/>
      <c r="E9" s="1"/>
      <c r="F9" s="1"/>
      <c r="G9" s="1"/>
      <c r="H9" s="1"/>
      <c r="I9" s="1711">
        <f>I7*1000</f>
        <v>1770</v>
      </c>
      <c r="J9" s="1712"/>
      <c r="K9" s="352"/>
      <c r="L9" s="367">
        <f>R9/O9</f>
        <v>0.14736842105263157</v>
      </c>
      <c r="M9" s="1715">
        <f>M7*1000</f>
        <v>475</v>
      </c>
      <c r="N9" s="1716"/>
      <c r="O9" s="360">
        <f>O7*1000</f>
        <v>475</v>
      </c>
      <c r="P9" s="1715">
        <f>P7*1000</f>
        <v>70</v>
      </c>
      <c r="Q9" s="1716"/>
      <c r="R9" s="361">
        <f>R7*1000</f>
        <v>70</v>
      </c>
      <c r="S9" s="362">
        <f>(R9+(I9*L9))/100</f>
        <v>3.3084210526315787</v>
      </c>
      <c r="T9" s="733">
        <f>4.48*S9^(-0.25)</f>
        <v>3.3217949465275374</v>
      </c>
      <c r="U9" s="1715"/>
      <c r="V9" s="1716"/>
      <c r="W9" s="357">
        <f>X9*R9</f>
        <v>244.23</v>
      </c>
      <c r="X9" s="357">
        <f>U7</f>
        <v>3.4889999999999999</v>
      </c>
      <c r="Y9" s="735">
        <f>X9/T9</f>
        <v>1.0503357540618969</v>
      </c>
    </row>
    <row r="10" spans="1:25" ht="15.75" thickBot="1">
      <c r="A10" s="1"/>
      <c r="C10" s="1"/>
      <c r="D10" s="1"/>
      <c r="E10" s="1"/>
      <c r="F10" s="1"/>
      <c r="I10" s="1711">
        <f>I8*1000</f>
        <v>1805</v>
      </c>
      <c r="J10" s="1712"/>
      <c r="K10" s="743"/>
      <c r="L10" s="367">
        <f>R10/O10</f>
        <v>0.11979166666666667</v>
      </c>
      <c r="M10" s="1715">
        <f>M8*1000</f>
        <v>960</v>
      </c>
      <c r="N10" s="1716"/>
      <c r="O10" s="360">
        <f>O8*1000</f>
        <v>960</v>
      </c>
      <c r="P10" s="1715">
        <f>P8*1000</f>
        <v>115</v>
      </c>
      <c r="Q10" s="1716"/>
      <c r="R10" s="361">
        <f>R8*1000</f>
        <v>115</v>
      </c>
      <c r="S10" s="362">
        <f>(R10+(I10*L10))/100</f>
        <v>3.3122395833333336</v>
      </c>
      <c r="T10" s="733">
        <f>4.48*S10^(-0.25)</f>
        <v>3.3208371456895218</v>
      </c>
      <c r="U10" s="1811"/>
      <c r="V10" s="1812"/>
      <c r="W10" s="748">
        <f>X10*R10</f>
        <v>405.03</v>
      </c>
      <c r="X10" s="748">
        <f>U8</f>
        <v>3.5219999999999998</v>
      </c>
      <c r="Y10" s="735">
        <f>X10/T10</f>
        <v>1.0605759468125648</v>
      </c>
    </row>
    <row r="11" spans="1:25">
      <c r="A11" s="55" t="s">
        <v>39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4"/>
      <c r="T11" s="4"/>
      <c r="U11" s="1"/>
      <c r="V11" s="1"/>
      <c r="W11" s="4"/>
      <c r="X11" s="4"/>
      <c r="Y11" s="4"/>
    </row>
    <row r="12" spans="1:25">
      <c r="A12" s="56" t="s">
        <v>40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4"/>
      <c r="T12" s="4"/>
      <c r="U12" s="1"/>
      <c r="V12" s="1"/>
      <c r="W12" s="4"/>
      <c r="X12" s="4"/>
      <c r="Y12" s="4"/>
    </row>
    <row r="13" spans="1:25">
      <c r="A13" s="56" t="s">
        <v>41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50" t="s">
        <v>390</v>
      </c>
      <c r="O13" s="751"/>
      <c r="P13" s="751"/>
      <c r="Q13" s="1"/>
      <c r="R13" s="1"/>
      <c r="S13" s="4"/>
      <c r="T13" s="4"/>
      <c r="U13" s="1"/>
      <c r="V13" s="1"/>
      <c r="W13" s="4"/>
      <c r="X13" s="4"/>
      <c r="Y13" s="4"/>
    </row>
    <row r="14" spans="1:25">
      <c r="A14" s="56" t="s">
        <v>42</v>
      </c>
      <c r="B14" s="1"/>
      <c r="C14" s="1"/>
      <c r="D14" s="1"/>
      <c r="E14" s="1"/>
      <c r="F14" s="1"/>
      <c r="G14" s="1"/>
      <c r="H14" s="1"/>
      <c r="I14" s="1"/>
      <c r="J14" s="1"/>
      <c r="K14" s="749" t="s">
        <v>382</v>
      </c>
      <c r="L14" s="749" t="s">
        <v>386</v>
      </c>
      <c r="M14" s="1"/>
      <c r="N14" s="36"/>
      <c r="O14" s="752" t="s">
        <v>63</v>
      </c>
      <c r="P14" s="753" t="s">
        <v>64</v>
      </c>
      <c r="Q14" s="1"/>
      <c r="R14" s="1"/>
      <c r="S14" s="4"/>
      <c r="T14" s="4"/>
      <c r="U14" s="1"/>
      <c r="V14" s="1"/>
      <c r="W14" s="4"/>
      <c r="X14" s="4"/>
      <c r="Y14" s="4"/>
    </row>
    <row r="15" spans="1:25">
      <c r="A15" s="55" t="s">
        <v>87</v>
      </c>
      <c r="B15" s="1"/>
      <c r="C15" s="1"/>
      <c r="D15" s="1"/>
      <c r="E15" s="1"/>
      <c r="F15" s="1"/>
      <c r="G15" s="1"/>
      <c r="H15" s="1"/>
      <c r="I15" s="1"/>
      <c r="J15" s="1"/>
      <c r="K15" s="749" t="s">
        <v>384</v>
      </c>
      <c r="L15" s="749" t="s">
        <v>387</v>
      </c>
      <c r="M15" s="1"/>
      <c r="N15" s="36" t="s">
        <v>391</v>
      </c>
      <c r="O15" s="774">
        <f>AVERAGE(Y9:Y10)</f>
        <v>1.0554558504372309</v>
      </c>
      <c r="P15" s="751"/>
      <c r="Q15" s="1"/>
      <c r="R15" s="1"/>
      <c r="S15" s="4"/>
      <c r="T15" s="4"/>
      <c r="U15" s="1"/>
      <c r="V15" s="1"/>
      <c r="W15" s="4"/>
      <c r="X15" s="4"/>
      <c r="Y15" s="4"/>
    </row>
    <row r="16" spans="1:25">
      <c r="A16" s="55" t="s">
        <v>44</v>
      </c>
      <c r="B16" s="1"/>
      <c r="C16" s="1"/>
      <c r="D16" s="1"/>
      <c r="E16" s="1"/>
      <c r="F16" s="1"/>
      <c r="G16" s="1"/>
      <c r="H16" s="1"/>
      <c r="I16" s="1"/>
      <c r="J16" s="1"/>
      <c r="K16" s="749" t="s">
        <v>388</v>
      </c>
      <c r="L16" s="749" t="s">
        <v>389</v>
      </c>
      <c r="M16" s="1"/>
      <c r="N16" s="36" t="s">
        <v>25</v>
      </c>
      <c r="O16" s="774">
        <f>AVERAGE(W9:W10)</f>
        <v>324.63</v>
      </c>
      <c r="P16" s="751"/>
      <c r="Q16" s="1"/>
      <c r="R16" s="1"/>
      <c r="S16" s="4"/>
      <c r="T16" s="4"/>
      <c r="U16" s="1"/>
      <c r="V16" s="1"/>
      <c r="W16" s="4"/>
      <c r="X16" s="4"/>
      <c r="Y16" s="4"/>
    </row>
    <row r="17" spans="1:25">
      <c r="A17" s="55" t="s">
        <v>45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6" t="s">
        <v>392</v>
      </c>
      <c r="O17" s="774">
        <f>AVERAGE(X9:X10)</f>
        <v>3.5054999999999996</v>
      </c>
      <c r="P17" s="36"/>
      <c r="Q17" s="1"/>
      <c r="R17" s="1"/>
      <c r="S17" s="4"/>
      <c r="T17" s="4"/>
      <c r="U17" s="1"/>
      <c r="V17" s="1"/>
      <c r="W17" s="4"/>
      <c r="X17" s="4"/>
      <c r="Y17" s="4"/>
    </row>
    <row r="18" spans="1:25">
      <c r="A18" s="56" t="s">
        <v>46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6" t="s">
        <v>393</v>
      </c>
      <c r="O18" s="774">
        <f>AVERAGE(S9:S10)</f>
        <v>3.3103303179824559</v>
      </c>
      <c r="P18" s="36"/>
      <c r="Q18" s="1"/>
      <c r="R18" s="1"/>
      <c r="S18" s="4"/>
      <c r="T18" s="4"/>
      <c r="U18" s="1"/>
      <c r="V18" s="1"/>
      <c r="W18" s="4"/>
      <c r="X18" s="4"/>
      <c r="Y18" s="4"/>
    </row>
    <row r="19" spans="1:25">
      <c r="A19" s="56" t="s">
        <v>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4"/>
      <c r="T19" s="4"/>
      <c r="U19" s="1"/>
      <c r="V19" s="1"/>
      <c r="W19" s="4"/>
      <c r="X19" s="4"/>
      <c r="Y19" s="4"/>
    </row>
    <row r="20" spans="1:25">
      <c r="A20" s="56" t="s">
        <v>48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4"/>
      <c r="T20" s="4"/>
      <c r="U20" s="1"/>
      <c r="V20" s="1"/>
      <c r="W20" s="4"/>
      <c r="X20" s="4"/>
      <c r="Y20" s="4"/>
    </row>
    <row r="21" spans="1:25">
      <c r="A21" s="56" t="s">
        <v>49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1"/>
      <c r="Q21" s="1"/>
      <c r="R21" s="1"/>
      <c r="S21" s="4"/>
      <c r="T21" s="4"/>
      <c r="U21" s="1"/>
      <c r="V21" s="1"/>
      <c r="W21" s="4"/>
      <c r="X21" s="4"/>
      <c r="Y21" s="4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/>
      <c r="P22" s="1"/>
      <c r="Q22" s="1"/>
      <c r="R22" s="1"/>
      <c r="S22" s="4"/>
      <c r="T22" s="4"/>
      <c r="U22" s="1"/>
      <c r="V22" s="1"/>
      <c r="W22" s="4"/>
      <c r="X22" s="4"/>
      <c r="Y22" s="4"/>
    </row>
    <row r="23" spans="1:25">
      <c r="A23" s="1" t="s">
        <v>50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/>
      <c r="P23" s="1"/>
      <c r="Q23" s="1"/>
      <c r="R23" s="1"/>
      <c r="S23" s="4"/>
      <c r="T23" s="4"/>
      <c r="U23" s="1"/>
      <c r="V23" s="1"/>
      <c r="W23" s="4"/>
      <c r="X23" s="4"/>
      <c r="Y23" s="4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/>
      <c r="P24" s="1"/>
      <c r="Q24" s="1"/>
      <c r="R24" s="1"/>
      <c r="S24" s="4"/>
      <c r="T24" s="4"/>
      <c r="U24" s="1"/>
      <c r="V24" s="1"/>
      <c r="W24" s="4"/>
      <c r="X24" s="4"/>
      <c r="Y24" s="4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/>
      <c r="P25" s="1"/>
      <c r="Q25" s="1"/>
      <c r="R25" s="1"/>
      <c r="S25" s="4"/>
      <c r="T25" s="4"/>
      <c r="U25" s="1"/>
      <c r="V25" s="1"/>
      <c r="W25" s="4"/>
      <c r="X25" s="4"/>
      <c r="Y25" s="4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/>
      <c r="P26" s="1"/>
      <c r="Q26" s="1"/>
      <c r="R26" s="1"/>
      <c r="S26" s="4"/>
      <c r="T26" s="4"/>
      <c r="U26" s="1"/>
      <c r="V26" s="1"/>
      <c r="W26" s="4"/>
      <c r="X26" s="4"/>
      <c r="Y26" s="4"/>
    </row>
  </sheetData>
  <mergeCells count="37">
    <mergeCell ref="U5:V5"/>
    <mergeCell ref="I8:J8"/>
    <mergeCell ref="M8:N8"/>
    <mergeCell ref="P8:Q8"/>
    <mergeCell ref="U8:V8"/>
    <mergeCell ref="I6:J6"/>
    <mergeCell ref="M6:N6"/>
    <mergeCell ref="P6:Q6"/>
    <mergeCell ref="U6:V6"/>
    <mergeCell ref="I7:J7"/>
    <mergeCell ref="M7:N7"/>
    <mergeCell ref="P7:Q7"/>
    <mergeCell ref="U7:V7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  <mergeCell ref="I9:J9"/>
    <mergeCell ref="M9:N9"/>
    <mergeCell ref="P9:Q9"/>
    <mergeCell ref="U9:V9"/>
    <mergeCell ref="I10:J10"/>
    <mergeCell ref="M10:N10"/>
    <mergeCell ref="P10:Q10"/>
    <mergeCell ref="U10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45</vt:i4>
      </vt:variant>
    </vt:vector>
  </HeadingPairs>
  <TitlesOfParts>
    <vt:vector size="45" baseType="lpstr">
      <vt:lpstr>READ ME</vt:lpstr>
      <vt:lpstr>MD11_BGA</vt:lpstr>
      <vt:lpstr>LR11_INRA</vt:lpstr>
      <vt:lpstr>LR12_INRA</vt:lpstr>
      <vt:lpstr>LR13_INRA</vt:lpstr>
      <vt:lpstr>DIJ13_TI</vt:lpstr>
      <vt:lpstr>CH14_EUR</vt:lpstr>
      <vt:lpstr>SEL14_MAD</vt:lpstr>
      <vt:lpstr>PRE14_R2N</vt:lpstr>
      <vt:lpstr>VER14_SYN</vt:lpstr>
      <vt:lpstr>MD15_BGA</vt:lpstr>
      <vt:lpstr>LR15_INRA</vt:lpstr>
      <vt:lpstr>YEB15_LE</vt:lpstr>
      <vt:lpstr>SEL15_MAD</vt:lpstr>
      <vt:lpstr>PRE15_R2N</vt:lpstr>
      <vt:lpstr>VER15_SYN</vt:lpstr>
      <vt:lpstr>DIJ15_TI</vt:lpstr>
      <vt:lpstr>LR16_INRA</vt:lpstr>
      <vt:lpstr>AU117_BGA</vt:lpstr>
      <vt:lpstr>AU217_BGA</vt:lpstr>
      <vt:lpstr>BLO17_EUR</vt:lpstr>
      <vt:lpstr>CHX17_EUR</vt:lpstr>
      <vt:lpstr>LR17_INRA</vt:lpstr>
      <vt:lpstr>ORM17_LE</vt:lpstr>
      <vt:lpstr>PR17_LE</vt:lpstr>
      <vt:lpstr>AUT17_MAD</vt:lpstr>
      <vt:lpstr>VIL17_MAD</vt:lpstr>
      <vt:lpstr>BEA17_R2N</vt:lpstr>
      <vt:lpstr>HOU17_R2N</vt:lpstr>
      <vt:lpstr>VER17_SYN</vt:lpstr>
      <vt:lpstr>CHA17_SYN</vt:lpstr>
      <vt:lpstr>DIJ17_TI</vt:lpstr>
      <vt:lpstr>BLO18_EUR</vt:lpstr>
      <vt:lpstr>CHL18_EUR</vt:lpstr>
      <vt:lpstr>LR18_INRA</vt:lpstr>
      <vt:lpstr>CV18_LE</vt:lpstr>
      <vt:lpstr>LIV18_LE</vt:lpstr>
      <vt:lpstr>AUT18_MAD</vt:lpstr>
      <vt:lpstr>VIL18_MAD</vt:lpstr>
      <vt:lpstr>CUP18_R2N</vt:lpstr>
      <vt:lpstr>LOU18_R2N</vt:lpstr>
      <vt:lpstr>PRE18_R2N</vt:lpstr>
      <vt:lpstr>CHR18_SYN</vt:lpstr>
      <vt:lpstr>CH218_SYN</vt:lpstr>
      <vt:lpstr>PUI18_SYN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adminigepp</cp:lastModifiedBy>
  <dcterms:created xsi:type="dcterms:W3CDTF">2019-11-20T08:47:54Z</dcterms:created>
  <dcterms:modified xsi:type="dcterms:W3CDTF">2021-03-16T17:27:13Z</dcterms:modified>
</cp:coreProperties>
</file>