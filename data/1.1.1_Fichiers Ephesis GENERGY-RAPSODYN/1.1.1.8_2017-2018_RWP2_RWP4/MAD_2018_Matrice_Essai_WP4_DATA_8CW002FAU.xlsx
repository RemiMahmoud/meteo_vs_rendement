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corlouer\Desktop\RECHERCHE\RAPSODYN\WP4\2018\"/>
    </mc:Choice>
  </mc:AlternateContent>
  <bookViews>
    <workbookView xWindow="-15" yWindow="3960" windowWidth="19230" windowHeight="3975" activeTab="5"/>
  </bookViews>
  <sheets>
    <sheet name="READ_ME" sheetId="1" r:id="rId1"/>
    <sheet name="TRIAL" sheetId="2" r:id="rId2"/>
    <sheet name="Parcellaire_Data" sheetId="4" r:id="rId3"/>
    <sheet name="Plant_Material" sheetId="3" r:id="rId4"/>
    <sheet name="SOIL_DATA" sheetId="5" r:id="rId5"/>
    <sheet name="INN_DATA" sheetId="6" r:id="rId6"/>
    <sheet name="PHENO_DATA" sheetId="7" r:id="rId7"/>
    <sheet name="METEO_DATA" sheetId="8" r:id="rId8"/>
  </sheets>
  <calcPr calcId="162913"/>
</workbook>
</file>

<file path=xl/calcChain.xml><?xml version="1.0" encoding="utf-8"?>
<calcChain xmlns="http://schemas.openxmlformats.org/spreadsheetml/2006/main">
  <c r="N3" i="6" l="1"/>
  <c r="P3" i="6"/>
  <c r="Q3" i="6" s="1"/>
  <c r="R3" i="6" s="1"/>
  <c r="S3" i="6" s="1"/>
  <c r="P4" i="6"/>
  <c r="O3" i="6"/>
  <c r="O4" i="6" l="1"/>
  <c r="N4" i="6"/>
  <c r="Q4" i="6" s="1"/>
  <c r="R4" i="6" l="1"/>
  <c r="S4" i="6" s="1"/>
</calcChain>
</file>

<file path=xl/comments1.xml><?xml version="1.0" encoding="utf-8"?>
<comments xmlns="http://schemas.openxmlformats.org/spreadsheetml/2006/main">
  <authors>
    <author>younous</author>
  </authors>
  <commentList>
    <comment ref="H1" authorId="0" shapeId="0">
      <text>
        <r>
          <rPr>
            <b/>
            <sz val="9"/>
            <color indexed="81"/>
            <rFont val="Tahoma"/>
            <charset val="1"/>
          </rPr>
          <t xml:space="preserve">N + ou N - </t>
        </r>
      </text>
    </comment>
    <comment ref="M1" authorId="0" shapeId="0">
      <text>
        <r>
          <rPr>
            <b/>
            <sz val="9"/>
            <color indexed="81"/>
            <rFont val="Tahoma"/>
            <charset val="1"/>
          </rPr>
          <t>Témoin ou génotype</t>
        </r>
      </text>
    </comment>
    <comment ref="N1" authorId="0" shapeId="0">
      <text>
        <r>
          <rPr>
            <b/>
            <sz val="9"/>
            <color indexed="81"/>
            <rFont val="Tahoma"/>
            <charset val="1"/>
          </rPr>
          <t xml:space="preserve">taille de la parcelle récoltée
</t>
        </r>
      </text>
    </comment>
    <comment ref="P1" authorId="0" shapeId="0">
      <text>
        <r>
          <rPr>
            <b/>
            <sz val="9"/>
            <color indexed="81"/>
            <rFont val="Tahoma"/>
            <charset val="1"/>
          </rPr>
          <t xml:space="preserve">Rendement à 0% d'humidité)
</t>
        </r>
      </text>
    </comment>
    <comment ref="Q1" authorId="0" shapeId="0">
      <text>
        <r>
          <rPr>
            <b/>
            <sz val="9"/>
            <color indexed="81"/>
            <rFont val="Tahoma"/>
            <charset val="1"/>
          </rPr>
          <t>rendement aux normes (9%)</t>
        </r>
      </text>
    </comment>
    <comment ref="R1" authorId="0" shapeId="0">
      <text>
        <r>
          <rPr>
            <b/>
            <sz val="9"/>
            <color indexed="81"/>
            <rFont val="Tahoma"/>
            <charset val="1"/>
          </rPr>
          <t>Peuplement parcellaire</t>
        </r>
      </text>
    </comment>
    <comment ref="S1" authorId="0" shapeId="0">
      <text>
        <r>
          <rPr>
            <b/>
            <sz val="9"/>
            <color indexed="81"/>
            <rFont val="Tahoma"/>
            <charset val="1"/>
          </rPr>
          <t>Mesure de vigeur sortie hiver</t>
        </r>
      </text>
    </comment>
    <comment ref="T1" authorId="0" shapeId="0">
      <text>
        <r>
          <rPr>
            <b/>
            <sz val="9"/>
            <color indexed="81"/>
            <rFont val="Tahoma"/>
            <charset val="1"/>
          </rPr>
          <t>DTF en nombre de jour</t>
        </r>
      </text>
    </comment>
    <comment ref="U1" authorId="0" shapeId="0">
      <text>
        <r>
          <rPr>
            <b/>
            <sz val="9"/>
            <color indexed="81"/>
            <rFont val="Tahoma"/>
            <charset val="1"/>
          </rPr>
          <t>Hauteur Plante</t>
        </r>
      </text>
    </comment>
    <comment ref="V1" authorId="0" shapeId="0">
      <text>
        <r>
          <rPr>
            <b/>
            <sz val="9"/>
            <color indexed="81"/>
            <rFont val="Tahoma"/>
            <charset val="1"/>
          </rPr>
          <t>Fin Floraison</t>
        </r>
      </text>
    </comment>
    <comment ref="W1" authorId="0" shapeId="0">
      <text>
        <r>
          <rPr>
            <b/>
            <sz val="9"/>
            <color indexed="81"/>
            <rFont val="Tahoma"/>
            <charset val="1"/>
          </rPr>
          <t>Biomasse fraîche des grains récoltés</t>
        </r>
      </text>
    </comment>
    <comment ref="X1" authorId="0" shapeId="0">
      <text>
        <r>
          <rPr>
            <b/>
            <sz val="9"/>
            <color indexed="81"/>
            <rFont val="Tahoma"/>
            <charset val="1"/>
          </rPr>
          <t>teneur en eau du grain à la récolte</t>
        </r>
      </text>
    </comment>
    <comment ref="Y1" authorId="0" shapeId="0">
      <text>
        <r>
          <rPr>
            <b/>
            <sz val="9"/>
            <color indexed="81"/>
            <rFont val="Tahoma"/>
            <charset val="1"/>
          </rPr>
          <t>Teneur en huile des grains</t>
        </r>
      </text>
    </comment>
    <comment ref="Z1" authorId="0" shapeId="0">
      <text>
        <r>
          <rPr>
            <b/>
            <sz val="9"/>
            <color indexed="81"/>
            <rFont val="Tahoma"/>
            <charset val="1"/>
          </rPr>
          <t>Teneur en protéines des grains</t>
        </r>
      </text>
    </comment>
    <comment ref="AA1" authorId="0" shapeId="0">
      <text>
        <r>
          <rPr>
            <b/>
            <sz val="9"/>
            <color indexed="81"/>
            <rFont val="Tahoma"/>
            <charset val="1"/>
          </rPr>
          <t>Teneur en protéine de la graine deshuilée</t>
        </r>
      </text>
    </comment>
    <comment ref="AB1" authorId="0" shapeId="0">
      <text>
        <r>
          <rPr>
            <b/>
            <sz val="9"/>
            <color indexed="81"/>
            <rFont val="Tahoma"/>
            <charset val="1"/>
          </rPr>
          <t>Teneur en glucosinolate</t>
        </r>
      </text>
    </comment>
    <comment ref="AC1" authorId="0" shapeId="0">
      <text>
        <r>
          <rPr>
            <sz val="9"/>
            <color indexed="81"/>
            <rFont val="Tahoma"/>
            <charset val="1"/>
          </rPr>
          <t>Poids de 1000 grains</t>
        </r>
      </text>
    </comment>
  </commentList>
</comments>
</file>

<file path=xl/sharedStrings.xml><?xml version="1.0" encoding="utf-8"?>
<sst xmlns="http://schemas.openxmlformats.org/spreadsheetml/2006/main" count="329" uniqueCount="204">
  <si>
    <t>READ ME</t>
  </si>
  <si>
    <t>AUTEUR</t>
  </si>
  <si>
    <t>NOM DU FICHIER</t>
  </si>
  <si>
    <t>DATE DE CREATION</t>
  </si>
  <si>
    <t>PROJET</t>
  </si>
  <si>
    <t>RAPSODYN</t>
  </si>
  <si>
    <t>VERSION</t>
  </si>
  <si>
    <t>Description</t>
  </si>
  <si>
    <t>Commentaire</t>
  </si>
  <si>
    <t>MODIFICATION</t>
  </si>
  <si>
    <t>CONTACT MAIL</t>
  </si>
  <si>
    <t>WORK_PACKAGE</t>
  </si>
  <si>
    <t>WP4</t>
  </si>
  <si>
    <t>TRIAL_NAME</t>
  </si>
  <si>
    <t>Date_Begin</t>
  </si>
  <si>
    <t>Date_End</t>
  </si>
  <si>
    <t>Trial_Comments</t>
  </si>
  <si>
    <t>TRIAL_BASIC_INFO</t>
  </si>
  <si>
    <t>TRIAL_LOCALISATION_INFO</t>
  </si>
  <si>
    <t>SITE_NAME</t>
  </si>
  <si>
    <t>Latitude</t>
  </si>
  <si>
    <t>Longitude</t>
  </si>
  <si>
    <t>TRIAL_ITK</t>
  </si>
  <si>
    <t>Contact_Name</t>
  </si>
  <si>
    <t>Contact_Phone</t>
  </si>
  <si>
    <t>Contact_email</t>
  </si>
  <si>
    <t>N1_Treatment</t>
  </si>
  <si>
    <t>N2_Treatment</t>
  </si>
  <si>
    <t>TRIAL_Design</t>
  </si>
  <si>
    <t>Sowing Date</t>
  </si>
  <si>
    <t>Fertilisation_Date_1</t>
  </si>
  <si>
    <t>Fertilisation_Date_2</t>
  </si>
  <si>
    <t>Fertilisation_Date_3</t>
  </si>
  <si>
    <t>Harvest</t>
  </si>
  <si>
    <t>Accession_Name</t>
  </si>
  <si>
    <t>CODE_RAPSO</t>
  </si>
  <si>
    <t>Intitulé</t>
  </si>
  <si>
    <t>Résultat [Sur brut] horizon 0-30cm</t>
  </si>
  <si>
    <t>Résultat [Sur brut] horizon 30-60cm</t>
  </si>
  <si>
    <t>Résultat [Sur brut] horizon  60-90cm</t>
  </si>
  <si>
    <t>Argile (&lt; 2 µm)</t>
  </si>
  <si>
    <t>Capacité d'Echange Cationique (méthode Metson) (CEC)</t>
  </si>
  <si>
    <t>Carbone organique</t>
  </si>
  <si>
    <t>Limons fins (2 à 20 µm)</t>
  </si>
  <si>
    <t>Limons grossiers (20 à 50 µm)</t>
  </si>
  <si>
    <t>Matières Organiques</t>
  </si>
  <si>
    <t>pH eau</t>
  </si>
  <si>
    <t>Sables fins (50 à 200 µm)</t>
  </si>
  <si>
    <t>Sables grossiers (200 à 2000 µm)</t>
  </si>
  <si>
    <t>Infos concernant la nature du sol, sa composition, sa profondeur…</t>
  </si>
  <si>
    <t>Préciser Unité</t>
  </si>
  <si>
    <t>AUTRES INFORMATIONS</t>
  </si>
  <si>
    <t>Profondeur du sol</t>
  </si>
  <si>
    <t>Réserve Utile</t>
  </si>
  <si>
    <t>Densité apparente</t>
  </si>
  <si>
    <t>Data</t>
  </si>
  <si>
    <t>4/5</t>
  </si>
  <si>
    <t>1/5</t>
  </si>
  <si>
    <t>Manip</t>
  </si>
  <si>
    <t>Date</t>
  </si>
  <si>
    <t>Y</t>
  </si>
  <si>
    <t>X</t>
  </si>
  <si>
    <t>Modalite</t>
  </si>
  <si>
    <t>Genotype</t>
  </si>
  <si>
    <t>Stade</t>
  </si>
  <si>
    <t>Nbr</t>
  </si>
  <si>
    <t>INN</t>
  </si>
  <si>
    <t>De "Parcelle" à "Genotype" = données générales sur l'essai</t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</si>
  <si>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</si>
  <si>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</si>
  <si>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</si>
  <si>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t>Deux échantillons différents sont identifiés : 1/5 des plantes et 4/5 des plantes</t>
  </si>
  <si>
    <t xml:space="preserve">A partir des INN3, une distinction est faite entre les feuilles et le tiges pour les pesées </t>
  </si>
  <si>
    <t>et les analyses par SAS pour l'échantillon 1/5</t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</si>
  <si>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</si>
  <si>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</si>
  <si>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</si>
  <si>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</si>
  <si>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</si>
  <si>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A AJOUTER EN COMPLEMENT D'INFORMATION</t>
  </si>
  <si>
    <t>Texture</t>
  </si>
  <si>
    <t>Annee</t>
  </si>
  <si>
    <t>Partenaire</t>
  </si>
  <si>
    <t>Lieu</t>
  </si>
  <si>
    <t>Jour_semis</t>
  </si>
  <si>
    <t>Jour_levee</t>
  </si>
  <si>
    <t>Jour_recolte</t>
  </si>
  <si>
    <t>YYXXX</t>
  </si>
  <si>
    <t>Code_RAPSO</t>
  </si>
  <si>
    <t>Statut</t>
  </si>
  <si>
    <t>Plot Size </t>
  </si>
  <si>
    <t>Objectif rendement</t>
  </si>
  <si>
    <t>Relicat post récolte</t>
  </si>
  <si>
    <t>besoins culture (7)</t>
  </si>
  <si>
    <t>Relicat sortie hiver</t>
  </si>
  <si>
    <t>Effet du précédent</t>
  </si>
  <si>
    <t>Azote absorbé hiver</t>
  </si>
  <si>
    <t>Mineralisation nette sortie hiver</t>
  </si>
  <si>
    <t>Utilisation engrais organiques</t>
  </si>
  <si>
    <t>Effet Prairie</t>
  </si>
  <si>
    <t>Fourniture du sol - Kg/Ha</t>
  </si>
  <si>
    <t>Apport necessaire théorique</t>
  </si>
  <si>
    <t>quantité N apporté</t>
  </si>
  <si>
    <t>SY</t>
  </si>
  <si>
    <t>VIGH</t>
  </si>
  <si>
    <t>End of flowering time (BBCH 69)</t>
  </si>
  <si>
    <t>SdMoist</t>
  </si>
  <si>
    <t>SdProt</t>
  </si>
  <si>
    <t>PNRD</t>
  </si>
  <si>
    <t>SdGLS</t>
  </si>
  <si>
    <t>TSW</t>
  </si>
  <si>
    <t>Répétition</t>
  </si>
  <si>
    <t>N° Entrée</t>
  </si>
  <si>
    <t>Numéro de lot</t>
  </si>
  <si>
    <t>INN 3</t>
  </si>
  <si>
    <t>Plantdens</t>
  </si>
  <si>
    <t>F1/FLO</t>
  </si>
  <si>
    <t>Plantsize</t>
  </si>
  <si>
    <t>PGF</t>
  </si>
  <si>
    <t>OIL</t>
  </si>
  <si>
    <r>
      <t xml:space="preserve">SY </t>
    </r>
    <r>
      <rPr>
        <b/>
        <vertAlign val="subscript"/>
        <sz val="10"/>
        <color indexed="10"/>
        <rFont val="Calibri"/>
        <family val="2"/>
      </rPr>
      <t xml:space="preserve">9%_ </t>
    </r>
  </si>
  <si>
    <t>Bilan</t>
  </si>
  <si>
    <t>N+</t>
  </si>
  <si>
    <t>N-</t>
  </si>
  <si>
    <t>ZXLC-7821-B</t>
  </si>
  <si>
    <t>Pendulum</t>
  </si>
  <si>
    <t>ZRLC-7779-B</t>
  </si>
  <si>
    <t>RAGT-01</t>
  </si>
  <si>
    <t>ZRLC-7782-B</t>
  </si>
  <si>
    <t>ZEGC-1506-B</t>
  </si>
  <si>
    <t>ES AGATHA</t>
  </si>
  <si>
    <t>ZRLC-7780-B</t>
  </si>
  <si>
    <t>ZVDC-0002-B</t>
  </si>
  <si>
    <t>AVISO</t>
  </si>
  <si>
    <t>ZYFC-0619-B</t>
  </si>
  <si>
    <t>ZVLC-7774-B</t>
  </si>
  <si>
    <t>AMILLIA</t>
  </si>
  <si>
    <t>ZEFC-0620-B</t>
  </si>
  <si>
    <t>ES VENUS</t>
  </si>
  <si>
    <t>ZYGC-1525-B</t>
  </si>
  <si>
    <t>ZVGC-1530-B</t>
  </si>
  <si>
    <t>PAMELA</t>
  </si>
  <si>
    <t>ZVIC-3296-B</t>
  </si>
  <si>
    <t>MONTEGO</t>
  </si>
  <si>
    <t>RAPSO_315</t>
  </si>
  <si>
    <t>RAPSO_294</t>
  </si>
  <si>
    <t>BRA_008</t>
  </si>
  <si>
    <t>RAPSO_305</t>
  </si>
  <si>
    <t>RAPSO_302</t>
  </si>
  <si>
    <t>RAPSO_312</t>
  </si>
  <si>
    <t>RAPSO_243</t>
  </si>
  <si>
    <t>RAPSO_472</t>
  </si>
  <si>
    <t>RAPSO_316</t>
  </si>
  <si>
    <t>RAPSO_317</t>
  </si>
  <si>
    <t>RAGT-03</t>
  </si>
  <si>
    <t>RAGT-02</t>
  </si>
  <si>
    <t>RAPSO_330</t>
  </si>
  <si>
    <t>SYN06</t>
  </si>
  <si>
    <t>RAPSO_325</t>
  </si>
  <si>
    <t>SYN01</t>
  </si>
  <si>
    <t>MATERIAL</t>
  </si>
  <si>
    <t>TRT</t>
  </si>
  <si>
    <t>8CW002FAU</t>
  </si>
  <si>
    <t>AUTAINVILLE</t>
  </si>
  <si>
    <t>47.888017</t>
  </si>
  <si>
    <t>1.450417</t>
  </si>
  <si>
    <t>MAS</t>
  </si>
  <si>
    <t>FAU</t>
  </si>
  <si>
    <t>308</t>
  </si>
  <si>
    <t>527</t>
  </si>
  <si>
    <t>217</t>
  </si>
  <si>
    <t>606</t>
  </si>
  <si>
    <t>215</t>
  </si>
  <si>
    <t>623</t>
  </si>
  <si>
    <t>220</t>
  </si>
  <si>
    <t>507</t>
  </si>
  <si>
    <t>125</t>
  </si>
  <si>
    <t>601</t>
  </si>
  <si>
    <t>314</t>
  </si>
  <si>
    <t>423</t>
  </si>
  <si>
    <t>304</t>
  </si>
  <si>
    <t>518</t>
  </si>
  <si>
    <t>329</t>
  </si>
  <si>
    <t>406</t>
  </si>
  <si>
    <t>106</t>
  </si>
  <si>
    <t>618</t>
  </si>
  <si>
    <t>328</t>
  </si>
  <si>
    <t>414</t>
  </si>
  <si>
    <t>105</t>
  </si>
  <si>
    <t>428</t>
  </si>
  <si>
    <t>124</t>
  </si>
  <si>
    <t>613</t>
  </si>
  <si>
    <t>T</t>
  </si>
  <si>
    <t>f1</t>
  </si>
  <si>
    <t>MF</t>
  </si>
  <si>
    <t>MS</t>
  </si>
  <si>
    <t>N%_Dumas</t>
  </si>
  <si>
    <t>Taux_MS</t>
  </si>
  <si>
    <t>MF_Tot</t>
  </si>
  <si>
    <t>BS1</t>
  </si>
  <si>
    <t>BS2</t>
  </si>
  <si>
    <t>VCA</t>
  </si>
  <si>
    <t>maes@maisadour.com</t>
  </si>
  <si>
    <t>Maes Olivier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</si>
</sst>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€_-;\-* #,##0.00\ _€_-;_-* &quot;-&quot;??\ _€_-;_-@_-"/>
    <numFmt numFmtId="164" formatCode="_(\$* #,##0.00_);_(\$* \(#,##0.00\);_(\$* \-??_);_(@_)"/>
    <numFmt numFmtId="165" formatCode="0.0"/>
  </numFmts>
  <fonts count="6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rgb="FF66669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9"/>
      <name val="Geneva"/>
      <family val="2"/>
    </font>
    <font>
      <sz val="9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1"/>
      <name val="Calibri"/>
      <family val="2"/>
    </font>
    <font>
      <sz val="10"/>
      <name val="Tahoma"/>
      <family val="2"/>
    </font>
    <font>
      <sz val="11"/>
      <color theme="1"/>
      <name val="Calibri"/>
      <family val="2"/>
    </font>
    <font>
      <sz val="11"/>
      <color indexed="20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sz val="10"/>
      <name val="Arial"/>
    </font>
    <font>
      <sz val="11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vertAlign val="subscript"/>
      <sz val="10"/>
      <color indexed="10"/>
      <name val="Calibri"/>
      <family val="2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4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70C0"/>
      <name val="Calibri"/>
      <family val="2"/>
    </font>
    <font>
      <u/>
      <sz val="11"/>
      <color theme="10"/>
      <name val="Calibri"/>
      <family val="2"/>
      <scheme val="minor"/>
    </font>
  </fonts>
  <fills count="7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rgb="FF00B0F0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/>
      <diagonal/>
    </border>
    <border>
      <left style="thick">
        <color indexed="64"/>
      </left>
      <right style="thin">
        <color rgb="FF000000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62">
    <xf numFmtId="0" fontId="0" fillId="0" borderId="0"/>
    <xf numFmtId="0" fontId="1" fillId="0" borderId="0"/>
    <xf numFmtId="0" fontId="11" fillId="0" borderId="0"/>
    <xf numFmtId="0" fontId="12" fillId="0" borderId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5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5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29" fillId="49" borderId="0" applyNumberFormat="0" applyBorder="0" applyAlignment="0" applyProtection="0"/>
    <xf numFmtId="0" fontId="29" fillId="50" borderId="0" applyNumberFormat="0" applyBorder="0" applyAlignment="0" applyProtection="0"/>
    <xf numFmtId="0" fontId="29" fillId="51" borderId="0" applyNumberFormat="0" applyBorder="0" applyAlignment="0" applyProtection="0"/>
    <xf numFmtId="0" fontId="29" fillId="46" borderId="0" applyNumberFormat="0" applyBorder="0" applyAlignment="0" applyProtection="0"/>
    <xf numFmtId="0" fontId="29" fillId="49" borderId="0" applyNumberFormat="0" applyBorder="0" applyAlignment="0" applyProtection="0"/>
    <xf numFmtId="0" fontId="29" fillId="52" borderId="0" applyNumberFormat="0" applyBorder="0" applyAlignment="0" applyProtection="0"/>
    <xf numFmtId="0" fontId="29" fillId="49" borderId="0" applyNumberFormat="0" applyBorder="0" applyAlignment="0" applyProtection="0"/>
    <xf numFmtId="0" fontId="29" fillId="50" borderId="0" applyNumberFormat="0" applyBorder="0" applyAlignment="0" applyProtection="0"/>
    <xf numFmtId="0" fontId="29" fillId="51" borderId="0" applyNumberFormat="0" applyBorder="0" applyAlignment="0" applyProtection="0"/>
    <xf numFmtId="0" fontId="29" fillId="46" borderId="0" applyNumberFormat="0" applyBorder="0" applyAlignment="0" applyProtection="0"/>
    <xf numFmtId="0" fontId="29" fillId="49" borderId="0" applyNumberFormat="0" applyBorder="0" applyAlignment="0" applyProtection="0"/>
    <xf numFmtId="0" fontId="29" fillId="52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28" fillId="33" borderId="0" applyNumberFormat="0" applyBorder="0" applyAlignment="0" applyProtection="0"/>
    <xf numFmtId="0" fontId="28" fillId="37" borderId="0" applyNumberFormat="0" applyBorder="0" applyAlignment="0" applyProtection="0"/>
    <xf numFmtId="0" fontId="28" fillId="41" borderId="0" applyNumberFormat="0" applyBorder="0" applyAlignment="0" applyProtection="0"/>
    <xf numFmtId="0" fontId="30" fillId="53" borderId="0" applyNumberFormat="0" applyBorder="0" applyAlignment="0" applyProtection="0"/>
    <xf numFmtId="0" fontId="30" fillId="50" borderId="0" applyNumberFormat="0" applyBorder="0" applyAlignment="0" applyProtection="0"/>
    <xf numFmtId="0" fontId="30" fillId="51" borderId="0" applyNumberFormat="0" applyBorder="0" applyAlignment="0" applyProtection="0"/>
    <xf numFmtId="0" fontId="30" fillId="54" borderId="0" applyNumberFormat="0" applyBorder="0" applyAlignment="0" applyProtection="0"/>
    <xf numFmtId="0" fontId="30" fillId="55" borderId="0" applyNumberFormat="0" applyBorder="0" applyAlignment="0" applyProtection="0"/>
    <xf numFmtId="0" fontId="30" fillId="56" borderId="0" applyNumberFormat="0" applyBorder="0" applyAlignment="0" applyProtection="0"/>
    <xf numFmtId="0" fontId="30" fillId="53" borderId="0" applyNumberFormat="0" applyBorder="0" applyAlignment="0" applyProtection="0"/>
    <xf numFmtId="0" fontId="30" fillId="50" borderId="0" applyNumberFormat="0" applyBorder="0" applyAlignment="0" applyProtection="0"/>
    <xf numFmtId="0" fontId="30" fillId="51" borderId="0" applyNumberFormat="0" applyBorder="0" applyAlignment="0" applyProtection="0"/>
    <xf numFmtId="0" fontId="30" fillId="54" borderId="0" applyNumberFormat="0" applyBorder="0" applyAlignment="0" applyProtection="0"/>
    <xf numFmtId="0" fontId="30" fillId="55" borderId="0" applyNumberFormat="0" applyBorder="0" applyAlignment="0" applyProtection="0"/>
    <xf numFmtId="0" fontId="30" fillId="56" borderId="0" applyNumberFormat="0" applyBorder="0" applyAlignment="0" applyProtection="0"/>
    <xf numFmtId="0" fontId="28" fillId="18" borderId="0" applyNumberFormat="0" applyBorder="0" applyAlignment="0" applyProtection="0"/>
    <xf numFmtId="0" fontId="28" fillId="22" borderId="0" applyNumberFormat="0" applyBorder="0" applyAlignment="0" applyProtection="0"/>
    <xf numFmtId="0" fontId="28" fillId="26" borderId="0" applyNumberFormat="0" applyBorder="0" applyAlignment="0" applyProtection="0"/>
    <xf numFmtId="0" fontId="28" fillId="30" borderId="0" applyNumberFormat="0" applyBorder="0" applyAlignment="0" applyProtection="0"/>
    <xf numFmtId="0" fontId="28" fillId="34" borderId="0" applyNumberFormat="0" applyBorder="0" applyAlignment="0" applyProtection="0"/>
    <xf numFmtId="0" fontId="28" fillId="38" borderId="0" applyNumberFormat="0" applyBorder="0" applyAlignment="0" applyProtection="0"/>
    <xf numFmtId="0" fontId="30" fillId="57" borderId="0" applyNumberFormat="0" applyBorder="0" applyAlignment="0" applyProtection="0"/>
    <xf numFmtId="0" fontId="30" fillId="58" borderId="0" applyNumberFormat="0" applyBorder="0" applyAlignment="0" applyProtection="0"/>
    <xf numFmtId="0" fontId="30" fillId="59" borderId="0" applyNumberFormat="0" applyBorder="0" applyAlignment="0" applyProtection="0"/>
    <xf numFmtId="0" fontId="30" fillId="54" borderId="0" applyNumberFormat="0" applyBorder="0" applyAlignment="0" applyProtection="0"/>
    <xf numFmtId="0" fontId="30" fillId="55" borderId="0" applyNumberFormat="0" applyBorder="0" applyAlignment="0" applyProtection="0"/>
    <xf numFmtId="0" fontId="30" fillId="60" borderId="0" applyNumberFormat="0" applyBorder="0" applyAlignment="0" applyProtection="0"/>
    <xf numFmtId="0" fontId="30" fillId="57" borderId="0" applyNumberFormat="0" applyBorder="0" applyAlignment="0" applyProtection="0"/>
    <xf numFmtId="0" fontId="30" fillId="58" borderId="0" applyNumberFormat="0" applyBorder="0" applyAlignment="0" applyProtection="0"/>
    <xf numFmtId="0" fontId="30" fillId="59" borderId="0" applyNumberFormat="0" applyBorder="0" applyAlignment="0" applyProtection="0"/>
    <xf numFmtId="0" fontId="30" fillId="54" borderId="0" applyNumberFormat="0" applyBorder="0" applyAlignment="0" applyProtection="0"/>
    <xf numFmtId="0" fontId="30" fillId="55" borderId="0" applyNumberFormat="0" applyBorder="0" applyAlignment="0" applyProtection="0"/>
    <xf numFmtId="0" fontId="30" fillId="60" borderId="0" applyNumberFormat="0" applyBorder="0" applyAlignment="0" applyProtection="0"/>
    <xf numFmtId="0" fontId="31" fillId="61" borderId="25" applyNumberFormat="0" applyAlignment="0" applyProtection="0"/>
    <xf numFmtId="0" fontId="31" fillId="61" borderId="25" applyNumberFormat="0" applyAlignment="0" applyProtection="0"/>
    <xf numFmtId="0" fontId="26" fillId="0" borderId="0" applyNumberFormat="0" applyFill="0" applyBorder="0" applyAlignment="0" applyProtection="0"/>
    <xf numFmtId="0" fontId="32" fillId="61" borderId="26" applyNumberFormat="0" applyAlignment="0" applyProtection="0"/>
    <xf numFmtId="0" fontId="32" fillId="61" borderId="26" applyNumberFormat="0" applyAlignment="0" applyProtection="0"/>
    <xf numFmtId="0" fontId="23" fillId="15" borderId="19" applyNumberFormat="0" applyAlignment="0" applyProtection="0"/>
    <xf numFmtId="0" fontId="24" fillId="0" borderId="21" applyNumberFormat="0" applyFill="0" applyAlignment="0" applyProtection="0"/>
    <xf numFmtId="0" fontId="29" fillId="17" borderId="23" applyNumberFormat="0" applyFont="0" applyAlignment="0" applyProtection="0"/>
    <xf numFmtId="164" fontId="29" fillId="0" borderId="0" applyFill="0" applyBorder="0" applyAlignment="0" applyProtection="0"/>
    <xf numFmtId="0" fontId="33" fillId="48" borderId="26" applyNumberFormat="0" applyAlignment="0" applyProtection="0"/>
    <xf numFmtId="0" fontId="33" fillId="48" borderId="26" applyNumberFormat="0" applyAlignment="0" applyProtection="0"/>
    <xf numFmtId="0" fontId="31" fillId="61" borderId="25" applyNumberFormat="0" applyAlignment="0" applyProtection="0"/>
    <xf numFmtId="0" fontId="31" fillId="61" borderId="25" applyNumberFormat="0" applyAlignment="0" applyProtection="0"/>
    <xf numFmtId="0" fontId="34" fillId="45" borderId="0" applyNumberFormat="0" applyBorder="0" applyAlignment="0" applyProtection="0"/>
    <xf numFmtId="0" fontId="33" fillId="48" borderId="26" applyNumberFormat="0" applyAlignment="0" applyProtection="0"/>
    <xf numFmtId="0" fontId="33" fillId="48" borderId="26" applyNumberFormat="0" applyAlignment="0" applyProtection="0"/>
    <xf numFmtId="0" fontId="21" fillId="14" borderId="19" applyNumberFormat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6" fillId="0" borderId="0" applyNumberFormat="0" applyFill="0" applyBorder="0" applyAlignment="0" applyProtection="0"/>
    <xf numFmtId="0" fontId="34" fillId="45" borderId="0" applyNumberFormat="0" applyBorder="0" applyAlignment="0" applyProtection="0"/>
    <xf numFmtId="0" fontId="19" fillId="12" borderId="0" applyNumberFormat="0" applyBorder="0" applyAlignment="0" applyProtection="0"/>
    <xf numFmtId="0" fontId="37" fillId="0" borderId="28" applyNumberFormat="0" applyFill="0" applyAlignment="0" applyProtection="0"/>
    <xf numFmtId="0" fontId="38" fillId="62" borderId="29" applyNumberFormat="0" applyAlignment="0" applyProtection="0"/>
    <xf numFmtId="0" fontId="11" fillId="0" borderId="0"/>
    <xf numFmtId="0" fontId="11" fillId="0" borderId="0"/>
    <xf numFmtId="0" fontId="39" fillId="0" borderId="30" applyNumberFormat="0" applyFill="0" applyAlignment="0" applyProtection="0"/>
    <xf numFmtId="0" fontId="40" fillId="0" borderId="31" applyNumberFormat="0" applyFill="0" applyAlignment="0" applyProtection="0"/>
    <xf numFmtId="0" fontId="41" fillId="0" borderId="32" applyNumberFormat="0" applyFill="0" applyAlignment="0" applyProtection="0"/>
    <xf numFmtId="0" fontId="41" fillId="0" borderId="0" applyNumberFormat="0" applyFill="0" applyBorder="0" applyAlignment="0" applyProtection="0"/>
    <xf numFmtId="0" fontId="42" fillId="63" borderId="0" applyNumberFormat="0" applyBorder="0" applyAlignment="0" applyProtection="0"/>
    <xf numFmtId="0" fontId="42" fillId="63" borderId="0" applyNumberFormat="0" applyBorder="0" applyAlignment="0" applyProtection="0"/>
    <xf numFmtId="0" fontId="20" fillId="13" borderId="0" applyNumberFormat="0" applyBorder="0" applyAlignment="0" applyProtection="0"/>
    <xf numFmtId="0" fontId="1" fillId="0" borderId="0"/>
    <xf numFmtId="0" fontId="11" fillId="0" borderId="0"/>
    <xf numFmtId="0" fontId="43" fillId="0" borderId="0"/>
    <xf numFmtId="0" fontId="43" fillId="0" borderId="0"/>
    <xf numFmtId="0" fontId="44" fillId="0" borderId="0"/>
    <xf numFmtId="0" fontId="11" fillId="0" borderId="0"/>
    <xf numFmtId="0" fontId="45" fillId="0" borderId="0"/>
    <xf numFmtId="0" fontId="11" fillId="0" borderId="0"/>
    <xf numFmtId="0" fontId="44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9" fillId="64" borderId="33" applyNumberFormat="0" applyFont="0" applyAlignment="0" applyProtection="0"/>
    <xf numFmtId="0" fontId="29" fillId="64" borderId="33" applyNumberFormat="0" applyFont="0" applyAlignment="0" applyProtection="0"/>
    <xf numFmtId="0" fontId="32" fillId="61" borderId="26" applyNumberFormat="0" applyAlignment="0" applyProtection="0"/>
    <xf numFmtId="0" fontId="32" fillId="61" borderId="26" applyNumberFormat="0" applyAlignment="0" applyProtection="0"/>
    <xf numFmtId="0" fontId="18" fillId="11" borderId="0" applyNumberFormat="0" applyBorder="0" applyAlignment="0" applyProtection="0"/>
    <xf numFmtId="0" fontId="46" fillId="44" borderId="0" applyNumberFormat="0" applyBorder="0" applyAlignment="0" applyProtection="0"/>
    <xf numFmtId="0" fontId="22" fillId="15" borderId="20" applyNumberFormat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16" applyNumberFormat="0" applyFill="0" applyAlignment="0" applyProtection="0"/>
    <xf numFmtId="0" fontId="16" fillId="0" borderId="17" applyNumberFormat="0" applyFill="0" applyAlignment="0" applyProtection="0"/>
    <xf numFmtId="0" fontId="17" fillId="0" borderId="18" applyNumberFormat="0" applyFill="0" applyAlignment="0" applyProtection="0"/>
    <xf numFmtId="0" fontId="17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9" fillId="0" borderId="30" applyNumberFormat="0" applyFill="0" applyAlignment="0" applyProtection="0"/>
    <xf numFmtId="0" fontId="40" fillId="0" borderId="31" applyNumberFormat="0" applyFill="0" applyAlignment="0" applyProtection="0"/>
    <xf numFmtId="0" fontId="41" fillId="0" borderId="32" applyNumberFormat="0" applyFill="0" applyAlignment="0" applyProtection="0"/>
    <xf numFmtId="0" fontId="41" fillId="0" borderId="0" applyNumberFormat="0" applyFill="0" applyBorder="0" applyAlignment="0" applyProtection="0"/>
    <xf numFmtId="0" fontId="29" fillId="64" borderId="33" applyNumberFormat="0" applyFont="0" applyAlignment="0" applyProtection="0"/>
    <xf numFmtId="0" fontId="29" fillId="64" borderId="33" applyNumberFormat="0" applyFont="0" applyAlignment="0" applyProtection="0"/>
    <xf numFmtId="0" fontId="25" fillId="16" borderId="22" applyNumberFormat="0" applyAlignment="0" applyProtection="0"/>
    <xf numFmtId="0" fontId="37" fillId="0" borderId="28" applyNumberFormat="0" applyFill="0" applyAlignment="0" applyProtection="0"/>
    <xf numFmtId="0" fontId="47" fillId="0" borderId="0" applyNumberFormat="0" applyFill="0" applyBorder="0" applyAlignment="0" applyProtection="0"/>
    <xf numFmtId="0" fontId="38" fillId="62" borderId="29" applyNumberFormat="0" applyAlignment="0" applyProtection="0"/>
    <xf numFmtId="0" fontId="46" fillId="44" borderId="0" applyNumberFormat="0" applyBorder="0" applyAlignment="0" applyProtection="0"/>
    <xf numFmtId="0" fontId="4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67" fillId="0" borderId="0" applyNumberFormat="0" applyFill="0" applyBorder="0" applyAlignment="0" applyProtection="0"/>
  </cellStyleXfs>
  <cellXfs count="105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2" xfId="0" applyFont="1" applyBorder="1"/>
    <xf numFmtId="0" fontId="0" fillId="0" borderId="3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top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0" fillId="0" borderId="4" xfId="0" applyBorder="1"/>
    <xf numFmtId="0" fontId="11" fillId="0" borderId="0" xfId="2" applyAlignment="1">
      <alignment horizontal="center"/>
    </xf>
    <xf numFmtId="0" fontId="11" fillId="0" borderId="8" xfId="2" applyBorder="1" applyAlignment="1">
      <alignment horizontal="center"/>
    </xf>
    <xf numFmtId="0" fontId="7" fillId="6" borderId="9" xfId="2" applyFont="1" applyFill="1" applyBorder="1" applyAlignment="1">
      <alignment horizontal="center"/>
    </xf>
    <xf numFmtId="0" fontId="7" fillId="6" borderId="10" xfId="2" applyFont="1" applyFill="1" applyBorder="1" applyAlignment="1">
      <alignment horizontal="center"/>
    </xf>
    <xf numFmtId="0" fontId="13" fillId="0" borderId="1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1" fillId="0" borderId="0" xfId="2"/>
    <xf numFmtId="0" fontId="7" fillId="0" borderId="0" xfId="2" applyFont="1"/>
    <xf numFmtId="0" fontId="11" fillId="0" borderId="0" xfId="2" applyFont="1"/>
    <xf numFmtId="0" fontId="0" fillId="8" borderId="4" xfId="0" applyFill="1" applyBorder="1"/>
    <xf numFmtId="0" fontId="0" fillId="8" borderId="4" xfId="0" applyFill="1" applyBorder="1" applyAlignment="1">
      <alignment wrapText="1"/>
    </xf>
    <xf numFmtId="0" fontId="9" fillId="10" borderId="1" xfId="0" applyFont="1" applyFill="1" applyBorder="1"/>
    <xf numFmtId="0" fontId="0" fillId="10" borderId="2" xfId="0" applyFill="1" applyBorder="1"/>
    <xf numFmtId="43" fontId="53" fillId="6" borderId="0" xfId="4" applyFont="1" applyFill="1" applyAlignment="1">
      <alignment horizontal="center" vertical="center" wrapText="1"/>
    </xf>
    <xf numFmtId="0" fontId="53" fillId="65" borderId="0" xfId="0" applyFont="1" applyFill="1" applyAlignment="1">
      <alignment horizontal="center" vertical="center"/>
    </xf>
    <xf numFmtId="0" fontId="53" fillId="0" borderId="0" xfId="0" applyFont="1" applyAlignment="1">
      <alignment horizontal="center" vertical="center" textRotation="45"/>
    </xf>
    <xf numFmtId="0" fontId="54" fillId="42" borderId="0" xfId="0" applyFont="1" applyFill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 wrapText="1"/>
    </xf>
    <xf numFmtId="2" fontId="56" fillId="0" borderId="0" xfId="0" applyNumberFormat="1" applyFont="1" applyAlignment="1">
      <alignment horizontal="center" vertical="center"/>
    </xf>
    <xf numFmtId="0" fontId="53" fillId="67" borderId="0" xfId="0" applyFont="1" applyFill="1" applyAlignment="1">
      <alignment horizontal="center" vertical="center"/>
    </xf>
    <xf numFmtId="0" fontId="57" fillId="0" borderId="0" xfId="0" applyFont="1"/>
    <xf numFmtId="0" fontId="53" fillId="66" borderId="4" xfId="0" applyFont="1" applyFill="1" applyBorder="1" applyAlignment="1">
      <alignment horizontal="center" vertical="center" wrapText="1"/>
    </xf>
    <xf numFmtId="0" fontId="53" fillId="68" borderId="4" xfId="0" applyFont="1" applyFill="1" applyBorder="1" applyAlignment="1">
      <alignment horizontal="center" vertical="center" wrapText="1"/>
    </xf>
    <xf numFmtId="0" fontId="53" fillId="69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14" fontId="0" fillId="8" borderId="4" xfId="0" applyNumberFormat="1" applyFill="1" applyBorder="1"/>
    <xf numFmtId="0" fontId="57" fillId="0" borderId="4" xfId="0" applyFont="1" applyBorder="1" applyAlignment="1">
      <alignment horizontal="center" vertical="center"/>
    </xf>
    <xf numFmtId="0" fontId="58" fillId="0" borderId="4" xfId="0" applyFont="1" applyBorder="1" applyAlignment="1">
      <alignment horizontal="center" vertical="center"/>
    </xf>
    <xf numFmtId="0" fontId="59" fillId="0" borderId="4" xfId="160" applyFont="1" applyBorder="1" applyAlignment="1">
      <alignment horizontal="center" vertical="center"/>
    </xf>
    <xf numFmtId="0" fontId="58" fillId="0" borderId="4" xfId="0" applyFont="1" applyFill="1" applyBorder="1" applyAlignment="1">
      <alignment horizontal="center" vertical="center"/>
    </xf>
    <xf numFmtId="0" fontId="59" fillId="0" borderId="4" xfId="159" applyFont="1" applyBorder="1" applyAlignment="1">
      <alignment horizontal="center" vertical="center"/>
    </xf>
    <xf numFmtId="0" fontId="58" fillId="0" borderId="4" xfId="122" applyNumberFormat="1" applyFont="1" applyFill="1" applyBorder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0" fontId="0" fillId="0" borderId="0" xfId="0"/>
    <xf numFmtId="14" fontId="60" fillId="0" borderId="0" xfId="0" applyNumberFormat="1" applyFont="1" applyAlignment="1">
      <alignment horizontal="left"/>
    </xf>
    <xf numFmtId="0" fontId="13" fillId="0" borderId="0" xfId="0" applyFont="1" applyBorder="1" applyAlignment="1">
      <alignment horizontal="center" vertical="center"/>
    </xf>
    <xf numFmtId="0" fontId="61" fillId="0" borderId="0" xfId="0" applyFont="1" applyBorder="1" applyAlignment="1">
      <alignment horizontal="center" vertical="center" wrapText="1"/>
    </xf>
    <xf numFmtId="0" fontId="62" fillId="0" borderId="0" xfId="110" applyFont="1" applyFill="1" applyBorder="1" applyAlignment="1" applyProtection="1">
      <alignment horizontal="center" vertical="center"/>
    </xf>
    <xf numFmtId="0" fontId="63" fillId="0" borderId="0" xfId="110" applyFont="1" applyFill="1" applyBorder="1" applyAlignment="1" applyProtection="1">
      <alignment horizontal="center" vertical="center"/>
    </xf>
    <xf numFmtId="0" fontId="13" fillId="0" borderId="0" xfId="0" applyFont="1" applyBorder="1" applyAlignment="1">
      <alignment vertical="center"/>
    </xf>
    <xf numFmtId="0" fontId="10" fillId="7" borderId="34" xfId="0" applyFont="1" applyFill="1" applyBorder="1" applyAlignment="1">
      <alignment horizontal="center" vertical="center"/>
    </xf>
    <xf numFmtId="0" fontId="10" fillId="7" borderId="44" xfId="0" applyFont="1" applyFill="1" applyBorder="1" applyAlignment="1">
      <alignment horizontal="center" vertical="center"/>
    </xf>
    <xf numFmtId="0" fontId="10" fillId="7" borderId="45" xfId="0" applyFont="1" applyFill="1" applyBorder="1" applyAlignment="1">
      <alignment horizontal="center" vertical="center"/>
    </xf>
    <xf numFmtId="1" fontId="61" fillId="0" borderId="4" xfId="0" applyNumberFormat="1" applyFont="1" applyFill="1" applyBorder="1" applyAlignment="1">
      <alignment horizontal="center" vertical="center" wrapText="1"/>
    </xf>
    <xf numFmtId="49" fontId="64" fillId="5" borderId="11" xfId="0" applyNumberFormat="1" applyFont="1" applyFill="1" applyBorder="1" applyAlignment="1">
      <alignment vertical="center"/>
    </xf>
    <xf numFmtId="0" fontId="65" fillId="5" borderId="13" xfId="0" applyFont="1" applyFill="1" applyBorder="1" applyAlignment="1">
      <alignment vertical="center"/>
    </xf>
    <xf numFmtId="0" fontId="65" fillId="5" borderId="11" xfId="0" applyFont="1" applyFill="1" applyBorder="1" applyAlignment="1">
      <alignment horizontal="center" vertical="center"/>
    </xf>
    <xf numFmtId="2" fontId="65" fillId="5" borderId="11" xfId="0" applyNumberFormat="1" applyFont="1" applyFill="1" applyBorder="1" applyAlignment="1">
      <alignment horizontal="center" vertical="center"/>
    </xf>
    <xf numFmtId="0" fontId="61" fillId="0" borderId="46" xfId="0" applyFont="1" applyBorder="1" applyAlignment="1">
      <alignment horizontal="center" vertical="center" wrapText="1"/>
    </xf>
    <xf numFmtId="0" fontId="61" fillId="0" borderId="43" xfId="0" applyFont="1" applyBorder="1" applyAlignment="1">
      <alignment horizontal="center" vertical="center" wrapText="1"/>
    </xf>
    <xf numFmtId="0" fontId="7" fillId="6" borderId="47" xfId="2" applyFont="1" applyFill="1" applyBorder="1" applyAlignment="1">
      <alignment horizontal="center"/>
    </xf>
    <xf numFmtId="0" fontId="10" fillId="7" borderId="48" xfId="0" applyFont="1" applyFill="1" applyBorder="1" applyAlignment="1">
      <alignment horizontal="center" vertical="center"/>
    </xf>
    <xf numFmtId="0" fontId="10" fillId="7" borderId="49" xfId="0" applyFont="1" applyFill="1" applyBorder="1" applyAlignment="1">
      <alignment horizontal="center" vertical="center"/>
    </xf>
    <xf numFmtId="0" fontId="62" fillId="0" borderId="4" xfId="110" applyFont="1" applyFill="1" applyBorder="1" applyAlignment="1" applyProtection="1">
      <alignment horizontal="center" vertical="center"/>
    </xf>
    <xf numFmtId="0" fontId="63" fillId="0" borderId="4" xfId="110" applyFont="1" applyFill="1" applyBorder="1" applyAlignment="1" applyProtection="1">
      <alignment horizontal="center" vertical="center"/>
    </xf>
    <xf numFmtId="0" fontId="61" fillId="0" borderId="4" xfId="0" applyFont="1" applyFill="1" applyBorder="1" applyAlignment="1">
      <alignment horizontal="center" vertical="center" wrapText="1"/>
    </xf>
    <xf numFmtId="165" fontId="61" fillId="0" borderId="4" xfId="0" applyNumberFormat="1" applyFont="1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2" fontId="66" fillId="0" borderId="4" xfId="0" applyNumberFormat="1" applyFont="1" applyBorder="1" applyAlignment="1">
      <alignment horizontal="center" vertical="center"/>
    </xf>
    <xf numFmtId="2" fontId="66" fillId="70" borderId="4" xfId="0" applyNumberFormat="1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67" fillId="10" borderId="1" xfId="161" applyFill="1" applyBorder="1"/>
    <xf numFmtId="0" fontId="2" fillId="9" borderId="4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49" fontId="64" fillId="5" borderId="13" xfId="0" applyNumberFormat="1" applyFont="1" applyFill="1" applyBorder="1" applyAlignment="1">
      <alignment horizontal="center" vertical="center"/>
    </xf>
    <xf numFmtId="49" fontId="64" fillId="5" borderId="14" xfId="0" applyNumberFormat="1" applyFont="1" applyFill="1" applyBorder="1" applyAlignment="1">
      <alignment horizontal="center" vertical="center"/>
    </xf>
    <xf numFmtId="49" fontId="64" fillId="5" borderId="12" xfId="0" applyNumberFormat="1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62">
    <cellStyle name="20 % - Accent1 2" xfId="5"/>
    <cellStyle name="20 % - Accent2 2" xfId="6"/>
    <cellStyle name="20 % - Accent3 2" xfId="7"/>
    <cellStyle name="20 % - Accent4 2" xfId="8"/>
    <cellStyle name="20 % - Accent5 2" xfId="9"/>
    <cellStyle name="20 % - Accent6 2" xfId="10"/>
    <cellStyle name="20% — akcent 1" xfId="11"/>
    <cellStyle name="20% — akcent 2" xfId="12"/>
    <cellStyle name="20% — akcent 3" xfId="13"/>
    <cellStyle name="20% — akcent 4" xfId="14"/>
    <cellStyle name="20% — akcent 5" xfId="15"/>
    <cellStyle name="20% — akcent 6" xfId="16"/>
    <cellStyle name="20% - Akzent1" xfId="17"/>
    <cellStyle name="20% - Akzent2" xfId="18"/>
    <cellStyle name="20% - Akzent3" xfId="19"/>
    <cellStyle name="20% - Akzent4" xfId="20"/>
    <cellStyle name="20% - Akzent5" xfId="21"/>
    <cellStyle name="20% - Akzent6" xfId="22"/>
    <cellStyle name="40 % - Accent1 2" xfId="23"/>
    <cellStyle name="40 % - Accent2 2" xfId="24"/>
    <cellStyle name="40 % - Accent3 2" xfId="25"/>
    <cellStyle name="40 % - Accent4 2" xfId="26"/>
    <cellStyle name="40 % - Accent5 2" xfId="27"/>
    <cellStyle name="40 % - Accent6 2" xfId="28"/>
    <cellStyle name="40% — akcent 1" xfId="29"/>
    <cellStyle name="40% — akcent 2" xfId="30"/>
    <cellStyle name="40% — akcent 3" xfId="31"/>
    <cellStyle name="40% — akcent 4" xfId="32"/>
    <cellStyle name="40% — akcent 5" xfId="33"/>
    <cellStyle name="40% — akcent 6" xfId="34"/>
    <cellStyle name="40% - Akzent1" xfId="35"/>
    <cellStyle name="40% - Akzent2" xfId="36"/>
    <cellStyle name="40% - Akzent3" xfId="37"/>
    <cellStyle name="40% - Akzent4" xfId="38"/>
    <cellStyle name="40% - Akzent5" xfId="39"/>
    <cellStyle name="40% - Akzent6" xfId="40"/>
    <cellStyle name="60 % - Accent1 2" xfId="41"/>
    <cellStyle name="60 % - Accent2 2" xfId="42"/>
    <cellStyle name="60 % - Accent3 2" xfId="43"/>
    <cellStyle name="60 % - Accent4 2" xfId="44"/>
    <cellStyle name="60 % - Accent5 2" xfId="45"/>
    <cellStyle name="60 % - Accent6 2" xfId="46"/>
    <cellStyle name="60% — akcent 1" xfId="47"/>
    <cellStyle name="60% — akcent 2" xfId="48"/>
    <cellStyle name="60% — akcent 3" xfId="49"/>
    <cellStyle name="60% — akcent 4" xfId="50"/>
    <cellStyle name="60% — akcent 5" xfId="51"/>
    <cellStyle name="60% — akcent 6" xfId="52"/>
    <cellStyle name="60% - Akzent1" xfId="53"/>
    <cellStyle name="60% - Akzent2" xfId="54"/>
    <cellStyle name="60% - Akzent3" xfId="55"/>
    <cellStyle name="60% - Akzent4" xfId="56"/>
    <cellStyle name="60% - Akzent5" xfId="57"/>
    <cellStyle name="60% - Akzent6" xfId="58"/>
    <cellStyle name="Accent1 2" xfId="59"/>
    <cellStyle name="Accent2 2" xfId="60"/>
    <cellStyle name="Accent3 2" xfId="61"/>
    <cellStyle name="Accent4 2" xfId="62"/>
    <cellStyle name="Accent5 2" xfId="63"/>
    <cellStyle name="Accent6 2" xfId="64"/>
    <cellStyle name="Akcent 1" xfId="65"/>
    <cellStyle name="Akcent 2" xfId="66"/>
    <cellStyle name="Akcent 3" xfId="67"/>
    <cellStyle name="Akcent 4" xfId="68"/>
    <cellStyle name="Akcent 5" xfId="69"/>
    <cellStyle name="Akcent 6" xfId="70"/>
    <cellStyle name="Akzent1" xfId="71"/>
    <cellStyle name="Akzent2" xfId="72"/>
    <cellStyle name="Akzent3" xfId="73"/>
    <cellStyle name="Akzent4" xfId="74"/>
    <cellStyle name="Akzent5" xfId="75"/>
    <cellStyle name="Akzent6" xfId="76"/>
    <cellStyle name="Ausgabe" xfId="77"/>
    <cellStyle name="Ausgabe 2" xfId="78"/>
    <cellStyle name="Avertissement 2" xfId="79"/>
    <cellStyle name="Berechnung" xfId="80"/>
    <cellStyle name="Berechnung 2" xfId="81"/>
    <cellStyle name="Calcul 2" xfId="82"/>
    <cellStyle name="Cellule liée 2" xfId="83"/>
    <cellStyle name="Commentaire 2" xfId="84"/>
    <cellStyle name="Currency 2" xfId="85"/>
    <cellStyle name="Dane wejściowe" xfId="86"/>
    <cellStyle name="Dane wejściowe 2" xfId="87"/>
    <cellStyle name="Dane wyjściowe" xfId="88"/>
    <cellStyle name="Dane wyjściowe 2" xfId="89"/>
    <cellStyle name="Dobry" xfId="90"/>
    <cellStyle name="Eingabe" xfId="91"/>
    <cellStyle name="Eingabe 2" xfId="92"/>
    <cellStyle name="Entrée 2" xfId="93"/>
    <cellStyle name="Ergebnis" xfId="94"/>
    <cellStyle name="Ergebnis 2" xfId="95"/>
    <cellStyle name="Erklärender Text" xfId="96"/>
    <cellStyle name="Gut" xfId="97"/>
    <cellStyle name="Insatisfaisant 2" xfId="98"/>
    <cellStyle name="Komórka połączona" xfId="99"/>
    <cellStyle name="Komórka zaznaczona" xfId="100"/>
    <cellStyle name="Lien hypertexte" xfId="161" builtinId="8"/>
    <cellStyle name="Milliers" xfId="4" builtinId="3"/>
    <cellStyle name="N1" xfId="101"/>
    <cellStyle name="N1 2" xfId="102"/>
    <cellStyle name="N1_TRIAL" xfId="156"/>
    <cellStyle name="Nagłówek 1" xfId="103"/>
    <cellStyle name="Nagłówek 2" xfId="104"/>
    <cellStyle name="Nagłówek 3" xfId="105"/>
    <cellStyle name="Nagłówek 4" xfId="106"/>
    <cellStyle name="Neutral" xfId="107"/>
    <cellStyle name="Neutralny" xfId="108"/>
    <cellStyle name="Neutre 2" xfId="109"/>
    <cellStyle name="Normal" xfId="0" builtinId="0"/>
    <cellStyle name="Normal 2" xfId="110"/>
    <cellStyle name="Normal 2 2" xfId="2"/>
    <cellStyle name="Normal 2 3" xfId="111"/>
    <cellStyle name="Normal 2 4" xfId="112"/>
    <cellStyle name="Normal 2 4 2" xfId="113"/>
    <cellStyle name="Normal 2 4 3" xfId="114"/>
    <cellStyle name="Normal 2 4_TRIAL" xfId="157"/>
    <cellStyle name="Normal 2 5" xfId="158"/>
    <cellStyle name="Normal 2 6" xfId="159"/>
    <cellStyle name="Normal 2 7" xfId="160"/>
    <cellStyle name="Normal 2_Bilan N" xfId="115"/>
    <cellStyle name="Normal 3" xfId="116"/>
    <cellStyle name="Normal 3 2" xfId="117"/>
    <cellStyle name="Normal 3 3" xfId="118"/>
    <cellStyle name="Normal 3_Bilan N" xfId="119"/>
    <cellStyle name="Normal 4" xfId="120"/>
    <cellStyle name="Normal 4 2" xfId="121"/>
    <cellStyle name="Normal 5" xfId="122"/>
    <cellStyle name="Normal 5 2" xfId="123"/>
    <cellStyle name="Normal 5_Feuil3" xfId="124"/>
    <cellStyle name="Normal 6" xfId="3"/>
    <cellStyle name="Normal 8 2 3" xfId="1"/>
    <cellStyle name="Notiz" xfId="125"/>
    <cellStyle name="Notiz 2" xfId="126"/>
    <cellStyle name="Obliczenia" xfId="127"/>
    <cellStyle name="Obliczenia 2" xfId="128"/>
    <cellStyle name="Satisfaisant 2" xfId="129"/>
    <cellStyle name="Schlecht" xfId="130"/>
    <cellStyle name="Sortie 2" xfId="131"/>
    <cellStyle name="Suma" xfId="132"/>
    <cellStyle name="Suma 2" xfId="133"/>
    <cellStyle name="Tekst objaśnienia" xfId="134"/>
    <cellStyle name="Tekst ostrzeżenia" xfId="135"/>
    <cellStyle name="Texte explicatif 2" xfId="136"/>
    <cellStyle name="Titre 2" xfId="137"/>
    <cellStyle name="Titre 1 2" xfId="138"/>
    <cellStyle name="Titre 2 2" xfId="139"/>
    <cellStyle name="Titre 3 2" xfId="140"/>
    <cellStyle name="Titre 4 2" xfId="141"/>
    <cellStyle name="Total 2" xfId="142"/>
    <cellStyle name="Tytuł" xfId="143"/>
    <cellStyle name="Überschrift" xfId="144"/>
    <cellStyle name="Überschrift 1" xfId="145"/>
    <cellStyle name="Überschrift 2" xfId="146"/>
    <cellStyle name="Überschrift 3" xfId="147"/>
    <cellStyle name="Überschrift 4" xfId="148"/>
    <cellStyle name="Uwaga" xfId="149"/>
    <cellStyle name="Uwaga 2" xfId="150"/>
    <cellStyle name="Vérification 2" xfId="151"/>
    <cellStyle name="Verknüpfte Zelle" xfId="152"/>
    <cellStyle name="Warnender Text" xfId="153"/>
    <cellStyle name="Zelle überprüfen" xfId="154"/>
    <cellStyle name="Zły" xfId="15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es@maisadour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B23" sqref="B23"/>
    </sheetView>
  </sheetViews>
  <sheetFormatPr baseColWidth="10" defaultRowHeight="15"/>
  <cols>
    <col min="1" max="1" width="17.85546875" bestFit="1" customWidth="1"/>
    <col min="2" max="2" width="91.5703125" customWidth="1"/>
  </cols>
  <sheetData>
    <row r="1" spans="1:2" ht="21">
      <c r="A1" s="1" t="s">
        <v>0</v>
      </c>
    </row>
    <row r="2" spans="1:2" ht="15.75" thickBot="1"/>
    <row r="3" spans="1:2" ht="15.75" thickBot="1">
      <c r="A3" s="9" t="s">
        <v>1</v>
      </c>
      <c r="B3" s="25" t="s">
        <v>203</v>
      </c>
    </row>
    <row r="4" spans="1:2" ht="15.75" thickBot="1">
      <c r="A4" s="9" t="s">
        <v>10</v>
      </c>
      <c r="B4" s="87" t="s">
        <v>202</v>
      </c>
    </row>
    <row r="5" spans="1:2" ht="15.75" thickBot="1">
      <c r="A5" s="9" t="s">
        <v>2</v>
      </c>
      <c r="B5" s="10"/>
    </row>
    <row r="6" spans="1:2" ht="15.75" thickBot="1">
      <c r="A6" s="9" t="s">
        <v>3</v>
      </c>
      <c r="B6" s="11"/>
    </row>
    <row r="7" spans="1:2" ht="15.75" thickBot="1">
      <c r="A7" s="9" t="s">
        <v>4</v>
      </c>
      <c r="B7" s="10" t="s">
        <v>5</v>
      </c>
    </row>
    <row r="8" spans="1:2" ht="15.75" thickBot="1">
      <c r="A8" s="9" t="s">
        <v>11</v>
      </c>
      <c r="B8" s="10" t="s">
        <v>12</v>
      </c>
    </row>
    <row r="9" spans="1:2" ht="15.75" thickBot="1">
      <c r="A9" s="4" t="s">
        <v>6</v>
      </c>
      <c r="B9" s="26"/>
    </row>
    <row r="10" spans="1:2" ht="15.75" thickBot="1">
      <c r="A10" s="2"/>
    </row>
    <row r="11" spans="1:2" ht="15.75" thickBot="1">
      <c r="A11" s="6" t="s">
        <v>7</v>
      </c>
      <c r="B11" s="5"/>
    </row>
    <row r="12" spans="1:2" ht="15.75" thickBot="1">
      <c r="A12" s="6" t="s">
        <v>8</v>
      </c>
      <c r="B12" s="7"/>
    </row>
    <row r="14" spans="1:2" ht="15.75" thickBot="1"/>
    <row r="15" spans="1:2" ht="15.75" thickBot="1">
      <c r="A15" s="8" t="s">
        <v>9</v>
      </c>
      <c r="B15" s="7"/>
    </row>
    <row r="17" spans="2:2">
      <c r="B17" s="3"/>
    </row>
  </sheetData>
  <hyperlinks>
    <hyperlink ref="B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23"/>
  <sheetViews>
    <sheetView zoomScale="85" zoomScaleNormal="85" workbookViewId="0">
      <selection activeCell="P3" sqref="P3"/>
    </sheetView>
  </sheetViews>
  <sheetFormatPr baseColWidth="10" defaultRowHeight="15"/>
  <cols>
    <col min="1" max="1" width="19" bestFit="1" customWidth="1"/>
    <col min="2" max="2" width="33.5703125" customWidth="1"/>
    <col min="3" max="3" width="13.7109375" customWidth="1"/>
    <col min="4" max="4" width="16.7109375" customWidth="1"/>
    <col min="5" max="5" width="16.7109375" bestFit="1" customWidth="1"/>
    <col min="6" max="6" width="16.42578125" bestFit="1" customWidth="1"/>
    <col min="7" max="7" width="13.140625" bestFit="1" customWidth="1"/>
    <col min="9" max="9" width="9.42578125" bestFit="1" customWidth="1"/>
    <col min="10" max="10" width="12.28515625" bestFit="1" customWidth="1"/>
    <col min="11" max="11" width="12.5703125" bestFit="1" customWidth="1"/>
    <col min="12" max="12" width="9.7109375" bestFit="1" customWidth="1"/>
    <col min="13" max="13" width="10.28515625" bestFit="1" customWidth="1"/>
    <col min="14" max="14" width="11.85546875" bestFit="1" customWidth="1"/>
    <col min="15" max="16" width="9.42578125" bestFit="1" customWidth="1"/>
  </cols>
  <sheetData>
    <row r="1" spans="1:16" ht="38.25">
      <c r="A1" s="88" t="s">
        <v>17</v>
      </c>
      <c r="B1" s="88"/>
      <c r="D1" s="39" t="s">
        <v>121</v>
      </c>
      <c r="E1" s="37" t="s">
        <v>91</v>
      </c>
      <c r="F1" s="37" t="s">
        <v>92</v>
      </c>
      <c r="G1" s="37" t="s">
        <v>93</v>
      </c>
      <c r="H1" s="38" t="s">
        <v>94</v>
      </c>
      <c r="I1" s="38" t="s">
        <v>95</v>
      </c>
      <c r="J1" s="38" t="s">
        <v>96</v>
      </c>
      <c r="K1" s="38" t="s">
        <v>97</v>
      </c>
      <c r="L1" s="38" t="s">
        <v>98</v>
      </c>
      <c r="M1" s="38" t="s">
        <v>99</v>
      </c>
      <c r="N1" s="38" t="s">
        <v>100</v>
      </c>
      <c r="O1" s="38" t="s">
        <v>101</v>
      </c>
      <c r="P1" s="36" t="s">
        <v>102</v>
      </c>
    </row>
    <row r="2" spans="1:16">
      <c r="A2" s="23" t="s">
        <v>13</v>
      </c>
      <c r="B2" s="24" t="s">
        <v>162</v>
      </c>
      <c r="D2" t="s">
        <v>122</v>
      </c>
      <c r="E2" s="13">
        <v>40</v>
      </c>
      <c r="F2" s="13"/>
      <c r="G2" s="13">
        <v>280</v>
      </c>
      <c r="H2" s="13">
        <v>8</v>
      </c>
      <c r="I2" s="13">
        <v>10</v>
      </c>
      <c r="J2" s="13">
        <v>52</v>
      </c>
      <c r="K2" s="13">
        <v>27</v>
      </c>
      <c r="L2" s="13"/>
      <c r="M2" s="13">
        <v>0</v>
      </c>
      <c r="N2" s="13"/>
      <c r="O2" s="13">
        <v>213</v>
      </c>
      <c r="P2" s="13">
        <v>180</v>
      </c>
    </row>
    <row r="3" spans="1:16">
      <c r="A3" s="23" t="s">
        <v>14</v>
      </c>
      <c r="B3" s="24"/>
      <c r="D3" t="s">
        <v>123</v>
      </c>
      <c r="E3" s="13">
        <v>25</v>
      </c>
      <c r="F3" s="13"/>
      <c r="G3" s="13">
        <v>175</v>
      </c>
      <c r="H3" s="13">
        <v>8</v>
      </c>
      <c r="I3" s="13">
        <v>10</v>
      </c>
      <c r="J3" s="13">
        <v>52</v>
      </c>
      <c r="K3" s="13">
        <v>27</v>
      </c>
      <c r="L3" s="13"/>
      <c r="M3" s="13">
        <v>0</v>
      </c>
      <c r="N3" s="13"/>
      <c r="O3" s="13">
        <v>78</v>
      </c>
      <c r="P3" s="13">
        <v>30</v>
      </c>
    </row>
    <row r="4" spans="1:16">
      <c r="A4" s="23" t="s">
        <v>15</v>
      </c>
      <c r="B4" s="24"/>
    </row>
    <row r="5" spans="1:16">
      <c r="A5" s="23" t="s">
        <v>16</v>
      </c>
      <c r="B5" s="24"/>
    </row>
    <row r="6" spans="1:16">
      <c r="A6" s="23" t="s">
        <v>23</v>
      </c>
      <c r="B6" s="23"/>
    </row>
    <row r="7" spans="1:16">
      <c r="A7" s="23" t="s">
        <v>24</v>
      </c>
      <c r="B7" s="23"/>
    </row>
    <row r="8" spans="1:16">
      <c r="A8" s="23" t="s">
        <v>25</v>
      </c>
      <c r="B8" s="23"/>
    </row>
    <row r="10" spans="1:16">
      <c r="A10" s="88" t="s">
        <v>18</v>
      </c>
      <c r="B10" s="88"/>
    </row>
    <row r="11" spans="1:16">
      <c r="A11" s="23" t="s">
        <v>19</v>
      </c>
      <c r="B11" s="23" t="s">
        <v>163</v>
      </c>
    </row>
    <row r="12" spans="1:16">
      <c r="A12" s="23" t="s">
        <v>20</v>
      </c>
      <c r="B12" s="23" t="s">
        <v>164</v>
      </c>
    </row>
    <row r="13" spans="1:16">
      <c r="A13" s="23" t="s">
        <v>21</v>
      </c>
      <c r="B13" s="23" t="s">
        <v>165</v>
      </c>
    </row>
    <row r="15" spans="1:16">
      <c r="A15" s="88" t="s">
        <v>22</v>
      </c>
      <c r="B15" s="88"/>
    </row>
    <row r="16" spans="1:16">
      <c r="A16" s="23" t="s">
        <v>26</v>
      </c>
      <c r="B16" s="23"/>
    </row>
    <row r="17" spans="1:2">
      <c r="A17" s="23" t="s">
        <v>27</v>
      </c>
      <c r="B17" s="23"/>
    </row>
    <row r="18" spans="1:2">
      <c r="A18" s="23" t="s">
        <v>28</v>
      </c>
      <c r="B18" s="23"/>
    </row>
    <row r="19" spans="1:2">
      <c r="A19" s="23" t="s">
        <v>29</v>
      </c>
      <c r="B19" s="50">
        <v>42982</v>
      </c>
    </row>
    <row r="20" spans="1:2">
      <c r="A20" s="23" t="s">
        <v>30</v>
      </c>
      <c r="B20" s="23"/>
    </row>
    <row r="21" spans="1:2">
      <c r="A21" s="23" t="s">
        <v>31</v>
      </c>
      <c r="B21" s="23"/>
    </row>
    <row r="22" spans="1:2">
      <c r="A22" s="23" t="s">
        <v>32</v>
      </c>
      <c r="B22" s="23"/>
    </row>
    <row r="23" spans="1:2">
      <c r="A23" s="23" t="s">
        <v>33</v>
      </c>
      <c r="B23" s="50">
        <v>43298</v>
      </c>
    </row>
  </sheetData>
  <mergeCells count="3">
    <mergeCell ref="A1:B1"/>
    <mergeCell ref="A10:B10"/>
    <mergeCell ref="A15:B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AE8"/>
  <sheetViews>
    <sheetView workbookViewId="0">
      <selection activeCell="K13" sqref="K13"/>
    </sheetView>
  </sheetViews>
  <sheetFormatPr baseColWidth="10" defaultRowHeight="15"/>
  <cols>
    <col min="2" max="31" width="3" bestFit="1" customWidth="1"/>
  </cols>
  <sheetData>
    <row r="2" spans="2:31" ht="15.75" thickBot="1"/>
    <row r="3" spans="2:31">
      <c r="B3" s="41">
        <v>5</v>
      </c>
      <c r="C3" s="42">
        <v>35</v>
      </c>
      <c r="D3" s="42">
        <v>65</v>
      </c>
      <c r="E3" s="42">
        <v>74</v>
      </c>
      <c r="F3" s="42">
        <v>75</v>
      </c>
      <c r="G3" s="42">
        <v>2</v>
      </c>
      <c r="H3" s="42">
        <v>54</v>
      </c>
      <c r="I3" s="42">
        <v>43</v>
      </c>
      <c r="J3" s="42">
        <v>28</v>
      </c>
      <c r="K3" s="42">
        <v>48</v>
      </c>
      <c r="L3" s="42">
        <v>38</v>
      </c>
      <c r="M3" s="42">
        <v>17</v>
      </c>
      <c r="N3" s="42">
        <v>12</v>
      </c>
      <c r="O3" s="42">
        <v>61</v>
      </c>
      <c r="P3" s="42">
        <v>42</v>
      </c>
      <c r="Q3" s="42">
        <v>73</v>
      </c>
      <c r="R3" s="42">
        <v>29</v>
      </c>
      <c r="S3" s="42">
        <v>9</v>
      </c>
      <c r="T3" s="42">
        <v>82</v>
      </c>
      <c r="U3" s="42">
        <v>80</v>
      </c>
      <c r="V3" s="42">
        <v>51</v>
      </c>
      <c r="W3" s="42">
        <v>46</v>
      </c>
      <c r="X3" s="42">
        <v>3</v>
      </c>
      <c r="Y3" s="42">
        <v>60</v>
      </c>
      <c r="Z3" s="42">
        <v>21</v>
      </c>
      <c r="AA3" s="42">
        <v>37</v>
      </c>
      <c r="AB3" s="42">
        <v>85</v>
      </c>
      <c r="AC3" s="42">
        <v>83</v>
      </c>
      <c r="AD3" s="42">
        <v>32</v>
      </c>
      <c r="AE3" s="43">
        <v>33</v>
      </c>
    </row>
    <row r="4" spans="2:31">
      <c r="B4" s="44">
        <v>49</v>
      </c>
      <c r="C4" s="40">
        <v>89</v>
      </c>
      <c r="D4" s="40">
        <v>72</v>
      </c>
      <c r="E4" s="40">
        <v>67</v>
      </c>
      <c r="F4" s="40">
        <v>34</v>
      </c>
      <c r="G4" s="40">
        <v>24</v>
      </c>
      <c r="H4" s="40">
        <v>4</v>
      </c>
      <c r="I4" s="40">
        <v>19</v>
      </c>
      <c r="J4" s="40">
        <v>78</v>
      </c>
      <c r="K4" s="40">
        <v>63</v>
      </c>
      <c r="L4" s="40">
        <v>86</v>
      </c>
      <c r="M4" s="40">
        <v>45</v>
      </c>
      <c r="N4" s="40">
        <v>15</v>
      </c>
      <c r="O4" s="40">
        <v>69</v>
      </c>
      <c r="P4" s="40">
        <v>59</v>
      </c>
      <c r="Q4" s="40">
        <v>20</v>
      </c>
      <c r="R4" s="40">
        <v>25</v>
      </c>
      <c r="S4" s="40">
        <v>7</v>
      </c>
      <c r="T4" s="40">
        <v>57</v>
      </c>
      <c r="U4" s="40">
        <v>66</v>
      </c>
      <c r="V4" s="40">
        <v>39</v>
      </c>
      <c r="W4" s="40">
        <v>71</v>
      </c>
      <c r="X4" s="40">
        <v>50</v>
      </c>
      <c r="Y4" s="40">
        <v>27</v>
      </c>
      <c r="Z4" s="40">
        <v>62</v>
      </c>
      <c r="AA4" s="40">
        <v>70</v>
      </c>
      <c r="AB4" s="40">
        <v>1</v>
      </c>
      <c r="AC4" s="40">
        <v>56</v>
      </c>
      <c r="AD4" s="40">
        <v>76</v>
      </c>
      <c r="AE4" s="45">
        <v>44</v>
      </c>
    </row>
    <row r="5" spans="2:31">
      <c r="B5" s="44">
        <v>40</v>
      </c>
      <c r="C5" s="40">
        <v>52</v>
      </c>
      <c r="D5" s="40">
        <v>22</v>
      </c>
      <c r="E5" s="40">
        <v>26</v>
      </c>
      <c r="F5" s="40">
        <v>31</v>
      </c>
      <c r="G5" s="40">
        <v>8</v>
      </c>
      <c r="H5" s="40">
        <v>87</v>
      </c>
      <c r="I5" s="40">
        <v>55</v>
      </c>
      <c r="J5" s="40">
        <v>30</v>
      </c>
      <c r="K5" s="40">
        <v>58</v>
      </c>
      <c r="L5" s="40">
        <v>84</v>
      </c>
      <c r="M5" s="40">
        <v>14</v>
      </c>
      <c r="N5" s="40">
        <v>81</v>
      </c>
      <c r="O5" s="40">
        <v>10</v>
      </c>
      <c r="P5" s="40">
        <v>79</v>
      </c>
      <c r="Q5" s="40">
        <v>18</v>
      </c>
      <c r="R5" s="40">
        <v>23</v>
      </c>
      <c r="S5" s="40">
        <v>77</v>
      </c>
      <c r="T5" s="40">
        <v>16</v>
      </c>
      <c r="U5" s="40">
        <v>64</v>
      </c>
      <c r="V5" s="40">
        <v>53</v>
      </c>
      <c r="W5" s="40">
        <v>88</v>
      </c>
      <c r="X5" s="40">
        <v>6</v>
      </c>
      <c r="Y5" s="40">
        <v>90</v>
      </c>
      <c r="Z5" s="40">
        <v>41</v>
      </c>
      <c r="AA5" s="40">
        <v>68</v>
      </c>
      <c r="AB5" s="40">
        <v>13</v>
      </c>
      <c r="AC5" s="40">
        <v>11</v>
      </c>
      <c r="AD5" s="40">
        <v>47</v>
      </c>
      <c r="AE5" s="45">
        <v>36</v>
      </c>
    </row>
    <row r="6" spans="2:31">
      <c r="B6" s="44">
        <v>50</v>
      </c>
      <c r="C6" s="40">
        <v>53</v>
      </c>
      <c r="D6" s="40">
        <v>64</v>
      </c>
      <c r="E6" s="40">
        <v>7</v>
      </c>
      <c r="F6" s="40">
        <v>60</v>
      </c>
      <c r="G6" s="40">
        <v>83</v>
      </c>
      <c r="H6" s="40">
        <v>46</v>
      </c>
      <c r="I6" s="40">
        <v>1</v>
      </c>
      <c r="J6" s="40">
        <v>90</v>
      </c>
      <c r="K6" s="40">
        <v>13</v>
      </c>
      <c r="L6" s="40">
        <v>36</v>
      </c>
      <c r="M6" s="40">
        <v>56</v>
      </c>
      <c r="N6" s="40">
        <v>47</v>
      </c>
      <c r="O6" s="40">
        <v>6</v>
      </c>
      <c r="P6" s="40">
        <v>70</v>
      </c>
      <c r="Q6" s="40">
        <v>67</v>
      </c>
      <c r="R6" s="40">
        <v>22</v>
      </c>
      <c r="S6" s="40">
        <v>54</v>
      </c>
      <c r="T6" s="40">
        <v>40</v>
      </c>
      <c r="U6" s="40">
        <v>43</v>
      </c>
      <c r="V6" s="40">
        <v>55</v>
      </c>
      <c r="W6" s="40">
        <v>65</v>
      </c>
      <c r="X6" s="40">
        <v>58</v>
      </c>
      <c r="Y6" s="40">
        <v>17</v>
      </c>
      <c r="Z6" s="40">
        <v>79</v>
      </c>
      <c r="AA6" s="40">
        <v>34</v>
      </c>
      <c r="AB6" s="40">
        <v>14</v>
      </c>
      <c r="AC6" s="40">
        <v>10</v>
      </c>
      <c r="AD6" s="40">
        <v>8</v>
      </c>
      <c r="AE6" s="45">
        <v>48</v>
      </c>
    </row>
    <row r="7" spans="2:31">
      <c r="B7" s="44">
        <v>20</v>
      </c>
      <c r="C7" s="40">
        <v>16</v>
      </c>
      <c r="D7" s="40">
        <v>23</v>
      </c>
      <c r="E7" s="40">
        <v>80</v>
      </c>
      <c r="F7" s="40">
        <v>51</v>
      </c>
      <c r="G7" s="40">
        <v>62</v>
      </c>
      <c r="H7" s="40">
        <v>27</v>
      </c>
      <c r="I7" s="40">
        <v>76</v>
      </c>
      <c r="J7" s="40">
        <v>21</v>
      </c>
      <c r="K7" s="40">
        <v>44</v>
      </c>
      <c r="L7" s="40">
        <v>73</v>
      </c>
      <c r="M7" s="40">
        <v>57</v>
      </c>
      <c r="N7" s="40">
        <v>66</v>
      </c>
      <c r="O7" s="40">
        <v>68</v>
      </c>
      <c r="P7" s="40">
        <v>3</v>
      </c>
      <c r="Q7" s="40">
        <v>31</v>
      </c>
      <c r="R7" s="40">
        <v>2</v>
      </c>
      <c r="S7" s="40">
        <v>42</v>
      </c>
      <c r="T7" s="40">
        <v>63</v>
      </c>
      <c r="U7" s="40">
        <v>4</v>
      </c>
      <c r="V7" s="40">
        <v>28</v>
      </c>
      <c r="W7" s="40">
        <v>45</v>
      </c>
      <c r="X7" s="40">
        <v>19</v>
      </c>
      <c r="Y7" s="40">
        <v>89</v>
      </c>
      <c r="Z7" s="40">
        <v>84</v>
      </c>
      <c r="AA7" s="40">
        <v>81</v>
      </c>
      <c r="AB7" s="40">
        <v>74</v>
      </c>
      <c r="AC7" s="40">
        <v>24</v>
      </c>
      <c r="AD7" s="40">
        <v>30</v>
      </c>
      <c r="AE7" s="45">
        <v>35</v>
      </c>
    </row>
    <row r="8" spans="2:31" ht="15.75" thickBot="1">
      <c r="B8" s="46">
        <v>71</v>
      </c>
      <c r="C8" s="47">
        <v>37</v>
      </c>
      <c r="D8" s="47">
        <v>85</v>
      </c>
      <c r="E8" s="47">
        <v>25</v>
      </c>
      <c r="F8" s="47">
        <v>11</v>
      </c>
      <c r="G8" s="47">
        <v>9</v>
      </c>
      <c r="H8" s="47">
        <v>18</v>
      </c>
      <c r="I8" s="47">
        <v>29</v>
      </c>
      <c r="J8" s="47">
        <v>77</v>
      </c>
      <c r="K8" s="47">
        <v>39</v>
      </c>
      <c r="L8" s="47">
        <v>41</v>
      </c>
      <c r="M8" s="47">
        <v>33</v>
      </c>
      <c r="N8" s="47">
        <v>32</v>
      </c>
      <c r="O8" s="47">
        <v>82</v>
      </c>
      <c r="P8" s="47">
        <v>88</v>
      </c>
      <c r="Q8" s="47">
        <v>61</v>
      </c>
      <c r="R8" s="47">
        <v>26</v>
      </c>
      <c r="S8" s="47">
        <v>86</v>
      </c>
      <c r="T8" s="47">
        <v>75</v>
      </c>
      <c r="U8" s="47">
        <v>38</v>
      </c>
      <c r="V8" s="47">
        <v>69</v>
      </c>
      <c r="W8" s="47">
        <v>72</v>
      </c>
      <c r="X8" s="47">
        <v>87</v>
      </c>
      <c r="Y8" s="47">
        <v>12</v>
      </c>
      <c r="Z8" s="47">
        <v>5</v>
      </c>
      <c r="AA8" s="47">
        <v>59</v>
      </c>
      <c r="AB8" s="47">
        <v>78</v>
      </c>
      <c r="AC8" s="47">
        <v>49</v>
      </c>
      <c r="AD8" s="47">
        <v>52</v>
      </c>
      <c r="AE8" s="48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D13"/>
  <sheetViews>
    <sheetView workbookViewId="0">
      <selection activeCell="B25" sqref="B25"/>
    </sheetView>
  </sheetViews>
  <sheetFormatPr baseColWidth="10" defaultRowHeight="12.75"/>
  <cols>
    <col min="1" max="2" width="16.140625" style="49" bestFit="1" customWidth="1"/>
    <col min="3" max="3" width="12.85546875" style="49" bestFit="1" customWidth="1"/>
    <col min="4" max="16384" width="11.42578125" style="49"/>
  </cols>
  <sheetData>
    <row r="1" spans="1:4">
      <c r="A1" s="57" t="s">
        <v>160</v>
      </c>
      <c r="B1" s="57" t="s">
        <v>34</v>
      </c>
      <c r="C1" s="57" t="s">
        <v>35</v>
      </c>
      <c r="D1" s="57" t="s">
        <v>161</v>
      </c>
    </row>
    <row r="2" spans="1:4">
      <c r="A2" s="52" t="s">
        <v>128</v>
      </c>
      <c r="B2" s="52" t="s">
        <v>154</v>
      </c>
      <c r="C2" s="52" t="s">
        <v>153</v>
      </c>
      <c r="D2" s="53">
        <v>1</v>
      </c>
    </row>
    <row r="3" spans="1:4">
      <c r="A3" s="54" t="s">
        <v>124</v>
      </c>
      <c r="B3" s="54" t="s">
        <v>125</v>
      </c>
      <c r="C3" s="52" t="s">
        <v>151</v>
      </c>
      <c r="D3" s="53">
        <v>2</v>
      </c>
    </row>
    <row r="4" spans="1:4">
      <c r="A4" s="52" t="s">
        <v>134</v>
      </c>
      <c r="B4" s="52" t="s">
        <v>157</v>
      </c>
      <c r="C4" s="52" t="s">
        <v>156</v>
      </c>
      <c r="D4" s="53">
        <v>3</v>
      </c>
    </row>
    <row r="5" spans="1:4">
      <c r="A5" s="55" t="s">
        <v>135</v>
      </c>
      <c r="B5" s="55" t="s">
        <v>136</v>
      </c>
      <c r="C5" s="52" t="s">
        <v>147</v>
      </c>
      <c r="D5" s="53">
        <v>4</v>
      </c>
    </row>
    <row r="6" spans="1:4">
      <c r="A6" s="55" t="s">
        <v>137</v>
      </c>
      <c r="B6" s="55" t="s">
        <v>138</v>
      </c>
      <c r="C6" s="52" t="s">
        <v>148</v>
      </c>
      <c r="D6" s="53">
        <v>5</v>
      </c>
    </row>
    <row r="7" spans="1:4">
      <c r="A7" s="52" t="s">
        <v>139</v>
      </c>
      <c r="B7" s="52" t="s">
        <v>159</v>
      </c>
      <c r="C7" s="52" t="s">
        <v>158</v>
      </c>
      <c r="D7" s="53">
        <v>6</v>
      </c>
    </row>
    <row r="8" spans="1:4">
      <c r="A8" s="55" t="s">
        <v>140</v>
      </c>
      <c r="B8" s="55" t="s">
        <v>141</v>
      </c>
      <c r="C8" s="52" t="s">
        <v>149</v>
      </c>
      <c r="D8" s="53">
        <v>7</v>
      </c>
    </row>
    <row r="9" spans="1:4">
      <c r="A9" s="51" t="s">
        <v>126</v>
      </c>
      <c r="B9" s="51" t="s">
        <v>127</v>
      </c>
      <c r="C9" s="52" t="s">
        <v>144</v>
      </c>
      <c r="D9" s="53">
        <v>8</v>
      </c>
    </row>
    <row r="10" spans="1:4">
      <c r="A10" s="52" t="s">
        <v>131</v>
      </c>
      <c r="B10" s="52" t="s">
        <v>155</v>
      </c>
      <c r="C10" s="52" t="s">
        <v>152</v>
      </c>
      <c r="D10" s="53">
        <v>9</v>
      </c>
    </row>
    <row r="11" spans="1:4">
      <c r="A11" s="55" t="s">
        <v>129</v>
      </c>
      <c r="B11" s="55" t="s">
        <v>130</v>
      </c>
      <c r="C11" s="52" t="s">
        <v>145</v>
      </c>
      <c r="D11" s="53">
        <v>10</v>
      </c>
    </row>
    <row r="12" spans="1:4">
      <c r="A12" s="55" t="s">
        <v>132</v>
      </c>
      <c r="B12" s="55" t="s">
        <v>133</v>
      </c>
      <c r="C12" s="56" t="s">
        <v>146</v>
      </c>
      <c r="D12" s="53">
        <v>11</v>
      </c>
    </row>
    <row r="13" spans="1:4">
      <c r="A13" s="55" t="s">
        <v>142</v>
      </c>
      <c r="B13" s="55" t="s">
        <v>143</v>
      </c>
      <c r="C13" s="56" t="s">
        <v>150</v>
      </c>
      <c r="D13" s="53">
        <v>12</v>
      </c>
    </row>
  </sheetData>
  <sortState ref="C14:D37">
    <sortCondition ref="D14:D37"/>
  </sortState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22"/>
  <sheetViews>
    <sheetView workbookViewId="0">
      <selection activeCell="D24" sqref="D24"/>
    </sheetView>
  </sheetViews>
  <sheetFormatPr baseColWidth="10" defaultRowHeight="15"/>
  <sheetData>
    <row r="1" spans="1:9">
      <c r="A1" s="91" t="s">
        <v>49</v>
      </c>
      <c r="B1" s="91"/>
      <c r="C1" s="91"/>
      <c r="D1" s="91"/>
      <c r="E1" s="91"/>
      <c r="F1" s="91"/>
    </row>
    <row r="2" spans="1:9">
      <c r="A2" s="91"/>
      <c r="B2" s="91"/>
      <c r="C2" s="91"/>
      <c r="D2" s="91"/>
      <c r="E2" s="91"/>
      <c r="F2" s="91"/>
    </row>
    <row r="3" spans="1:9">
      <c r="A3" s="91"/>
      <c r="B3" s="91"/>
      <c r="C3" s="91"/>
      <c r="D3" s="91"/>
      <c r="E3" s="91"/>
      <c r="F3" s="91"/>
    </row>
    <row r="4" spans="1:9">
      <c r="A4" t="s">
        <v>50</v>
      </c>
    </row>
    <row r="5" spans="1:9" ht="28.5" customHeight="1">
      <c r="A5" s="92" t="s">
        <v>36</v>
      </c>
      <c r="B5" s="92"/>
      <c r="C5" s="92"/>
      <c r="D5" s="93" t="s">
        <v>37</v>
      </c>
      <c r="E5" s="93"/>
      <c r="F5" s="93" t="s">
        <v>38</v>
      </c>
      <c r="G5" s="93"/>
      <c r="H5" s="93" t="s">
        <v>39</v>
      </c>
      <c r="I5" s="93"/>
    </row>
    <row r="6" spans="1:9" ht="22.5" customHeight="1">
      <c r="A6" s="89" t="s">
        <v>40</v>
      </c>
      <c r="B6" s="89"/>
      <c r="C6" s="89"/>
      <c r="D6" s="90"/>
      <c r="E6" s="90"/>
      <c r="F6" s="90"/>
      <c r="G6" s="90"/>
      <c r="H6" s="90"/>
      <c r="I6" s="90"/>
    </row>
    <row r="7" spans="1:9" ht="25.5" customHeight="1">
      <c r="A7" s="94" t="s">
        <v>41</v>
      </c>
      <c r="B7" s="94"/>
      <c r="C7" s="94"/>
      <c r="D7" s="90"/>
      <c r="E7" s="90"/>
      <c r="F7" s="90"/>
      <c r="G7" s="90"/>
      <c r="H7" s="90"/>
      <c r="I7" s="90"/>
    </row>
    <row r="8" spans="1:9" ht="18.75" customHeight="1">
      <c r="A8" s="89" t="s">
        <v>42</v>
      </c>
      <c r="B8" s="89"/>
      <c r="C8" s="89"/>
      <c r="D8" s="90"/>
      <c r="E8" s="90"/>
      <c r="F8" s="90"/>
      <c r="G8" s="90"/>
      <c r="H8" s="90"/>
      <c r="I8" s="90"/>
    </row>
    <row r="9" spans="1:9">
      <c r="A9" s="89" t="s">
        <v>43</v>
      </c>
      <c r="B9" s="89"/>
      <c r="C9" s="89"/>
      <c r="D9" s="90"/>
      <c r="E9" s="90"/>
      <c r="F9" s="90"/>
      <c r="G9" s="90"/>
      <c r="H9" s="90"/>
      <c r="I9" s="90"/>
    </row>
    <row r="10" spans="1:9">
      <c r="A10" s="89" t="s">
        <v>44</v>
      </c>
      <c r="B10" s="89"/>
      <c r="C10" s="89"/>
      <c r="D10" s="90"/>
      <c r="E10" s="90"/>
      <c r="F10" s="90"/>
      <c r="G10" s="90"/>
      <c r="H10" s="90"/>
      <c r="I10" s="90"/>
    </row>
    <row r="11" spans="1:9">
      <c r="A11" s="89" t="s">
        <v>45</v>
      </c>
      <c r="B11" s="89"/>
      <c r="C11" s="89"/>
      <c r="D11" s="90"/>
      <c r="E11" s="90"/>
      <c r="F11" s="90"/>
      <c r="G11" s="90"/>
      <c r="H11" s="90"/>
      <c r="I11" s="90"/>
    </row>
    <row r="12" spans="1:9">
      <c r="A12" s="89" t="s">
        <v>46</v>
      </c>
      <c r="B12" s="89"/>
      <c r="C12" s="89"/>
      <c r="D12" s="90"/>
      <c r="E12" s="90"/>
      <c r="F12" s="90"/>
      <c r="G12" s="90"/>
      <c r="H12" s="90"/>
      <c r="I12" s="90"/>
    </row>
    <row r="13" spans="1:9">
      <c r="A13" s="89" t="s">
        <v>47</v>
      </c>
      <c r="B13" s="89"/>
      <c r="C13" s="89"/>
      <c r="D13" s="90"/>
      <c r="E13" s="90"/>
      <c r="F13" s="90"/>
      <c r="G13" s="90"/>
      <c r="H13" s="90"/>
      <c r="I13" s="90"/>
    </row>
    <row r="14" spans="1:9">
      <c r="A14" s="95" t="s">
        <v>48</v>
      </c>
      <c r="B14" s="96"/>
      <c r="C14" s="97"/>
      <c r="D14" s="90"/>
      <c r="E14" s="90"/>
      <c r="F14" s="90"/>
      <c r="G14" s="90"/>
      <c r="H14" s="90"/>
      <c r="I14" s="90"/>
    </row>
    <row r="16" spans="1:9">
      <c r="A16" t="s">
        <v>51</v>
      </c>
    </row>
    <row r="18" spans="1:3">
      <c r="A18" s="98" t="s">
        <v>36</v>
      </c>
      <c r="B18" s="98"/>
      <c r="C18" s="12" t="s">
        <v>55</v>
      </c>
    </row>
    <row r="19" spans="1:3">
      <c r="A19" s="99" t="s">
        <v>52</v>
      </c>
      <c r="B19" s="99"/>
      <c r="C19" s="13"/>
    </row>
    <row r="20" spans="1:3">
      <c r="A20" s="99" t="s">
        <v>53</v>
      </c>
      <c r="B20" s="99"/>
      <c r="C20" s="13"/>
    </row>
    <row r="21" spans="1:3">
      <c r="A21" s="99" t="s">
        <v>54</v>
      </c>
      <c r="B21" s="99"/>
      <c r="C21" s="13"/>
    </row>
    <row r="22" spans="1:3">
      <c r="A22" s="99" t="s">
        <v>80</v>
      </c>
      <c r="B22" s="99"/>
      <c r="C22" s="13"/>
    </row>
  </sheetData>
  <mergeCells count="46">
    <mergeCell ref="A18:B18"/>
    <mergeCell ref="A19:B19"/>
    <mergeCell ref="A20:B20"/>
    <mergeCell ref="A21:B21"/>
    <mergeCell ref="A22:B22"/>
    <mergeCell ref="A13:C13"/>
    <mergeCell ref="D13:E13"/>
    <mergeCell ref="F13:G13"/>
    <mergeCell ref="H13:I13"/>
    <mergeCell ref="D14:E14"/>
    <mergeCell ref="F14:G14"/>
    <mergeCell ref="H14:I14"/>
    <mergeCell ref="A14:C14"/>
    <mergeCell ref="A11:C11"/>
    <mergeCell ref="D11:E11"/>
    <mergeCell ref="F11:G11"/>
    <mergeCell ref="H11:I11"/>
    <mergeCell ref="A12:C12"/>
    <mergeCell ref="D12:E12"/>
    <mergeCell ref="F12:G12"/>
    <mergeCell ref="H12:I12"/>
    <mergeCell ref="A9:C9"/>
    <mergeCell ref="D9:E9"/>
    <mergeCell ref="F9:G9"/>
    <mergeCell ref="H9:I9"/>
    <mergeCell ref="A10:C10"/>
    <mergeCell ref="D10:E10"/>
    <mergeCell ref="F10:G10"/>
    <mergeCell ref="H10:I10"/>
    <mergeCell ref="A7:C7"/>
    <mergeCell ref="D7:E7"/>
    <mergeCell ref="F7:G7"/>
    <mergeCell ref="H7:I7"/>
    <mergeCell ref="A8:C8"/>
    <mergeCell ref="D8:E8"/>
    <mergeCell ref="F8:G8"/>
    <mergeCell ref="H8:I8"/>
    <mergeCell ref="A6:C6"/>
    <mergeCell ref="D6:E6"/>
    <mergeCell ref="F6:G6"/>
    <mergeCell ref="H6:I6"/>
    <mergeCell ref="A1:F3"/>
    <mergeCell ref="A5:C5"/>
    <mergeCell ref="D5:E5"/>
    <mergeCell ref="F5:G5"/>
    <mergeCell ref="H5:I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T27"/>
  <sheetViews>
    <sheetView tabSelected="1" workbookViewId="0">
      <selection activeCell="T5" sqref="T5"/>
    </sheetView>
  </sheetViews>
  <sheetFormatPr baseColWidth="10" defaultRowHeight="15"/>
  <cols>
    <col min="3" max="4" width="2.7109375" bestFit="1" customWidth="1"/>
    <col min="8" max="8" width="4.140625" bestFit="1" customWidth="1"/>
    <col min="9" max="9" width="5.28515625" bestFit="1" customWidth="1"/>
    <col min="10" max="10" width="4.42578125" bestFit="1" customWidth="1"/>
    <col min="11" max="11" width="4.140625" bestFit="1" customWidth="1"/>
    <col min="12" max="12" width="6.140625" bestFit="1" customWidth="1"/>
    <col min="13" max="13" width="11.28515625" customWidth="1"/>
  </cols>
  <sheetData>
    <row r="1" spans="1:20" ht="20.25" thickTop="1" thickBot="1">
      <c r="C1" s="14"/>
      <c r="D1" s="14"/>
      <c r="E1" s="14"/>
      <c r="F1" s="14"/>
      <c r="G1" s="15"/>
      <c r="H1" s="100" t="s">
        <v>57</v>
      </c>
      <c r="I1" s="102"/>
      <c r="J1" s="101"/>
      <c r="K1" s="100" t="s">
        <v>56</v>
      </c>
      <c r="L1" s="101"/>
      <c r="M1" s="69" t="s">
        <v>196</v>
      </c>
      <c r="N1" s="70" t="s">
        <v>197</v>
      </c>
      <c r="O1" s="71" t="s">
        <v>198</v>
      </c>
      <c r="P1" s="71" t="s">
        <v>199</v>
      </c>
      <c r="Q1" s="72" t="s">
        <v>200</v>
      </c>
      <c r="R1" s="71" t="s">
        <v>201</v>
      </c>
      <c r="S1" s="71" t="s">
        <v>66</v>
      </c>
    </row>
    <row r="2" spans="1:20" ht="16.5" thickTop="1" thickBot="1">
      <c r="A2" s="16" t="s">
        <v>58</v>
      </c>
      <c r="B2" s="17" t="s">
        <v>59</v>
      </c>
      <c r="C2" s="17" t="s">
        <v>60</v>
      </c>
      <c r="D2" s="75" t="s">
        <v>61</v>
      </c>
      <c r="E2" s="75" t="s">
        <v>62</v>
      </c>
      <c r="F2" s="75" t="s">
        <v>63</v>
      </c>
      <c r="G2" s="75" t="s">
        <v>64</v>
      </c>
      <c r="H2" s="65" t="s">
        <v>65</v>
      </c>
      <c r="I2" s="66" t="s">
        <v>194</v>
      </c>
      <c r="J2" s="67" t="s">
        <v>195</v>
      </c>
      <c r="K2" s="76" t="s">
        <v>65</v>
      </c>
      <c r="L2" s="77" t="s">
        <v>194</v>
      </c>
      <c r="M2" s="67"/>
      <c r="N2" s="67"/>
      <c r="O2" s="67"/>
      <c r="P2" s="67"/>
      <c r="Q2" s="67"/>
      <c r="R2" s="67"/>
      <c r="S2" s="67"/>
    </row>
    <row r="3" spans="1:20" ht="15.75" thickTop="1">
      <c r="A3" s="18"/>
      <c r="B3" s="59">
        <v>43214</v>
      </c>
      <c r="C3" s="73">
        <v>4</v>
      </c>
      <c r="D3" s="78">
        <v>28</v>
      </c>
      <c r="E3" s="19" t="s">
        <v>123</v>
      </c>
      <c r="F3" s="79" t="s">
        <v>133</v>
      </c>
      <c r="G3" s="103" t="s">
        <v>193</v>
      </c>
      <c r="H3" s="80">
        <v>6</v>
      </c>
      <c r="I3" s="81">
        <v>737.2</v>
      </c>
      <c r="J3" s="81">
        <v>78</v>
      </c>
      <c r="K3" s="80">
        <v>24</v>
      </c>
      <c r="L3" s="80">
        <v>1499.2</v>
      </c>
      <c r="M3" s="40">
        <v>2.5649999999999999</v>
      </c>
      <c r="N3" s="82">
        <f>+(J3/I3)</f>
        <v>0.10580575149213238</v>
      </c>
      <c r="O3" s="83">
        <f>+(I3+L3)</f>
        <v>2236.4</v>
      </c>
      <c r="P3" s="40">
        <f>+(N3*O3)</f>
        <v>236.62398263700487</v>
      </c>
      <c r="Q3" s="82">
        <f>+(P3*10^(-2))</f>
        <v>2.3662398263700486</v>
      </c>
      <c r="R3" s="84">
        <f>IF(Q3&lt;&gt;"",ROUND(4.48*P3^(-0.25),2),"")</f>
        <v>1.1399999999999999</v>
      </c>
      <c r="S3" s="85">
        <f>+(M3/R3)</f>
        <v>2.25</v>
      </c>
      <c r="T3">
        <v>1.26</v>
      </c>
    </row>
    <row r="4" spans="1:20">
      <c r="A4" s="19"/>
      <c r="B4" s="59">
        <v>43214</v>
      </c>
      <c r="C4" s="74">
        <v>6</v>
      </c>
      <c r="D4" s="78">
        <v>13</v>
      </c>
      <c r="E4" s="19" t="s">
        <v>123</v>
      </c>
      <c r="F4" s="79" t="s">
        <v>143</v>
      </c>
      <c r="G4" s="103"/>
      <c r="H4" s="68">
        <v>6</v>
      </c>
      <c r="I4" s="68">
        <v>725.6</v>
      </c>
      <c r="J4" s="81">
        <v>90.3</v>
      </c>
      <c r="K4" s="68">
        <v>17</v>
      </c>
      <c r="L4" s="68">
        <v>1236.4000000000001</v>
      </c>
      <c r="M4" s="40">
        <v>3.28</v>
      </c>
      <c r="N4" s="82">
        <f>+(J4/I4)</f>
        <v>0.12444873208379272</v>
      </c>
      <c r="O4" s="83">
        <f>+(I4+L4)</f>
        <v>1962</v>
      </c>
      <c r="P4" s="40">
        <f>+(N4*O4)</f>
        <v>244.16841234840132</v>
      </c>
      <c r="Q4" s="82">
        <f>+(P4*10^(-2))</f>
        <v>2.4416841234840132</v>
      </c>
      <c r="R4" s="84">
        <f>IF(Q4&lt;&gt;"",ROUND(4.48*P4^(-0.25),2),"")</f>
        <v>1.1299999999999999</v>
      </c>
      <c r="S4" s="85">
        <f>+(M4/R4)</f>
        <v>2.9026548672566372</v>
      </c>
      <c r="T4">
        <v>1.63</v>
      </c>
    </row>
    <row r="5" spans="1:20" s="58" customFormat="1">
      <c r="A5" s="60"/>
      <c r="B5" s="59"/>
      <c r="C5" s="61"/>
      <c r="D5" s="62"/>
      <c r="E5" s="60"/>
      <c r="F5" s="63"/>
      <c r="G5" s="60"/>
      <c r="H5" s="60"/>
      <c r="I5" s="60"/>
      <c r="J5" s="60"/>
      <c r="K5" s="60"/>
      <c r="L5" s="64"/>
    </row>
    <row r="6" spans="1:20" s="58" customFormat="1">
      <c r="A6" s="60"/>
      <c r="B6" s="59"/>
      <c r="C6" s="61"/>
      <c r="D6" s="62"/>
      <c r="E6" s="60"/>
      <c r="F6" s="63"/>
      <c r="G6" s="60"/>
      <c r="H6" s="60"/>
      <c r="I6" s="60"/>
      <c r="J6" s="60"/>
      <c r="K6" s="60"/>
      <c r="L6" s="64"/>
    </row>
    <row r="7" spans="1:20" s="58" customFormat="1">
      <c r="A7" s="60"/>
      <c r="B7" s="59"/>
      <c r="C7" s="61"/>
      <c r="D7" s="62"/>
      <c r="E7" s="60"/>
      <c r="F7" s="63"/>
      <c r="G7" s="60"/>
      <c r="H7" s="60"/>
      <c r="I7" s="60"/>
      <c r="J7" s="60"/>
      <c r="K7" s="60"/>
      <c r="L7" s="64"/>
    </row>
    <row r="8" spans="1:20" s="58" customFormat="1">
      <c r="A8" s="60"/>
      <c r="B8" s="59"/>
      <c r="C8" s="61"/>
      <c r="D8" s="62"/>
      <c r="E8" s="60"/>
      <c r="F8" s="63"/>
      <c r="G8" s="60"/>
      <c r="H8" s="60"/>
      <c r="I8" s="60"/>
      <c r="J8" s="60"/>
      <c r="K8" s="60"/>
      <c r="L8" s="64"/>
    </row>
    <row r="9" spans="1:20" s="58" customFormat="1">
      <c r="A9" s="60"/>
      <c r="B9" s="59"/>
      <c r="C9" s="61"/>
      <c r="D9" s="62"/>
      <c r="E9" s="60"/>
      <c r="F9" s="63"/>
      <c r="G9" s="60"/>
      <c r="H9" s="60"/>
      <c r="I9" s="60"/>
      <c r="J9" s="60"/>
      <c r="K9" s="60"/>
      <c r="L9" s="64"/>
    </row>
    <row r="10" spans="1:2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spans="1:20">
      <c r="A11" s="20"/>
      <c r="C11" s="20"/>
      <c r="D11" s="20"/>
      <c r="E11" s="20"/>
      <c r="F11" s="20"/>
    </row>
    <row r="12" spans="1:20">
      <c r="A12" s="21" t="s">
        <v>67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</row>
    <row r="13" spans="1:20">
      <c r="A13" s="22" t="s">
        <v>68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</row>
    <row r="14" spans="1:20">
      <c r="A14" s="22" t="s">
        <v>69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1:20">
      <c r="A15" s="22" t="s">
        <v>70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</row>
    <row r="16" spans="1:20">
      <c r="A16" s="21" t="s">
        <v>71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</row>
    <row r="17" spans="1:12">
      <c r="A17" s="21" t="s">
        <v>72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</row>
    <row r="18" spans="1:12">
      <c r="A18" s="21" t="s">
        <v>73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</row>
    <row r="19" spans="1:12">
      <c r="A19" s="22" t="s">
        <v>74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spans="1:12">
      <c r="A20" s="22" t="s">
        <v>75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1:12">
      <c r="A21" s="22" t="s">
        <v>76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spans="1:12">
      <c r="A22" s="22" t="s">
        <v>77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spans="1:12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4" spans="1:12">
      <c r="A24" s="20" t="s">
        <v>78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spans="1:12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spans="1:12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spans="1:12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</row>
  </sheetData>
  <mergeCells count="3">
    <mergeCell ref="K1:L1"/>
    <mergeCell ref="H1:J1"/>
    <mergeCell ref="G3:G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AC25"/>
  <sheetViews>
    <sheetView topLeftCell="F1" zoomScale="85" zoomScaleNormal="85" workbookViewId="0">
      <selection activeCell="U28" sqref="U28"/>
    </sheetView>
  </sheetViews>
  <sheetFormatPr baseColWidth="10" defaultRowHeight="15"/>
  <cols>
    <col min="1" max="1" width="6.85546875" bestFit="1" customWidth="1"/>
    <col min="2" max="2" width="10.28515625" bestFit="1" customWidth="1"/>
    <col min="3" max="3" width="4.7109375" bestFit="1" customWidth="1"/>
    <col min="4" max="4" width="10.85546875" bestFit="1" customWidth="1"/>
    <col min="5" max="5" width="10.7109375" bestFit="1" customWidth="1"/>
    <col min="6" max="6" width="12" bestFit="1" customWidth="1"/>
    <col min="7" max="7" width="6.140625" bestFit="1" customWidth="1"/>
    <col min="8" max="8" width="9.140625" bestFit="1" customWidth="1"/>
    <col min="9" max="9" width="10.42578125" bestFit="1" customWidth="1"/>
    <col min="10" max="10" width="9.42578125" bestFit="1" customWidth="1"/>
    <col min="11" max="11" width="13.85546875" bestFit="1" customWidth="1"/>
    <col min="12" max="12" width="12.5703125" bestFit="1" customWidth="1"/>
    <col min="13" max="13" width="6.28515625" bestFit="1" customWidth="1"/>
    <col min="14" max="14" width="8.7109375" bestFit="1" customWidth="1"/>
    <col min="15" max="15" width="6.28515625" bestFit="1" customWidth="1"/>
    <col min="16" max="16" width="5" customWidth="1"/>
    <col min="17" max="17" width="6" bestFit="1" customWidth="1"/>
    <col min="18" max="18" width="9.85546875" bestFit="1" customWidth="1"/>
    <col min="19" max="19" width="5.5703125" bestFit="1" customWidth="1"/>
    <col min="20" max="20" width="7.140625" bestFit="1" customWidth="1"/>
    <col min="21" max="21" width="9" bestFit="1" customWidth="1"/>
    <col min="22" max="22" width="11" bestFit="1" customWidth="1"/>
    <col min="23" max="23" width="5.140625" bestFit="1" customWidth="1"/>
    <col min="24" max="24" width="8.28515625" bestFit="1" customWidth="1"/>
    <col min="25" max="25" width="7.140625" bestFit="1" customWidth="1"/>
    <col min="26" max="26" width="7.140625" style="58" bestFit="1" customWidth="1"/>
    <col min="27" max="27" width="6" bestFit="1" customWidth="1"/>
    <col min="28" max="28" width="6.42578125" bestFit="1" customWidth="1"/>
    <col min="29" max="29" width="6.140625" customWidth="1"/>
  </cols>
  <sheetData>
    <row r="1" spans="1:29" s="35" customFormat="1" ht="51">
      <c r="A1" s="28" t="s">
        <v>81</v>
      </c>
      <c r="B1" s="28" t="s">
        <v>82</v>
      </c>
      <c r="C1" s="28" t="s">
        <v>83</v>
      </c>
      <c r="D1" s="28" t="s">
        <v>84</v>
      </c>
      <c r="E1" s="28" t="s">
        <v>85</v>
      </c>
      <c r="F1" s="28" t="s">
        <v>86</v>
      </c>
      <c r="G1" s="28" t="s">
        <v>87</v>
      </c>
      <c r="H1" s="28" t="s">
        <v>62</v>
      </c>
      <c r="I1" s="28" t="s">
        <v>111</v>
      </c>
      <c r="J1" s="28" t="s">
        <v>112</v>
      </c>
      <c r="K1" s="28" t="s">
        <v>113</v>
      </c>
      <c r="L1" s="28" t="s">
        <v>88</v>
      </c>
      <c r="M1" s="28" t="s">
        <v>89</v>
      </c>
      <c r="N1" s="29" t="s">
        <v>90</v>
      </c>
      <c r="O1" s="27" t="s">
        <v>114</v>
      </c>
      <c r="P1" s="30" t="s">
        <v>103</v>
      </c>
      <c r="Q1" s="30" t="s">
        <v>120</v>
      </c>
      <c r="R1" s="31" t="s">
        <v>115</v>
      </c>
      <c r="S1" s="31" t="s">
        <v>104</v>
      </c>
      <c r="T1" s="32" t="s">
        <v>116</v>
      </c>
      <c r="U1" s="31" t="s">
        <v>117</v>
      </c>
      <c r="V1" s="32" t="s">
        <v>105</v>
      </c>
      <c r="W1" s="33" t="s">
        <v>118</v>
      </c>
      <c r="X1" s="32" t="s">
        <v>106</v>
      </c>
      <c r="Y1" s="31" t="s">
        <v>119</v>
      </c>
      <c r="Z1" s="31" t="s">
        <v>107</v>
      </c>
      <c r="AA1" s="32" t="s">
        <v>108</v>
      </c>
      <c r="AB1" s="32" t="s">
        <v>109</v>
      </c>
      <c r="AC1" s="34" t="s">
        <v>110</v>
      </c>
    </row>
    <row r="2" spans="1:29">
      <c r="A2" s="40">
        <v>2018</v>
      </c>
      <c r="B2" s="40" t="s">
        <v>166</v>
      </c>
      <c r="C2" s="40" t="s">
        <v>167</v>
      </c>
      <c r="D2" s="86">
        <v>42982</v>
      </c>
      <c r="E2" s="86">
        <v>42988</v>
      </c>
      <c r="F2" s="86">
        <v>43298</v>
      </c>
      <c r="G2" s="40" t="s">
        <v>168</v>
      </c>
      <c r="H2" s="40" t="s">
        <v>123</v>
      </c>
      <c r="I2" s="40">
        <v>1</v>
      </c>
      <c r="J2" s="40">
        <v>1</v>
      </c>
      <c r="K2" s="40"/>
      <c r="L2" s="52" t="s">
        <v>153</v>
      </c>
      <c r="M2" s="40" t="s">
        <v>192</v>
      </c>
      <c r="N2" s="40">
        <v>18</v>
      </c>
      <c r="O2" s="40"/>
      <c r="P2" s="40"/>
      <c r="Q2" s="40">
        <v>35.39</v>
      </c>
      <c r="R2" s="40">
        <v>9</v>
      </c>
      <c r="S2" s="40">
        <v>8</v>
      </c>
      <c r="T2" s="40">
        <v>98</v>
      </c>
      <c r="U2" s="40"/>
      <c r="V2" s="40"/>
      <c r="W2" s="40">
        <v>6.25</v>
      </c>
      <c r="X2" s="40">
        <v>6.5</v>
      </c>
      <c r="Y2" s="82">
        <v>45.744</v>
      </c>
      <c r="Z2" s="82">
        <v>15.883108139038086</v>
      </c>
      <c r="AA2" s="82">
        <v>32.68</v>
      </c>
      <c r="AB2" s="82">
        <v>32.68</v>
      </c>
      <c r="AC2" s="82">
        <v>4.3600000000000003</v>
      </c>
    </row>
    <row r="3" spans="1:29">
      <c r="A3" s="40">
        <v>2018</v>
      </c>
      <c r="B3" s="40" t="s">
        <v>166</v>
      </c>
      <c r="C3" s="40" t="s">
        <v>167</v>
      </c>
      <c r="D3" s="86">
        <v>42982</v>
      </c>
      <c r="E3" s="86">
        <v>42988</v>
      </c>
      <c r="F3" s="86">
        <v>43298</v>
      </c>
      <c r="G3" s="40" t="s">
        <v>169</v>
      </c>
      <c r="H3" s="40" t="s">
        <v>123</v>
      </c>
      <c r="I3" s="40">
        <v>2</v>
      </c>
      <c r="J3" s="40">
        <v>1</v>
      </c>
      <c r="K3" s="40"/>
      <c r="L3" s="52" t="s">
        <v>153</v>
      </c>
      <c r="M3" s="40" t="s">
        <v>192</v>
      </c>
      <c r="N3" s="40">
        <v>18</v>
      </c>
      <c r="O3" s="40"/>
      <c r="P3" s="40"/>
      <c r="Q3" s="40">
        <v>27.02</v>
      </c>
      <c r="R3" s="40">
        <v>9</v>
      </c>
      <c r="S3" s="40">
        <v>7</v>
      </c>
      <c r="T3" s="40">
        <v>98</v>
      </c>
      <c r="U3" s="40"/>
      <c r="V3" s="40"/>
      <c r="W3" s="40">
        <v>4.8499999999999996</v>
      </c>
      <c r="X3" s="40">
        <v>8</v>
      </c>
      <c r="Y3" s="82">
        <v>45.787999999999997</v>
      </c>
      <c r="Z3" s="82">
        <v>15.743879318237305</v>
      </c>
      <c r="AA3" s="82">
        <v>32.426000000000002</v>
      </c>
      <c r="AB3" s="82">
        <v>32.426000000000002</v>
      </c>
      <c r="AC3" s="82">
        <v>4.1399999999999997</v>
      </c>
    </row>
    <row r="4" spans="1:29">
      <c r="A4" s="40">
        <v>2018</v>
      </c>
      <c r="B4" s="40" t="s">
        <v>166</v>
      </c>
      <c r="C4" s="40" t="s">
        <v>167</v>
      </c>
      <c r="D4" s="86">
        <v>42982</v>
      </c>
      <c r="E4" s="86">
        <v>42988</v>
      </c>
      <c r="F4" s="86">
        <v>43298</v>
      </c>
      <c r="G4" s="40" t="s">
        <v>170</v>
      </c>
      <c r="H4" s="40" t="s">
        <v>123</v>
      </c>
      <c r="I4" s="40">
        <v>1</v>
      </c>
      <c r="J4" s="40">
        <v>2</v>
      </c>
      <c r="K4" s="40"/>
      <c r="L4" s="52" t="s">
        <v>151</v>
      </c>
      <c r="M4" s="40" t="s">
        <v>192</v>
      </c>
      <c r="N4" s="40">
        <v>18</v>
      </c>
      <c r="O4" s="40"/>
      <c r="P4" s="40"/>
      <c r="Q4" s="40">
        <v>33.119999999999997</v>
      </c>
      <c r="R4" s="40">
        <v>9</v>
      </c>
      <c r="S4" s="40">
        <v>9</v>
      </c>
      <c r="T4" s="40">
        <v>98</v>
      </c>
      <c r="U4" s="40"/>
      <c r="V4" s="40"/>
      <c r="W4" s="40">
        <v>5.85</v>
      </c>
      <c r="X4" s="40">
        <v>6.5</v>
      </c>
      <c r="Y4" s="82">
        <v>44.496000000000002</v>
      </c>
      <c r="Z4" s="82">
        <v>16.219511032104492</v>
      </c>
      <c r="AA4" s="82">
        <v>32.436</v>
      </c>
      <c r="AB4" s="82">
        <v>32.436</v>
      </c>
      <c r="AC4" s="82">
        <v>4.49</v>
      </c>
    </row>
    <row r="5" spans="1:29">
      <c r="A5" s="40">
        <v>2018</v>
      </c>
      <c r="B5" s="40" t="s">
        <v>166</v>
      </c>
      <c r="C5" s="40" t="s">
        <v>167</v>
      </c>
      <c r="D5" s="86">
        <v>42982</v>
      </c>
      <c r="E5" s="86">
        <v>42988</v>
      </c>
      <c r="F5" s="86">
        <v>43298</v>
      </c>
      <c r="G5" s="40" t="s">
        <v>171</v>
      </c>
      <c r="H5" s="40" t="s">
        <v>123</v>
      </c>
      <c r="I5" s="40">
        <v>2</v>
      </c>
      <c r="J5" s="40">
        <v>2</v>
      </c>
      <c r="K5" s="40"/>
      <c r="L5" s="52" t="s">
        <v>151</v>
      </c>
      <c r="M5" s="40" t="s">
        <v>192</v>
      </c>
      <c r="N5" s="40">
        <v>18</v>
      </c>
      <c r="O5" s="40"/>
      <c r="P5" s="40"/>
      <c r="Q5" s="40">
        <v>35.14</v>
      </c>
      <c r="R5" s="40">
        <v>8</v>
      </c>
      <c r="S5" s="40">
        <v>8</v>
      </c>
      <c r="T5" s="40">
        <v>98</v>
      </c>
      <c r="U5" s="40"/>
      <c r="V5" s="40"/>
      <c r="W5" s="40">
        <v>6.2</v>
      </c>
      <c r="X5" s="40">
        <v>6.4</v>
      </c>
      <c r="Y5" s="82">
        <v>44.866</v>
      </c>
      <c r="Z5" s="82">
        <v>16.347192764282227</v>
      </c>
      <c r="AA5" s="82">
        <v>32.965000000000003</v>
      </c>
      <c r="AB5" s="82">
        <v>32.965000000000003</v>
      </c>
      <c r="AC5" s="82">
        <v>4.2</v>
      </c>
    </row>
    <row r="6" spans="1:29">
      <c r="A6" s="40">
        <v>2018</v>
      </c>
      <c r="B6" s="40" t="s">
        <v>166</v>
      </c>
      <c r="C6" s="40" t="s">
        <v>167</v>
      </c>
      <c r="D6" s="86">
        <v>42982</v>
      </c>
      <c r="E6" s="86">
        <v>42988</v>
      </c>
      <c r="F6" s="86">
        <v>43298</v>
      </c>
      <c r="G6" s="40" t="s">
        <v>172</v>
      </c>
      <c r="H6" s="40" t="s">
        <v>123</v>
      </c>
      <c r="I6" s="40">
        <v>1</v>
      </c>
      <c r="J6" s="40">
        <v>3</v>
      </c>
      <c r="K6" s="40"/>
      <c r="L6" s="52" t="s">
        <v>156</v>
      </c>
      <c r="M6" s="40" t="s">
        <v>192</v>
      </c>
      <c r="N6" s="40">
        <v>18</v>
      </c>
      <c r="O6" s="40"/>
      <c r="P6" s="40"/>
      <c r="Q6" s="40">
        <v>31.4</v>
      </c>
      <c r="R6" s="40">
        <v>9</v>
      </c>
      <c r="S6" s="40">
        <v>7</v>
      </c>
      <c r="T6" s="40">
        <v>96</v>
      </c>
      <c r="U6" s="40"/>
      <c r="V6" s="40"/>
      <c r="W6" s="40">
        <v>5.6</v>
      </c>
      <c r="X6" s="40">
        <v>7.4</v>
      </c>
      <c r="Y6" s="82">
        <v>44.225000000000001</v>
      </c>
      <c r="Z6" s="82">
        <v>18.2779541015625</v>
      </c>
      <c r="AA6" s="82">
        <v>36.331000000000003</v>
      </c>
      <c r="AB6" s="82">
        <v>36.331000000000003</v>
      </c>
      <c r="AC6" s="82">
        <v>5.0999999999999996</v>
      </c>
    </row>
    <row r="7" spans="1:29">
      <c r="A7" s="40">
        <v>2018</v>
      </c>
      <c r="B7" s="40" t="s">
        <v>166</v>
      </c>
      <c r="C7" s="40" t="s">
        <v>167</v>
      </c>
      <c r="D7" s="86">
        <v>42982</v>
      </c>
      <c r="E7" s="86">
        <v>42988</v>
      </c>
      <c r="F7" s="86">
        <v>43298</v>
      </c>
      <c r="G7" s="40" t="s">
        <v>173</v>
      </c>
      <c r="H7" s="40" t="s">
        <v>123</v>
      </c>
      <c r="I7" s="40">
        <v>2</v>
      </c>
      <c r="J7" s="40">
        <v>3</v>
      </c>
      <c r="K7" s="40"/>
      <c r="L7" s="52" t="s">
        <v>156</v>
      </c>
      <c r="M7" s="40" t="s">
        <v>192</v>
      </c>
      <c r="N7" s="40">
        <v>18</v>
      </c>
      <c r="O7" s="40"/>
      <c r="P7" s="40"/>
      <c r="Q7" s="40">
        <v>26.02</v>
      </c>
      <c r="R7" s="40">
        <v>7</v>
      </c>
      <c r="S7" s="40">
        <v>7</v>
      </c>
      <c r="T7" s="40">
        <v>98</v>
      </c>
      <c r="U7" s="40"/>
      <c r="V7" s="40"/>
      <c r="W7" s="40">
        <v>4.6500000000000004</v>
      </c>
      <c r="X7" s="40">
        <v>7.6</v>
      </c>
      <c r="Y7" s="82">
        <v>45.627000000000002</v>
      </c>
      <c r="Z7" s="82">
        <v>16.680515289306641</v>
      </c>
      <c r="AA7" s="82">
        <v>34.228000000000002</v>
      </c>
      <c r="AB7" s="82">
        <v>34.228000000000002</v>
      </c>
      <c r="AC7" s="82">
        <v>4.95</v>
      </c>
    </row>
    <row r="8" spans="1:29">
      <c r="A8" s="40">
        <v>2018</v>
      </c>
      <c r="B8" s="40" t="s">
        <v>166</v>
      </c>
      <c r="C8" s="40" t="s">
        <v>167</v>
      </c>
      <c r="D8" s="86">
        <v>42982</v>
      </c>
      <c r="E8" s="86">
        <v>42988</v>
      </c>
      <c r="F8" s="86">
        <v>43298</v>
      </c>
      <c r="G8" s="40" t="s">
        <v>174</v>
      </c>
      <c r="H8" s="40" t="s">
        <v>123</v>
      </c>
      <c r="I8" s="40">
        <v>1</v>
      </c>
      <c r="J8" s="40">
        <v>4</v>
      </c>
      <c r="K8" s="40"/>
      <c r="L8" s="52" t="s">
        <v>147</v>
      </c>
      <c r="M8" s="40" t="s">
        <v>192</v>
      </c>
      <c r="N8" s="40">
        <v>18</v>
      </c>
      <c r="O8" s="40"/>
      <c r="P8" s="40"/>
      <c r="Q8" s="40">
        <v>28.75</v>
      </c>
      <c r="R8" s="40">
        <v>9</v>
      </c>
      <c r="S8" s="40">
        <v>8</v>
      </c>
      <c r="T8" s="40">
        <v>94</v>
      </c>
      <c r="U8" s="40"/>
      <c r="V8" s="40"/>
      <c r="W8" s="40">
        <v>5.0999999999999996</v>
      </c>
      <c r="X8" s="40">
        <v>6.9</v>
      </c>
      <c r="Y8" s="82">
        <v>45.576000000000001</v>
      </c>
      <c r="Z8" s="82">
        <v>16.629823684692383</v>
      </c>
      <c r="AA8" s="82">
        <v>34.084000000000003</v>
      </c>
      <c r="AB8" s="82">
        <v>34.084000000000003</v>
      </c>
      <c r="AC8" s="82">
        <v>4.03</v>
      </c>
    </row>
    <row r="9" spans="1:29">
      <c r="A9" s="40">
        <v>2018</v>
      </c>
      <c r="B9" s="40" t="s">
        <v>166</v>
      </c>
      <c r="C9" s="40" t="s">
        <v>167</v>
      </c>
      <c r="D9" s="86">
        <v>42982</v>
      </c>
      <c r="E9" s="86">
        <v>42988</v>
      </c>
      <c r="F9" s="86">
        <v>43298</v>
      </c>
      <c r="G9" s="40" t="s">
        <v>175</v>
      </c>
      <c r="H9" s="40" t="s">
        <v>123</v>
      </c>
      <c r="I9" s="40">
        <v>2</v>
      </c>
      <c r="J9" s="40">
        <v>4</v>
      </c>
      <c r="K9" s="40"/>
      <c r="L9" s="52" t="s">
        <v>147</v>
      </c>
      <c r="M9" s="40" t="s">
        <v>192</v>
      </c>
      <c r="N9" s="40">
        <v>18</v>
      </c>
      <c r="O9" s="40"/>
      <c r="P9" s="40"/>
      <c r="Q9" s="40">
        <v>25.26</v>
      </c>
      <c r="R9" s="40">
        <v>9</v>
      </c>
      <c r="S9" s="40">
        <v>7</v>
      </c>
      <c r="T9" s="40">
        <v>96</v>
      </c>
      <c r="U9" s="40"/>
      <c r="V9" s="40"/>
      <c r="W9" s="40">
        <v>4.5</v>
      </c>
      <c r="X9" s="40">
        <v>7.3</v>
      </c>
      <c r="Y9" s="82">
        <v>45.871000000000002</v>
      </c>
      <c r="Z9" s="82">
        <v>16.483419418334961</v>
      </c>
      <c r="AA9" s="82">
        <v>34.015000000000001</v>
      </c>
      <c r="AB9" s="82">
        <v>34.015000000000001</v>
      </c>
      <c r="AC9" s="82">
        <v>3.98</v>
      </c>
    </row>
    <row r="10" spans="1:29">
      <c r="A10" s="40">
        <v>2018</v>
      </c>
      <c r="B10" s="40" t="s">
        <v>166</v>
      </c>
      <c r="C10" s="40" t="s">
        <v>167</v>
      </c>
      <c r="D10" s="86">
        <v>42982</v>
      </c>
      <c r="E10" s="86">
        <v>42988</v>
      </c>
      <c r="F10" s="86">
        <v>43298</v>
      </c>
      <c r="G10" s="40" t="s">
        <v>176</v>
      </c>
      <c r="H10" s="40" t="s">
        <v>123</v>
      </c>
      <c r="I10" s="40">
        <v>1</v>
      </c>
      <c r="J10" s="40">
        <v>5</v>
      </c>
      <c r="K10" s="40"/>
      <c r="L10" s="52" t="s">
        <v>148</v>
      </c>
      <c r="M10" s="40" t="s">
        <v>192</v>
      </c>
      <c r="N10" s="40">
        <v>18</v>
      </c>
      <c r="O10" s="40"/>
      <c r="P10" s="40"/>
      <c r="Q10" s="40">
        <v>26.02</v>
      </c>
      <c r="R10" s="40">
        <v>9</v>
      </c>
      <c r="S10" s="40">
        <v>7</v>
      </c>
      <c r="T10" s="40">
        <v>98</v>
      </c>
      <c r="U10" s="40"/>
      <c r="V10" s="40"/>
      <c r="W10" s="40">
        <v>4.6500000000000004</v>
      </c>
      <c r="X10" s="40">
        <v>7.6</v>
      </c>
      <c r="Y10" s="82">
        <v>44.892000000000003</v>
      </c>
      <c r="Z10" s="82">
        <v>17.505853652954102</v>
      </c>
      <c r="AA10" s="82">
        <v>35.323</v>
      </c>
      <c r="AB10" s="82">
        <v>35.323</v>
      </c>
      <c r="AC10" s="82">
        <v>4.6900000000000004</v>
      </c>
    </row>
    <row r="11" spans="1:29">
      <c r="A11" s="40">
        <v>2018</v>
      </c>
      <c r="B11" s="40" t="s">
        <v>166</v>
      </c>
      <c r="C11" s="40" t="s">
        <v>167</v>
      </c>
      <c r="D11" s="86">
        <v>42982</v>
      </c>
      <c r="E11" s="86">
        <v>42988</v>
      </c>
      <c r="F11" s="86">
        <v>43298</v>
      </c>
      <c r="G11" s="40" t="s">
        <v>177</v>
      </c>
      <c r="H11" s="40" t="s">
        <v>123</v>
      </c>
      <c r="I11" s="40">
        <v>2</v>
      </c>
      <c r="J11" s="40">
        <v>5</v>
      </c>
      <c r="K11" s="40"/>
      <c r="L11" s="52" t="s">
        <v>148</v>
      </c>
      <c r="M11" s="40" t="s">
        <v>192</v>
      </c>
      <c r="N11" s="40">
        <v>18</v>
      </c>
      <c r="O11" s="40"/>
      <c r="P11" s="40"/>
      <c r="Q11" s="40">
        <v>24.83</v>
      </c>
      <c r="R11" s="40">
        <v>9</v>
      </c>
      <c r="S11" s="40">
        <v>7</v>
      </c>
      <c r="T11" s="40">
        <v>100</v>
      </c>
      <c r="U11" s="40"/>
      <c r="V11" s="40"/>
      <c r="W11" s="40">
        <v>4.4000000000000004</v>
      </c>
      <c r="X11" s="40">
        <v>6.8</v>
      </c>
      <c r="Y11" s="82">
        <v>44.957000000000001</v>
      </c>
      <c r="Z11" s="82">
        <v>16.779382705688477</v>
      </c>
      <c r="AA11" s="82">
        <v>33.906999999999996</v>
      </c>
      <c r="AB11" s="82">
        <v>33.906999999999996</v>
      </c>
      <c r="AC11" s="82">
        <v>4.46</v>
      </c>
    </row>
    <row r="12" spans="1:29">
      <c r="A12" s="40">
        <v>2018</v>
      </c>
      <c r="B12" s="40" t="s">
        <v>166</v>
      </c>
      <c r="C12" s="40" t="s">
        <v>167</v>
      </c>
      <c r="D12" s="86">
        <v>42982</v>
      </c>
      <c r="E12" s="86">
        <v>42988</v>
      </c>
      <c r="F12" s="86">
        <v>43298</v>
      </c>
      <c r="G12" s="40" t="s">
        <v>178</v>
      </c>
      <c r="H12" s="40" t="s">
        <v>123</v>
      </c>
      <c r="I12" s="40">
        <v>1</v>
      </c>
      <c r="J12" s="40">
        <v>6</v>
      </c>
      <c r="K12" s="40"/>
      <c r="L12" s="52" t="s">
        <v>158</v>
      </c>
      <c r="M12" s="40" t="s">
        <v>192</v>
      </c>
      <c r="N12" s="40">
        <v>18</v>
      </c>
      <c r="O12" s="40"/>
      <c r="P12" s="40"/>
      <c r="Q12" s="40">
        <v>26.33</v>
      </c>
      <c r="R12" s="40">
        <v>8</v>
      </c>
      <c r="S12" s="40">
        <v>7</v>
      </c>
      <c r="T12" s="40">
        <v>96</v>
      </c>
      <c r="U12" s="40"/>
      <c r="V12" s="40"/>
      <c r="W12" s="40">
        <v>4.7</v>
      </c>
      <c r="X12" s="40">
        <v>7.5</v>
      </c>
      <c r="Y12" s="82">
        <v>44.866999999999997</v>
      </c>
      <c r="Z12" s="82">
        <v>16.317346572875977</v>
      </c>
      <c r="AA12" s="82">
        <v>32.905999999999999</v>
      </c>
      <c r="AB12" s="82">
        <v>32.905999999999999</v>
      </c>
      <c r="AC12" s="82">
        <v>4.3</v>
      </c>
    </row>
    <row r="13" spans="1:29">
      <c r="A13" s="40">
        <v>2018</v>
      </c>
      <c r="B13" s="40" t="s">
        <v>166</v>
      </c>
      <c r="C13" s="40" t="s">
        <v>167</v>
      </c>
      <c r="D13" s="86">
        <v>42982</v>
      </c>
      <c r="E13" s="86">
        <v>42988</v>
      </c>
      <c r="F13" s="86">
        <v>43298</v>
      </c>
      <c r="G13" s="40" t="s">
        <v>179</v>
      </c>
      <c r="H13" s="40" t="s">
        <v>123</v>
      </c>
      <c r="I13" s="40">
        <v>2</v>
      </c>
      <c r="J13" s="40">
        <v>6</v>
      </c>
      <c r="K13" s="40"/>
      <c r="L13" s="52" t="s">
        <v>158</v>
      </c>
      <c r="M13" s="40" t="s">
        <v>192</v>
      </c>
      <c r="N13" s="40">
        <v>18</v>
      </c>
      <c r="O13" s="40"/>
      <c r="P13" s="40"/>
      <c r="Q13" s="40">
        <v>24.03</v>
      </c>
      <c r="R13" s="40">
        <v>5</v>
      </c>
      <c r="S13" s="40">
        <v>7</v>
      </c>
      <c r="T13" s="40">
        <v>96</v>
      </c>
      <c r="U13" s="40"/>
      <c r="V13" s="40"/>
      <c r="W13" s="40">
        <v>4.3</v>
      </c>
      <c r="X13" s="40">
        <v>7.7</v>
      </c>
      <c r="Y13" s="82">
        <v>45.26</v>
      </c>
      <c r="Z13" s="82">
        <v>16.579689025878906</v>
      </c>
      <c r="AA13" s="82">
        <v>33.735999999999997</v>
      </c>
      <c r="AB13" s="82">
        <v>33.735999999999997</v>
      </c>
      <c r="AC13" s="82">
        <v>4.41</v>
      </c>
    </row>
    <row r="14" spans="1:29">
      <c r="A14" s="40">
        <v>2018</v>
      </c>
      <c r="B14" s="40" t="s">
        <v>166</v>
      </c>
      <c r="C14" s="40" t="s">
        <v>167</v>
      </c>
      <c r="D14" s="86">
        <v>42982</v>
      </c>
      <c r="E14" s="86">
        <v>42988</v>
      </c>
      <c r="F14" s="86">
        <v>43298</v>
      </c>
      <c r="G14" s="40" t="s">
        <v>180</v>
      </c>
      <c r="H14" s="40" t="s">
        <v>123</v>
      </c>
      <c r="I14" s="40">
        <v>1</v>
      </c>
      <c r="J14" s="40">
        <v>7</v>
      </c>
      <c r="K14" s="40"/>
      <c r="L14" s="52" t="s">
        <v>149</v>
      </c>
      <c r="M14" s="40" t="s">
        <v>192</v>
      </c>
      <c r="N14" s="40">
        <v>18</v>
      </c>
      <c r="O14" s="40"/>
      <c r="P14" s="40"/>
      <c r="Q14" s="40">
        <v>28.91</v>
      </c>
      <c r="R14" s="40">
        <v>7</v>
      </c>
      <c r="S14" s="40">
        <v>4</v>
      </c>
      <c r="T14" s="40">
        <v>102</v>
      </c>
      <c r="U14" s="40"/>
      <c r="V14" s="40"/>
      <c r="W14" s="40">
        <v>5.0999999999999996</v>
      </c>
      <c r="X14" s="40">
        <v>6.4</v>
      </c>
      <c r="Y14" s="82">
        <v>44.804000000000002</v>
      </c>
      <c r="Z14" s="82">
        <v>16.205190658569336</v>
      </c>
      <c r="AA14" s="82">
        <v>32.634</v>
      </c>
      <c r="AB14" s="82">
        <v>32.634</v>
      </c>
      <c r="AC14" s="82">
        <v>4.5199999999999996</v>
      </c>
    </row>
    <row r="15" spans="1:29">
      <c r="A15" s="40">
        <v>2018</v>
      </c>
      <c r="B15" s="40" t="s">
        <v>166</v>
      </c>
      <c r="C15" s="40" t="s">
        <v>167</v>
      </c>
      <c r="D15" s="86">
        <v>42982</v>
      </c>
      <c r="E15" s="86">
        <v>42988</v>
      </c>
      <c r="F15" s="86">
        <v>43298</v>
      </c>
      <c r="G15" s="40" t="s">
        <v>181</v>
      </c>
      <c r="H15" s="40" t="s">
        <v>123</v>
      </c>
      <c r="I15" s="40">
        <v>2</v>
      </c>
      <c r="J15" s="40">
        <v>7</v>
      </c>
      <c r="K15" s="40"/>
      <c r="L15" s="52" t="s">
        <v>149</v>
      </c>
      <c r="M15" s="40" t="s">
        <v>192</v>
      </c>
      <c r="N15" s="40">
        <v>18</v>
      </c>
      <c r="O15" s="40"/>
      <c r="P15" s="40"/>
      <c r="Q15" s="40">
        <v>20.89</v>
      </c>
      <c r="R15" s="40">
        <v>3</v>
      </c>
      <c r="S15" s="40">
        <v>4</v>
      </c>
      <c r="T15" s="40">
        <v>100</v>
      </c>
      <c r="U15" s="40"/>
      <c r="V15" s="40"/>
      <c r="W15" s="40">
        <v>3.75</v>
      </c>
      <c r="X15" s="40">
        <v>8</v>
      </c>
      <c r="Y15" s="82">
        <v>45.792999999999999</v>
      </c>
      <c r="Z15" s="82">
        <v>15.859716415405273</v>
      </c>
      <c r="AA15" s="82">
        <v>32.668999999999997</v>
      </c>
      <c r="AB15" s="82">
        <v>32.668999999999997</v>
      </c>
      <c r="AC15" s="82">
        <v>4.54</v>
      </c>
    </row>
    <row r="16" spans="1:29">
      <c r="A16" s="40">
        <v>2018</v>
      </c>
      <c r="B16" s="40" t="s">
        <v>166</v>
      </c>
      <c r="C16" s="40" t="s">
        <v>167</v>
      </c>
      <c r="D16" s="86">
        <v>42982</v>
      </c>
      <c r="E16" s="86">
        <v>42988</v>
      </c>
      <c r="F16" s="86">
        <v>43298</v>
      </c>
      <c r="G16" s="40" t="s">
        <v>182</v>
      </c>
      <c r="H16" s="40" t="s">
        <v>123</v>
      </c>
      <c r="I16" s="40">
        <v>1</v>
      </c>
      <c r="J16" s="40">
        <v>8</v>
      </c>
      <c r="K16" s="40"/>
      <c r="L16" s="52" t="s">
        <v>144</v>
      </c>
      <c r="M16" s="40" t="s">
        <v>192</v>
      </c>
      <c r="N16" s="40">
        <v>18</v>
      </c>
      <c r="O16" s="40"/>
      <c r="P16" s="40"/>
      <c r="Q16" s="40">
        <v>32.520000000000003</v>
      </c>
      <c r="R16" s="40">
        <v>9</v>
      </c>
      <c r="S16" s="40">
        <v>8</v>
      </c>
      <c r="T16" s="40">
        <v>98</v>
      </c>
      <c r="U16" s="40"/>
      <c r="V16" s="40"/>
      <c r="W16" s="40">
        <v>5.75</v>
      </c>
      <c r="X16" s="40">
        <v>6.6</v>
      </c>
      <c r="Y16" s="82">
        <v>44.593000000000004</v>
      </c>
      <c r="Z16" s="82">
        <v>17.407922744750977</v>
      </c>
      <c r="AA16" s="82">
        <v>34.887999999999998</v>
      </c>
      <c r="AB16" s="82">
        <v>34.887999999999998</v>
      </c>
      <c r="AC16" s="82">
        <v>4.91</v>
      </c>
    </row>
    <row r="17" spans="1:29">
      <c r="A17" s="40">
        <v>2018</v>
      </c>
      <c r="B17" s="40" t="s">
        <v>166</v>
      </c>
      <c r="C17" s="40" t="s">
        <v>167</v>
      </c>
      <c r="D17" s="86">
        <v>42982</v>
      </c>
      <c r="E17" s="86">
        <v>42988</v>
      </c>
      <c r="F17" s="86">
        <v>43298</v>
      </c>
      <c r="G17" s="40" t="s">
        <v>183</v>
      </c>
      <c r="H17" s="40" t="s">
        <v>123</v>
      </c>
      <c r="I17" s="40">
        <v>2</v>
      </c>
      <c r="J17" s="40">
        <v>8</v>
      </c>
      <c r="K17" s="40"/>
      <c r="L17" s="52" t="s">
        <v>144</v>
      </c>
      <c r="M17" s="40" t="s">
        <v>192</v>
      </c>
      <c r="N17" s="40">
        <v>18</v>
      </c>
      <c r="O17" s="40"/>
      <c r="P17" s="40"/>
      <c r="Q17" s="40">
        <v>34.17</v>
      </c>
      <c r="R17" s="40">
        <v>8</v>
      </c>
      <c r="S17" s="40">
        <v>9</v>
      </c>
      <c r="T17" s="40">
        <v>94</v>
      </c>
      <c r="U17" s="40"/>
      <c r="V17" s="40"/>
      <c r="W17" s="40">
        <v>6.1</v>
      </c>
      <c r="X17" s="40">
        <v>7.5</v>
      </c>
      <c r="Y17" s="82">
        <v>44.56</v>
      </c>
      <c r="Z17" s="82">
        <v>17.782350540161133</v>
      </c>
      <c r="AA17" s="82">
        <v>35.612000000000002</v>
      </c>
      <c r="AB17" s="82">
        <v>35.612000000000002</v>
      </c>
      <c r="AC17" s="82">
        <v>4.9800000000000004</v>
      </c>
    </row>
    <row r="18" spans="1:29">
      <c r="A18" s="40">
        <v>2018</v>
      </c>
      <c r="B18" s="40" t="s">
        <v>166</v>
      </c>
      <c r="C18" s="40" t="s">
        <v>167</v>
      </c>
      <c r="D18" s="86">
        <v>42982</v>
      </c>
      <c r="E18" s="86">
        <v>42988</v>
      </c>
      <c r="F18" s="86">
        <v>43298</v>
      </c>
      <c r="G18" s="40" t="s">
        <v>184</v>
      </c>
      <c r="H18" s="40" t="s">
        <v>123</v>
      </c>
      <c r="I18" s="40">
        <v>1</v>
      </c>
      <c r="J18" s="40">
        <v>9</v>
      </c>
      <c r="K18" s="40"/>
      <c r="L18" s="52" t="s">
        <v>152</v>
      </c>
      <c r="M18" s="40" t="s">
        <v>192</v>
      </c>
      <c r="N18" s="40">
        <v>18</v>
      </c>
      <c r="O18" s="40"/>
      <c r="P18" s="40"/>
      <c r="Q18" s="40">
        <v>31.23</v>
      </c>
      <c r="R18" s="40">
        <v>9</v>
      </c>
      <c r="S18" s="40">
        <v>8</v>
      </c>
      <c r="T18" s="40">
        <v>94</v>
      </c>
      <c r="U18" s="40"/>
      <c r="V18" s="40"/>
      <c r="W18" s="40">
        <v>5.6</v>
      </c>
      <c r="X18" s="40">
        <v>7.9</v>
      </c>
      <c r="Y18" s="82">
        <v>43.997999999999998</v>
      </c>
      <c r="Z18" s="82">
        <v>17.968324661254883</v>
      </c>
      <c r="AA18" s="82">
        <v>35.536000000000001</v>
      </c>
      <c r="AB18" s="82">
        <v>35.536000000000001</v>
      </c>
      <c r="AC18" s="82">
        <v>4.67</v>
      </c>
    </row>
    <row r="19" spans="1:29">
      <c r="A19" s="40">
        <v>2018</v>
      </c>
      <c r="B19" s="40" t="s">
        <v>166</v>
      </c>
      <c r="C19" s="40" t="s">
        <v>167</v>
      </c>
      <c r="D19" s="86">
        <v>42982</v>
      </c>
      <c r="E19" s="86">
        <v>42988</v>
      </c>
      <c r="F19" s="86">
        <v>43298</v>
      </c>
      <c r="G19" s="40" t="s">
        <v>185</v>
      </c>
      <c r="H19" s="40" t="s">
        <v>123</v>
      </c>
      <c r="I19" s="40">
        <v>2</v>
      </c>
      <c r="J19" s="40">
        <v>9</v>
      </c>
      <c r="K19" s="40"/>
      <c r="L19" s="52" t="s">
        <v>152</v>
      </c>
      <c r="M19" s="40" t="s">
        <v>192</v>
      </c>
      <c r="N19" s="40">
        <v>18</v>
      </c>
      <c r="O19" s="40"/>
      <c r="P19" s="40"/>
      <c r="Q19" s="40">
        <v>27.92</v>
      </c>
      <c r="R19" s="40">
        <v>8</v>
      </c>
      <c r="S19" s="40">
        <v>7</v>
      </c>
      <c r="T19" s="40">
        <v>92</v>
      </c>
      <c r="U19" s="40"/>
      <c r="V19" s="40"/>
      <c r="W19" s="40">
        <v>5</v>
      </c>
      <c r="X19" s="40">
        <v>7.8</v>
      </c>
      <c r="Y19" s="82">
        <v>45.095999999999997</v>
      </c>
      <c r="Z19" s="82">
        <v>17.039106369018555</v>
      </c>
      <c r="AA19" s="82">
        <v>34.540999999999997</v>
      </c>
      <c r="AB19" s="82">
        <v>34.540999999999997</v>
      </c>
      <c r="AC19" s="82">
        <v>4.46</v>
      </c>
    </row>
    <row r="20" spans="1:29">
      <c r="A20" s="40">
        <v>2018</v>
      </c>
      <c r="B20" s="40" t="s">
        <v>166</v>
      </c>
      <c r="C20" s="40" t="s">
        <v>167</v>
      </c>
      <c r="D20" s="86">
        <v>42982</v>
      </c>
      <c r="E20" s="86">
        <v>42988</v>
      </c>
      <c r="F20" s="86">
        <v>43298</v>
      </c>
      <c r="G20" s="40" t="s">
        <v>186</v>
      </c>
      <c r="H20" s="40" t="s">
        <v>123</v>
      </c>
      <c r="I20" s="40">
        <v>1</v>
      </c>
      <c r="J20" s="40">
        <v>10</v>
      </c>
      <c r="K20" s="40"/>
      <c r="L20" s="52" t="s">
        <v>145</v>
      </c>
      <c r="M20" s="40" t="s">
        <v>192</v>
      </c>
      <c r="N20" s="40">
        <v>18</v>
      </c>
      <c r="O20" s="40"/>
      <c r="P20" s="40"/>
      <c r="Q20" s="40">
        <v>30.06</v>
      </c>
      <c r="R20" s="40">
        <v>9</v>
      </c>
      <c r="S20" s="40">
        <v>8</v>
      </c>
      <c r="T20" s="40">
        <v>100</v>
      </c>
      <c r="U20" s="40"/>
      <c r="V20" s="40"/>
      <c r="W20" s="40">
        <v>5.35</v>
      </c>
      <c r="X20" s="40">
        <v>7.2</v>
      </c>
      <c r="Y20" s="82">
        <v>44.817</v>
      </c>
      <c r="Z20" s="82">
        <v>16.135604858398438</v>
      </c>
      <c r="AA20" s="82">
        <v>32.503</v>
      </c>
      <c r="AB20" s="82">
        <v>32.503</v>
      </c>
      <c r="AC20" s="82">
        <v>4.08</v>
      </c>
    </row>
    <row r="21" spans="1:29">
      <c r="A21" s="40">
        <v>2018</v>
      </c>
      <c r="B21" s="40" t="s">
        <v>166</v>
      </c>
      <c r="C21" s="40" t="s">
        <v>167</v>
      </c>
      <c r="D21" s="86">
        <v>42982</v>
      </c>
      <c r="E21" s="86">
        <v>42988</v>
      </c>
      <c r="F21" s="86">
        <v>43298</v>
      </c>
      <c r="G21" s="40" t="s">
        <v>187</v>
      </c>
      <c r="H21" s="40" t="s">
        <v>123</v>
      </c>
      <c r="I21" s="40">
        <v>2</v>
      </c>
      <c r="J21" s="40">
        <v>10</v>
      </c>
      <c r="K21" s="40"/>
      <c r="L21" s="52" t="s">
        <v>145</v>
      </c>
      <c r="M21" s="40" t="s">
        <v>192</v>
      </c>
      <c r="N21" s="40">
        <v>18</v>
      </c>
      <c r="O21" s="40"/>
      <c r="P21" s="40"/>
      <c r="Q21" s="40">
        <v>29.28</v>
      </c>
      <c r="R21" s="40">
        <v>9</v>
      </c>
      <c r="S21" s="40">
        <v>9</v>
      </c>
      <c r="T21" s="40">
        <v>98</v>
      </c>
      <c r="U21" s="40"/>
      <c r="V21" s="40"/>
      <c r="W21" s="40">
        <v>5.25</v>
      </c>
      <c r="X21" s="40">
        <v>7.9</v>
      </c>
      <c r="Y21" s="82">
        <v>45.453000000000003</v>
      </c>
      <c r="Z21" s="82">
        <v>15.74522590637207</v>
      </c>
      <c r="AA21" s="82">
        <v>32.18</v>
      </c>
      <c r="AB21" s="82">
        <v>32.18</v>
      </c>
      <c r="AC21" s="82">
        <v>3.96</v>
      </c>
    </row>
    <row r="22" spans="1:29">
      <c r="A22" s="40">
        <v>2018</v>
      </c>
      <c r="B22" s="40" t="s">
        <v>166</v>
      </c>
      <c r="C22" s="40" t="s">
        <v>167</v>
      </c>
      <c r="D22" s="86">
        <v>42982</v>
      </c>
      <c r="E22" s="86">
        <v>42988</v>
      </c>
      <c r="F22" s="86">
        <v>43298</v>
      </c>
      <c r="G22" s="40" t="s">
        <v>188</v>
      </c>
      <c r="H22" s="40" t="s">
        <v>123</v>
      </c>
      <c r="I22" s="40">
        <v>1</v>
      </c>
      <c r="J22" s="40">
        <v>11</v>
      </c>
      <c r="K22" s="40"/>
      <c r="L22" s="56" t="s">
        <v>146</v>
      </c>
      <c r="M22" s="40" t="s">
        <v>192</v>
      </c>
      <c r="N22" s="40">
        <v>18</v>
      </c>
      <c r="O22" s="40"/>
      <c r="P22" s="40"/>
      <c r="Q22" s="40">
        <v>32.909999999999997</v>
      </c>
      <c r="R22" s="40">
        <v>9</v>
      </c>
      <c r="S22" s="40">
        <v>8</v>
      </c>
      <c r="T22" s="40">
        <v>96</v>
      </c>
      <c r="U22" s="40"/>
      <c r="V22" s="40"/>
      <c r="W22" s="40">
        <v>5.8</v>
      </c>
      <c r="X22" s="40">
        <v>6.3</v>
      </c>
      <c r="Y22" s="82">
        <v>42.917999999999999</v>
      </c>
      <c r="Z22" s="82">
        <v>18.688179016113281</v>
      </c>
      <c r="AA22" s="82">
        <v>36.093000000000004</v>
      </c>
      <c r="AB22" s="82">
        <v>36.093000000000004</v>
      </c>
      <c r="AC22" s="82">
        <v>4.47</v>
      </c>
    </row>
    <row r="23" spans="1:29">
      <c r="A23" s="40">
        <v>2018</v>
      </c>
      <c r="B23" s="40" t="s">
        <v>166</v>
      </c>
      <c r="C23" s="40" t="s">
        <v>167</v>
      </c>
      <c r="D23" s="86">
        <v>42982</v>
      </c>
      <c r="E23" s="86">
        <v>42988</v>
      </c>
      <c r="F23" s="86">
        <v>43298</v>
      </c>
      <c r="G23" s="40" t="s">
        <v>189</v>
      </c>
      <c r="H23" s="40" t="s">
        <v>123</v>
      </c>
      <c r="I23" s="40">
        <v>2</v>
      </c>
      <c r="J23" s="40">
        <v>11</v>
      </c>
      <c r="K23" s="40"/>
      <c r="L23" s="56" t="s">
        <v>146</v>
      </c>
      <c r="M23" s="40" t="s">
        <v>192</v>
      </c>
      <c r="N23" s="40">
        <v>18</v>
      </c>
      <c r="O23" s="40"/>
      <c r="P23" s="40"/>
      <c r="Q23" s="40">
        <v>25.29</v>
      </c>
      <c r="R23" s="40">
        <v>9</v>
      </c>
      <c r="S23" s="40">
        <v>8</v>
      </c>
      <c r="T23" s="40">
        <v>100</v>
      </c>
      <c r="U23" s="40"/>
      <c r="V23" s="40"/>
      <c r="W23" s="40">
        <v>4.5</v>
      </c>
      <c r="X23" s="40">
        <v>7.2</v>
      </c>
      <c r="Y23" s="82">
        <v>44.850999999999999</v>
      </c>
      <c r="Z23" s="82">
        <v>16.856721878051758</v>
      </c>
      <c r="AA23" s="82">
        <v>33.981000000000002</v>
      </c>
      <c r="AB23" s="82">
        <v>33.981000000000002</v>
      </c>
      <c r="AC23" s="82">
        <v>4.33</v>
      </c>
    </row>
    <row r="24" spans="1:29">
      <c r="A24" s="40">
        <v>2018</v>
      </c>
      <c r="B24" s="40" t="s">
        <v>166</v>
      </c>
      <c r="C24" s="40" t="s">
        <v>167</v>
      </c>
      <c r="D24" s="86">
        <v>42982</v>
      </c>
      <c r="E24" s="86">
        <v>42988</v>
      </c>
      <c r="F24" s="86">
        <v>43298</v>
      </c>
      <c r="G24" s="40" t="s">
        <v>190</v>
      </c>
      <c r="H24" s="40" t="s">
        <v>123</v>
      </c>
      <c r="I24" s="40">
        <v>1</v>
      </c>
      <c r="J24" s="40">
        <v>12</v>
      </c>
      <c r="K24" s="40"/>
      <c r="L24" s="56" t="s">
        <v>150</v>
      </c>
      <c r="M24" s="40" t="s">
        <v>192</v>
      </c>
      <c r="N24" s="40">
        <v>18</v>
      </c>
      <c r="O24" s="40"/>
      <c r="P24" s="40"/>
      <c r="Q24" s="40">
        <v>21.33</v>
      </c>
      <c r="R24" s="40">
        <v>9</v>
      </c>
      <c r="S24" s="40">
        <v>7</v>
      </c>
      <c r="T24" s="40">
        <v>92</v>
      </c>
      <c r="U24" s="40"/>
      <c r="V24" s="40"/>
      <c r="W24" s="40">
        <v>3.8</v>
      </c>
      <c r="X24" s="40">
        <v>7.3</v>
      </c>
      <c r="Y24" s="82">
        <v>43.232999999999997</v>
      </c>
      <c r="Z24" s="82">
        <v>18.467535018920898</v>
      </c>
      <c r="AA24" s="82">
        <v>35.911999999999999</v>
      </c>
      <c r="AB24" s="82">
        <v>35.911999999999999</v>
      </c>
      <c r="AC24" s="82">
        <v>4.38</v>
      </c>
    </row>
    <row r="25" spans="1:29">
      <c r="A25" s="40">
        <v>2018</v>
      </c>
      <c r="B25" s="40" t="s">
        <v>166</v>
      </c>
      <c r="C25" s="40" t="s">
        <v>167</v>
      </c>
      <c r="D25" s="86">
        <v>42982</v>
      </c>
      <c r="E25" s="86">
        <v>42988</v>
      </c>
      <c r="F25" s="86">
        <v>43298</v>
      </c>
      <c r="G25" s="40" t="s">
        <v>191</v>
      </c>
      <c r="H25" s="40" t="s">
        <v>123</v>
      </c>
      <c r="I25" s="40">
        <v>2</v>
      </c>
      <c r="J25" s="40">
        <v>12</v>
      </c>
      <c r="K25" s="40"/>
      <c r="L25" s="56" t="s">
        <v>150</v>
      </c>
      <c r="M25" s="40" t="s">
        <v>192</v>
      </c>
      <c r="N25" s="40">
        <v>18</v>
      </c>
      <c r="O25" s="40"/>
      <c r="P25" s="40"/>
      <c r="Q25" s="40">
        <v>19.760000000000002</v>
      </c>
      <c r="R25" s="40">
        <v>9</v>
      </c>
      <c r="S25" s="40">
        <v>7</v>
      </c>
      <c r="T25" s="40">
        <v>94</v>
      </c>
      <c r="U25" s="40"/>
      <c r="V25" s="40"/>
      <c r="W25" s="40">
        <v>3.55</v>
      </c>
      <c r="X25" s="40">
        <v>8.1</v>
      </c>
      <c r="Y25" s="82">
        <v>43.555</v>
      </c>
      <c r="Z25" s="82">
        <v>18.695842742919922</v>
      </c>
      <c r="AA25" s="82">
        <v>36.613999999999997</v>
      </c>
      <c r="AB25" s="82">
        <v>36.613999999999997</v>
      </c>
      <c r="AC25" s="82">
        <v>4.38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2:I7"/>
  <sheetViews>
    <sheetView workbookViewId="0">
      <selection activeCell="H29" sqref="H29"/>
    </sheetView>
  </sheetViews>
  <sheetFormatPr baseColWidth="10" defaultRowHeight="15"/>
  <sheetData>
    <row r="2" spans="1:9">
      <c r="A2" s="104" t="s">
        <v>79</v>
      </c>
      <c r="B2" s="104"/>
      <c r="C2" s="104"/>
      <c r="D2" s="104"/>
      <c r="E2" s="104"/>
      <c r="F2" s="104"/>
      <c r="G2" s="104"/>
      <c r="H2" s="104"/>
      <c r="I2" s="104"/>
    </row>
    <row r="3" spans="1:9">
      <c r="A3" s="104"/>
      <c r="B3" s="104"/>
      <c r="C3" s="104"/>
      <c r="D3" s="104"/>
      <c r="E3" s="104"/>
      <c r="F3" s="104"/>
      <c r="G3" s="104"/>
      <c r="H3" s="104"/>
      <c r="I3" s="104"/>
    </row>
    <row r="4" spans="1:9">
      <c r="A4" s="104"/>
      <c r="B4" s="104"/>
      <c r="C4" s="104"/>
      <c r="D4" s="104"/>
      <c r="E4" s="104"/>
      <c r="F4" s="104"/>
      <c r="G4" s="104"/>
      <c r="H4" s="104"/>
      <c r="I4" s="104"/>
    </row>
    <row r="5" spans="1:9">
      <c r="A5" s="104"/>
      <c r="B5" s="104"/>
      <c r="C5" s="104"/>
      <c r="D5" s="104"/>
      <c r="E5" s="104"/>
      <c r="F5" s="104"/>
      <c r="G5" s="104"/>
      <c r="H5" s="104"/>
      <c r="I5" s="104"/>
    </row>
    <row r="6" spans="1:9">
      <c r="A6" s="104"/>
      <c r="B6" s="104"/>
      <c r="C6" s="104"/>
      <c r="D6" s="104"/>
      <c r="E6" s="104"/>
      <c r="F6" s="104"/>
      <c r="G6" s="104"/>
      <c r="H6" s="104"/>
      <c r="I6" s="104"/>
    </row>
    <row r="7" spans="1:9">
      <c r="A7" s="104"/>
      <c r="B7" s="104"/>
      <c r="C7" s="104"/>
      <c r="D7" s="104"/>
      <c r="E7" s="104"/>
      <c r="F7" s="104"/>
      <c r="G7" s="104"/>
      <c r="H7" s="104"/>
      <c r="I7" s="104"/>
    </row>
  </sheetData>
  <mergeCells count="1">
    <mergeCell ref="A2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READ_ME</vt:lpstr>
      <vt:lpstr>TRIAL</vt:lpstr>
      <vt:lpstr>Parcellaire_Data</vt:lpstr>
      <vt:lpstr>Plant_Material</vt:lpstr>
      <vt:lpstr>SOIL_DATA</vt:lpstr>
      <vt:lpstr>INN_DATA</vt:lpstr>
      <vt:lpstr>PHENO_DATA</vt:lpstr>
      <vt:lpstr>METEO_DATA</vt:lpstr>
    </vt:vector>
  </TitlesOfParts>
  <Company>INRA - RENNES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Erwan Corlouer</cp:lastModifiedBy>
  <dcterms:created xsi:type="dcterms:W3CDTF">2018-02-01T08:48:39Z</dcterms:created>
  <dcterms:modified xsi:type="dcterms:W3CDTF">2018-11-27T11:02:40Z</dcterms:modified>
</cp:coreProperties>
</file>