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200" windowHeight="11445" activeTab="4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  <sheet name="INN3 calcul" sheetId="9" r:id="rId9"/>
  </sheets>
  <calcPr calcId="125725" refMode="R1C1"/>
</workbook>
</file>

<file path=xl/calcChain.xml><?xml version="1.0" encoding="utf-8"?>
<calcChain xmlns="http://schemas.openxmlformats.org/spreadsheetml/2006/main">
  <c r="O2" i="2"/>
  <c r="N2"/>
  <c r="N3"/>
  <c r="R7" i="9"/>
  <c r="S7" s="1"/>
  <c r="T7" s="1"/>
  <c r="R6"/>
  <c r="S6" s="1"/>
  <c r="T6" s="1"/>
</calcChain>
</file>

<file path=xl/comments1.xml><?xml version="1.0" encoding="utf-8"?>
<comments xmlns="http://schemas.openxmlformats.org/spreadsheetml/2006/main">
  <authors>
    <author>younous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Peuplement parcellaire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Teneur en huile des grains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Teneur en protéines des grains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C1" authorId="0">
      <text>
        <r>
          <rPr>
            <sz val="9"/>
            <color indexed="81"/>
            <rFont val="Tahoma"/>
            <family val="2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<sst xmlns="http://schemas.openxmlformats.org/spreadsheetml/2006/main" count="1108" uniqueCount="387">
  <si>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</si>
  <si>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</si>
  <si>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</si>
  <si>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</si>
  <si>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</si>
  <si>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</si>
  <si>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</si>
  <si>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</si>
  <si>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</si>
  <si>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</si>
  <si>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</si>
  <si>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</si>
  <si>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</si>
  <si>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</si>
  <si>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</si>
  <si>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</si>
  <si>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</si>
  <si>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</si>
  <si>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</si>
  <si>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</si>
  <si>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</si>
  <si>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</si>
  <si>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</si>
  <si>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</si>
  <si>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</si>
  <si>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</si>
  <si>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</si>
  <si>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</si>
  <si>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</si>
  <si>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</si>
  <si>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</si>
  <si>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</si>
  <si>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</si>
  <si>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</si>
  <si>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</si>
  <si>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</si>
  <si>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</si>
  <si>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</si>
  <si>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</si>
  <si>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</si>
  <si>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</si>
  <si>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</si>
  <si>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</si>
  <si>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</si>
  <si>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</si>
  <si>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</si>
  <si>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</si>
  <si>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</si>
  <si>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</si>
  <si>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</si>
  <si>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</si>
  <si>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</si>
  <si>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</si>
  <si>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</si>
  <si>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</si>
  <si>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</si>
  <si>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</si>
  <si>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</si>
  <si>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</si>
  <si>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</si>
  <si>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</si>
  <si>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</si>
  <si>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</si>
  <si>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</si>
  <si>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</si>
  <si>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</si>
  <si>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</si>
  <si>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</si>
  <si>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</si>
  <si>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</si>
  <si>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</si>
  <si>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</si>
  <si>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</si>
  <si>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</si>
  <si>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</si>
  <si>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</si>
  <si>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</si>
  <si>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</si>
  <si>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</si>
  <si>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</si>
  <si>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</si>
  <si>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</si>
  <si>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</si>
  <si>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</si>
  <si>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</si>
  <si>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</si>
  <si>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</si>
  <si>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</si>
  <si>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</si>
  <si>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</si>
  <si>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</si>
  <si>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</si>
  <si>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</si>
  <si>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</si>
  <si>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</si>
  <si>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</si>
  <si>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</si>
  <si>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</si>
  <si>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</si>
  <si>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</si>
  <si>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</si>
  <si>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</si>
  <si>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</si>
  <si>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</si>
  <si>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</si>
  <si>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</si>
  <si>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</si>
  <si>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</si>
  <si>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</si>
  <si>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</si>
  <si>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</si>
  <si>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</si>
  <si>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</si>
  <si>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</si>
  <si>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</si>
  <si>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</si>
  <si>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</si>
  <si>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</si>
  <si>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</si>
  <si>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</si>
  <si>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</si>
  <si>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</si>
  <si>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</si>
  <si>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</si>
  <si>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</si>
  <si>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</si>
  <si>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</si>
  <si>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</si>
  <si>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</si>
  <si>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</si>
  <si>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</si>
  <si>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</si>
  <si>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</si>
  <si>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</si>
  <si>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</si>
  <si>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</si>
  <si>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</si>
  <si>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Damien Dugué</t>
  </si>
  <si>
    <t>ddugue@ragt.fr</t>
  </si>
  <si>
    <t>AVISO</t>
  </si>
  <si>
    <t>MONTEGO</t>
  </si>
  <si>
    <t>RAPSO_294</t>
  </si>
  <si>
    <t>RAPSO_302</t>
  </si>
  <si>
    <t>RAPSO_305</t>
  </si>
  <si>
    <t>RAPSO_312</t>
  </si>
  <si>
    <t>RAPSO_315</t>
  </si>
  <si>
    <t>RAPSO_316</t>
  </si>
  <si>
    <t>RAPSO_318</t>
  </si>
  <si>
    <t>RAPSO_325</t>
  </si>
  <si>
    <t>RAPSO_330</t>
  </si>
  <si>
    <t>RAPSO_472</t>
  </si>
  <si>
    <t>LOU</t>
  </si>
  <si>
    <t>RAGT</t>
  </si>
  <si>
    <t>2017-18</t>
  </si>
  <si>
    <t>génotype</t>
  </si>
  <si>
    <t>VIGH (9=TB)</t>
  </si>
  <si>
    <t>RAPSO_243</t>
  </si>
  <si>
    <t>BRA_008</t>
  </si>
  <si>
    <t>ES-AGATHA</t>
  </si>
  <si>
    <t>ES-VENUS</t>
  </si>
  <si>
    <t>AMILLIA</t>
  </si>
  <si>
    <t>PAMELA</t>
  </si>
  <si>
    <t>RAGT-01</t>
  </si>
  <si>
    <t>RAGT-02</t>
  </si>
  <si>
    <t>RAGT-04</t>
  </si>
  <si>
    <t>SYN01</t>
  </si>
  <si>
    <t>SYN06</t>
  </si>
  <si>
    <t>LE 1</t>
  </si>
  <si>
    <t>18A01</t>
  </si>
  <si>
    <t>05     02</t>
  </si>
  <si>
    <t>19     02</t>
  </si>
  <si>
    <t>21     02</t>
  </si>
  <si>
    <t>48     02</t>
  </si>
  <si>
    <t>18     02</t>
  </si>
  <si>
    <t>58     02</t>
  </si>
  <si>
    <t>02     02</t>
  </si>
  <si>
    <t>24     02</t>
  </si>
  <si>
    <t>27     02</t>
  </si>
  <si>
    <t>12     02</t>
  </si>
  <si>
    <t>64     02</t>
  </si>
  <si>
    <t>53     02</t>
  </si>
  <si>
    <t>59     02</t>
  </si>
  <si>
    <t>35     02</t>
  </si>
  <si>
    <t>06     02</t>
  </si>
  <si>
    <t>29     02</t>
  </si>
  <si>
    <t>11     02</t>
  </si>
  <si>
    <t>49     02</t>
  </si>
  <si>
    <t>70     02</t>
  </si>
  <si>
    <t>56     02</t>
  </si>
  <si>
    <t>28     02</t>
  </si>
  <si>
    <t>51     02</t>
  </si>
  <si>
    <t>20     02</t>
  </si>
  <si>
    <t>63     02</t>
  </si>
  <si>
    <t>34     02</t>
  </si>
  <si>
    <t>55     02</t>
  </si>
  <si>
    <t>43     02</t>
  </si>
  <si>
    <t>45     02</t>
  </si>
  <si>
    <t>72     02</t>
  </si>
  <si>
    <t>08     02</t>
  </si>
  <si>
    <t>42     02</t>
  </si>
  <si>
    <t>32     02</t>
  </si>
  <si>
    <t>40     02</t>
  </si>
  <si>
    <t>25     02</t>
  </si>
  <si>
    <t>04     02</t>
  </si>
  <si>
    <t>15     02</t>
  </si>
  <si>
    <t>23     02</t>
  </si>
  <si>
    <t>47     02</t>
  </si>
  <si>
    <t>31     02</t>
  </si>
  <si>
    <t>17     02</t>
  </si>
  <si>
    <t>01     02</t>
  </si>
  <si>
    <t>22     02</t>
  </si>
  <si>
    <t>65     02</t>
  </si>
  <si>
    <t>46     02</t>
  </si>
  <si>
    <t>44     02</t>
  </si>
  <si>
    <t>16     02</t>
  </si>
  <si>
    <t>71     02</t>
  </si>
  <si>
    <t>13     02</t>
  </si>
  <si>
    <t>09     02</t>
  </si>
  <si>
    <t>36     02</t>
  </si>
  <si>
    <t>60     02</t>
  </si>
  <si>
    <t>50     02</t>
  </si>
  <si>
    <t>61     02</t>
  </si>
  <si>
    <t>52     02</t>
  </si>
  <si>
    <t>67     02</t>
  </si>
  <si>
    <t>30     02</t>
  </si>
  <si>
    <t>38     02</t>
  </si>
  <si>
    <t>14     02</t>
  </si>
  <si>
    <t>69     02</t>
  </si>
  <si>
    <t>66     02</t>
  </si>
  <si>
    <t>41     02</t>
  </si>
  <si>
    <t>62     02</t>
  </si>
  <si>
    <t>57     02</t>
  </si>
  <si>
    <t>07     02</t>
  </si>
  <si>
    <t>33     02</t>
  </si>
  <si>
    <t>54     02</t>
  </si>
  <si>
    <t>68     02</t>
  </si>
  <si>
    <t>03     02</t>
  </si>
  <si>
    <t>37     02</t>
  </si>
  <si>
    <t>26     02</t>
  </si>
  <si>
    <t>10     02</t>
  </si>
  <si>
    <t>39     02</t>
  </si>
  <si>
    <t>57     01</t>
  </si>
  <si>
    <t>26     01</t>
  </si>
  <si>
    <t>39     01</t>
  </si>
  <si>
    <t>16     01</t>
  </si>
  <si>
    <t>71     01</t>
  </si>
  <si>
    <t>54     01</t>
  </si>
  <si>
    <t>10     01</t>
  </si>
  <si>
    <t>03     01</t>
  </si>
  <si>
    <t>68     01</t>
  </si>
  <si>
    <t>44     01</t>
  </si>
  <si>
    <t>65     01</t>
  </si>
  <si>
    <t>47     01</t>
  </si>
  <si>
    <t>42     01</t>
  </si>
  <si>
    <t>52     01</t>
  </si>
  <si>
    <t>09     01</t>
  </si>
  <si>
    <t>21     01</t>
  </si>
  <si>
    <t>58     01</t>
  </si>
  <si>
    <t>19     01</t>
  </si>
  <si>
    <t>50     01</t>
  </si>
  <si>
    <t>64     01</t>
  </si>
  <si>
    <t>55     01</t>
  </si>
  <si>
    <t>36     01</t>
  </si>
  <si>
    <t>38     01</t>
  </si>
  <si>
    <t>18     01</t>
  </si>
  <si>
    <t>49     01</t>
  </si>
  <si>
    <t>23     01</t>
  </si>
  <si>
    <t>17     01</t>
  </si>
  <si>
    <t>70     01</t>
  </si>
  <si>
    <t>51     01</t>
  </si>
  <si>
    <t>62     01</t>
  </si>
  <si>
    <t>01     01</t>
  </si>
  <si>
    <t>46     01</t>
  </si>
  <si>
    <t>07     01</t>
  </si>
  <si>
    <t>13     01</t>
  </si>
  <si>
    <t>41     01</t>
  </si>
  <si>
    <t>11     01</t>
  </si>
  <si>
    <t>53     01</t>
  </si>
  <si>
    <t>60     01</t>
  </si>
  <si>
    <t>04     01</t>
  </si>
  <si>
    <t>43     01</t>
  </si>
  <si>
    <t>02     01</t>
  </si>
  <si>
    <t>32     01</t>
  </si>
  <si>
    <t>08     01</t>
  </si>
  <si>
    <t>30     01</t>
  </si>
  <si>
    <t>25     01</t>
  </si>
  <si>
    <t>40     01</t>
  </si>
  <si>
    <t>67     01</t>
  </si>
  <si>
    <t>12     01</t>
  </si>
  <si>
    <t>06     01</t>
  </si>
  <si>
    <t>31     01</t>
  </si>
  <si>
    <t>33     01</t>
  </si>
  <si>
    <t>59     01</t>
  </si>
  <si>
    <t>29     01</t>
  </si>
  <si>
    <t>22     01</t>
  </si>
  <si>
    <t>63     01</t>
  </si>
  <si>
    <t>28     01</t>
  </si>
  <si>
    <t>35     01</t>
  </si>
  <si>
    <t>37     01</t>
  </si>
  <si>
    <t>20     01</t>
  </si>
  <si>
    <t>56     01</t>
  </si>
  <si>
    <t>66     01</t>
  </si>
  <si>
    <t>34     01</t>
  </si>
  <si>
    <t>45     01</t>
  </si>
  <si>
    <t>24     01</t>
  </si>
  <si>
    <t>15     01</t>
  </si>
  <si>
    <t>61     01</t>
  </si>
  <si>
    <t>72     01</t>
  </si>
  <si>
    <t>48     01</t>
  </si>
  <si>
    <t>27     01</t>
  </si>
  <si>
    <t>69     01</t>
  </si>
  <si>
    <t>14     01</t>
  </si>
  <si>
    <t>05     01</t>
  </si>
  <si>
    <t>BORDER</t>
  </si>
  <si>
    <t>1°48'39.6''E</t>
  </si>
  <si>
    <t>48°18'09.4''N</t>
  </si>
  <si>
    <t>Y2 X7</t>
  </si>
  <si>
    <t>Y5 X17</t>
  </si>
  <si>
    <t>Y2 X17</t>
  </si>
  <si>
    <t>Y6 X7</t>
  </si>
  <si>
    <t>Y1 X16</t>
  </si>
  <si>
    <t>Y6 X8</t>
  </si>
  <si>
    <t>Y2 X21</t>
  </si>
  <si>
    <t>Y5 X10</t>
  </si>
  <si>
    <t>Y3 X2</t>
  </si>
  <si>
    <t>Y4 X22</t>
  </si>
  <si>
    <t>Y1 X21</t>
  </si>
  <si>
    <t>Y6 X9</t>
  </si>
  <si>
    <t>Y1 X8</t>
  </si>
  <si>
    <t>Y6 X21</t>
  </si>
  <si>
    <t>Y1 X5</t>
  </si>
  <si>
    <t>Y6 X16</t>
  </si>
  <si>
    <t>Y2 X20</t>
  </si>
  <si>
    <t>Y4 X8</t>
  </si>
  <si>
    <t>Y1 X2</t>
  </si>
  <si>
    <t>Y5 X15</t>
  </si>
  <si>
    <t>Y2 X18</t>
  </si>
  <si>
    <t>Y5 X8</t>
  </si>
  <si>
    <t>Y1 X3</t>
  </si>
  <si>
    <t>Y4 X17</t>
  </si>
  <si>
    <t>JOUR</t>
  </si>
  <si>
    <t>MOIS</t>
  </si>
  <si>
    <t>ANNEE</t>
  </si>
  <si>
    <t>SEMAINE</t>
  </si>
  <si>
    <t>QUANTIEME</t>
  </si>
  <si>
    <t>TMPMIN</t>
  </si>
  <si>
    <t>TMPMAX</t>
  </si>
  <si>
    <t>LOUVILLE</t>
  </si>
  <si>
    <t>PLUVIO (en mm)</t>
  </si>
  <si>
    <t>ensoleillement (en hr)</t>
  </si>
  <si>
    <t>Rapsodyn Essai WP4 2017-2018</t>
  </si>
  <si>
    <t>Manip : INN3</t>
  </si>
  <si>
    <t>Prv 4/5</t>
  </si>
  <si>
    <t>Prv 1/5</t>
  </si>
  <si>
    <t>Racines</t>
  </si>
  <si>
    <t>Code Manip</t>
  </si>
  <si>
    <t>Y-X (coordonnées champ)</t>
  </si>
  <si>
    <t>N</t>
  </si>
  <si>
    <t>Bloc</t>
  </si>
  <si>
    <t>NB PLT M²</t>
  </si>
  <si>
    <t>NbPl_4/5</t>
  </si>
  <si>
    <t>MF_brut_4/5 (g)</t>
  </si>
  <si>
    <t>NbPl_1/5</t>
  </si>
  <si>
    <t>MF_brut_1/5 (g)</t>
  </si>
  <si>
    <t>Surf_F_1/5 (cm²)</t>
  </si>
  <si>
    <t>MF_Feuilles_1/5 (g)</t>
  </si>
  <si>
    <t>MF_Tiges+siliques_1/5 (g)</t>
  </si>
  <si>
    <t>MS_Feuilles_1/5 (g)</t>
  </si>
  <si>
    <t>MS_Tiges+siliques_1/5 (g)</t>
  </si>
  <si>
    <t>N % DUMAS Spécial Ferti sur MS_Feuilles+Tiges_1/5</t>
  </si>
  <si>
    <t>kg ms ha</t>
  </si>
  <si>
    <t>N crit</t>
  </si>
  <si>
    <t>INN (&gt; 1, nutrition optimale; &lt; 0.75 = carence azotée)</t>
  </si>
  <si>
    <t>MF_Racines_1/5 (g)</t>
  </si>
  <si>
    <t>MS_Racines_1/5 (g)</t>
  </si>
  <si>
    <t>N % DUMAS Spécial Ferti sur MS_Racines_1/5</t>
  </si>
  <si>
    <t>WP4 INN3</t>
  </si>
  <si>
    <t>Date : 11 avril 2018</t>
  </si>
  <si>
    <t>Lieu : LOUVILLE</t>
  </si>
  <si>
    <t>INN3</t>
  </si>
  <si>
    <t>MONTEGIO</t>
  </si>
  <si>
    <t>2</t>
  </si>
  <si>
    <t>7</t>
  </si>
  <si>
    <t>17</t>
  </si>
  <si>
    <t>&gt; 90cm</t>
  </si>
  <si>
    <t>Limon argileux profond</t>
  </si>
  <si>
    <t>-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</si>
</sst>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0.0000"/>
    <numFmt numFmtId="165" formatCode="_(\$* #,##0.00_);_(\$* \(#,##0.00\);_(\$* \-??_);_(@_)"/>
    <numFmt numFmtId="166" formatCode="0.0"/>
    <numFmt numFmtId="167" formatCode="d/m/yy;@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000000"/>
      <name val="Calibri"/>
      <family val="2"/>
      <scheme val="minor"/>
    </font>
    <font>
      <sz val="8"/>
      <color rgb="FF000000"/>
      <name val="Microsoft Sans Serif"/>
      <family val="2"/>
    </font>
    <font>
      <b/>
      <sz val="8"/>
      <color rgb="FF00000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59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28" fillId="0" borderId="0" applyNumberFormat="0" applyFill="0" applyBorder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5" fillId="16" borderId="58" applyNumberFormat="0" applyAlignment="0" applyProtection="0"/>
    <xf numFmtId="0" fontId="26" fillId="0" borderId="60" applyNumberFormat="0" applyFill="0" applyAlignment="0" applyProtection="0"/>
    <xf numFmtId="0" fontId="31" fillId="18" borderId="62" applyNumberFormat="0" applyFont="0" applyAlignment="0" applyProtection="0"/>
    <xf numFmtId="165" fontId="31" fillId="0" borderId="0" applyFill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36" fillId="46" borderId="0" applyNumberFormat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23" fillId="15" borderId="58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7" applyNumberFormat="0" applyFill="0" applyAlignment="0" applyProtection="0"/>
    <xf numFmtId="0" fontId="40" fillId="63" borderId="68" applyNumberFormat="0" applyAlignment="0" applyProtection="0"/>
    <xf numFmtId="0" fontId="11" fillId="0" borderId="0"/>
    <xf numFmtId="0" fontId="11" fillId="0" borderId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59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5" applyNumberFormat="0" applyFill="0" applyAlignment="0" applyProtection="0"/>
    <xf numFmtId="0" fontId="18" fillId="0" borderId="56" applyNumberFormat="0" applyFill="0" applyAlignment="0" applyProtection="0"/>
    <xf numFmtId="0" fontId="19" fillId="0" borderId="57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63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27" fillId="17" borderId="61" applyNumberFormat="0" applyAlignment="0" applyProtection="0"/>
    <xf numFmtId="0" fontId="39" fillId="0" borderId="67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68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0" fontId="60" fillId="0" borderId="0" applyNumberFormat="0" applyFill="0" applyBorder="0" applyAlignment="0" applyProtection="0">
      <alignment vertical="top"/>
      <protection locked="0"/>
    </xf>
  </cellStyleXfs>
  <cellXfs count="18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31" xfId="2" applyBorder="1" applyAlignment="1">
      <alignment horizontal="center"/>
    </xf>
    <xf numFmtId="0" fontId="11" fillId="0" borderId="34" xfId="2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8" xfId="2" applyBorder="1" applyAlignment="1">
      <alignment horizontal="center"/>
    </xf>
    <xf numFmtId="0" fontId="11" fillId="0" borderId="36" xfId="2" applyBorder="1" applyAlignment="1">
      <alignment horizontal="center"/>
    </xf>
    <xf numFmtId="0" fontId="11" fillId="0" borderId="39" xfId="2" applyBorder="1" applyAlignment="1">
      <alignment horizontal="center"/>
    </xf>
    <xf numFmtId="2" fontId="11" fillId="0" borderId="38" xfId="2" applyNumberFormat="1" applyBorder="1" applyAlignment="1">
      <alignment horizontal="center"/>
    </xf>
    <xf numFmtId="164" fontId="13" fillId="0" borderId="36" xfId="3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40" xfId="2" applyBorder="1" applyAlignment="1">
      <alignment horizontal="center"/>
    </xf>
    <xf numFmtId="0" fontId="11" fillId="0" borderId="43" xfId="2" applyBorder="1" applyAlignment="1">
      <alignment horizontal="center"/>
    </xf>
    <xf numFmtId="0" fontId="11" fillId="0" borderId="44" xfId="2" applyBorder="1" applyAlignment="1">
      <alignment horizontal="center"/>
    </xf>
    <xf numFmtId="2" fontId="11" fillId="0" borderId="40" xfId="2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164" fontId="13" fillId="0" borderId="42" xfId="3" applyNumberFormat="1" applyBorder="1" applyAlignment="1">
      <alignment horizontal="center"/>
    </xf>
    <xf numFmtId="0" fontId="15" fillId="0" borderId="36" xfId="0" applyFont="1" applyFill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1" fillId="0" borderId="47" xfId="2" applyBorder="1" applyAlignment="1">
      <alignment horizontal="center"/>
    </xf>
    <xf numFmtId="0" fontId="11" fillId="0" borderId="49" xfId="2" applyBorder="1" applyAlignment="1">
      <alignment horizontal="center"/>
    </xf>
    <xf numFmtId="2" fontId="11" fillId="0" borderId="47" xfId="2" applyNumberFormat="1" applyBorder="1" applyAlignment="1">
      <alignment horizontal="center"/>
    </xf>
    <xf numFmtId="164" fontId="13" fillId="0" borderId="47" xfId="3" applyNumberFormat="1" applyBorder="1" applyAlignment="1">
      <alignment horizontal="center"/>
    </xf>
    <xf numFmtId="164" fontId="13" fillId="0" borderId="49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30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2" fontId="11" fillId="0" borderId="43" xfId="2" applyNumberFormat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0" fillId="11" borderId="1" xfId="158" applyFill="1" applyBorder="1" applyAlignment="1" applyProtection="1"/>
    <xf numFmtId="49" fontId="0" fillId="0" borderId="0" xfId="0" applyNumberFormat="1"/>
    <xf numFmtId="0" fontId="0" fillId="0" borderId="0" xfId="0" applyNumberFormat="1"/>
    <xf numFmtId="0" fontId="62" fillId="0" borderId="74" xfId="112" applyFont="1" applyBorder="1" applyAlignment="1">
      <alignment horizontal="center" vertical="center"/>
    </xf>
    <xf numFmtId="0" fontId="62" fillId="0" borderId="75" xfId="112" applyFont="1" applyBorder="1" applyAlignment="1">
      <alignment horizontal="center" vertical="center"/>
    </xf>
    <xf numFmtId="0" fontId="62" fillId="0" borderId="77" xfId="112" applyFont="1" applyBorder="1" applyAlignment="1">
      <alignment horizontal="center" vertical="center"/>
    </xf>
    <xf numFmtId="0" fontId="62" fillId="0" borderId="78" xfId="112" applyFont="1" applyBorder="1" applyAlignment="1">
      <alignment horizontal="center" vertical="center"/>
    </xf>
    <xf numFmtId="0" fontId="62" fillId="0" borderId="79" xfId="112" applyFont="1" applyBorder="1" applyAlignment="1">
      <alignment horizontal="center" vertical="center"/>
    </xf>
    <xf numFmtId="0" fontId="62" fillId="0" borderId="80" xfId="112" applyFont="1" applyBorder="1" applyAlignment="1">
      <alignment horizontal="center" vertical="center"/>
    </xf>
    <xf numFmtId="14" fontId="0" fillId="9" borderId="4" xfId="0" applyNumberFormat="1" applyFill="1" applyBorder="1" applyAlignment="1">
      <alignment wrapText="1"/>
    </xf>
    <xf numFmtId="0" fontId="0" fillId="9" borderId="4" xfId="0" applyFill="1" applyBorder="1" applyAlignment="1">
      <alignment horizontal="right"/>
    </xf>
    <xf numFmtId="0" fontId="0" fillId="9" borderId="4" xfId="0" applyFill="1" applyBorder="1" applyAlignment="1">
      <alignment horizontal="right" wrapText="1"/>
    </xf>
    <xf numFmtId="14" fontId="0" fillId="0" borderId="0" xfId="0" applyNumberFormat="1"/>
    <xf numFmtId="0" fontId="0" fillId="0" borderId="0" xfId="0" applyBorder="1"/>
    <xf numFmtId="0" fontId="0" fillId="0" borderId="4" xfId="0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0" fillId="0" borderId="0" xfId="0" applyFill="1" applyBorder="1"/>
    <xf numFmtId="166" fontId="0" fillId="0" borderId="0" xfId="0" applyNumberFormat="1"/>
    <xf numFmtId="0" fontId="64" fillId="0" borderId="0" xfId="0" applyFont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5" xfId="0" applyBorder="1" applyAlignment="1">
      <alignment horizontal="centerContinuous"/>
    </xf>
    <xf numFmtId="0" fontId="65" fillId="0" borderId="84" xfId="0" applyFont="1" applyBorder="1" applyAlignment="1">
      <alignment horizontal="centerContinuous"/>
    </xf>
    <xf numFmtId="0" fontId="0" fillId="0" borderId="85" xfId="0" applyBorder="1" applyAlignment="1">
      <alignment horizontal="centerContinuous"/>
    </xf>
    <xf numFmtId="0" fontId="65" fillId="71" borderId="86" xfId="0" applyFont="1" applyFill="1" applyBorder="1" applyAlignment="1">
      <alignment horizontal="center" textRotation="90"/>
    </xf>
    <xf numFmtId="0" fontId="65" fillId="72" borderId="86" xfId="0" applyFont="1" applyFill="1" applyBorder="1" applyAlignment="1">
      <alignment horizontal="center" textRotation="90"/>
    </xf>
    <xf numFmtId="0" fontId="65" fillId="73" borderId="87" xfId="0" applyFont="1" applyFill="1" applyBorder="1" applyAlignment="1">
      <alignment horizontal="center" textRotation="90"/>
    </xf>
    <xf numFmtId="0" fontId="65" fillId="73" borderId="87" xfId="0" applyFont="1" applyFill="1" applyBorder="1" applyAlignment="1">
      <alignment horizontal="center" textRotation="90" wrapText="1"/>
    </xf>
    <xf numFmtId="0" fontId="65" fillId="9" borderId="87" xfId="0" applyFont="1" applyFill="1" applyBorder="1" applyAlignment="1">
      <alignment horizontal="center" textRotation="90"/>
    </xf>
    <xf numFmtId="0" fontId="65" fillId="9" borderId="86" xfId="0" applyFont="1" applyFill="1" applyBorder="1" applyAlignment="1">
      <alignment horizontal="center" textRotation="90"/>
    </xf>
    <xf numFmtId="0" fontId="65" fillId="9" borderId="86" xfId="0" applyFont="1" applyFill="1" applyBorder="1" applyAlignment="1">
      <alignment horizontal="center" textRotation="90" wrapText="1"/>
    </xf>
    <xf numFmtId="14" fontId="0" fillId="0" borderId="4" xfId="0" applyNumberFormat="1" applyBorder="1" applyAlignment="1">
      <alignment horizontal="center"/>
    </xf>
    <xf numFmtId="0" fontId="66" fillId="0" borderId="4" xfId="0" applyFont="1" applyBorder="1"/>
    <xf numFmtId="1" fontId="65" fillId="0" borderId="4" xfId="0" applyNumberFormat="1" applyFont="1" applyFill="1" applyBorder="1" applyAlignment="1">
      <alignment horizontal="center" wrapText="1"/>
    </xf>
    <xf numFmtId="1" fontId="65" fillId="0" borderId="4" xfId="2" applyNumberFormat="1" applyFont="1" applyFill="1" applyBorder="1" applyAlignment="1">
      <alignment horizontal="center"/>
    </xf>
    <xf numFmtId="166" fontId="65" fillId="0" borderId="4" xfId="0" applyNumberFormat="1" applyFont="1" applyFill="1" applyBorder="1" applyAlignment="1">
      <alignment horizontal="center" wrapText="1"/>
    </xf>
    <xf numFmtId="0" fontId="65" fillId="6" borderId="4" xfId="0" applyFont="1" applyFill="1" applyBorder="1" applyAlignment="1">
      <alignment horizontal="center" wrapText="1"/>
    </xf>
    <xf numFmtId="0" fontId="65" fillId="0" borderId="4" xfId="0" applyFont="1" applyFill="1" applyBorder="1" applyAlignment="1">
      <alignment horizontal="center" wrapText="1"/>
    </xf>
    <xf numFmtId="2" fontId="65" fillId="0" borderId="4" xfId="0" applyNumberFormat="1" applyFont="1" applyFill="1" applyBorder="1" applyAlignment="1">
      <alignment horizontal="center" wrapText="1"/>
    </xf>
    <xf numFmtId="167" fontId="65" fillId="0" borderId="4" xfId="0" applyNumberFormat="1" applyFont="1" applyFill="1" applyBorder="1" applyAlignment="1">
      <alignment vertical="top" wrapText="1"/>
    </xf>
    <xf numFmtId="167" fontId="65" fillId="0" borderId="4" xfId="0" applyNumberFormat="1" applyFont="1" applyFill="1" applyBorder="1" applyAlignment="1">
      <alignment horizontal="right" wrapText="1"/>
    </xf>
    <xf numFmtId="2" fontId="0" fillId="2" borderId="0" xfId="0" applyNumberFormat="1" applyFill="1"/>
    <xf numFmtId="0" fontId="0" fillId="0" borderId="0" xfId="0" applyFont="1"/>
    <xf numFmtId="0" fontId="0" fillId="0" borderId="0" xfId="0" applyFont="1" applyAlignment="1">
      <alignment horizontal="center"/>
    </xf>
    <xf numFmtId="14" fontId="0" fillId="11" borderId="2" xfId="0" applyNumberFormat="1" applyFill="1" applyBorder="1"/>
    <xf numFmtId="0" fontId="2" fillId="10" borderId="4" xfId="0" applyFont="1" applyFill="1" applyBorder="1" applyAlignment="1">
      <alignment horizontal="center"/>
    </xf>
    <xf numFmtId="0" fontId="61" fillId="2" borderId="73" xfId="112" applyFont="1" applyFill="1" applyBorder="1" applyAlignment="1">
      <alignment horizontal="center" vertical="center" wrapText="1"/>
    </xf>
    <xf numFmtId="0" fontId="61" fillId="2" borderId="76" xfId="112" applyFont="1" applyFill="1" applyBorder="1" applyAlignment="1">
      <alignment horizontal="center" vertical="center" wrapText="1"/>
    </xf>
    <xf numFmtId="0" fontId="63" fillId="0" borderId="53" xfId="112" applyFont="1" applyBorder="1" applyAlignment="1">
      <alignment horizontal="center" vertical="center"/>
    </xf>
    <xf numFmtId="0" fontId="63" fillId="0" borderId="53" xfId="112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</cellXfs>
  <cellStyles count="159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58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161925</xdr:rowOff>
    </xdr:from>
    <xdr:to>
      <xdr:col>16</xdr:col>
      <xdr:colOff>664369</xdr:colOff>
      <xdr:row>28</xdr:row>
      <xdr:rowOff>7144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837" t="15137" r="3184" b="14062"/>
        <a:stretch>
          <a:fillRect/>
        </a:stretch>
      </xdr:blipFill>
      <xdr:spPr bwMode="auto">
        <a:xfrm>
          <a:off x="628650" y="161925"/>
          <a:ext cx="12227719" cy="5179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dugue@ragt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eteociel.fr/climatologie/villes.php?code=7143&amp;mois=12&amp;annee=2017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http://www.meteociel.fr/climatologie/villes.php?code=7143&amp;mois=9&amp;annee=2017" TargetMode="External"/><Relationship Id="rId7" Type="http://schemas.openxmlformats.org/officeDocument/2006/relationships/hyperlink" Target="http://www.meteociel.fr/climatologie/villes.php?code=7143&amp;mois=10&amp;annee=2017" TargetMode="External"/><Relationship Id="rId12" Type="http://schemas.openxmlformats.org/officeDocument/2006/relationships/hyperlink" Target="http://www.meteociel.fr/climatologie/villes.php?code=7143&amp;mois=6&amp;annee=2018" TargetMode="External"/><Relationship Id="rId2" Type="http://schemas.openxmlformats.org/officeDocument/2006/relationships/hyperlink" Target="http://www.meteociel.fr/climatologie/villes.php?code=7143&amp;mois=9&amp;annee=2017" TargetMode="External"/><Relationship Id="rId1" Type="http://schemas.openxmlformats.org/officeDocument/2006/relationships/hyperlink" Target="http://www.meteociel.fr/climatologie/villes.php?code=7143&amp;mois=9&amp;annee=2017" TargetMode="External"/><Relationship Id="rId6" Type="http://schemas.openxmlformats.org/officeDocument/2006/relationships/hyperlink" Target="http://www.meteociel.fr/climatologie/villes.php?code=7143&amp;mois=9&amp;annee=2017" TargetMode="External"/><Relationship Id="rId11" Type="http://schemas.openxmlformats.org/officeDocument/2006/relationships/hyperlink" Target="http://www.meteociel.fr/climatologie/villes.php?code=7143&amp;mois=6&amp;annee=2018" TargetMode="External"/><Relationship Id="rId5" Type="http://schemas.openxmlformats.org/officeDocument/2006/relationships/hyperlink" Target="http://www.meteociel.fr/climatologie/villes.php?code=7143&amp;mois=9&amp;annee=2017" TargetMode="External"/><Relationship Id="rId10" Type="http://schemas.openxmlformats.org/officeDocument/2006/relationships/hyperlink" Target="http://www.meteociel.fr/climatologie/villes.php?code=7143&amp;mois=6&amp;annee=2018" TargetMode="External"/><Relationship Id="rId4" Type="http://schemas.openxmlformats.org/officeDocument/2006/relationships/hyperlink" Target="http://www.meteociel.fr/climatologie/villes.php?code=7143&amp;mois=9&amp;annee=2017" TargetMode="External"/><Relationship Id="rId9" Type="http://schemas.openxmlformats.org/officeDocument/2006/relationships/hyperlink" Target="http://www.meteociel.fr/climatologie/villes.php?code=7143&amp;mois=6&amp;annee=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B9" sqref="B9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6" t="s">
        <v>137</v>
      </c>
    </row>
    <row r="4" spans="1:2" ht="15.75" thickBot="1">
      <c r="A4" s="9" t="s">
        <v>10</v>
      </c>
      <c r="B4" s="100" t="s">
        <v>138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>
        <v>43390</v>
      </c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146">
        <v>43397</v>
      </c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P27"/>
  <sheetViews>
    <sheetView zoomScale="85" zoomScaleNormal="85" workbookViewId="0">
      <selection activeCell="G24" sqref="G24"/>
    </sheetView>
  </sheetViews>
  <sheetFormatPr baseColWidth="10" defaultRowHeight="15"/>
  <cols>
    <col min="1" max="1" width="20.85546875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11.140625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147" t="s">
        <v>17</v>
      </c>
      <c r="B1" s="147"/>
      <c r="D1" s="99" t="s">
        <v>134</v>
      </c>
      <c r="E1" s="97" t="s">
        <v>105</v>
      </c>
      <c r="F1" s="97" t="s">
        <v>106</v>
      </c>
      <c r="G1" s="97" t="s">
        <v>107</v>
      </c>
      <c r="H1" s="98" t="s">
        <v>108</v>
      </c>
      <c r="I1" s="98" t="s">
        <v>109</v>
      </c>
      <c r="J1" s="98" t="s">
        <v>110</v>
      </c>
      <c r="K1" s="98" t="s">
        <v>111</v>
      </c>
      <c r="L1" s="98" t="s">
        <v>112</v>
      </c>
      <c r="M1" s="98" t="s">
        <v>113</v>
      </c>
      <c r="N1" s="98" t="s">
        <v>114</v>
      </c>
      <c r="O1" s="98" t="s">
        <v>115</v>
      </c>
      <c r="P1" s="96" t="s">
        <v>116</v>
      </c>
    </row>
    <row r="2" spans="1:16">
      <c r="A2" s="84" t="s">
        <v>13</v>
      </c>
      <c r="B2" s="111" t="s">
        <v>168</v>
      </c>
      <c r="D2" t="s">
        <v>135</v>
      </c>
      <c r="E2" s="13">
        <v>35</v>
      </c>
      <c r="F2" s="13">
        <v>25</v>
      </c>
      <c r="G2" s="13">
        <v>270</v>
      </c>
      <c r="H2" s="13">
        <v>28</v>
      </c>
      <c r="I2" s="13"/>
      <c r="J2" s="13">
        <v>85</v>
      </c>
      <c r="K2" s="13">
        <v>29</v>
      </c>
      <c r="L2" s="13"/>
      <c r="M2" s="13"/>
      <c r="N2" s="13">
        <f>SUM(H2:M2)</f>
        <v>142</v>
      </c>
      <c r="O2" s="13">
        <f>F2+G2-N2</f>
        <v>153</v>
      </c>
      <c r="P2" s="13">
        <v>162</v>
      </c>
    </row>
    <row r="3" spans="1:16">
      <c r="A3" s="84" t="s">
        <v>14</v>
      </c>
      <c r="B3" s="109">
        <v>42975</v>
      </c>
      <c r="D3" t="s">
        <v>136</v>
      </c>
      <c r="E3" s="13"/>
      <c r="F3" s="13"/>
      <c r="G3" s="13"/>
      <c r="H3" s="13">
        <v>28</v>
      </c>
      <c r="I3" s="13"/>
      <c r="J3" s="13">
        <v>85</v>
      </c>
      <c r="K3" s="13">
        <v>29</v>
      </c>
      <c r="L3" s="13"/>
      <c r="M3" s="13"/>
      <c r="N3" s="13">
        <f>SUM(H3:M3)</f>
        <v>142</v>
      </c>
      <c r="O3" s="13"/>
      <c r="P3" s="13">
        <v>81</v>
      </c>
    </row>
    <row r="4" spans="1:16">
      <c r="A4" s="84" t="s">
        <v>15</v>
      </c>
      <c r="B4" s="109">
        <v>43291</v>
      </c>
    </row>
    <row r="5" spans="1:16">
      <c r="A5" s="84" t="s">
        <v>16</v>
      </c>
      <c r="B5" s="85"/>
    </row>
    <row r="6" spans="1:16">
      <c r="A6" s="84" t="s">
        <v>23</v>
      </c>
      <c r="B6" s="84"/>
    </row>
    <row r="7" spans="1:16">
      <c r="A7" s="84" t="s">
        <v>24</v>
      </c>
      <c r="B7" s="84"/>
    </row>
    <row r="8" spans="1:16">
      <c r="A8" s="84" t="s">
        <v>25</v>
      </c>
      <c r="B8" s="84"/>
    </row>
    <row r="10" spans="1:16">
      <c r="A10" s="147" t="s">
        <v>18</v>
      </c>
      <c r="B10" s="147"/>
    </row>
    <row r="11" spans="1:16">
      <c r="A11" s="84" t="s">
        <v>19</v>
      </c>
      <c r="B11" s="110" t="s">
        <v>151</v>
      </c>
    </row>
    <row r="12" spans="1:16">
      <c r="A12" s="84" t="s">
        <v>20</v>
      </c>
      <c r="B12" s="110" t="s">
        <v>314</v>
      </c>
    </row>
    <row r="13" spans="1:16">
      <c r="A13" s="84" t="s">
        <v>21</v>
      </c>
      <c r="B13" s="110" t="s">
        <v>315</v>
      </c>
    </row>
    <row r="15" spans="1:16">
      <c r="A15" s="147" t="s">
        <v>22</v>
      </c>
      <c r="B15" s="147"/>
    </row>
    <row r="16" spans="1:16">
      <c r="A16" s="84" t="s">
        <v>26</v>
      </c>
      <c r="B16" s="84"/>
    </row>
    <row r="17" spans="1:9">
      <c r="A17" s="84" t="s">
        <v>27</v>
      </c>
      <c r="B17" s="84"/>
    </row>
    <row r="18" spans="1:9">
      <c r="A18" s="84" t="s">
        <v>28</v>
      </c>
      <c r="B18" s="84"/>
    </row>
    <row r="19" spans="1:9">
      <c r="A19" s="84" t="s">
        <v>29</v>
      </c>
      <c r="B19" s="109">
        <v>42975</v>
      </c>
    </row>
    <row r="20" spans="1:9">
      <c r="A20" s="84" t="s">
        <v>30</v>
      </c>
      <c r="B20" s="109">
        <v>43178</v>
      </c>
    </row>
    <row r="21" spans="1:9">
      <c r="A21" s="84" t="s">
        <v>31</v>
      </c>
      <c r="B21" s="109"/>
    </row>
    <row r="22" spans="1:9">
      <c r="A22" s="84" t="s">
        <v>32</v>
      </c>
      <c r="B22" s="109"/>
    </row>
    <row r="23" spans="1:9">
      <c r="A23" s="84" t="s">
        <v>33</v>
      </c>
      <c r="B23" s="109">
        <v>43291</v>
      </c>
    </row>
    <row r="26" spans="1:9">
      <c r="A26" s="2"/>
      <c r="B26" s="2"/>
      <c r="C26" s="144"/>
      <c r="D26" s="144"/>
      <c r="E26" s="144"/>
      <c r="F26" s="145"/>
      <c r="G26" s="144"/>
      <c r="H26" s="144"/>
      <c r="I26" s="144"/>
    </row>
    <row r="27" spans="1:9">
      <c r="A27" s="144"/>
      <c r="B27" s="144"/>
      <c r="C27" s="144"/>
      <c r="D27" s="144"/>
      <c r="E27" s="144"/>
      <c r="F27" s="145"/>
      <c r="G27" s="144"/>
      <c r="H27" s="144"/>
      <c r="I27" s="144"/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33:AA46"/>
  <sheetViews>
    <sheetView topLeftCell="A7" workbookViewId="0">
      <selection activeCell="T19" sqref="T19"/>
    </sheetView>
  </sheetViews>
  <sheetFormatPr baseColWidth="10" defaultRowHeight="15"/>
  <sheetData>
    <row r="33" spans="1:27">
      <c r="A33" s="150">
        <v>6</v>
      </c>
      <c r="B33" s="148" t="s">
        <v>313</v>
      </c>
      <c r="C33" s="103" t="s">
        <v>168</v>
      </c>
      <c r="D33" s="103" t="s">
        <v>168</v>
      </c>
      <c r="E33" s="103" t="s">
        <v>168</v>
      </c>
      <c r="F33" s="103" t="s">
        <v>168</v>
      </c>
      <c r="G33" s="103" t="s">
        <v>168</v>
      </c>
      <c r="H33" s="103" t="s">
        <v>168</v>
      </c>
      <c r="I33" s="103" t="s">
        <v>168</v>
      </c>
      <c r="J33" s="103" t="s">
        <v>168</v>
      </c>
      <c r="K33" s="103" t="s">
        <v>168</v>
      </c>
      <c r="L33" s="103" t="s">
        <v>168</v>
      </c>
      <c r="M33" s="103" t="s">
        <v>168</v>
      </c>
      <c r="N33" s="103" t="s">
        <v>168</v>
      </c>
      <c r="O33" s="103" t="s">
        <v>168</v>
      </c>
      <c r="P33" s="103" t="s">
        <v>168</v>
      </c>
      <c r="Q33" s="103" t="s">
        <v>168</v>
      </c>
      <c r="R33" s="103" t="s">
        <v>168</v>
      </c>
      <c r="S33" s="103" t="s">
        <v>168</v>
      </c>
      <c r="T33" s="103" t="s">
        <v>168</v>
      </c>
      <c r="U33" s="103" t="s">
        <v>168</v>
      </c>
      <c r="V33" s="103" t="s">
        <v>168</v>
      </c>
      <c r="W33" s="103" t="s">
        <v>168</v>
      </c>
      <c r="X33" s="103" t="s">
        <v>168</v>
      </c>
      <c r="Y33" s="103" t="s">
        <v>168</v>
      </c>
      <c r="Z33" s="104" t="s">
        <v>168</v>
      </c>
      <c r="AA33" s="148" t="s">
        <v>313</v>
      </c>
    </row>
    <row r="34" spans="1:27">
      <c r="A34" s="151"/>
      <c r="B34" s="149"/>
      <c r="C34" s="105" t="s">
        <v>169</v>
      </c>
      <c r="D34" s="105" t="s">
        <v>170</v>
      </c>
      <c r="E34" s="105" t="s">
        <v>171</v>
      </c>
      <c r="F34" s="105" t="s">
        <v>172</v>
      </c>
      <c r="G34" s="105" t="s">
        <v>173</v>
      </c>
      <c r="H34" s="105" t="s">
        <v>174</v>
      </c>
      <c r="I34" s="105" t="s">
        <v>175</v>
      </c>
      <c r="J34" s="105" t="s">
        <v>176</v>
      </c>
      <c r="K34" s="105" t="s">
        <v>177</v>
      </c>
      <c r="L34" s="105" t="s">
        <v>178</v>
      </c>
      <c r="M34" s="105" t="s">
        <v>179</v>
      </c>
      <c r="N34" s="105" t="s">
        <v>180</v>
      </c>
      <c r="O34" s="105" t="s">
        <v>181</v>
      </c>
      <c r="P34" s="105" t="s">
        <v>182</v>
      </c>
      <c r="Q34" s="105" t="s">
        <v>183</v>
      </c>
      <c r="R34" s="105" t="s">
        <v>184</v>
      </c>
      <c r="S34" s="105" t="s">
        <v>185</v>
      </c>
      <c r="T34" s="105" t="s">
        <v>186</v>
      </c>
      <c r="U34" s="105" t="s">
        <v>187</v>
      </c>
      <c r="V34" s="105" t="s">
        <v>188</v>
      </c>
      <c r="W34" s="105" t="s">
        <v>189</v>
      </c>
      <c r="X34" s="105" t="s">
        <v>190</v>
      </c>
      <c r="Y34" s="105" t="s">
        <v>191</v>
      </c>
      <c r="Z34" s="106" t="s">
        <v>192</v>
      </c>
      <c r="AA34" s="149"/>
    </row>
    <row r="35" spans="1:27">
      <c r="A35" s="150">
        <v>5</v>
      </c>
      <c r="B35" s="148" t="s">
        <v>313</v>
      </c>
      <c r="C35" s="103" t="s">
        <v>168</v>
      </c>
      <c r="D35" s="103" t="s">
        <v>168</v>
      </c>
      <c r="E35" s="103" t="s">
        <v>168</v>
      </c>
      <c r="F35" s="103" t="s">
        <v>168</v>
      </c>
      <c r="G35" s="103" t="s">
        <v>168</v>
      </c>
      <c r="H35" s="103" t="s">
        <v>168</v>
      </c>
      <c r="I35" s="103" t="s">
        <v>168</v>
      </c>
      <c r="J35" s="103" t="s">
        <v>168</v>
      </c>
      <c r="K35" s="103" t="s">
        <v>168</v>
      </c>
      <c r="L35" s="103" t="s">
        <v>168</v>
      </c>
      <c r="M35" s="103" t="s">
        <v>168</v>
      </c>
      <c r="N35" s="103" t="s">
        <v>168</v>
      </c>
      <c r="O35" s="103" t="s">
        <v>168</v>
      </c>
      <c r="P35" s="103" t="s">
        <v>168</v>
      </c>
      <c r="Q35" s="103" t="s">
        <v>168</v>
      </c>
      <c r="R35" s="103" t="s">
        <v>168</v>
      </c>
      <c r="S35" s="103" t="s">
        <v>168</v>
      </c>
      <c r="T35" s="103" t="s">
        <v>168</v>
      </c>
      <c r="U35" s="103" t="s">
        <v>168</v>
      </c>
      <c r="V35" s="103" t="s">
        <v>168</v>
      </c>
      <c r="W35" s="103" t="s">
        <v>168</v>
      </c>
      <c r="X35" s="103" t="s">
        <v>168</v>
      </c>
      <c r="Y35" s="103" t="s">
        <v>168</v>
      </c>
      <c r="Z35" s="104" t="s">
        <v>168</v>
      </c>
      <c r="AA35" s="148" t="s">
        <v>313</v>
      </c>
    </row>
    <row r="36" spans="1:27">
      <c r="A36" s="151"/>
      <c r="B36" s="149"/>
      <c r="C36" s="105" t="s">
        <v>193</v>
      </c>
      <c r="D36" s="105" t="s">
        <v>194</v>
      </c>
      <c r="E36" s="105" t="s">
        <v>195</v>
      </c>
      <c r="F36" s="105" t="s">
        <v>196</v>
      </c>
      <c r="G36" s="105" t="s">
        <v>197</v>
      </c>
      <c r="H36" s="105" t="s">
        <v>198</v>
      </c>
      <c r="I36" s="105" t="s">
        <v>199</v>
      </c>
      <c r="J36" s="105" t="s">
        <v>200</v>
      </c>
      <c r="K36" s="105" t="s">
        <v>201</v>
      </c>
      <c r="L36" s="105" t="s">
        <v>202</v>
      </c>
      <c r="M36" s="105" t="s">
        <v>203</v>
      </c>
      <c r="N36" s="105" t="s">
        <v>204</v>
      </c>
      <c r="O36" s="105" t="s">
        <v>205</v>
      </c>
      <c r="P36" s="105" t="s">
        <v>206</v>
      </c>
      <c r="Q36" s="105" t="s">
        <v>207</v>
      </c>
      <c r="R36" s="105" t="s">
        <v>208</v>
      </c>
      <c r="S36" s="105" t="s">
        <v>209</v>
      </c>
      <c r="T36" s="105" t="s">
        <v>210</v>
      </c>
      <c r="U36" s="105" t="s">
        <v>211</v>
      </c>
      <c r="V36" s="105" t="s">
        <v>212</v>
      </c>
      <c r="W36" s="105" t="s">
        <v>213</v>
      </c>
      <c r="X36" s="105" t="s">
        <v>214</v>
      </c>
      <c r="Y36" s="105" t="s">
        <v>215</v>
      </c>
      <c r="Z36" s="106" t="s">
        <v>216</v>
      </c>
      <c r="AA36" s="149"/>
    </row>
    <row r="37" spans="1:27">
      <c r="A37" s="150">
        <v>4</v>
      </c>
      <c r="B37" s="148" t="s">
        <v>313</v>
      </c>
      <c r="C37" s="103" t="s">
        <v>168</v>
      </c>
      <c r="D37" s="103" t="s">
        <v>168</v>
      </c>
      <c r="E37" s="103" t="s">
        <v>168</v>
      </c>
      <c r="F37" s="103" t="s">
        <v>168</v>
      </c>
      <c r="G37" s="103" t="s">
        <v>168</v>
      </c>
      <c r="H37" s="103" t="s">
        <v>168</v>
      </c>
      <c r="I37" s="103" t="s">
        <v>168</v>
      </c>
      <c r="J37" s="103" t="s">
        <v>168</v>
      </c>
      <c r="K37" s="103" t="s">
        <v>168</v>
      </c>
      <c r="L37" s="103" t="s">
        <v>168</v>
      </c>
      <c r="M37" s="103" t="s">
        <v>168</v>
      </c>
      <c r="N37" s="103" t="s">
        <v>168</v>
      </c>
      <c r="O37" s="103" t="s">
        <v>168</v>
      </c>
      <c r="P37" s="103" t="s">
        <v>168</v>
      </c>
      <c r="Q37" s="103" t="s">
        <v>168</v>
      </c>
      <c r="R37" s="103" t="s">
        <v>168</v>
      </c>
      <c r="S37" s="103" t="s">
        <v>168</v>
      </c>
      <c r="T37" s="103" t="s">
        <v>168</v>
      </c>
      <c r="U37" s="103" t="s">
        <v>168</v>
      </c>
      <c r="V37" s="103" t="s">
        <v>168</v>
      </c>
      <c r="W37" s="103" t="s">
        <v>168</v>
      </c>
      <c r="X37" s="103" t="s">
        <v>168</v>
      </c>
      <c r="Y37" s="103" t="s">
        <v>168</v>
      </c>
      <c r="Z37" s="104" t="s">
        <v>168</v>
      </c>
      <c r="AA37" s="148" t="s">
        <v>313</v>
      </c>
    </row>
    <row r="38" spans="1:27" ht="15.75" thickBot="1">
      <c r="A38" s="151"/>
      <c r="B38" s="149"/>
      <c r="C38" s="107" t="s">
        <v>217</v>
      </c>
      <c r="D38" s="107" t="s">
        <v>218</v>
      </c>
      <c r="E38" s="107" t="s">
        <v>219</v>
      </c>
      <c r="F38" s="107" t="s">
        <v>220</v>
      </c>
      <c r="G38" s="107" t="s">
        <v>221</v>
      </c>
      <c r="H38" s="107" t="s">
        <v>222</v>
      </c>
      <c r="I38" s="107" t="s">
        <v>223</v>
      </c>
      <c r="J38" s="107" t="s">
        <v>224</v>
      </c>
      <c r="K38" s="107" t="s">
        <v>225</v>
      </c>
      <c r="L38" s="107" t="s">
        <v>226</v>
      </c>
      <c r="M38" s="107" t="s">
        <v>227</v>
      </c>
      <c r="N38" s="107" t="s">
        <v>228</v>
      </c>
      <c r="O38" s="107" t="s">
        <v>229</v>
      </c>
      <c r="P38" s="107" t="s">
        <v>230</v>
      </c>
      <c r="Q38" s="107" t="s">
        <v>231</v>
      </c>
      <c r="R38" s="107" t="s">
        <v>232</v>
      </c>
      <c r="S38" s="107" t="s">
        <v>233</v>
      </c>
      <c r="T38" s="107" t="s">
        <v>234</v>
      </c>
      <c r="U38" s="107" t="s">
        <v>235</v>
      </c>
      <c r="V38" s="107" t="s">
        <v>236</v>
      </c>
      <c r="W38" s="107" t="s">
        <v>237</v>
      </c>
      <c r="X38" s="107" t="s">
        <v>238</v>
      </c>
      <c r="Y38" s="107" t="s">
        <v>239</v>
      </c>
      <c r="Z38" s="108" t="s">
        <v>240</v>
      </c>
      <c r="AA38" s="149"/>
    </row>
    <row r="39" spans="1:27">
      <c r="A39" s="150">
        <v>3</v>
      </c>
      <c r="B39" s="148" t="s">
        <v>313</v>
      </c>
      <c r="C39" s="103" t="s">
        <v>168</v>
      </c>
      <c r="D39" s="103" t="s">
        <v>168</v>
      </c>
      <c r="E39" s="103" t="s">
        <v>168</v>
      </c>
      <c r="F39" s="103" t="s">
        <v>168</v>
      </c>
      <c r="G39" s="103" t="s">
        <v>168</v>
      </c>
      <c r="H39" s="103" t="s">
        <v>168</v>
      </c>
      <c r="I39" s="103" t="s">
        <v>168</v>
      </c>
      <c r="J39" s="103" t="s">
        <v>168</v>
      </c>
      <c r="K39" s="103" t="s">
        <v>168</v>
      </c>
      <c r="L39" s="103" t="s">
        <v>168</v>
      </c>
      <c r="M39" s="103" t="s">
        <v>168</v>
      </c>
      <c r="N39" s="103" t="s">
        <v>168</v>
      </c>
      <c r="O39" s="103" t="s">
        <v>168</v>
      </c>
      <c r="P39" s="103" t="s">
        <v>168</v>
      </c>
      <c r="Q39" s="103" t="s">
        <v>168</v>
      </c>
      <c r="R39" s="103" t="s">
        <v>168</v>
      </c>
      <c r="S39" s="103" t="s">
        <v>168</v>
      </c>
      <c r="T39" s="103" t="s">
        <v>168</v>
      </c>
      <c r="U39" s="103" t="s">
        <v>168</v>
      </c>
      <c r="V39" s="103" t="s">
        <v>168</v>
      </c>
      <c r="W39" s="103" t="s">
        <v>168</v>
      </c>
      <c r="X39" s="103" t="s">
        <v>168</v>
      </c>
      <c r="Y39" s="103" t="s">
        <v>168</v>
      </c>
      <c r="Z39" s="104" t="s">
        <v>168</v>
      </c>
      <c r="AA39" s="148" t="s">
        <v>313</v>
      </c>
    </row>
    <row r="40" spans="1:27">
      <c r="A40" s="151"/>
      <c r="B40" s="149"/>
      <c r="C40" s="105" t="s">
        <v>241</v>
      </c>
      <c r="D40" s="105" t="s">
        <v>242</v>
      </c>
      <c r="E40" s="105" t="s">
        <v>243</v>
      </c>
      <c r="F40" s="105" t="s">
        <v>244</v>
      </c>
      <c r="G40" s="105" t="s">
        <v>245</v>
      </c>
      <c r="H40" s="105" t="s">
        <v>246</v>
      </c>
      <c r="I40" s="105" t="s">
        <v>247</v>
      </c>
      <c r="J40" s="105" t="s">
        <v>248</v>
      </c>
      <c r="K40" s="105" t="s">
        <v>249</v>
      </c>
      <c r="L40" s="105" t="s">
        <v>250</v>
      </c>
      <c r="M40" s="105" t="s">
        <v>251</v>
      </c>
      <c r="N40" s="105" t="s">
        <v>252</v>
      </c>
      <c r="O40" s="105" t="s">
        <v>253</v>
      </c>
      <c r="P40" s="105" t="s">
        <v>254</v>
      </c>
      <c r="Q40" s="105" t="s">
        <v>255</v>
      </c>
      <c r="R40" s="105" t="s">
        <v>256</v>
      </c>
      <c r="S40" s="105" t="s">
        <v>257</v>
      </c>
      <c r="T40" s="105" t="s">
        <v>258</v>
      </c>
      <c r="U40" s="105" t="s">
        <v>259</v>
      </c>
      <c r="V40" s="105" t="s">
        <v>260</v>
      </c>
      <c r="W40" s="105" t="s">
        <v>261</v>
      </c>
      <c r="X40" s="105" t="s">
        <v>262</v>
      </c>
      <c r="Y40" s="105" t="s">
        <v>263</v>
      </c>
      <c r="Z40" s="106" t="s">
        <v>264</v>
      </c>
      <c r="AA40" s="149"/>
    </row>
    <row r="41" spans="1:27">
      <c r="A41" s="150">
        <v>2</v>
      </c>
      <c r="B41" s="148" t="s">
        <v>313</v>
      </c>
      <c r="C41" s="103" t="s">
        <v>168</v>
      </c>
      <c r="D41" s="103" t="s">
        <v>168</v>
      </c>
      <c r="E41" s="103" t="s">
        <v>168</v>
      </c>
      <c r="F41" s="103" t="s">
        <v>168</v>
      </c>
      <c r="G41" s="103" t="s">
        <v>168</v>
      </c>
      <c r="H41" s="103" t="s">
        <v>168</v>
      </c>
      <c r="I41" s="103" t="s">
        <v>168</v>
      </c>
      <c r="J41" s="103" t="s">
        <v>168</v>
      </c>
      <c r="K41" s="103" t="s">
        <v>168</v>
      </c>
      <c r="L41" s="103" t="s">
        <v>168</v>
      </c>
      <c r="M41" s="103" t="s">
        <v>168</v>
      </c>
      <c r="N41" s="103" t="s">
        <v>168</v>
      </c>
      <c r="O41" s="103" t="s">
        <v>168</v>
      </c>
      <c r="P41" s="103" t="s">
        <v>168</v>
      </c>
      <c r="Q41" s="103" t="s">
        <v>168</v>
      </c>
      <c r="R41" s="103" t="s">
        <v>168</v>
      </c>
      <c r="S41" s="103" t="s">
        <v>168</v>
      </c>
      <c r="T41" s="103" t="s">
        <v>168</v>
      </c>
      <c r="U41" s="103" t="s">
        <v>168</v>
      </c>
      <c r="V41" s="103" t="s">
        <v>168</v>
      </c>
      <c r="W41" s="103" t="s">
        <v>168</v>
      </c>
      <c r="X41" s="103" t="s">
        <v>168</v>
      </c>
      <c r="Y41" s="103" t="s">
        <v>168</v>
      </c>
      <c r="Z41" s="104" t="s">
        <v>168</v>
      </c>
      <c r="AA41" s="148" t="s">
        <v>313</v>
      </c>
    </row>
    <row r="42" spans="1:27">
      <c r="A42" s="151"/>
      <c r="B42" s="149"/>
      <c r="C42" s="105" t="s">
        <v>265</v>
      </c>
      <c r="D42" s="105" t="s">
        <v>266</v>
      </c>
      <c r="E42" s="105" t="s">
        <v>267</v>
      </c>
      <c r="F42" s="105" t="s">
        <v>268</v>
      </c>
      <c r="G42" s="105" t="s">
        <v>269</v>
      </c>
      <c r="H42" s="105" t="s">
        <v>270</v>
      </c>
      <c r="I42" s="105" t="s">
        <v>271</v>
      </c>
      <c r="J42" s="105" t="s">
        <v>272</v>
      </c>
      <c r="K42" s="105" t="s">
        <v>273</v>
      </c>
      <c r="L42" s="105" t="s">
        <v>274</v>
      </c>
      <c r="M42" s="105" t="s">
        <v>275</v>
      </c>
      <c r="N42" s="105" t="s">
        <v>276</v>
      </c>
      <c r="O42" s="105" t="s">
        <v>277</v>
      </c>
      <c r="P42" s="105" t="s">
        <v>278</v>
      </c>
      <c r="Q42" s="105" t="s">
        <v>279</v>
      </c>
      <c r="R42" s="105" t="s">
        <v>280</v>
      </c>
      <c r="S42" s="105" t="s">
        <v>281</v>
      </c>
      <c r="T42" s="105" t="s">
        <v>282</v>
      </c>
      <c r="U42" s="105" t="s">
        <v>283</v>
      </c>
      <c r="V42" s="105" t="s">
        <v>284</v>
      </c>
      <c r="W42" s="105" t="s">
        <v>285</v>
      </c>
      <c r="X42" s="105" t="s">
        <v>286</v>
      </c>
      <c r="Y42" s="105" t="s">
        <v>287</v>
      </c>
      <c r="Z42" s="106" t="s">
        <v>288</v>
      </c>
      <c r="AA42" s="149"/>
    </row>
    <row r="43" spans="1:27">
      <c r="A43" s="150">
        <v>1</v>
      </c>
      <c r="B43" s="148" t="s">
        <v>313</v>
      </c>
      <c r="C43" s="103" t="s">
        <v>168</v>
      </c>
      <c r="D43" s="103" t="s">
        <v>168</v>
      </c>
      <c r="E43" s="103" t="s">
        <v>168</v>
      </c>
      <c r="F43" s="103" t="s">
        <v>168</v>
      </c>
      <c r="G43" s="103" t="s">
        <v>168</v>
      </c>
      <c r="H43" s="103" t="s">
        <v>168</v>
      </c>
      <c r="I43" s="103" t="s">
        <v>168</v>
      </c>
      <c r="J43" s="103" t="s">
        <v>168</v>
      </c>
      <c r="K43" s="103" t="s">
        <v>168</v>
      </c>
      <c r="L43" s="103" t="s">
        <v>168</v>
      </c>
      <c r="M43" s="103" t="s">
        <v>168</v>
      </c>
      <c r="N43" s="103" t="s">
        <v>168</v>
      </c>
      <c r="O43" s="103" t="s">
        <v>168</v>
      </c>
      <c r="P43" s="103" t="s">
        <v>168</v>
      </c>
      <c r="Q43" s="103" t="s">
        <v>168</v>
      </c>
      <c r="R43" s="103" t="s">
        <v>168</v>
      </c>
      <c r="S43" s="103" t="s">
        <v>168</v>
      </c>
      <c r="T43" s="103" t="s">
        <v>168</v>
      </c>
      <c r="U43" s="103" t="s">
        <v>168</v>
      </c>
      <c r="V43" s="103" t="s">
        <v>168</v>
      </c>
      <c r="W43" s="103" t="s">
        <v>168</v>
      </c>
      <c r="X43" s="103" t="s">
        <v>168</v>
      </c>
      <c r="Y43" s="103" t="s">
        <v>168</v>
      </c>
      <c r="Z43" s="104" t="s">
        <v>168</v>
      </c>
      <c r="AA43" s="148" t="s">
        <v>313</v>
      </c>
    </row>
    <row r="44" spans="1:27" ht="15.75" thickBot="1">
      <c r="A44" s="151"/>
      <c r="B44" s="149"/>
      <c r="C44" s="107" t="s">
        <v>289</v>
      </c>
      <c r="D44" s="107" t="s">
        <v>290</v>
      </c>
      <c r="E44" s="107" t="s">
        <v>291</v>
      </c>
      <c r="F44" s="107" t="s">
        <v>292</v>
      </c>
      <c r="G44" s="107" t="s">
        <v>293</v>
      </c>
      <c r="H44" s="107" t="s">
        <v>294</v>
      </c>
      <c r="I44" s="107" t="s">
        <v>295</v>
      </c>
      <c r="J44" s="107" t="s">
        <v>296</v>
      </c>
      <c r="K44" s="107" t="s">
        <v>297</v>
      </c>
      <c r="L44" s="107" t="s">
        <v>298</v>
      </c>
      <c r="M44" s="107" t="s">
        <v>299</v>
      </c>
      <c r="N44" s="107" t="s">
        <v>300</v>
      </c>
      <c r="O44" s="107" t="s">
        <v>301</v>
      </c>
      <c r="P44" s="107" t="s">
        <v>302</v>
      </c>
      <c r="Q44" s="107" t="s">
        <v>303</v>
      </c>
      <c r="R44" s="107" t="s">
        <v>304</v>
      </c>
      <c r="S44" s="107" t="s">
        <v>305</v>
      </c>
      <c r="T44" s="107" t="s">
        <v>306</v>
      </c>
      <c r="U44" s="107" t="s">
        <v>307</v>
      </c>
      <c r="V44" s="107" t="s">
        <v>308</v>
      </c>
      <c r="W44" s="107" t="s">
        <v>309</v>
      </c>
      <c r="X44" s="107" t="s">
        <v>310</v>
      </c>
      <c r="Y44" s="107" t="s">
        <v>311</v>
      </c>
      <c r="Z44" s="108" t="s">
        <v>312</v>
      </c>
      <c r="AA44" s="149"/>
    </row>
    <row r="45" spans="1:27">
      <c r="C45" s="150">
        <v>1</v>
      </c>
      <c r="D45" s="150">
        <v>2</v>
      </c>
      <c r="E45" s="150">
        <v>3</v>
      </c>
      <c r="F45" s="150">
        <v>4</v>
      </c>
      <c r="G45" s="150">
        <v>5</v>
      </c>
      <c r="H45" s="150">
        <v>6</v>
      </c>
      <c r="I45" s="150">
        <v>7</v>
      </c>
      <c r="J45" s="150">
        <v>8</v>
      </c>
      <c r="K45" s="150">
        <v>9</v>
      </c>
      <c r="L45" s="150">
        <v>10</v>
      </c>
      <c r="M45" s="150">
        <v>11</v>
      </c>
      <c r="N45" s="150">
        <v>12</v>
      </c>
      <c r="O45" s="150">
        <v>13</v>
      </c>
      <c r="P45" s="150">
        <v>14</v>
      </c>
      <c r="Q45" s="150">
        <v>15</v>
      </c>
      <c r="R45" s="150">
        <v>16</v>
      </c>
      <c r="S45" s="150">
        <v>17</v>
      </c>
      <c r="T45" s="150">
        <v>18</v>
      </c>
      <c r="U45" s="150">
        <v>19</v>
      </c>
      <c r="V45" s="150">
        <v>20</v>
      </c>
      <c r="W45" s="150">
        <v>21</v>
      </c>
      <c r="X45" s="150">
        <v>22</v>
      </c>
      <c r="Y45" s="150">
        <v>23</v>
      </c>
      <c r="Z45" s="150">
        <v>24</v>
      </c>
      <c r="AA45" s="150"/>
    </row>
    <row r="46" spans="1:27"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</row>
  </sheetData>
  <mergeCells count="43">
    <mergeCell ref="R45:R46"/>
    <mergeCell ref="N45:N46"/>
    <mergeCell ref="Z45:Z46"/>
    <mergeCell ref="AA45:AA46"/>
    <mergeCell ref="A43:A44"/>
    <mergeCell ref="U45:U46"/>
    <mergeCell ref="V45:V46"/>
    <mergeCell ref="W45:W46"/>
    <mergeCell ref="X45:X46"/>
    <mergeCell ref="Y45:Y46"/>
    <mergeCell ref="P45:P46"/>
    <mergeCell ref="Q45:Q46"/>
    <mergeCell ref="I45:I46"/>
    <mergeCell ref="J45:J46"/>
    <mergeCell ref="K45:K46"/>
    <mergeCell ref="L45:L46"/>
    <mergeCell ref="A33:A34"/>
    <mergeCell ref="A35:A36"/>
    <mergeCell ref="A37:A38"/>
    <mergeCell ref="A39:A40"/>
    <mergeCell ref="A41:A42"/>
    <mergeCell ref="M45:M46"/>
    <mergeCell ref="D45:D46"/>
    <mergeCell ref="E45:E46"/>
    <mergeCell ref="F45:F46"/>
    <mergeCell ref="G45:G46"/>
    <mergeCell ref="H45:H46"/>
    <mergeCell ref="B33:B34"/>
    <mergeCell ref="AA33:AA34"/>
    <mergeCell ref="B35:B36"/>
    <mergeCell ref="AA35:AA36"/>
    <mergeCell ref="O45:O46"/>
    <mergeCell ref="B37:B38"/>
    <mergeCell ref="AA37:AA38"/>
    <mergeCell ref="B39:B40"/>
    <mergeCell ref="AA39:AA40"/>
    <mergeCell ref="B41:B42"/>
    <mergeCell ref="AA41:AA42"/>
    <mergeCell ref="S45:S46"/>
    <mergeCell ref="T45:T46"/>
    <mergeCell ref="B43:B44"/>
    <mergeCell ref="AA43:AA44"/>
    <mergeCell ref="C45:C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7"/>
  </sheetPr>
  <dimension ref="A1:B13"/>
  <sheetViews>
    <sheetView workbookViewId="0">
      <selection activeCell="F18" sqref="F18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  <row r="2" spans="1:2">
      <c r="A2" s="102" t="s">
        <v>157</v>
      </c>
      <c r="B2" s="101" t="s">
        <v>139</v>
      </c>
    </row>
    <row r="3" spans="1:2">
      <c r="A3" s="102" t="s">
        <v>156</v>
      </c>
      <c r="B3" s="101" t="s">
        <v>140</v>
      </c>
    </row>
    <row r="4" spans="1:2">
      <c r="A4" s="102" t="s">
        <v>158</v>
      </c>
      <c r="B4" s="101" t="s">
        <v>141</v>
      </c>
    </row>
    <row r="5" spans="1:2">
      <c r="A5" s="102" t="s">
        <v>159</v>
      </c>
      <c r="B5" s="101" t="s">
        <v>142</v>
      </c>
    </row>
    <row r="6" spans="1:2">
      <c r="A6" s="102" t="s">
        <v>160</v>
      </c>
      <c r="B6" s="101" t="s">
        <v>143</v>
      </c>
    </row>
    <row r="7" spans="1:2">
      <c r="A7" s="102" t="s">
        <v>161</v>
      </c>
      <c r="B7" s="101" t="s">
        <v>144</v>
      </c>
    </row>
    <row r="8" spans="1:2">
      <c r="A8" s="102" t="s">
        <v>162</v>
      </c>
      <c r="B8" s="101" t="s">
        <v>145</v>
      </c>
    </row>
    <row r="9" spans="1:2">
      <c r="A9" s="102" t="s">
        <v>163</v>
      </c>
      <c r="B9" s="101" t="s">
        <v>146</v>
      </c>
    </row>
    <row r="10" spans="1:2">
      <c r="A10" s="102" t="s">
        <v>164</v>
      </c>
      <c r="B10" s="101" t="s">
        <v>147</v>
      </c>
    </row>
    <row r="11" spans="1:2">
      <c r="A11" s="102" t="s">
        <v>165</v>
      </c>
      <c r="B11" s="101" t="s">
        <v>148</v>
      </c>
    </row>
    <row r="12" spans="1:2">
      <c r="A12" s="102" t="s">
        <v>166</v>
      </c>
      <c r="B12" s="101" t="s">
        <v>149</v>
      </c>
    </row>
    <row r="13" spans="1:2">
      <c r="A13" s="102" t="s">
        <v>167</v>
      </c>
      <c r="B13" s="101" t="s">
        <v>150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I22"/>
  <sheetViews>
    <sheetView tabSelected="1" workbookViewId="0">
      <selection activeCell="H28" sqref="H28"/>
    </sheetView>
  </sheetViews>
  <sheetFormatPr baseColWidth="10" defaultRowHeight="15"/>
  <cols>
    <col min="3" max="3" width="22.85546875" customWidth="1"/>
  </cols>
  <sheetData>
    <row r="1" spans="1:9">
      <c r="A1" s="160" t="s">
        <v>49</v>
      </c>
      <c r="B1" s="160"/>
      <c r="C1" s="160"/>
      <c r="D1" s="160"/>
      <c r="E1" s="160"/>
      <c r="F1" s="160"/>
    </row>
    <row r="2" spans="1:9">
      <c r="A2" s="160"/>
      <c r="B2" s="160"/>
      <c r="C2" s="160"/>
      <c r="D2" s="160"/>
      <c r="E2" s="160"/>
      <c r="F2" s="160"/>
    </row>
    <row r="3" spans="1:9">
      <c r="A3" s="160"/>
      <c r="B3" s="160"/>
      <c r="C3" s="160"/>
      <c r="D3" s="160"/>
      <c r="E3" s="160"/>
      <c r="F3" s="160"/>
    </row>
    <row r="4" spans="1:9">
      <c r="A4" t="s">
        <v>50</v>
      </c>
    </row>
    <row r="5" spans="1:9" ht="28.5" customHeight="1">
      <c r="A5" s="161" t="s">
        <v>36</v>
      </c>
      <c r="B5" s="161"/>
      <c r="C5" s="161"/>
      <c r="D5" s="162" t="s">
        <v>37</v>
      </c>
      <c r="E5" s="162"/>
      <c r="F5" s="162" t="s">
        <v>38</v>
      </c>
      <c r="G5" s="162"/>
      <c r="H5" s="162" t="s">
        <v>39</v>
      </c>
      <c r="I5" s="162"/>
    </row>
    <row r="6" spans="1:9" ht="22.5" customHeight="1">
      <c r="A6" s="154" t="s">
        <v>40</v>
      </c>
      <c r="B6" s="154"/>
      <c r="C6" s="154"/>
      <c r="D6" s="155" t="s">
        <v>386</v>
      </c>
      <c r="E6" s="155"/>
      <c r="F6" s="155"/>
      <c r="G6" s="155"/>
      <c r="H6" s="155"/>
      <c r="I6" s="155"/>
    </row>
    <row r="7" spans="1:9" ht="25.5" customHeight="1">
      <c r="A7" s="159" t="s">
        <v>41</v>
      </c>
      <c r="B7" s="159"/>
      <c r="C7" s="159"/>
      <c r="D7" s="155" t="s">
        <v>386</v>
      </c>
      <c r="E7" s="155"/>
      <c r="F7" s="155"/>
      <c r="G7" s="155"/>
      <c r="H7" s="155"/>
      <c r="I7" s="155"/>
    </row>
    <row r="8" spans="1:9" ht="18.75" customHeight="1">
      <c r="A8" s="154" t="s">
        <v>42</v>
      </c>
      <c r="B8" s="154"/>
      <c r="C8" s="154"/>
      <c r="D8" s="155" t="s">
        <v>386</v>
      </c>
      <c r="E8" s="155"/>
      <c r="F8" s="155"/>
      <c r="G8" s="155"/>
      <c r="H8" s="155"/>
      <c r="I8" s="155"/>
    </row>
    <row r="9" spans="1:9">
      <c r="A9" s="154" t="s">
        <v>43</v>
      </c>
      <c r="B9" s="154"/>
      <c r="C9" s="154"/>
      <c r="D9" s="155" t="s">
        <v>386</v>
      </c>
      <c r="E9" s="155"/>
      <c r="F9" s="155"/>
      <c r="G9" s="155"/>
      <c r="H9" s="155"/>
      <c r="I9" s="155"/>
    </row>
    <row r="10" spans="1:9">
      <c r="A10" s="154" t="s">
        <v>44</v>
      </c>
      <c r="B10" s="154"/>
      <c r="C10" s="154"/>
      <c r="D10" s="155" t="s">
        <v>386</v>
      </c>
      <c r="E10" s="155"/>
      <c r="F10" s="155"/>
      <c r="G10" s="155"/>
      <c r="H10" s="155"/>
      <c r="I10" s="155"/>
    </row>
    <row r="11" spans="1:9">
      <c r="A11" s="154" t="s">
        <v>45</v>
      </c>
      <c r="B11" s="154"/>
      <c r="C11" s="154"/>
      <c r="D11" s="155" t="s">
        <v>386</v>
      </c>
      <c r="E11" s="155"/>
      <c r="F11" s="155"/>
      <c r="G11" s="155"/>
      <c r="H11" s="155"/>
      <c r="I11" s="155"/>
    </row>
    <row r="12" spans="1:9">
      <c r="A12" s="154" t="s">
        <v>46</v>
      </c>
      <c r="B12" s="154"/>
      <c r="C12" s="154"/>
      <c r="D12" s="155" t="s">
        <v>386</v>
      </c>
      <c r="E12" s="155"/>
      <c r="F12" s="155"/>
      <c r="G12" s="155"/>
      <c r="H12" s="155"/>
      <c r="I12" s="155"/>
    </row>
    <row r="13" spans="1:9">
      <c r="A13" s="154" t="s">
        <v>47</v>
      </c>
      <c r="B13" s="154"/>
      <c r="C13" s="154"/>
      <c r="D13" s="155" t="s">
        <v>386</v>
      </c>
      <c r="E13" s="155"/>
      <c r="F13" s="155"/>
      <c r="G13" s="155"/>
      <c r="H13" s="155"/>
      <c r="I13" s="155"/>
    </row>
    <row r="14" spans="1:9">
      <c r="A14" s="156" t="s">
        <v>48</v>
      </c>
      <c r="B14" s="157"/>
      <c r="C14" s="158"/>
      <c r="D14" s="155" t="s">
        <v>386</v>
      </c>
      <c r="E14" s="155"/>
      <c r="F14" s="155"/>
      <c r="G14" s="155"/>
      <c r="H14" s="155"/>
      <c r="I14" s="155"/>
    </row>
    <row r="16" spans="1:9">
      <c r="A16" t="s">
        <v>51</v>
      </c>
    </row>
    <row r="18" spans="1:3">
      <c r="A18" s="152" t="s">
        <v>36</v>
      </c>
      <c r="B18" s="152"/>
      <c r="C18" s="12" t="s">
        <v>55</v>
      </c>
    </row>
    <row r="19" spans="1:3">
      <c r="A19" s="153" t="s">
        <v>52</v>
      </c>
      <c r="B19" s="153"/>
      <c r="C19" s="13" t="s">
        <v>384</v>
      </c>
    </row>
    <row r="20" spans="1:3">
      <c r="A20" s="153" t="s">
        <v>53</v>
      </c>
      <c r="B20" s="153"/>
      <c r="C20" s="13"/>
    </row>
    <row r="21" spans="1:3">
      <c r="A21" s="153" t="s">
        <v>54</v>
      </c>
      <c r="B21" s="153"/>
      <c r="C21" s="13"/>
    </row>
    <row r="22" spans="1:3">
      <c r="A22" s="153" t="s">
        <v>94</v>
      </c>
      <c r="B22" s="153"/>
      <c r="C22" s="13" t="s">
        <v>385</v>
      </c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Y29"/>
  <sheetViews>
    <sheetView zoomScale="85" zoomScaleNormal="85" workbookViewId="0">
      <selection activeCell="O29" sqref="O29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80" t="s">
        <v>56</v>
      </c>
      <c r="I1" s="180"/>
      <c r="J1" s="180"/>
      <c r="K1" s="181" t="s">
        <v>57</v>
      </c>
      <c r="L1" s="180"/>
      <c r="M1" s="180"/>
      <c r="N1" s="180"/>
      <c r="O1" s="180"/>
      <c r="P1" s="180"/>
      <c r="Q1" s="180"/>
      <c r="R1" s="180"/>
      <c r="S1" s="182" t="s">
        <v>58</v>
      </c>
      <c r="T1" s="183"/>
      <c r="U1" s="184" t="s">
        <v>59</v>
      </c>
      <c r="V1" s="184"/>
      <c r="W1" s="185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31" t="s">
        <v>379</v>
      </c>
      <c r="B3" s="32">
        <v>43201</v>
      </c>
      <c r="C3" s="33" t="s">
        <v>381</v>
      </c>
      <c r="D3" s="33" t="s">
        <v>382</v>
      </c>
      <c r="E3" s="31" t="s">
        <v>136</v>
      </c>
      <c r="F3" s="31" t="s">
        <v>139</v>
      </c>
      <c r="G3" s="172"/>
      <c r="H3" s="34"/>
      <c r="I3" s="186">
        <v>6670</v>
      </c>
      <c r="J3" s="187"/>
      <c r="K3" s="115"/>
      <c r="L3" s="36"/>
      <c r="M3" s="174">
        <v>1334</v>
      </c>
      <c r="N3" s="175"/>
      <c r="O3" s="37">
        <v>1334</v>
      </c>
      <c r="P3" s="174">
        <v>128</v>
      </c>
      <c r="Q3" s="175"/>
      <c r="R3" s="38">
        <v>128</v>
      </c>
      <c r="S3" s="39">
        <v>7680</v>
      </c>
      <c r="T3" s="39">
        <v>2.6911487838309252</v>
      </c>
      <c r="U3" s="174"/>
      <c r="V3" s="175"/>
      <c r="W3" s="40"/>
      <c r="X3" s="40">
        <v>4.1449999999999996</v>
      </c>
      <c r="Y3" s="41">
        <v>1.5402344251288391</v>
      </c>
    </row>
    <row r="4" spans="1:25">
      <c r="A4" s="42" t="s">
        <v>379</v>
      </c>
      <c r="B4" s="43">
        <v>43201</v>
      </c>
      <c r="C4" s="44" t="s">
        <v>381</v>
      </c>
      <c r="D4" s="44" t="s">
        <v>383</v>
      </c>
      <c r="E4" s="42" t="s">
        <v>136</v>
      </c>
      <c r="F4" s="42" t="s">
        <v>380</v>
      </c>
      <c r="G4" s="172"/>
      <c r="H4" s="45"/>
      <c r="I4" s="169">
        <v>3731</v>
      </c>
      <c r="J4" s="170"/>
      <c r="K4" s="116"/>
      <c r="L4" s="47"/>
      <c r="M4" s="169">
        <v>747</v>
      </c>
      <c r="N4" s="170"/>
      <c r="O4" s="48">
        <v>747</v>
      </c>
      <c r="P4" s="169">
        <v>79</v>
      </c>
      <c r="Q4" s="170"/>
      <c r="R4" s="49">
        <v>79</v>
      </c>
      <c r="S4" s="50">
        <v>4735.7697456492633</v>
      </c>
      <c r="T4" s="50">
        <v>3.0368991451431762</v>
      </c>
      <c r="U4" s="169"/>
      <c r="V4" s="170"/>
      <c r="W4" s="51"/>
      <c r="X4" s="51">
        <v>2.9449999999999998</v>
      </c>
      <c r="Y4" s="52">
        <v>0.96973915143341261</v>
      </c>
    </row>
    <row r="5" spans="1:25">
      <c r="A5" s="42"/>
      <c r="B5" s="43"/>
      <c r="C5" s="44"/>
      <c r="D5" s="44"/>
      <c r="E5" s="42"/>
      <c r="F5" s="42"/>
      <c r="G5" s="172"/>
      <c r="H5" s="45"/>
      <c r="I5" s="169"/>
      <c r="J5" s="170"/>
      <c r="K5" s="46"/>
      <c r="L5" s="53"/>
      <c r="M5" s="178"/>
      <c r="N5" s="179"/>
      <c r="O5" s="54"/>
      <c r="P5" s="178"/>
      <c r="Q5" s="179"/>
      <c r="R5" s="55"/>
      <c r="S5" s="56"/>
      <c r="T5" s="56"/>
      <c r="U5" s="178"/>
      <c r="V5" s="179"/>
      <c r="W5" s="57"/>
      <c r="X5" s="57"/>
      <c r="Y5" s="58"/>
    </row>
    <row r="6" spans="1:25">
      <c r="A6" s="42"/>
      <c r="B6" s="43"/>
      <c r="C6" s="44"/>
      <c r="D6" s="44"/>
      <c r="E6" s="42"/>
      <c r="F6" s="42"/>
      <c r="G6" s="172"/>
      <c r="H6" s="59"/>
      <c r="I6" s="169"/>
      <c r="J6" s="170"/>
      <c r="K6" s="46"/>
      <c r="L6" s="48"/>
      <c r="M6" s="167"/>
      <c r="N6" s="168"/>
      <c r="O6" s="48"/>
      <c r="P6" s="167"/>
      <c r="Q6" s="168"/>
      <c r="R6" s="60"/>
      <c r="S6" s="61"/>
      <c r="T6" s="61"/>
      <c r="U6" s="167"/>
      <c r="V6" s="168"/>
      <c r="W6" s="51"/>
      <c r="X6" s="51"/>
      <c r="Y6" s="52"/>
    </row>
    <row r="7" spans="1:25">
      <c r="A7" s="42"/>
      <c r="B7" s="43"/>
      <c r="C7" s="44"/>
      <c r="D7" s="44"/>
      <c r="E7" s="42"/>
      <c r="F7" s="42"/>
      <c r="G7" s="172"/>
      <c r="H7" s="45"/>
      <c r="I7" s="169"/>
      <c r="J7" s="170"/>
      <c r="K7" s="46"/>
      <c r="L7" s="48"/>
      <c r="M7" s="167"/>
      <c r="N7" s="168"/>
      <c r="O7" s="48"/>
      <c r="P7" s="167"/>
      <c r="Q7" s="168"/>
      <c r="R7" s="60"/>
      <c r="S7" s="61"/>
      <c r="T7" s="61"/>
      <c r="U7" s="167"/>
      <c r="V7" s="168"/>
      <c r="W7" s="51"/>
      <c r="X7" s="51"/>
      <c r="Y7" s="52"/>
    </row>
    <row r="8" spans="1:25" ht="15.75" thickBot="1">
      <c r="A8" s="62"/>
      <c r="B8" s="63"/>
      <c r="C8" s="64"/>
      <c r="D8" s="64"/>
      <c r="E8" s="62"/>
      <c r="F8" s="62"/>
      <c r="G8" s="173"/>
      <c r="H8" s="65"/>
      <c r="I8" s="163"/>
      <c r="J8" s="164"/>
      <c r="K8" s="66"/>
      <c r="L8" s="67"/>
      <c r="M8" s="165"/>
      <c r="N8" s="166"/>
      <c r="O8" s="67"/>
      <c r="P8" s="165"/>
      <c r="Q8" s="166"/>
      <c r="R8" s="68"/>
      <c r="S8" s="69"/>
      <c r="T8" s="69"/>
      <c r="U8" s="165"/>
      <c r="V8" s="166"/>
      <c r="W8" s="70"/>
      <c r="X8" s="70"/>
      <c r="Y8" s="71"/>
    </row>
    <row r="9" spans="1:25" ht="15.75" thickTop="1">
      <c r="A9" s="31"/>
      <c r="B9" s="32"/>
      <c r="C9" s="33"/>
      <c r="D9" s="33"/>
      <c r="E9" s="31"/>
      <c r="F9" s="31"/>
      <c r="G9" s="171"/>
      <c r="H9" s="34"/>
      <c r="I9" s="174"/>
      <c r="J9" s="175"/>
      <c r="K9" s="35"/>
      <c r="L9" s="72"/>
      <c r="M9" s="176"/>
      <c r="N9" s="177"/>
      <c r="O9" s="72"/>
      <c r="P9" s="176"/>
      <c r="Q9" s="177"/>
      <c r="R9" s="73"/>
      <c r="S9" s="74"/>
      <c r="T9" s="74"/>
      <c r="U9" s="176"/>
      <c r="V9" s="177"/>
      <c r="W9" s="75"/>
      <c r="X9" s="75"/>
      <c r="Y9" s="76"/>
    </row>
    <row r="10" spans="1:25">
      <c r="A10" s="42"/>
      <c r="B10" s="43"/>
      <c r="C10" s="44"/>
      <c r="D10" s="44"/>
      <c r="E10" s="42"/>
      <c r="F10" s="42"/>
      <c r="G10" s="172"/>
      <c r="H10" s="45"/>
      <c r="I10" s="169"/>
      <c r="J10" s="170"/>
      <c r="K10" s="46"/>
      <c r="L10" s="48"/>
      <c r="M10" s="167"/>
      <c r="N10" s="168"/>
      <c r="O10" s="48"/>
      <c r="P10" s="167"/>
      <c r="Q10" s="168"/>
      <c r="R10" s="60"/>
      <c r="S10" s="61"/>
      <c r="T10" s="77"/>
      <c r="U10" s="167"/>
      <c r="V10" s="168"/>
      <c r="W10" s="51"/>
      <c r="X10" s="51"/>
      <c r="Y10" s="52"/>
    </row>
    <row r="11" spans="1:25">
      <c r="A11" s="42"/>
      <c r="B11" s="43"/>
      <c r="C11" s="44"/>
      <c r="D11" s="44"/>
      <c r="E11" s="42"/>
      <c r="F11" s="42"/>
      <c r="G11" s="172"/>
      <c r="H11" s="45"/>
      <c r="I11" s="169"/>
      <c r="J11" s="170"/>
      <c r="K11" s="46"/>
      <c r="L11" s="48"/>
      <c r="M11" s="167"/>
      <c r="N11" s="168"/>
      <c r="O11" s="48"/>
      <c r="P11" s="167"/>
      <c r="Q11" s="168"/>
      <c r="R11" s="60"/>
      <c r="S11" s="61"/>
      <c r="T11" s="77"/>
      <c r="U11" s="167"/>
      <c r="V11" s="168"/>
      <c r="W11" s="51"/>
      <c r="X11" s="51"/>
      <c r="Y11" s="52"/>
    </row>
    <row r="12" spans="1:25">
      <c r="A12" s="42"/>
      <c r="B12" s="43"/>
      <c r="C12" s="44"/>
      <c r="D12" s="44"/>
      <c r="E12" s="42"/>
      <c r="F12" s="42"/>
      <c r="G12" s="172"/>
      <c r="H12" s="45"/>
      <c r="I12" s="169"/>
      <c r="J12" s="170"/>
      <c r="K12" s="46"/>
      <c r="L12" s="48"/>
      <c r="M12" s="167"/>
      <c r="N12" s="168"/>
      <c r="O12" s="48"/>
      <c r="P12" s="167"/>
      <c r="Q12" s="168"/>
      <c r="R12" s="60"/>
      <c r="S12" s="61"/>
      <c r="T12" s="61"/>
      <c r="U12" s="167"/>
      <c r="V12" s="168"/>
      <c r="W12" s="51"/>
      <c r="X12" s="51"/>
      <c r="Y12" s="52"/>
    </row>
    <row r="13" spans="1:25">
      <c r="A13" s="42"/>
      <c r="B13" s="43"/>
      <c r="C13" s="44"/>
      <c r="D13" s="44"/>
      <c r="E13" s="42"/>
      <c r="F13" s="42"/>
      <c r="G13" s="172"/>
      <c r="H13" s="45"/>
      <c r="I13" s="169"/>
      <c r="J13" s="170"/>
      <c r="K13" s="46"/>
      <c r="L13" s="48"/>
      <c r="M13" s="167"/>
      <c r="N13" s="168"/>
      <c r="O13" s="48"/>
      <c r="P13" s="167"/>
      <c r="Q13" s="168"/>
      <c r="R13" s="60"/>
      <c r="S13" s="61"/>
      <c r="T13" s="61"/>
      <c r="U13" s="167"/>
      <c r="V13" s="168"/>
      <c r="W13" s="51"/>
      <c r="X13" s="51"/>
      <c r="Y13" s="52"/>
    </row>
    <row r="14" spans="1:25" ht="15.75" thickBot="1">
      <c r="A14" s="62"/>
      <c r="B14" s="63"/>
      <c r="C14" s="64"/>
      <c r="D14" s="64"/>
      <c r="E14" s="62"/>
      <c r="F14" s="62"/>
      <c r="G14" s="173"/>
      <c r="H14" s="78"/>
      <c r="I14" s="163"/>
      <c r="J14" s="164"/>
      <c r="K14" s="79"/>
      <c r="L14" s="67"/>
      <c r="M14" s="165"/>
      <c r="N14" s="166"/>
      <c r="O14" s="67"/>
      <c r="P14" s="165"/>
      <c r="Q14" s="166"/>
      <c r="R14" s="68"/>
      <c r="S14" s="69"/>
      <c r="T14" s="69"/>
      <c r="U14" s="165"/>
      <c r="V14" s="166"/>
      <c r="W14" s="70"/>
      <c r="X14" s="70"/>
      <c r="Y14" s="71"/>
    </row>
    <row r="15" spans="1:25" ht="15.75" thickTop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1"/>
      <c r="T15" s="81"/>
      <c r="U15" s="80"/>
      <c r="V15" s="80"/>
      <c r="W15" s="81"/>
      <c r="X15" s="81"/>
      <c r="Y15" s="81"/>
    </row>
    <row r="16" spans="1:25">
      <c r="A16" s="80"/>
      <c r="C16" s="80"/>
      <c r="D16" s="80"/>
      <c r="E16" s="80"/>
      <c r="F16" s="80"/>
      <c r="R16" s="80"/>
      <c r="S16" s="81"/>
      <c r="T16" s="81"/>
      <c r="U16" s="80"/>
      <c r="V16" s="80"/>
      <c r="W16" s="81"/>
      <c r="X16" s="81"/>
      <c r="Y16" s="81"/>
    </row>
    <row r="17" spans="1:25">
      <c r="A17" s="82" t="s">
        <v>82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1"/>
      <c r="T17" s="81"/>
      <c r="U17" s="80"/>
      <c r="V17" s="80"/>
      <c r="W17" s="81"/>
      <c r="X17" s="81"/>
      <c r="Y17" s="81"/>
    </row>
    <row r="18" spans="1:25">
      <c r="A18" s="83" t="s">
        <v>83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0"/>
      <c r="V18" s="80"/>
      <c r="W18" s="81"/>
      <c r="X18" s="81"/>
      <c r="Y18" s="81"/>
    </row>
    <row r="19" spans="1:25">
      <c r="A19" s="83" t="s">
        <v>84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0"/>
      <c r="V19" s="80"/>
      <c r="W19" s="81"/>
      <c r="X19" s="81"/>
      <c r="Y19" s="81"/>
    </row>
    <row r="20" spans="1:25">
      <c r="A20" s="83" t="s">
        <v>85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0"/>
      <c r="V20" s="80"/>
      <c r="W20" s="81"/>
      <c r="X20" s="81"/>
      <c r="Y20" s="81"/>
    </row>
    <row r="21" spans="1:25">
      <c r="A21" s="82" t="s">
        <v>86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0"/>
      <c r="V21" s="80"/>
      <c r="W21" s="81"/>
      <c r="X21" s="81"/>
      <c r="Y21" s="81"/>
    </row>
    <row r="22" spans="1:25">
      <c r="A22" s="82" t="s">
        <v>87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0"/>
      <c r="V22" s="80"/>
      <c r="W22" s="81"/>
      <c r="X22" s="81"/>
      <c r="Y22" s="81"/>
    </row>
    <row r="23" spans="1:25">
      <c r="A23" s="82" t="s">
        <v>88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1"/>
      <c r="T23" s="81"/>
      <c r="U23" s="80"/>
      <c r="V23" s="80"/>
      <c r="W23" s="81"/>
      <c r="X23" s="81"/>
      <c r="Y23" s="81"/>
    </row>
    <row r="24" spans="1:25">
      <c r="A24" s="83" t="s">
        <v>89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1"/>
      <c r="T24" s="81"/>
      <c r="U24" s="80"/>
      <c r="V24" s="80"/>
      <c r="W24" s="81"/>
      <c r="X24" s="81"/>
      <c r="Y24" s="81"/>
    </row>
    <row r="25" spans="1:25">
      <c r="A25" s="83" t="s">
        <v>90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1"/>
      <c r="T25" s="81"/>
      <c r="U25" s="80"/>
      <c r="V25" s="80"/>
      <c r="W25" s="81"/>
      <c r="X25" s="81"/>
      <c r="Y25" s="81"/>
    </row>
    <row r="26" spans="1:25">
      <c r="A26" s="83" t="s">
        <v>91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1"/>
      <c r="T26" s="81"/>
      <c r="U26" s="80"/>
      <c r="V26" s="80"/>
      <c r="W26" s="81"/>
      <c r="X26" s="81"/>
      <c r="Y26" s="81"/>
    </row>
    <row r="27" spans="1:25">
      <c r="A27" s="83" t="s">
        <v>92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1"/>
      <c r="P27" s="80"/>
      <c r="Q27" s="80"/>
      <c r="R27" s="80"/>
      <c r="S27" s="81"/>
      <c r="T27" s="81"/>
      <c r="U27" s="80"/>
      <c r="V27" s="80"/>
      <c r="W27" s="81"/>
      <c r="X27" s="81"/>
      <c r="Y27" s="81"/>
    </row>
    <row r="28" spans="1: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1"/>
      <c r="P28" s="80"/>
      <c r="Q28" s="80"/>
      <c r="R28" s="80"/>
      <c r="S28" s="81"/>
      <c r="T28" s="81"/>
      <c r="U28" s="80"/>
      <c r="V28" s="80"/>
      <c r="W28" s="81"/>
      <c r="X28" s="81"/>
      <c r="Y28" s="81"/>
    </row>
    <row r="29" spans="1:25">
      <c r="A29" s="80" t="s">
        <v>93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1"/>
      <c r="P29" s="80"/>
      <c r="Q29" s="80"/>
      <c r="R29" s="80"/>
      <c r="S29" s="81"/>
      <c r="T29" s="81"/>
      <c r="U29" s="80"/>
      <c r="V29" s="80"/>
      <c r="W29" s="81"/>
      <c r="X29" s="81"/>
      <c r="Y29" s="81"/>
    </row>
  </sheetData>
  <mergeCells count="54"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  <mergeCell ref="U5:V5"/>
    <mergeCell ref="I6:J6"/>
    <mergeCell ref="M6:N6"/>
    <mergeCell ref="P6:Q6"/>
    <mergeCell ref="U6:V6"/>
    <mergeCell ref="I7:J7"/>
    <mergeCell ref="M7:N7"/>
    <mergeCell ref="P7:Q7"/>
    <mergeCell ref="U7:V7"/>
    <mergeCell ref="I8:J8"/>
    <mergeCell ref="M8:N8"/>
    <mergeCell ref="P8:Q8"/>
    <mergeCell ref="U8:V8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2:J12"/>
    <mergeCell ref="M12:N12"/>
    <mergeCell ref="P12:Q12"/>
    <mergeCell ref="I14:J14"/>
    <mergeCell ref="M14:N14"/>
    <mergeCell ref="P14:Q14"/>
    <mergeCell ref="U14:V14"/>
    <mergeCell ref="U12:V12"/>
    <mergeCell ref="I13:J13"/>
    <mergeCell ref="M13:N13"/>
    <mergeCell ref="P13:Q13"/>
    <mergeCell ref="U13:V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AC34"/>
  <sheetViews>
    <sheetView zoomScale="85" zoomScaleNormal="85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R33" sqref="R33"/>
    </sheetView>
  </sheetViews>
  <sheetFormatPr baseColWidth="10" defaultRowHeight="15"/>
  <cols>
    <col min="1" max="1" width="10" customWidth="1"/>
    <col min="2" max="2" width="10.28515625" bestFit="1" customWidth="1"/>
    <col min="3" max="3" width="10.42578125" customWidth="1"/>
    <col min="4" max="4" width="10.85546875" bestFit="1" customWidth="1"/>
    <col min="5" max="5" width="13.85546875" customWidth="1"/>
    <col min="6" max="6" width="12" bestFit="1" customWidth="1"/>
    <col min="7" max="7" width="12.5703125" customWidth="1"/>
    <col min="8" max="8" width="9.140625" bestFit="1" customWidth="1"/>
    <col min="9" max="9" width="10.42578125" bestFit="1" customWidth="1"/>
    <col min="10" max="10" width="9.42578125" bestFit="1" customWidth="1"/>
    <col min="11" max="11" width="13.85546875" bestFit="1" customWidth="1"/>
    <col min="12" max="12" width="12.5703125" bestFit="1" customWidth="1"/>
    <col min="13" max="13" width="10" customWidth="1"/>
    <col min="14" max="14" width="8.7109375" bestFit="1" customWidth="1"/>
    <col min="15" max="15" width="13" customWidth="1"/>
    <col min="16" max="17" width="7.7109375" customWidth="1"/>
    <col min="18" max="18" width="9.85546875" bestFit="1" customWidth="1"/>
    <col min="19" max="19" width="9.5703125" customWidth="1"/>
    <col min="20" max="20" width="7.140625" bestFit="1" customWidth="1"/>
    <col min="21" max="21" width="9" bestFit="1" customWidth="1"/>
    <col min="22" max="22" width="11" bestFit="1" customWidth="1"/>
    <col min="23" max="23" width="5.140625" bestFit="1" customWidth="1"/>
    <col min="24" max="24" width="8.28515625" bestFit="1" customWidth="1"/>
    <col min="25" max="25" width="6.42578125" customWidth="1"/>
    <col min="26" max="26" width="6.85546875" bestFit="1" customWidth="1"/>
    <col min="27" max="27" width="6" bestFit="1" customWidth="1"/>
    <col min="28" max="28" width="6.42578125" bestFit="1" customWidth="1"/>
    <col min="29" max="29" width="8" customWidth="1"/>
  </cols>
  <sheetData>
    <row r="1" spans="1:29" s="95" customFormat="1" ht="51">
      <c r="A1" s="88" t="s">
        <v>95</v>
      </c>
      <c r="B1" s="88" t="s">
        <v>96</v>
      </c>
      <c r="C1" s="88" t="s">
        <v>97</v>
      </c>
      <c r="D1" s="88" t="s">
        <v>98</v>
      </c>
      <c r="E1" s="88" t="s">
        <v>99</v>
      </c>
      <c r="F1" s="88" t="s">
        <v>100</v>
      </c>
      <c r="G1" s="88" t="s">
        <v>101</v>
      </c>
      <c r="H1" s="88" t="s">
        <v>64</v>
      </c>
      <c r="I1" s="88" t="s">
        <v>124</v>
      </c>
      <c r="J1" s="88" t="s">
        <v>125</v>
      </c>
      <c r="K1" s="88" t="s">
        <v>126</v>
      </c>
      <c r="L1" s="88" t="s">
        <v>102</v>
      </c>
      <c r="M1" s="88" t="s">
        <v>103</v>
      </c>
      <c r="N1" s="89" t="s">
        <v>104</v>
      </c>
      <c r="O1" s="87" t="s">
        <v>127</v>
      </c>
      <c r="P1" s="90" t="s">
        <v>117</v>
      </c>
      <c r="Q1" s="90" t="s">
        <v>133</v>
      </c>
      <c r="R1" s="91" t="s">
        <v>128</v>
      </c>
      <c r="S1" s="91" t="s">
        <v>155</v>
      </c>
      <c r="T1" s="92" t="s">
        <v>129</v>
      </c>
      <c r="U1" s="91" t="s">
        <v>130</v>
      </c>
      <c r="V1" s="92" t="s">
        <v>118</v>
      </c>
      <c r="W1" s="93" t="s">
        <v>131</v>
      </c>
      <c r="X1" s="92" t="s">
        <v>119</v>
      </c>
      <c r="Y1" s="91" t="s">
        <v>132</v>
      </c>
      <c r="Z1" s="92" t="s">
        <v>120</v>
      </c>
      <c r="AA1" s="92" t="s">
        <v>121</v>
      </c>
      <c r="AB1" s="92" t="s">
        <v>122</v>
      </c>
      <c r="AC1" s="94" t="s">
        <v>123</v>
      </c>
    </row>
    <row r="2" spans="1:29">
      <c r="A2" s="101" t="s">
        <v>153</v>
      </c>
      <c r="B2" t="s">
        <v>152</v>
      </c>
      <c r="C2" s="101" t="s">
        <v>151</v>
      </c>
      <c r="D2" s="112">
        <v>42975</v>
      </c>
      <c r="F2" s="112">
        <v>43291</v>
      </c>
      <c r="G2" t="s">
        <v>316</v>
      </c>
      <c r="H2" t="s">
        <v>136</v>
      </c>
      <c r="I2">
        <v>1</v>
      </c>
      <c r="J2">
        <v>1</v>
      </c>
      <c r="L2" s="101" t="s">
        <v>139</v>
      </c>
      <c r="M2" t="s">
        <v>154</v>
      </c>
      <c r="N2">
        <v>14.1</v>
      </c>
      <c r="O2" s="143">
        <v>1.5402344251288391</v>
      </c>
      <c r="Q2">
        <v>38.78</v>
      </c>
      <c r="T2">
        <v>104</v>
      </c>
      <c r="U2">
        <v>155</v>
      </c>
      <c r="V2">
        <v>133</v>
      </c>
      <c r="W2">
        <v>5.45</v>
      </c>
      <c r="X2">
        <v>8.6999999999999993</v>
      </c>
      <c r="Y2">
        <v>50.4</v>
      </c>
      <c r="Z2">
        <v>16.899999999999999</v>
      </c>
      <c r="AA2">
        <v>34.1</v>
      </c>
      <c r="AB2">
        <v>11.1</v>
      </c>
    </row>
    <row r="3" spans="1:29">
      <c r="A3" s="101" t="s">
        <v>153</v>
      </c>
      <c r="B3" t="s">
        <v>152</v>
      </c>
      <c r="C3" s="101" t="s">
        <v>151</v>
      </c>
      <c r="D3" s="112">
        <v>42975</v>
      </c>
      <c r="F3" s="112">
        <v>43291</v>
      </c>
      <c r="G3" t="s">
        <v>317</v>
      </c>
      <c r="H3" t="s">
        <v>136</v>
      </c>
      <c r="I3">
        <v>2</v>
      </c>
      <c r="J3">
        <v>1</v>
      </c>
      <c r="L3" s="101" t="s">
        <v>139</v>
      </c>
      <c r="M3" t="s">
        <v>154</v>
      </c>
      <c r="N3">
        <v>14.1</v>
      </c>
      <c r="O3" s="143"/>
      <c r="Q3">
        <v>43.1</v>
      </c>
      <c r="T3">
        <v>104</v>
      </c>
      <c r="U3">
        <v>165</v>
      </c>
      <c r="V3">
        <v>132</v>
      </c>
      <c r="W3">
        <v>6.05</v>
      </c>
      <c r="X3">
        <v>8.6</v>
      </c>
      <c r="Y3">
        <v>52.2</v>
      </c>
      <c r="Z3">
        <v>16.7</v>
      </c>
      <c r="AA3">
        <v>34.9</v>
      </c>
      <c r="AB3">
        <v>14.8</v>
      </c>
    </row>
    <row r="4" spans="1:29">
      <c r="A4" s="101" t="s">
        <v>153</v>
      </c>
      <c r="B4" t="s">
        <v>152</v>
      </c>
      <c r="C4" s="101" t="s">
        <v>151</v>
      </c>
      <c r="D4" s="112">
        <v>42975</v>
      </c>
      <c r="F4" s="112">
        <v>43291</v>
      </c>
      <c r="G4" t="s">
        <v>318</v>
      </c>
      <c r="H4" t="s">
        <v>136</v>
      </c>
      <c r="I4">
        <v>1</v>
      </c>
      <c r="J4">
        <v>2</v>
      </c>
      <c r="L4" s="101" t="s">
        <v>140</v>
      </c>
      <c r="M4" t="s">
        <v>154</v>
      </c>
      <c r="N4">
        <v>14.1</v>
      </c>
      <c r="O4" s="143">
        <v>0.96973915143341261</v>
      </c>
      <c r="Q4">
        <v>29.72</v>
      </c>
      <c r="T4">
        <v>101</v>
      </c>
      <c r="U4">
        <v>130</v>
      </c>
      <c r="V4">
        <v>136</v>
      </c>
      <c r="W4">
        <v>4.1500000000000004</v>
      </c>
      <c r="X4">
        <v>8.1</v>
      </c>
      <c r="Y4">
        <v>49.9</v>
      </c>
      <c r="Z4">
        <v>19.2</v>
      </c>
      <c r="AA4">
        <v>38.299999999999997</v>
      </c>
      <c r="AB4">
        <v>10.7</v>
      </c>
    </row>
    <row r="5" spans="1:29">
      <c r="A5" s="101" t="s">
        <v>153</v>
      </c>
      <c r="B5" t="s">
        <v>152</v>
      </c>
      <c r="C5" s="101" t="s">
        <v>151</v>
      </c>
      <c r="D5" s="112">
        <v>42975</v>
      </c>
      <c r="F5" s="112">
        <v>43291</v>
      </c>
      <c r="G5" t="s">
        <v>319</v>
      </c>
      <c r="H5" t="s">
        <v>136</v>
      </c>
      <c r="I5">
        <v>2</v>
      </c>
      <c r="J5">
        <v>2</v>
      </c>
      <c r="L5" s="101" t="s">
        <v>140</v>
      </c>
      <c r="M5" t="s">
        <v>154</v>
      </c>
      <c r="N5">
        <v>14.1</v>
      </c>
      <c r="O5" s="143"/>
      <c r="Q5">
        <v>30.66</v>
      </c>
      <c r="T5">
        <v>101</v>
      </c>
      <c r="U5">
        <v>140</v>
      </c>
      <c r="V5">
        <v>137</v>
      </c>
      <c r="W5">
        <v>4.3</v>
      </c>
      <c r="X5">
        <v>8.5</v>
      </c>
      <c r="Y5">
        <v>50.4</v>
      </c>
      <c r="Z5">
        <v>19.100000000000001</v>
      </c>
      <c r="AA5">
        <v>38.5</v>
      </c>
      <c r="AB5">
        <v>11.4</v>
      </c>
    </row>
    <row r="6" spans="1:29">
      <c r="A6" s="101" t="s">
        <v>153</v>
      </c>
      <c r="B6" t="s">
        <v>152</v>
      </c>
      <c r="C6" s="101" t="s">
        <v>151</v>
      </c>
      <c r="D6" s="112">
        <v>42975</v>
      </c>
      <c r="F6" s="112">
        <v>43291</v>
      </c>
      <c r="G6" t="s">
        <v>320</v>
      </c>
      <c r="H6" t="s">
        <v>136</v>
      </c>
      <c r="I6">
        <v>1</v>
      </c>
      <c r="J6">
        <v>24</v>
      </c>
      <c r="L6" s="101" t="s">
        <v>141</v>
      </c>
      <c r="M6" t="s">
        <v>154</v>
      </c>
      <c r="N6">
        <v>14.1</v>
      </c>
      <c r="Q6">
        <v>49.89</v>
      </c>
      <c r="T6">
        <v>103</v>
      </c>
      <c r="U6">
        <v>165</v>
      </c>
      <c r="V6">
        <v>136</v>
      </c>
      <c r="W6">
        <v>6.95</v>
      </c>
      <c r="X6">
        <v>7.9</v>
      </c>
      <c r="Y6">
        <v>50.7</v>
      </c>
      <c r="Z6">
        <v>17.2</v>
      </c>
      <c r="AA6">
        <v>34.9</v>
      </c>
      <c r="AB6">
        <v>13</v>
      </c>
    </row>
    <row r="7" spans="1:29">
      <c r="A7" s="101" t="s">
        <v>153</v>
      </c>
      <c r="B7" t="s">
        <v>152</v>
      </c>
      <c r="C7" s="101" t="s">
        <v>151</v>
      </c>
      <c r="D7" s="112">
        <v>42975</v>
      </c>
      <c r="F7" s="112">
        <v>43291</v>
      </c>
      <c r="G7" t="s">
        <v>321</v>
      </c>
      <c r="H7" t="s">
        <v>136</v>
      </c>
      <c r="I7">
        <v>2</v>
      </c>
      <c r="J7">
        <v>24</v>
      </c>
      <c r="L7" s="101" t="s">
        <v>141</v>
      </c>
      <c r="M7" t="s">
        <v>154</v>
      </c>
      <c r="N7">
        <v>14.1</v>
      </c>
      <c r="Q7">
        <v>56.52</v>
      </c>
      <c r="T7">
        <v>105</v>
      </c>
      <c r="U7">
        <v>170</v>
      </c>
      <c r="V7">
        <v>137</v>
      </c>
      <c r="W7">
        <v>7.9</v>
      </c>
      <c r="X7">
        <v>8.1999999999999993</v>
      </c>
      <c r="Y7">
        <v>50.4</v>
      </c>
      <c r="Z7">
        <v>17.100000000000001</v>
      </c>
      <c r="AA7">
        <v>34.5</v>
      </c>
      <c r="AB7">
        <v>15.9</v>
      </c>
    </row>
    <row r="8" spans="1:29">
      <c r="A8" s="101" t="s">
        <v>153</v>
      </c>
      <c r="B8" t="s">
        <v>152</v>
      </c>
      <c r="C8" s="101" t="s">
        <v>151</v>
      </c>
      <c r="D8" s="112">
        <v>42975</v>
      </c>
      <c r="F8" s="112">
        <v>43291</v>
      </c>
      <c r="G8" t="s">
        <v>322</v>
      </c>
      <c r="H8" t="s">
        <v>136</v>
      </c>
      <c r="I8">
        <v>1</v>
      </c>
      <c r="J8">
        <v>25</v>
      </c>
      <c r="L8" s="101" t="s">
        <v>142</v>
      </c>
      <c r="M8" t="s">
        <v>154</v>
      </c>
      <c r="N8">
        <v>14.1</v>
      </c>
      <c r="Q8">
        <v>31.86</v>
      </c>
      <c r="T8">
        <v>105</v>
      </c>
      <c r="U8">
        <v>135</v>
      </c>
      <c r="V8">
        <v>135</v>
      </c>
      <c r="W8">
        <v>4.4000000000000004</v>
      </c>
      <c r="X8">
        <v>7.1</v>
      </c>
      <c r="Y8">
        <v>50</v>
      </c>
      <c r="Z8">
        <v>18.3</v>
      </c>
      <c r="AA8">
        <v>36.6</v>
      </c>
      <c r="AB8">
        <v>15.3</v>
      </c>
    </row>
    <row r="9" spans="1:29">
      <c r="A9" s="101" t="s">
        <v>153</v>
      </c>
      <c r="B9" t="s">
        <v>152</v>
      </c>
      <c r="C9" s="101" t="s">
        <v>151</v>
      </c>
      <c r="D9" s="112">
        <v>42975</v>
      </c>
      <c r="F9" s="112">
        <v>43291</v>
      </c>
      <c r="G9" t="s">
        <v>323</v>
      </c>
      <c r="H9" t="s">
        <v>136</v>
      </c>
      <c r="I9">
        <v>2</v>
      </c>
      <c r="J9">
        <v>25</v>
      </c>
      <c r="L9" s="101" t="s">
        <v>142</v>
      </c>
      <c r="M9" t="s">
        <v>154</v>
      </c>
      <c r="N9">
        <v>14.1</v>
      </c>
      <c r="Q9">
        <v>35.450000000000003</v>
      </c>
      <c r="T9">
        <v>106</v>
      </c>
      <c r="U9">
        <v>135</v>
      </c>
      <c r="V9">
        <v>135</v>
      </c>
      <c r="W9">
        <v>4.95</v>
      </c>
      <c r="X9">
        <v>8.1</v>
      </c>
      <c r="Y9">
        <v>49.7</v>
      </c>
      <c r="Z9">
        <v>17.7</v>
      </c>
      <c r="AA9">
        <v>35.200000000000003</v>
      </c>
      <c r="AB9">
        <v>17.5</v>
      </c>
    </row>
    <row r="10" spans="1:29">
      <c r="A10" s="101" t="s">
        <v>153</v>
      </c>
      <c r="B10" t="s">
        <v>152</v>
      </c>
      <c r="C10" s="101" t="s">
        <v>151</v>
      </c>
      <c r="D10" s="112">
        <v>42975</v>
      </c>
      <c r="F10" s="112">
        <v>43291</v>
      </c>
      <c r="G10" t="s">
        <v>324</v>
      </c>
      <c r="H10" t="s">
        <v>136</v>
      </c>
      <c r="I10">
        <v>1</v>
      </c>
      <c r="J10">
        <v>26</v>
      </c>
      <c r="L10" s="101" t="s">
        <v>143</v>
      </c>
      <c r="M10" t="s">
        <v>154</v>
      </c>
      <c r="N10">
        <v>14.1</v>
      </c>
      <c r="Q10">
        <v>21.33</v>
      </c>
      <c r="T10">
        <v>101</v>
      </c>
      <c r="U10">
        <v>170</v>
      </c>
      <c r="V10">
        <v>135</v>
      </c>
      <c r="W10">
        <v>2.8250000000000002</v>
      </c>
      <c r="X10">
        <v>3.1</v>
      </c>
      <c r="Y10">
        <v>53.5</v>
      </c>
      <c r="Z10">
        <v>15</v>
      </c>
      <c r="AA10">
        <v>32.299999999999997</v>
      </c>
      <c r="AB10">
        <v>7.8</v>
      </c>
    </row>
    <row r="11" spans="1:29">
      <c r="A11" s="101" t="s">
        <v>153</v>
      </c>
      <c r="B11" t="s">
        <v>152</v>
      </c>
      <c r="C11" s="101" t="s">
        <v>151</v>
      </c>
      <c r="D11" s="112">
        <v>42975</v>
      </c>
      <c r="F11" s="112">
        <v>43291</v>
      </c>
      <c r="G11" t="s">
        <v>325</v>
      </c>
      <c r="H11" t="s">
        <v>136</v>
      </c>
      <c r="I11">
        <v>2</v>
      </c>
      <c r="J11">
        <v>26</v>
      </c>
      <c r="L11" s="101" t="s">
        <v>143</v>
      </c>
      <c r="M11" t="s">
        <v>154</v>
      </c>
      <c r="N11">
        <v>14.1</v>
      </c>
      <c r="Q11">
        <v>45.15</v>
      </c>
      <c r="T11">
        <v>101</v>
      </c>
      <c r="U11">
        <v>170</v>
      </c>
      <c r="V11">
        <v>134</v>
      </c>
      <c r="W11">
        <v>6.25</v>
      </c>
      <c r="X11">
        <v>7.3</v>
      </c>
      <c r="Y11">
        <v>52.3</v>
      </c>
      <c r="Z11">
        <v>16.5</v>
      </c>
      <c r="AA11">
        <v>34.6</v>
      </c>
      <c r="AB11">
        <v>11.8</v>
      </c>
    </row>
    <row r="12" spans="1:29">
      <c r="A12" s="101" t="s">
        <v>153</v>
      </c>
      <c r="B12" t="s">
        <v>152</v>
      </c>
      <c r="C12" s="101" t="s">
        <v>151</v>
      </c>
      <c r="D12" s="112">
        <v>42975</v>
      </c>
      <c r="F12" s="112">
        <v>43291</v>
      </c>
      <c r="G12" t="s">
        <v>326</v>
      </c>
      <c r="H12" t="s">
        <v>136</v>
      </c>
      <c r="I12">
        <v>1</v>
      </c>
      <c r="J12">
        <v>27</v>
      </c>
      <c r="L12" s="101" t="s">
        <v>144</v>
      </c>
      <c r="M12" t="s">
        <v>154</v>
      </c>
      <c r="N12">
        <v>14.1</v>
      </c>
      <c r="Q12">
        <v>21.99</v>
      </c>
      <c r="T12">
        <v>106</v>
      </c>
      <c r="U12">
        <v>135</v>
      </c>
      <c r="V12">
        <v>138</v>
      </c>
      <c r="W12">
        <v>3.05</v>
      </c>
      <c r="X12">
        <v>7.5</v>
      </c>
      <c r="Y12">
        <v>51.4</v>
      </c>
      <c r="Z12">
        <v>17.100000000000001</v>
      </c>
      <c r="AA12">
        <v>35.200000000000003</v>
      </c>
      <c r="AB12">
        <v>13.2</v>
      </c>
    </row>
    <row r="13" spans="1:29">
      <c r="A13" s="101" t="s">
        <v>153</v>
      </c>
      <c r="B13" t="s">
        <v>152</v>
      </c>
      <c r="C13" s="101" t="s">
        <v>151</v>
      </c>
      <c r="D13" s="112">
        <v>42975</v>
      </c>
      <c r="F13" s="112">
        <v>43291</v>
      </c>
      <c r="G13" t="s">
        <v>327</v>
      </c>
      <c r="H13" t="s">
        <v>136</v>
      </c>
      <c r="I13">
        <v>2</v>
      </c>
      <c r="J13">
        <v>27</v>
      </c>
      <c r="L13" s="101" t="s">
        <v>144</v>
      </c>
      <c r="M13" t="s">
        <v>154</v>
      </c>
      <c r="N13">
        <v>14.1</v>
      </c>
      <c r="Q13">
        <v>16.05</v>
      </c>
      <c r="T13">
        <v>106</v>
      </c>
      <c r="U13">
        <v>140</v>
      </c>
      <c r="V13">
        <v>137</v>
      </c>
      <c r="W13">
        <v>2.25</v>
      </c>
      <c r="X13">
        <v>8.5</v>
      </c>
      <c r="Y13">
        <v>50.7</v>
      </c>
      <c r="Z13">
        <v>17.2</v>
      </c>
      <c r="AA13">
        <v>34.9</v>
      </c>
      <c r="AB13">
        <v>14.8</v>
      </c>
    </row>
    <row r="14" spans="1:29">
      <c r="A14" s="101" t="s">
        <v>153</v>
      </c>
      <c r="B14" t="s">
        <v>152</v>
      </c>
      <c r="C14" s="101" t="s">
        <v>151</v>
      </c>
      <c r="D14" s="112">
        <v>42975</v>
      </c>
      <c r="F14" s="112">
        <v>43291</v>
      </c>
      <c r="G14" t="s">
        <v>328</v>
      </c>
      <c r="H14" t="s">
        <v>136</v>
      </c>
      <c r="I14">
        <v>1</v>
      </c>
      <c r="J14">
        <v>28</v>
      </c>
      <c r="L14" s="101" t="s">
        <v>145</v>
      </c>
      <c r="M14" t="s">
        <v>154</v>
      </c>
      <c r="N14">
        <v>14.1</v>
      </c>
      <c r="Q14">
        <v>55.86</v>
      </c>
      <c r="T14">
        <v>103</v>
      </c>
      <c r="U14">
        <v>160</v>
      </c>
      <c r="V14">
        <v>134</v>
      </c>
      <c r="W14">
        <v>7.85</v>
      </c>
      <c r="X14">
        <v>8.6999999999999993</v>
      </c>
      <c r="Y14">
        <v>50.5</v>
      </c>
      <c r="Z14">
        <v>17.7</v>
      </c>
      <c r="AA14">
        <v>35.799999999999997</v>
      </c>
      <c r="AB14">
        <v>9.8000000000000007</v>
      </c>
    </row>
    <row r="15" spans="1:29">
      <c r="A15" s="101" t="s">
        <v>153</v>
      </c>
      <c r="B15" t="s">
        <v>152</v>
      </c>
      <c r="C15" s="101" t="s">
        <v>151</v>
      </c>
      <c r="D15" s="112">
        <v>42975</v>
      </c>
      <c r="F15" s="112">
        <v>43291</v>
      </c>
      <c r="G15" t="s">
        <v>329</v>
      </c>
      <c r="H15" t="s">
        <v>136</v>
      </c>
      <c r="I15">
        <v>2</v>
      </c>
      <c r="J15">
        <v>28</v>
      </c>
      <c r="L15" s="101" t="s">
        <v>145</v>
      </c>
      <c r="M15" t="s">
        <v>154</v>
      </c>
      <c r="N15">
        <v>14.1</v>
      </c>
      <c r="Q15">
        <v>42.99</v>
      </c>
      <c r="T15">
        <v>103</v>
      </c>
      <c r="U15">
        <v>160</v>
      </c>
      <c r="V15">
        <v>135</v>
      </c>
      <c r="W15">
        <v>5.95</v>
      </c>
      <c r="X15">
        <v>7.3</v>
      </c>
      <c r="Y15">
        <v>50.4</v>
      </c>
      <c r="Z15">
        <v>17.7</v>
      </c>
      <c r="AA15">
        <v>35.700000000000003</v>
      </c>
      <c r="AB15">
        <v>10.4</v>
      </c>
    </row>
    <row r="16" spans="1:29">
      <c r="A16" s="101" t="s">
        <v>153</v>
      </c>
      <c r="B16" t="s">
        <v>152</v>
      </c>
      <c r="C16" s="101" t="s">
        <v>151</v>
      </c>
      <c r="D16" s="112">
        <v>42975</v>
      </c>
      <c r="F16" s="112">
        <v>43291</v>
      </c>
      <c r="G16" t="s">
        <v>330</v>
      </c>
      <c r="H16" t="s">
        <v>136</v>
      </c>
      <c r="I16">
        <v>1</v>
      </c>
      <c r="J16">
        <v>29</v>
      </c>
      <c r="L16" s="101" t="s">
        <v>146</v>
      </c>
      <c r="M16" t="s">
        <v>154</v>
      </c>
      <c r="N16">
        <v>14.1</v>
      </c>
      <c r="Q16">
        <v>42.08</v>
      </c>
      <c r="T16">
        <v>100</v>
      </c>
      <c r="U16">
        <v>155</v>
      </c>
      <c r="V16">
        <v>131</v>
      </c>
      <c r="W16">
        <v>5.85</v>
      </c>
      <c r="X16">
        <v>7.7</v>
      </c>
      <c r="Y16">
        <v>50.9</v>
      </c>
      <c r="Z16">
        <v>17.3</v>
      </c>
      <c r="AA16">
        <v>35.200000000000003</v>
      </c>
      <c r="AB16">
        <v>15.6</v>
      </c>
    </row>
    <row r="17" spans="1:28">
      <c r="A17" s="101" t="s">
        <v>153</v>
      </c>
      <c r="B17" t="s">
        <v>152</v>
      </c>
      <c r="C17" s="101" t="s">
        <v>151</v>
      </c>
      <c r="D17" s="112">
        <v>42975</v>
      </c>
      <c r="F17" s="112">
        <v>43291</v>
      </c>
      <c r="G17" t="s">
        <v>331</v>
      </c>
      <c r="H17" t="s">
        <v>136</v>
      </c>
      <c r="I17">
        <v>2</v>
      </c>
      <c r="J17">
        <v>29</v>
      </c>
      <c r="L17" s="101" t="s">
        <v>146</v>
      </c>
      <c r="M17" t="s">
        <v>154</v>
      </c>
      <c r="N17">
        <v>14.1</v>
      </c>
      <c r="Q17">
        <v>43.43</v>
      </c>
      <c r="T17">
        <v>101</v>
      </c>
      <c r="U17">
        <v>155</v>
      </c>
      <c r="V17">
        <v>132</v>
      </c>
      <c r="W17">
        <v>6.05</v>
      </c>
      <c r="X17">
        <v>7.9</v>
      </c>
      <c r="Y17">
        <v>51.6</v>
      </c>
      <c r="Z17">
        <v>16.8</v>
      </c>
      <c r="AA17">
        <v>34.700000000000003</v>
      </c>
      <c r="AB17">
        <v>16.7</v>
      </c>
    </row>
    <row r="18" spans="1:28">
      <c r="A18" s="101" t="s">
        <v>153</v>
      </c>
      <c r="B18" t="s">
        <v>152</v>
      </c>
      <c r="C18" s="101" t="s">
        <v>151</v>
      </c>
      <c r="D18" s="112">
        <v>42975</v>
      </c>
      <c r="F18" s="112">
        <v>43291</v>
      </c>
      <c r="G18" t="s">
        <v>332</v>
      </c>
      <c r="H18" t="s">
        <v>136</v>
      </c>
      <c r="I18">
        <v>1</v>
      </c>
      <c r="J18">
        <v>30</v>
      </c>
      <c r="L18" s="101" t="s">
        <v>147</v>
      </c>
      <c r="M18" t="s">
        <v>154</v>
      </c>
      <c r="N18">
        <v>14.1</v>
      </c>
      <c r="Q18">
        <v>49.67</v>
      </c>
      <c r="T18">
        <v>105</v>
      </c>
      <c r="U18">
        <v>160</v>
      </c>
      <c r="V18">
        <v>136</v>
      </c>
      <c r="W18">
        <v>6.95</v>
      </c>
      <c r="X18">
        <v>8.3000000000000007</v>
      </c>
      <c r="Y18">
        <v>51.5</v>
      </c>
      <c r="Z18">
        <v>16.899999999999999</v>
      </c>
      <c r="AA18">
        <v>34.799999999999997</v>
      </c>
      <c r="AB18">
        <v>13</v>
      </c>
    </row>
    <row r="19" spans="1:28">
      <c r="A19" s="101" t="s">
        <v>153</v>
      </c>
      <c r="B19" t="s">
        <v>152</v>
      </c>
      <c r="C19" s="101" t="s">
        <v>151</v>
      </c>
      <c r="D19" s="112">
        <v>42975</v>
      </c>
      <c r="F19" s="112">
        <v>43291</v>
      </c>
      <c r="G19" t="s">
        <v>333</v>
      </c>
      <c r="H19" t="s">
        <v>136</v>
      </c>
      <c r="I19">
        <v>2</v>
      </c>
      <c r="J19">
        <v>30</v>
      </c>
      <c r="L19" s="101" t="s">
        <v>147</v>
      </c>
      <c r="M19" t="s">
        <v>154</v>
      </c>
      <c r="N19">
        <v>14.1</v>
      </c>
      <c r="Q19">
        <v>53.13</v>
      </c>
      <c r="T19">
        <v>104</v>
      </c>
      <c r="U19">
        <v>170</v>
      </c>
      <c r="V19">
        <v>137</v>
      </c>
      <c r="W19">
        <v>7.45</v>
      </c>
      <c r="X19">
        <v>8.5</v>
      </c>
      <c r="Y19">
        <v>50.1</v>
      </c>
      <c r="Z19">
        <v>17.8</v>
      </c>
      <c r="AA19">
        <v>35.700000000000003</v>
      </c>
      <c r="AB19">
        <v>14.6</v>
      </c>
    </row>
    <row r="20" spans="1:28">
      <c r="A20" s="101" t="s">
        <v>153</v>
      </c>
      <c r="B20" t="s">
        <v>152</v>
      </c>
      <c r="C20" s="101" t="s">
        <v>151</v>
      </c>
      <c r="D20" s="112">
        <v>42975</v>
      </c>
      <c r="F20" s="112">
        <v>43291</v>
      </c>
      <c r="G20" t="s">
        <v>334</v>
      </c>
      <c r="H20" t="s">
        <v>136</v>
      </c>
      <c r="I20">
        <v>1</v>
      </c>
      <c r="J20">
        <v>31</v>
      </c>
      <c r="L20" s="101" t="s">
        <v>148</v>
      </c>
      <c r="M20" t="s">
        <v>154</v>
      </c>
      <c r="N20">
        <v>14.1</v>
      </c>
      <c r="Q20">
        <v>42.17</v>
      </c>
      <c r="T20">
        <v>102</v>
      </c>
      <c r="U20">
        <v>165</v>
      </c>
      <c r="V20">
        <v>134</v>
      </c>
      <c r="W20">
        <v>5.75</v>
      </c>
      <c r="X20">
        <v>5.9</v>
      </c>
    </row>
    <row r="21" spans="1:28">
      <c r="A21" s="101" t="s">
        <v>153</v>
      </c>
      <c r="B21" t="s">
        <v>152</v>
      </c>
      <c r="C21" s="101" t="s">
        <v>151</v>
      </c>
      <c r="D21" s="112">
        <v>42975</v>
      </c>
      <c r="F21" s="112">
        <v>43291</v>
      </c>
      <c r="G21" t="s">
        <v>335</v>
      </c>
      <c r="H21" t="s">
        <v>136</v>
      </c>
      <c r="I21">
        <v>2</v>
      </c>
      <c r="J21">
        <v>31</v>
      </c>
      <c r="L21" s="101" t="s">
        <v>148</v>
      </c>
      <c r="M21" t="s">
        <v>154</v>
      </c>
      <c r="N21">
        <v>14.1</v>
      </c>
      <c r="Q21">
        <v>48.9</v>
      </c>
      <c r="T21">
        <v>102</v>
      </c>
      <c r="U21">
        <v>175</v>
      </c>
      <c r="V21">
        <v>134</v>
      </c>
      <c r="W21">
        <v>6.85</v>
      </c>
      <c r="X21">
        <v>8.4</v>
      </c>
      <c r="Y21">
        <v>51.9</v>
      </c>
      <c r="Z21">
        <v>15.6</v>
      </c>
      <c r="AA21">
        <v>32.4</v>
      </c>
      <c r="AB21">
        <v>14.2</v>
      </c>
    </row>
    <row r="22" spans="1:28">
      <c r="A22" s="101" t="s">
        <v>153</v>
      </c>
      <c r="B22" t="s">
        <v>152</v>
      </c>
      <c r="C22" s="101" t="s">
        <v>151</v>
      </c>
      <c r="D22" s="112">
        <v>42975</v>
      </c>
      <c r="F22" s="112">
        <v>43291</v>
      </c>
      <c r="G22" t="s">
        <v>336</v>
      </c>
      <c r="H22" t="s">
        <v>136</v>
      </c>
      <c r="I22">
        <v>1</v>
      </c>
      <c r="J22">
        <v>32</v>
      </c>
      <c r="L22" s="101" t="s">
        <v>149</v>
      </c>
      <c r="M22" t="s">
        <v>154</v>
      </c>
      <c r="N22">
        <v>14.1</v>
      </c>
      <c r="Q22">
        <v>45.79</v>
      </c>
      <c r="T22">
        <v>105</v>
      </c>
      <c r="U22">
        <v>160</v>
      </c>
      <c r="V22">
        <v>136</v>
      </c>
      <c r="W22">
        <v>6.4</v>
      </c>
      <c r="X22">
        <v>8.1999999999999993</v>
      </c>
      <c r="Y22">
        <v>52.8</v>
      </c>
      <c r="Z22">
        <v>15.5</v>
      </c>
      <c r="AA22">
        <v>32.799999999999997</v>
      </c>
      <c r="AB22">
        <v>13.3</v>
      </c>
    </row>
    <row r="23" spans="1:28">
      <c r="A23" s="101" t="s">
        <v>153</v>
      </c>
      <c r="B23" t="s">
        <v>152</v>
      </c>
      <c r="C23" s="101" t="s">
        <v>151</v>
      </c>
      <c r="D23" s="112">
        <v>42975</v>
      </c>
      <c r="F23" s="112">
        <v>43291</v>
      </c>
      <c r="G23" t="s">
        <v>337</v>
      </c>
      <c r="H23" t="s">
        <v>136</v>
      </c>
      <c r="I23">
        <v>2</v>
      </c>
      <c r="J23">
        <v>32</v>
      </c>
      <c r="L23" s="101" t="s">
        <v>149</v>
      </c>
      <c r="M23" t="s">
        <v>154</v>
      </c>
      <c r="N23">
        <v>14.1</v>
      </c>
      <c r="Q23">
        <v>43.14</v>
      </c>
      <c r="T23">
        <v>103</v>
      </c>
      <c r="U23">
        <v>170</v>
      </c>
      <c r="V23">
        <v>133</v>
      </c>
      <c r="W23">
        <v>6.05</v>
      </c>
      <c r="X23">
        <v>8.5</v>
      </c>
      <c r="Y23">
        <v>52</v>
      </c>
      <c r="Z23">
        <v>16.3</v>
      </c>
      <c r="AA23">
        <v>34</v>
      </c>
      <c r="AB23">
        <v>13.8</v>
      </c>
    </row>
    <row r="24" spans="1:28">
      <c r="A24" s="101" t="s">
        <v>153</v>
      </c>
      <c r="B24" t="s">
        <v>152</v>
      </c>
      <c r="C24" s="101" t="s">
        <v>151</v>
      </c>
      <c r="D24" s="112">
        <v>42975</v>
      </c>
      <c r="F24" s="112">
        <v>43291</v>
      </c>
      <c r="G24" t="s">
        <v>338</v>
      </c>
      <c r="H24" t="s">
        <v>136</v>
      </c>
      <c r="I24">
        <v>1</v>
      </c>
      <c r="J24">
        <v>33</v>
      </c>
      <c r="L24" s="101" t="s">
        <v>150</v>
      </c>
      <c r="M24" t="s">
        <v>154</v>
      </c>
      <c r="N24">
        <v>14.1</v>
      </c>
      <c r="Q24">
        <v>48.44</v>
      </c>
      <c r="T24">
        <v>105</v>
      </c>
      <c r="U24">
        <v>165</v>
      </c>
      <c r="V24">
        <v>132</v>
      </c>
      <c r="W24">
        <v>6.8</v>
      </c>
      <c r="X24">
        <v>8.6</v>
      </c>
      <c r="Y24">
        <v>50.8</v>
      </c>
      <c r="Z24">
        <v>16.8</v>
      </c>
      <c r="AA24">
        <v>34.1</v>
      </c>
      <c r="AB24">
        <v>12.7</v>
      </c>
    </row>
    <row r="25" spans="1:28">
      <c r="A25" s="101" t="s">
        <v>153</v>
      </c>
      <c r="B25" t="s">
        <v>152</v>
      </c>
      <c r="C25" s="101" t="s">
        <v>151</v>
      </c>
      <c r="D25" s="112">
        <v>42975</v>
      </c>
      <c r="F25" s="112">
        <v>43291</v>
      </c>
      <c r="G25" t="s">
        <v>339</v>
      </c>
      <c r="H25" t="s">
        <v>136</v>
      </c>
      <c r="I25">
        <v>2</v>
      </c>
      <c r="J25">
        <v>33</v>
      </c>
      <c r="L25" s="101" t="s">
        <v>150</v>
      </c>
      <c r="M25" t="s">
        <v>154</v>
      </c>
      <c r="N25">
        <v>14.1</v>
      </c>
      <c r="Q25">
        <v>48.14</v>
      </c>
      <c r="T25">
        <v>104</v>
      </c>
      <c r="U25">
        <v>165</v>
      </c>
      <c r="V25">
        <v>133</v>
      </c>
      <c r="W25">
        <v>6.75</v>
      </c>
      <c r="X25">
        <v>8.5</v>
      </c>
      <c r="Y25">
        <v>51.5</v>
      </c>
      <c r="Z25">
        <v>16.3</v>
      </c>
      <c r="AA25">
        <v>33.6</v>
      </c>
      <c r="AB25">
        <v>13.8</v>
      </c>
    </row>
    <row r="34" spans="10:10">
      <c r="J34" s="113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/>
  </sheetPr>
  <dimension ref="A1:K397"/>
  <sheetViews>
    <sheetView workbookViewId="0">
      <selection activeCell="M9" sqref="M9"/>
    </sheetView>
  </sheetViews>
  <sheetFormatPr baseColWidth="10" defaultRowHeight="15"/>
  <cols>
    <col min="10" max="10" width="15.5703125" style="117" bestFit="1" customWidth="1"/>
    <col min="11" max="11" width="21.7109375" style="117" customWidth="1"/>
  </cols>
  <sheetData>
    <row r="1" spans="1:11">
      <c r="A1" t="s">
        <v>97</v>
      </c>
      <c r="B1" t="s">
        <v>61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s="117" t="s">
        <v>348</v>
      </c>
      <c r="K1" s="117" t="s">
        <v>349</v>
      </c>
    </row>
    <row r="2" spans="1:11">
      <c r="A2" t="s">
        <v>347</v>
      </c>
      <c r="B2" s="112">
        <v>42948</v>
      </c>
      <c r="C2">
        <v>1</v>
      </c>
      <c r="D2">
        <v>8</v>
      </c>
      <c r="E2">
        <v>2017</v>
      </c>
      <c r="F2">
        <v>31</v>
      </c>
      <c r="G2">
        <v>213</v>
      </c>
      <c r="H2" s="118">
        <v>15.4273376464844</v>
      </c>
      <c r="I2" s="118">
        <v>47.4346313476562</v>
      </c>
      <c r="J2">
        <v>0</v>
      </c>
      <c r="K2">
        <v>5.9</v>
      </c>
    </row>
    <row r="3" spans="1:11">
      <c r="A3" t="s">
        <v>347</v>
      </c>
      <c r="B3" s="112">
        <v>42949</v>
      </c>
      <c r="C3">
        <v>2</v>
      </c>
      <c r="D3">
        <v>8</v>
      </c>
      <c r="E3">
        <v>2017</v>
      </c>
      <c r="F3">
        <v>31</v>
      </c>
      <c r="G3">
        <v>214</v>
      </c>
      <c r="H3" s="118">
        <v>15.7449340820313</v>
      </c>
      <c r="I3" s="118">
        <v>38.8748779296875</v>
      </c>
      <c r="J3">
        <v>0.2</v>
      </c>
      <c r="K3">
        <v>5.4</v>
      </c>
    </row>
    <row r="4" spans="1:11">
      <c r="A4" t="s">
        <v>347</v>
      </c>
      <c r="B4" s="112">
        <v>42950</v>
      </c>
      <c r="C4">
        <v>3</v>
      </c>
      <c r="D4">
        <v>8</v>
      </c>
      <c r="E4">
        <v>2017</v>
      </c>
      <c r="F4">
        <v>31</v>
      </c>
      <c r="G4">
        <v>215</v>
      </c>
      <c r="H4" s="118">
        <v>18.2247009277344</v>
      </c>
      <c r="I4" s="118">
        <v>45.705902099609403</v>
      </c>
      <c r="J4">
        <v>0</v>
      </c>
      <c r="K4">
        <v>6.4</v>
      </c>
    </row>
    <row r="5" spans="1:11">
      <c r="A5" t="s">
        <v>347</v>
      </c>
      <c r="B5" s="112">
        <v>42951</v>
      </c>
      <c r="C5">
        <v>4</v>
      </c>
      <c r="D5">
        <v>8</v>
      </c>
      <c r="E5">
        <v>2017</v>
      </c>
      <c r="F5">
        <v>31</v>
      </c>
      <c r="G5">
        <v>216</v>
      </c>
      <c r="H5" s="118">
        <v>16.9410095214844</v>
      </c>
      <c r="I5" s="118">
        <v>28.4386901855469</v>
      </c>
      <c r="J5">
        <v>0.4</v>
      </c>
      <c r="K5">
        <v>4.2</v>
      </c>
    </row>
    <row r="6" spans="1:11">
      <c r="A6" t="s">
        <v>347</v>
      </c>
      <c r="B6" s="112">
        <v>42952</v>
      </c>
      <c r="C6">
        <v>5</v>
      </c>
      <c r="D6">
        <v>8</v>
      </c>
      <c r="E6">
        <v>2017</v>
      </c>
      <c r="F6">
        <v>31</v>
      </c>
      <c r="G6">
        <v>217</v>
      </c>
      <c r="H6" s="118">
        <v>13.9032592773437</v>
      </c>
      <c r="I6" s="118">
        <v>34.844696044921903</v>
      </c>
      <c r="J6">
        <v>0.2</v>
      </c>
      <c r="K6">
        <v>7.5</v>
      </c>
    </row>
    <row r="7" spans="1:11">
      <c r="A7" t="s">
        <v>347</v>
      </c>
      <c r="B7" s="112">
        <v>42953</v>
      </c>
      <c r="C7">
        <v>6</v>
      </c>
      <c r="D7">
        <v>8</v>
      </c>
      <c r="E7">
        <v>2017</v>
      </c>
      <c r="F7">
        <v>32</v>
      </c>
      <c r="G7">
        <v>218</v>
      </c>
      <c r="H7" s="118">
        <v>10.8376159667969</v>
      </c>
      <c r="I7" s="118">
        <v>47.741302490234403</v>
      </c>
      <c r="J7">
        <v>0</v>
      </c>
      <c r="K7">
        <v>13.4</v>
      </c>
    </row>
    <row r="8" spans="1:11">
      <c r="A8" t="s">
        <v>347</v>
      </c>
      <c r="B8" s="112">
        <v>42954</v>
      </c>
      <c r="C8">
        <v>7</v>
      </c>
      <c r="D8">
        <v>8</v>
      </c>
      <c r="E8">
        <v>2017</v>
      </c>
      <c r="F8">
        <v>32</v>
      </c>
      <c r="G8">
        <v>219</v>
      </c>
      <c r="H8" s="118">
        <v>12.5695190429688</v>
      </c>
      <c r="I8" s="118">
        <v>41.6065673828125</v>
      </c>
      <c r="J8">
        <v>0</v>
      </c>
      <c r="K8">
        <v>12.3</v>
      </c>
    </row>
    <row r="9" spans="1:11">
      <c r="A9" t="s">
        <v>347</v>
      </c>
      <c r="B9" s="112">
        <v>42955</v>
      </c>
      <c r="C9">
        <v>8</v>
      </c>
      <c r="D9">
        <v>8</v>
      </c>
      <c r="E9">
        <v>2017</v>
      </c>
      <c r="F9">
        <v>32</v>
      </c>
      <c r="G9">
        <v>220</v>
      </c>
      <c r="H9" s="118">
        <v>13.6572875976563</v>
      </c>
      <c r="I9" s="118">
        <v>31.8026123046875</v>
      </c>
      <c r="J9">
        <v>2.6</v>
      </c>
      <c r="K9">
        <v>2.2000000000000002</v>
      </c>
    </row>
    <row r="10" spans="1:11">
      <c r="A10" t="s">
        <v>347</v>
      </c>
      <c r="B10" s="112">
        <v>42956</v>
      </c>
      <c r="C10">
        <v>9</v>
      </c>
      <c r="D10">
        <v>8</v>
      </c>
      <c r="E10">
        <v>2017</v>
      </c>
      <c r="F10">
        <v>32</v>
      </c>
      <c r="G10">
        <v>221</v>
      </c>
      <c r="H10" s="118">
        <v>12.2427062988281</v>
      </c>
      <c r="I10" s="118">
        <v>21.5807495117187</v>
      </c>
      <c r="J10">
        <v>11.3</v>
      </c>
      <c r="K10">
        <v>3</v>
      </c>
    </row>
    <row r="11" spans="1:11">
      <c r="A11" t="s">
        <v>347</v>
      </c>
      <c r="B11" s="112">
        <v>42957</v>
      </c>
      <c r="C11">
        <v>10</v>
      </c>
      <c r="D11">
        <v>8</v>
      </c>
      <c r="E11">
        <v>2017</v>
      </c>
      <c r="F11">
        <v>32</v>
      </c>
      <c r="G11">
        <v>222</v>
      </c>
      <c r="H11" s="118">
        <v>12.0809631347656</v>
      </c>
      <c r="I11" s="118">
        <v>19.2704162597656</v>
      </c>
      <c r="J11">
        <v>1.2</v>
      </c>
      <c r="K11">
        <v>3.4</v>
      </c>
    </row>
    <row r="12" spans="1:11">
      <c r="A12" t="s">
        <v>347</v>
      </c>
      <c r="B12" s="112">
        <v>42958</v>
      </c>
      <c r="C12">
        <v>11</v>
      </c>
      <c r="D12">
        <v>8</v>
      </c>
      <c r="E12">
        <v>2017</v>
      </c>
      <c r="F12">
        <v>32</v>
      </c>
      <c r="G12">
        <v>223</v>
      </c>
      <c r="H12" s="118">
        <v>12.4259033203125</v>
      </c>
      <c r="I12" s="118">
        <v>34.1519775390625</v>
      </c>
      <c r="J12">
        <v>0</v>
      </c>
      <c r="K12">
        <v>3.7</v>
      </c>
    </row>
    <row r="13" spans="1:11">
      <c r="A13" t="s">
        <v>347</v>
      </c>
      <c r="B13" s="112">
        <v>42959</v>
      </c>
      <c r="C13">
        <v>12</v>
      </c>
      <c r="D13">
        <v>8</v>
      </c>
      <c r="E13">
        <v>2017</v>
      </c>
      <c r="F13">
        <v>32</v>
      </c>
      <c r="G13">
        <v>224</v>
      </c>
      <c r="H13" s="118">
        <v>13.2798461914062</v>
      </c>
      <c r="I13" s="118">
        <v>19.3898315429687</v>
      </c>
      <c r="J13">
        <v>2</v>
      </c>
      <c r="K13">
        <v>0</v>
      </c>
    </row>
    <row r="14" spans="1:11">
      <c r="A14" t="s">
        <v>347</v>
      </c>
      <c r="B14" s="112">
        <v>42960</v>
      </c>
      <c r="C14">
        <v>13</v>
      </c>
      <c r="D14">
        <v>8</v>
      </c>
      <c r="E14">
        <v>2017</v>
      </c>
      <c r="F14">
        <v>33</v>
      </c>
      <c r="G14">
        <v>225</v>
      </c>
      <c r="H14" s="118">
        <v>12.8524780273437</v>
      </c>
      <c r="I14" s="118">
        <v>45.7032470703125</v>
      </c>
      <c r="J14">
        <v>0.2</v>
      </c>
      <c r="K14">
        <v>6</v>
      </c>
    </row>
    <row r="15" spans="1:11">
      <c r="A15" t="s">
        <v>347</v>
      </c>
      <c r="B15" s="112">
        <v>42961</v>
      </c>
      <c r="C15">
        <v>14</v>
      </c>
      <c r="D15">
        <v>8</v>
      </c>
      <c r="E15">
        <v>2017</v>
      </c>
      <c r="F15">
        <v>33</v>
      </c>
      <c r="G15">
        <v>226</v>
      </c>
      <c r="H15" s="118">
        <v>11.8419494628906</v>
      </c>
      <c r="I15" s="118">
        <v>44.5330810546875</v>
      </c>
      <c r="J15">
        <v>0</v>
      </c>
      <c r="K15">
        <v>10</v>
      </c>
    </row>
    <row r="16" spans="1:11">
      <c r="A16" t="s">
        <v>347</v>
      </c>
      <c r="B16" s="112">
        <v>42962</v>
      </c>
      <c r="C16">
        <v>15</v>
      </c>
      <c r="D16">
        <v>8</v>
      </c>
      <c r="E16">
        <v>2017</v>
      </c>
      <c r="F16">
        <v>33</v>
      </c>
      <c r="G16">
        <v>227</v>
      </c>
      <c r="H16" s="118">
        <v>16.8985290527344</v>
      </c>
      <c r="I16" s="118">
        <v>32.5813598632812</v>
      </c>
      <c r="J16">
        <v>3</v>
      </c>
      <c r="K16">
        <v>1.9</v>
      </c>
    </row>
    <row r="17" spans="1:11">
      <c r="A17" t="s">
        <v>347</v>
      </c>
      <c r="B17" s="112">
        <v>42963</v>
      </c>
      <c r="C17">
        <v>16</v>
      </c>
      <c r="D17">
        <v>8</v>
      </c>
      <c r="E17">
        <v>2017</v>
      </c>
      <c r="F17">
        <v>33</v>
      </c>
      <c r="G17">
        <v>228</v>
      </c>
      <c r="H17" s="118">
        <v>14.6588134765625</v>
      </c>
      <c r="I17" s="118">
        <v>34.4628295898438</v>
      </c>
      <c r="J17">
        <v>0</v>
      </c>
      <c r="K17">
        <v>4</v>
      </c>
    </row>
    <row r="18" spans="1:11">
      <c r="A18" t="s">
        <v>347</v>
      </c>
      <c r="B18" s="112">
        <v>42964</v>
      </c>
      <c r="C18">
        <v>17</v>
      </c>
      <c r="D18">
        <v>8</v>
      </c>
      <c r="E18">
        <v>2017</v>
      </c>
      <c r="F18">
        <v>33</v>
      </c>
      <c r="G18">
        <v>229</v>
      </c>
      <c r="H18" s="118">
        <v>15.7739562988281</v>
      </c>
      <c r="I18" s="118">
        <v>25.5893859863281</v>
      </c>
      <c r="J18">
        <v>10.6</v>
      </c>
      <c r="K18">
        <v>1.1000000000000001</v>
      </c>
    </row>
    <row r="19" spans="1:11">
      <c r="A19" t="s">
        <v>347</v>
      </c>
      <c r="B19" s="112">
        <v>42965</v>
      </c>
      <c r="C19">
        <v>18</v>
      </c>
      <c r="D19">
        <v>8</v>
      </c>
      <c r="E19">
        <v>2017</v>
      </c>
      <c r="F19">
        <v>33</v>
      </c>
      <c r="G19">
        <v>230</v>
      </c>
      <c r="H19" s="118">
        <v>13.8642578125</v>
      </c>
      <c r="I19" s="118">
        <v>32.788330078125</v>
      </c>
      <c r="J19">
        <v>6.7</v>
      </c>
      <c r="K19">
        <v>2.4</v>
      </c>
    </row>
    <row r="20" spans="1:11">
      <c r="A20" t="s">
        <v>347</v>
      </c>
      <c r="B20" s="112">
        <v>42966</v>
      </c>
      <c r="C20">
        <v>19</v>
      </c>
      <c r="D20">
        <v>8</v>
      </c>
      <c r="E20">
        <v>2017</v>
      </c>
      <c r="F20">
        <v>33</v>
      </c>
      <c r="G20">
        <v>231</v>
      </c>
      <c r="H20" s="118">
        <v>10.2481384277344</v>
      </c>
      <c r="I20" s="118">
        <v>26.2567749023438</v>
      </c>
      <c r="J20">
        <v>0</v>
      </c>
      <c r="K20">
        <v>8.1999999999999993</v>
      </c>
    </row>
    <row r="21" spans="1:11">
      <c r="A21" t="s">
        <v>347</v>
      </c>
      <c r="B21" s="112">
        <v>42967</v>
      </c>
      <c r="C21">
        <v>20</v>
      </c>
      <c r="D21">
        <v>8</v>
      </c>
      <c r="E21">
        <v>2017</v>
      </c>
      <c r="F21">
        <v>34</v>
      </c>
      <c r="G21">
        <v>232</v>
      </c>
      <c r="H21" s="118">
        <v>11.9288940429688</v>
      </c>
      <c r="I21" s="118">
        <v>42.933135986328097</v>
      </c>
      <c r="J21">
        <v>0</v>
      </c>
      <c r="K21">
        <v>9.8000000000000007</v>
      </c>
    </row>
    <row r="22" spans="1:11">
      <c r="A22" t="s">
        <v>347</v>
      </c>
      <c r="B22" s="112">
        <v>42968</v>
      </c>
      <c r="C22">
        <v>21</v>
      </c>
      <c r="D22">
        <v>8</v>
      </c>
      <c r="E22">
        <v>2017</v>
      </c>
      <c r="F22">
        <v>34</v>
      </c>
      <c r="G22">
        <v>233</v>
      </c>
      <c r="H22" s="118">
        <v>16.4776916503906</v>
      </c>
      <c r="I22" s="118">
        <v>37.840057373046903</v>
      </c>
      <c r="J22">
        <v>0.2</v>
      </c>
      <c r="K22">
        <v>3.4</v>
      </c>
    </row>
    <row r="23" spans="1:11">
      <c r="A23" t="s">
        <v>347</v>
      </c>
      <c r="B23" s="112">
        <v>42969</v>
      </c>
      <c r="C23">
        <v>22</v>
      </c>
      <c r="D23">
        <v>8</v>
      </c>
      <c r="E23">
        <v>2017</v>
      </c>
      <c r="F23">
        <v>34</v>
      </c>
      <c r="G23">
        <v>234</v>
      </c>
      <c r="H23" s="118">
        <v>16.5820007324219</v>
      </c>
      <c r="I23" s="118">
        <v>49.3478393554687</v>
      </c>
      <c r="J23">
        <v>0.4</v>
      </c>
      <c r="K23">
        <v>10.9</v>
      </c>
    </row>
    <row r="24" spans="1:11">
      <c r="A24" t="s">
        <v>347</v>
      </c>
      <c r="B24" s="112">
        <v>42970</v>
      </c>
      <c r="C24">
        <v>23</v>
      </c>
      <c r="D24">
        <v>8</v>
      </c>
      <c r="E24">
        <v>2017</v>
      </c>
      <c r="F24">
        <v>34</v>
      </c>
      <c r="G24">
        <v>235</v>
      </c>
      <c r="H24" s="118">
        <v>17.4192810058594</v>
      </c>
      <c r="I24" s="118">
        <v>35.2285766601562</v>
      </c>
      <c r="J24">
        <v>0.2</v>
      </c>
      <c r="K24">
        <v>9.3000000000000007</v>
      </c>
    </row>
    <row r="25" spans="1:11">
      <c r="A25" t="s">
        <v>347</v>
      </c>
      <c r="B25" s="112">
        <v>42971</v>
      </c>
      <c r="C25">
        <v>24</v>
      </c>
      <c r="D25">
        <v>8</v>
      </c>
      <c r="E25">
        <v>2017</v>
      </c>
      <c r="F25">
        <v>34</v>
      </c>
      <c r="G25">
        <v>236</v>
      </c>
      <c r="H25" s="118">
        <v>15.03173828125</v>
      </c>
      <c r="I25" s="118">
        <v>31.9971313476562</v>
      </c>
      <c r="J25">
        <v>3</v>
      </c>
      <c r="K25">
        <v>3.3</v>
      </c>
    </row>
    <row r="26" spans="1:11">
      <c r="A26" t="s">
        <v>347</v>
      </c>
      <c r="B26" s="112">
        <v>42972</v>
      </c>
      <c r="C26">
        <v>25</v>
      </c>
      <c r="D26">
        <v>8</v>
      </c>
      <c r="E26">
        <v>2017</v>
      </c>
      <c r="F26">
        <v>34</v>
      </c>
      <c r="G26">
        <v>237</v>
      </c>
      <c r="H26" s="118">
        <v>17.62939453125</v>
      </c>
      <c r="I26" s="118">
        <v>29.0145263671875</v>
      </c>
      <c r="J26">
        <v>10.199999999999999</v>
      </c>
      <c r="K26">
        <v>2.2000000000000002</v>
      </c>
    </row>
    <row r="27" spans="1:11">
      <c r="A27" t="s">
        <v>347</v>
      </c>
      <c r="B27" s="112">
        <v>42973</v>
      </c>
      <c r="C27">
        <v>26</v>
      </c>
      <c r="D27">
        <v>8</v>
      </c>
      <c r="E27">
        <v>2017</v>
      </c>
      <c r="F27">
        <v>34</v>
      </c>
      <c r="G27">
        <v>238</v>
      </c>
      <c r="H27" s="118">
        <v>16.8580322265625</v>
      </c>
      <c r="I27" s="118">
        <v>35.9080200195313</v>
      </c>
      <c r="J27">
        <v>18.2</v>
      </c>
      <c r="K27">
        <v>8.9</v>
      </c>
    </row>
    <row r="28" spans="1:11">
      <c r="A28" t="s">
        <v>347</v>
      </c>
      <c r="B28" s="112">
        <v>42974</v>
      </c>
      <c r="C28">
        <v>27</v>
      </c>
      <c r="D28">
        <v>8</v>
      </c>
      <c r="E28">
        <v>2017</v>
      </c>
      <c r="F28">
        <v>35</v>
      </c>
      <c r="G28">
        <v>239</v>
      </c>
      <c r="H28" s="118">
        <v>18.8236389160156</v>
      </c>
      <c r="I28" s="118">
        <v>38.015838623046903</v>
      </c>
      <c r="J28">
        <v>0.2</v>
      </c>
      <c r="K28">
        <v>10.5</v>
      </c>
    </row>
    <row r="29" spans="1:11">
      <c r="A29" t="s">
        <v>347</v>
      </c>
      <c r="B29" s="112">
        <v>42975</v>
      </c>
      <c r="C29">
        <v>28</v>
      </c>
      <c r="D29">
        <v>8</v>
      </c>
      <c r="E29">
        <v>2017</v>
      </c>
      <c r="F29">
        <v>35</v>
      </c>
      <c r="G29">
        <v>240</v>
      </c>
      <c r="H29" s="118">
        <v>18.733154296875</v>
      </c>
      <c r="I29" s="118">
        <v>42.7432861328125</v>
      </c>
      <c r="J29">
        <v>0</v>
      </c>
      <c r="K29">
        <v>11</v>
      </c>
    </row>
    <row r="30" spans="1:11">
      <c r="A30" t="s">
        <v>347</v>
      </c>
      <c r="B30" s="112">
        <v>42976</v>
      </c>
      <c r="C30">
        <v>29</v>
      </c>
      <c r="D30">
        <v>8</v>
      </c>
      <c r="E30">
        <v>2017</v>
      </c>
      <c r="F30">
        <v>35</v>
      </c>
      <c r="G30">
        <v>241</v>
      </c>
      <c r="H30" s="118">
        <v>19.3262939453125</v>
      </c>
      <c r="I30" s="118">
        <v>46.274017333984403</v>
      </c>
      <c r="J30">
        <v>0</v>
      </c>
      <c r="K30">
        <v>12.2</v>
      </c>
    </row>
    <row r="31" spans="1:11">
      <c r="A31" t="s">
        <v>347</v>
      </c>
      <c r="B31" s="112">
        <v>42977</v>
      </c>
      <c r="C31">
        <v>30</v>
      </c>
      <c r="D31">
        <v>8</v>
      </c>
      <c r="E31">
        <v>2017</v>
      </c>
      <c r="F31">
        <v>35</v>
      </c>
      <c r="G31">
        <v>242</v>
      </c>
      <c r="H31" s="118">
        <v>11.8202209472656</v>
      </c>
      <c r="I31" s="118">
        <v>25.7036743164062</v>
      </c>
      <c r="J31">
        <v>4.2</v>
      </c>
      <c r="K31">
        <v>0</v>
      </c>
    </row>
    <row r="32" spans="1:11">
      <c r="A32" t="s">
        <v>347</v>
      </c>
      <c r="B32" s="112">
        <v>42978</v>
      </c>
      <c r="C32">
        <v>31</v>
      </c>
      <c r="D32">
        <v>8</v>
      </c>
      <c r="E32">
        <v>2017</v>
      </c>
      <c r="F32">
        <v>35</v>
      </c>
      <c r="G32">
        <v>243</v>
      </c>
      <c r="H32" s="118">
        <v>11.3587036132813</v>
      </c>
      <c r="I32" s="118">
        <v>34.938262939453097</v>
      </c>
      <c r="J32">
        <v>0.8</v>
      </c>
      <c r="K32">
        <v>7.9</v>
      </c>
    </row>
    <row r="33" spans="1:11">
      <c r="A33" t="s">
        <v>347</v>
      </c>
      <c r="B33" s="112">
        <v>42979</v>
      </c>
      <c r="C33">
        <v>1</v>
      </c>
      <c r="D33">
        <v>9</v>
      </c>
      <c r="E33">
        <v>2017</v>
      </c>
      <c r="F33">
        <v>35</v>
      </c>
      <c r="G33">
        <v>244</v>
      </c>
      <c r="H33" s="118">
        <v>12.5420227050781</v>
      </c>
      <c r="I33" s="118">
        <v>25.7115783691406</v>
      </c>
      <c r="J33">
        <v>4</v>
      </c>
      <c r="K33">
        <v>5.4</v>
      </c>
    </row>
    <row r="34" spans="1:11">
      <c r="A34" t="s">
        <v>347</v>
      </c>
      <c r="B34" s="112">
        <v>42980</v>
      </c>
      <c r="C34">
        <v>2</v>
      </c>
      <c r="D34">
        <v>9</v>
      </c>
      <c r="E34">
        <v>2017</v>
      </c>
      <c r="F34">
        <v>35</v>
      </c>
      <c r="G34">
        <v>245</v>
      </c>
      <c r="H34" s="118">
        <v>12.0809631347656</v>
      </c>
      <c r="I34" s="118">
        <v>30.8388671875</v>
      </c>
      <c r="J34">
        <v>0.2</v>
      </c>
      <c r="K34">
        <v>8.3000000000000007</v>
      </c>
    </row>
    <row r="35" spans="1:11">
      <c r="A35" t="s">
        <v>347</v>
      </c>
      <c r="B35" s="112">
        <v>42981</v>
      </c>
      <c r="C35">
        <v>3</v>
      </c>
      <c r="D35">
        <v>9</v>
      </c>
      <c r="E35">
        <v>2017</v>
      </c>
      <c r="F35">
        <v>36</v>
      </c>
      <c r="G35">
        <v>246</v>
      </c>
      <c r="H35" s="118">
        <v>11.0228576660156</v>
      </c>
      <c r="I35" s="118">
        <v>26.8020935058594</v>
      </c>
      <c r="J35">
        <v>1.6</v>
      </c>
      <c r="K35">
        <v>3.1</v>
      </c>
    </row>
    <row r="36" spans="1:11">
      <c r="A36" t="s">
        <v>347</v>
      </c>
      <c r="B36" s="112">
        <v>42982</v>
      </c>
      <c r="C36">
        <v>4</v>
      </c>
      <c r="D36">
        <v>9</v>
      </c>
      <c r="E36">
        <v>2017</v>
      </c>
      <c r="F36">
        <v>36</v>
      </c>
      <c r="G36">
        <v>247</v>
      </c>
      <c r="H36" s="118">
        <v>15.4834899902344</v>
      </c>
      <c r="I36" s="118">
        <v>26.6908569335938</v>
      </c>
      <c r="J36">
        <v>0</v>
      </c>
      <c r="K36">
        <v>1.4</v>
      </c>
    </row>
    <row r="37" spans="1:11">
      <c r="A37" t="s">
        <v>347</v>
      </c>
      <c r="B37" s="112">
        <v>42983</v>
      </c>
      <c r="C37">
        <v>5</v>
      </c>
      <c r="D37">
        <v>9</v>
      </c>
      <c r="E37">
        <v>2017</v>
      </c>
      <c r="F37">
        <v>36</v>
      </c>
      <c r="G37">
        <v>248</v>
      </c>
      <c r="H37" s="118">
        <v>16.9873352050781</v>
      </c>
      <c r="I37" s="118">
        <v>23.8103942871094</v>
      </c>
      <c r="J37">
        <v>0</v>
      </c>
      <c r="K37">
        <v>1.3</v>
      </c>
    </row>
    <row r="38" spans="1:11">
      <c r="A38" t="s">
        <v>347</v>
      </c>
      <c r="B38" s="112">
        <v>42984</v>
      </c>
      <c r="C38">
        <v>6</v>
      </c>
      <c r="D38">
        <v>9</v>
      </c>
      <c r="E38">
        <v>2017</v>
      </c>
      <c r="F38">
        <v>36</v>
      </c>
      <c r="G38">
        <v>249</v>
      </c>
      <c r="H38" s="118">
        <v>12.6639099121094</v>
      </c>
      <c r="I38" s="118">
        <v>21.4744873046875</v>
      </c>
      <c r="J38">
        <v>0</v>
      </c>
      <c r="K38">
        <v>5.0999999999999996</v>
      </c>
    </row>
    <row r="39" spans="1:11">
      <c r="A39" t="s">
        <v>347</v>
      </c>
      <c r="B39" s="112">
        <v>42985</v>
      </c>
      <c r="C39">
        <v>7</v>
      </c>
      <c r="D39">
        <v>9</v>
      </c>
      <c r="E39">
        <v>2017</v>
      </c>
      <c r="F39">
        <v>36</v>
      </c>
      <c r="G39">
        <v>250</v>
      </c>
      <c r="H39" s="118">
        <v>11.0308227539062</v>
      </c>
      <c r="I39" s="118">
        <v>23.7460632324219</v>
      </c>
      <c r="J39">
        <v>0</v>
      </c>
      <c r="K39">
        <v>2.7</v>
      </c>
    </row>
    <row r="40" spans="1:11">
      <c r="A40" t="s">
        <v>347</v>
      </c>
      <c r="B40" s="112">
        <v>42986</v>
      </c>
      <c r="C40">
        <v>8</v>
      </c>
      <c r="D40">
        <v>9</v>
      </c>
      <c r="E40">
        <v>2017</v>
      </c>
      <c r="F40">
        <v>36</v>
      </c>
      <c r="G40">
        <v>251</v>
      </c>
      <c r="H40" s="118">
        <v>13.2406921386719</v>
      </c>
      <c r="I40" s="118">
        <v>20.9858703613281</v>
      </c>
      <c r="J40">
        <v>10</v>
      </c>
      <c r="K40"/>
    </row>
    <row r="41" spans="1:11">
      <c r="A41" t="s">
        <v>347</v>
      </c>
      <c r="B41" s="112">
        <v>42987</v>
      </c>
      <c r="C41">
        <v>9</v>
      </c>
      <c r="D41">
        <v>9</v>
      </c>
      <c r="E41">
        <v>2017</v>
      </c>
      <c r="F41">
        <v>36</v>
      </c>
      <c r="G41">
        <v>252</v>
      </c>
      <c r="H41" s="118">
        <v>10.0295104980469</v>
      </c>
      <c r="I41" s="118">
        <v>25.2450256347656</v>
      </c>
      <c r="J41">
        <v>0.4</v>
      </c>
      <c r="K41">
        <v>5.3</v>
      </c>
    </row>
    <row r="42" spans="1:11">
      <c r="A42" t="s">
        <v>347</v>
      </c>
      <c r="B42" s="112">
        <v>42988</v>
      </c>
      <c r="C42">
        <v>10</v>
      </c>
      <c r="D42">
        <v>9</v>
      </c>
      <c r="E42">
        <v>2017</v>
      </c>
      <c r="F42">
        <v>37</v>
      </c>
      <c r="G42">
        <v>253</v>
      </c>
      <c r="H42" s="118">
        <v>9.83251953125</v>
      </c>
      <c r="I42" s="118">
        <v>20.5112915039062</v>
      </c>
      <c r="J42"/>
      <c r="K42"/>
    </row>
    <row r="43" spans="1:11">
      <c r="A43" t="s">
        <v>347</v>
      </c>
      <c r="B43" s="112">
        <v>42989</v>
      </c>
      <c r="C43">
        <v>11</v>
      </c>
      <c r="D43">
        <v>9</v>
      </c>
      <c r="E43">
        <v>2017</v>
      </c>
      <c r="F43">
        <v>37</v>
      </c>
      <c r="G43">
        <v>254</v>
      </c>
      <c r="H43" s="118">
        <v>11.4419860839844</v>
      </c>
      <c r="I43" s="118">
        <v>21.1596069335938</v>
      </c>
      <c r="J43">
        <v>0.4</v>
      </c>
      <c r="K43"/>
    </row>
    <row r="44" spans="1:11">
      <c r="A44" t="s">
        <v>347</v>
      </c>
      <c r="B44" s="112">
        <v>42990</v>
      </c>
      <c r="C44">
        <v>12</v>
      </c>
      <c r="D44">
        <v>9</v>
      </c>
      <c r="E44">
        <v>2017</v>
      </c>
      <c r="F44">
        <v>37</v>
      </c>
      <c r="G44">
        <v>255</v>
      </c>
      <c r="H44" s="118">
        <v>10.7539367675781</v>
      </c>
      <c r="I44" s="118">
        <v>22.1592407226562</v>
      </c>
      <c r="J44">
        <v>1</v>
      </c>
      <c r="K44">
        <v>7</v>
      </c>
    </row>
    <row r="45" spans="1:11">
      <c r="A45" t="s">
        <v>347</v>
      </c>
      <c r="B45" s="112">
        <v>42991</v>
      </c>
      <c r="C45">
        <v>13</v>
      </c>
      <c r="D45">
        <v>9</v>
      </c>
      <c r="E45">
        <v>2017</v>
      </c>
      <c r="F45">
        <v>37</v>
      </c>
      <c r="G45">
        <v>256</v>
      </c>
      <c r="H45" s="118">
        <v>11.6263122558594</v>
      </c>
      <c r="I45" s="118">
        <v>18.6734313964844</v>
      </c>
      <c r="J45">
        <v>35.5</v>
      </c>
      <c r="K45">
        <v>0</v>
      </c>
    </row>
    <row r="46" spans="1:11">
      <c r="A46" t="s">
        <v>347</v>
      </c>
      <c r="B46" s="112">
        <v>42992</v>
      </c>
      <c r="C46">
        <v>14</v>
      </c>
      <c r="D46">
        <v>9</v>
      </c>
      <c r="E46">
        <v>2017</v>
      </c>
      <c r="F46">
        <v>37</v>
      </c>
      <c r="G46">
        <v>257</v>
      </c>
      <c r="H46" s="118">
        <v>10.1238403320312</v>
      </c>
      <c r="I46" s="118">
        <v>23.2262878417969</v>
      </c>
      <c r="J46">
        <v>0.4</v>
      </c>
      <c r="K46">
        <v>8.6999999999999993</v>
      </c>
    </row>
    <row r="47" spans="1:11">
      <c r="A47" t="s">
        <v>347</v>
      </c>
      <c r="B47" s="112">
        <v>42993</v>
      </c>
      <c r="C47">
        <v>15</v>
      </c>
      <c r="D47">
        <v>9</v>
      </c>
      <c r="E47">
        <v>2017</v>
      </c>
      <c r="F47">
        <v>37</v>
      </c>
      <c r="G47">
        <v>258</v>
      </c>
      <c r="H47" s="118">
        <v>8.4242858886718697</v>
      </c>
      <c r="I47" s="118">
        <v>19.9388427734375</v>
      </c>
      <c r="J47">
        <v>0</v>
      </c>
      <c r="K47"/>
    </row>
    <row r="48" spans="1:11">
      <c r="A48" t="s">
        <v>347</v>
      </c>
      <c r="B48" s="112">
        <v>42994</v>
      </c>
      <c r="C48">
        <v>16</v>
      </c>
      <c r="D48">
        <v>9</v>
      </c>
      <c r="E48">
        <v>2017</v>
      </c>
      <c r="F48">
        <v>37</v>
      </c>
      <c r="G48">
        <v>259</v>
      </c>
      <c r="H48" s="118">
        <v>7.99444580078125</v>
      </c>
      <c r="I48" s="118">
        <v>20.1970520019531</v>
      </c>
      <c r="J48">
        <v>0.8</v>
      </c>
      <c r="K48">
        <v>5.0999999999999996</v>
      </c>
    </row>
    <row r="49" spans="1:11">
      <c r="A49" t="s">
        <v>347</v>
      </c>
      <c r="B49" s="112">
        <v>42995</v>
      </c>
      <c r="C49">
        <v>17</v>
      </c>
      <c r="D49">
        <v>9</v>
      </c>
      <c r="E49">
        <v>2017</v>
      </c>
      <c r="F49">
        <v>38</v>
      </c>
      <c r="G49">
        <v>260</v>
      </c>
      <c r="H49" s="118">
        <v>8.73004150390625</v>
      </c>
      <c r="I49" s="118">
        <v>18.1688537597656</v>
      </c>
      <c r="J49">
        <v>0</v>
      </c>
      <c r="K49">
        <v>5.2</v>
      </c>
    </row>
    <row r="50" spans="1:11">
      <c r="A50" t="s">
        <v>347</v>
      </c>
      <c r="B50" s="112">
        <v>42996</v>
      </c>
      <c r="C50">
        <v>18</v>
      </c>
      <c r="D50">
        <v>9</v>
      </c>
      <c r="E50">
        <v>2017</v>
      </c>
      <c r="F50">
        <v>38</v>
      </c>
      <c r="G50">
        <v>261</v>
      </c>
      <c r="H50" s="118">
        <v>6.6036682128906303</v>
      </c>
      <c r="I50" s="118">
        <v>20.8045043945313</v>
      </c>
      <c r="J50">
        <v>6.8</v>
      </c>
      <c r="K50">
        <v>7.3</v>
      </c>
    </row>
    <row r="51" spans="1:11">
      <c r="A51" t="s">
        <v>347</v>
      </c>
      <c r="B51" s="112">
        <v>42997</v>
      </c>
      <c r="C51">
        <v>19</v>
      </c>
      <c r="D51">
        <v>9</v>
      </c>
      <c r="E51">
        <v>2017</v>
      </c>
      <c r="F51">
        <v>38</v>
      </c>
      <c r="G51">
        <v>262</v>
      </c>
      <c r="H51" s="118">
        <v>9.38092041015625</v>
      </c>
      <c r="I51" s="118">
        <v>20.0216674804687</v>
      </c>
      <c r="J51">
        <v>0.6</v>
      </c>
      <c r="K51">
        <v>3.3</v>
      </c>
    </row>
    <row r="52" spans="1:11">
      <c r="A52" t="s">
        <v>347</v>
      </c>
      <c r="B52" s="112">
        <v>42998</v>
      </c>
      <c r="C52">
        <v>20</v>
      </c>
      <c r="D52">
        <v>9</v>
      </c>
      <c r="E52">
        <v>2017</v>
      </c>
      <c r="F52">
        <v>38</v>
      </c>
      <c r="G52">
        <v>263</v>
      </c>
      <c r="H52" s="118">
        <v>7.2938232421875</v>
      </c>
      <c r="I52" s="118">
        <v>23.748046875</v>
      </c>
      <c r="J52">
        <v>0</v>
      </c>
      <c r="K52">
        <v>4.8</v>
      </c>
    </row>
    <row r="53" spans="1:11">
      <c r="A53" t="s">
        <v>347</v>
      </c>
      <c r="B53" s="112">
        <v>42999</v>
      </c>
      <c r="C53">
        <v>21</v>
      </c>
      <c r="D53">
        <v>9</v>
      </c>
      <c r="E53">
        <v>2017</v>
      </c>
      <c r="F53">
        <v>38</v>
      </c>
      <c r="G53">
        <v>264</v>
      </c>
      <c r="H53" s="118">
        <v>8.3670959472656303</v>
      </c>
      <c r="I53" s="118">
        <v>21.2947998046875</v>
      </c>
      <c r="J53">
        <v>0.2</v>
      </c>
      <c r="K53">
        <v>11</v>
      </c>
    </row>
    <row r="54" spans="1:11">
      <c r="A54" t="s">
        <v>347</v>
      </c>
      <c r="B54" s="112">
        <v>43000</v>
      </c>
      <c r="C54">
        <v>22</v>
      </c>
      <c r="D54">
        <v>9</v>
      </c>
      <c r="E54">
        <v>2017</v>
      </c>
      <c r="F54">
        <v>38</v>
      </c>
      <c r="G54">
        <v>265</v>
      </c>
      <c r="H54" s="118">
        <v>8.3813781738281303</v>
      </c>
      <c r="I54" s="118">
        <v>21.8708190917969</v>
      </c>
      <c r="J54">
        <v>0</v>
      </c>
      <c r="K54">
        <v>6.1</v>
      </c>
    </row>
    <row r="55" spans="1:11">
      <c r="A55" t="s">
        <v>347</v>
      </c>
      <c r="B55" s="112">
        <v>43001</v>
      </c>
      <c r="C55">
        <v>23</v>
      </c>
      <c r="D55">
        <v>9</v>
      </c>
      <c r="E55">
        <v>2017</v>
      </c>
      <c r="F55">
        <v>38</v>
      </c>
      <c r="G55">
        <v>266</v>
      </c>
      <c r="H55" s="118">
        <v>7.57684326171875</v>
      </c>
      <c r="I55" s="118">
        <v>21.7354431152344</v>
      </c>
      <c r="J55">
        <v>0</v>
      </c>
      <c r="K55">
        <v>9.8000000000000007</v>
      </c>
    </row>
    <row r="56" spans="1:11">
      <c r="A56" t="s">
        <v>347</v>
      </c>
      <c r="B56" s="112">
        <v>43002</v>
      </c>
      <c r="C56">
        <v>24</v>
      </c>
      <c r="D56">
        <v>9</v>
      </c>
      <c r="E56">
        <v>2017</v>
      </c>
      <c r="F56">
        <v>39</v>
      </c>
      <c r="G56">
        <v>267</v>
      </c>
      <c r="H56" s="118">
        <v>11.1203002929688</v>
      </c>
      <c r="I56" s="118">
        <v>23.7421569824219</v>
      </c>
      <c r="J56">
        <v>0</v>
      </c>
      <c r="K56">
        <v>7.4</v>
      </c>
    </row>
    <row r="57" spans="1:11">
      <c r="A57" t="s">
        <v>347</v>
      </c>
      <c r="B57" s="112">
        <v>43003</v>
      </c>
      <c r="C57">
        <v>25</v>
      </c>
      <c r="D57">
        <v>9</v>
      </c>
      <c r="E57">
        <v>2017</v>
      </c>
      <c r="F57">
        <v>39</v>
      </c>
      <c r="G57">
        <v>268</v>
      </c>
      <c r="H57" s="118">
        <v>13.2994384765625</v>
      </c>
      <c r="I57" s="118">
        <v>21.0978393554687</v>
      </c>
      <c r="J57">
        <v>0</v>
      </c>
      <c r="K57">
        <v>0.9</v>
      </c>
    </row>
    <row r="58" spans="1:11">
      <c r="A58" t="s">
        <v>347</v>
      </c>
      <c r="B58" s="112">
        <v>43004</v>
      </c>
      <c r="C58">
        <v>26</v>
      </c>
      <c r="D58">
        <v>9</v>
      </c>
      <c r="E58">
        <v>2017</v>
      </c>
      <c r="F58">
        <v>39</v>
      </c>
      <c r="G58">
        <v>269</v>
      </c>
      <c r="H58" s="118">
        <v>11.9585876464844</v>
      </c>
      <c r="I58" s="118">
        <v>21.9540405273438</v>
      </c>
      <c r="J58">
        <v>0</v>
      </c>
      <c r="K58">
        <v>2.8</v>
      </c>
    </row>
    <row r="59" spans="1:11">
      <c r="A59" t="s">
        <v>347</v>
      </c>
      <c r="B59" s="112">
        <v>43005</v>
      </c>
      <c r="C59">
        <v>27</v>
      </c>
      <c r="D59">
        <v>9</v>
      </c>
      <c r="E59">
        <v>2017</v>
      </c>
      <c r="F59">
        <v>39</v>
      </c>
      <c r="G59">
        <v>270</v>
      </c>
      <c r="H59" s="118">
        <v>11.0606384277344</v>
      </c>
      <c r="I59" s="118">
        <v>21.7760620117187</v>
      </c>
      <c r="J59"/>
      <c r="K59">
        <v>2.9</v>
      </c>
    </row>
    <row r="60" spans="1:11">
      <c r="A60" t="s">
        <v>347</v>
      </c>
      <c r="B60" s="112">
        <v>43006</v>
      </c>
      <c r="C60">
        <v>28</v>
      </c>
      <c r="D60">
        <v>9</v>
      </c>
      <c r="E60">
        <v>2017</v>
      </c>
      <c r="F60">
        <v>39</v>
      </c>
      <c r="G60">
        <v>271</v>
      </c>
      <c r="H60" s="118">
        <v>14.3359069824219</v>
      </c>
      <c r="I60" s="118">
        <v>20.3763122558594</v>
      </c>
      <c r="J60"/>
      <c r="K60">
        <v>0.4</v>
      </c>
    </row>
    <row r="61" spans="1:11">
      <c r="A61" t="s">
        <v>347</v>
      </c>
      <c r="B61" s="112">
        <v>43007</v>
      </c>
      <c r="C61">
        <v>29</v>
      </c>
      <c r="D61">
        <v>9</v>
      </c>
      <c r="E61">
        <v>2017</v>
      </c>
      <c r="F61">
        <v>39</v>
      </c>
      <c r="G61">
        <v>272</v>
      </c>
      <c r="H61" s="118">
        <v>14.7035217285156</v>
      </c>
      <c r="I61" s="118">
        <v>24.9112548828125</v>
      </c>
      <c r="J61">
        <v>2</v>
      </c>
      <c r="K61">
        <v>5.9</v>
      </c>
    </row>
    <row r="62" spans="1:11">
      <c r="A62" t="s">
        <v>347</v>
      </c>
      <c r="B62" s="112">
        <v>43008</v>
      </c>
      <c r="C62">
        <v>30</v>
      </c>
      <c r="D62">
        <v>9</v>
      </c>
      <c r="E62">
        <v>2017</v>
      </c>
      <c r="F62">
        <v>39</v>
      </c>
      <c r="G62">
        <v>273</v>
      </c>
      <c r="H62" s="118">
        <v>12.40625</v>
      </c>
      <c r="I62" s="118">
        <v>19.4996337890625</v>
      </c>
      <c r="J62">
        <v>0.2</v>
      </c>
      <c r="K62">
        <v>4.7</v>
      </c>
    </row>
    <row r="63" spans="1:11">
      <c r="A63" t="s">
        <v>347</v>
      </c>
      <c r="B63" s="112">
        <v>43009</v>
      </c>
      <c r="C63">
        <v>1</v>
      </c>
      <c r="D63">
        <v>10</v>
      </c>
      <c r="E63">
        <v>2017</v>
      </c>
      <c r="F63">
        <v>40</v>
      </c>
      <c r="G63">
        <v>274</v>
      </c>
      <c r="H63" s="118">
        <v>12.1243896484375</v>
      </c>
      <c r="I63" s="118">
        <v>15.3633728027344</v>
      </c>
      <c r="J63">
        <v>2.4</v>
      </c>
      <c r="K63">
        <v>0</v>
      </c>
    </row>
    <row r="64" spans="1:11">
      <c r="A64" t="s">
        <v>347</v>
      </c>
      <c r="B64" s="112">
        <v>43010</v>
      </c>
      <c r="C64">
        <v>2</v>
      </c>
      <c r="D64">
        <v>10</v>
      </c>
      <c r="E64">
        <v>2017</v>
      </c>
      <c r="F64">
        <v>40</v>
      </c>
      <c r="G64">
        <v>275</v>
      </c>
      <c r="H64" s="118">
        <v>14.2444152832031</v>
      </c>
      <c r="I64" s="118">
        <v>18.3056030273438</v>
      </c>
      <c r="J64">
        <v>6.9</v>
      </c>
      <c r="K64">
        <v>0.6</v>
      </c>
    </row>
    <row r="65" spans="1:11">
      <c r="A65" t="s">
        <v>347</v>
      </c>
      <c r="B65" s="112">
        <v>43011</v>
      </c>
      <c r="C65">
        <v>3</v>
      </c>
      <c r="D65">
        <v>10</v>
      </c>
      <c r="E65">
        <v>2017</v>
      </c>
      <c r="F65">
        <v>40</v>
      </c>
      <c r="G65">
        <v>276</v>
      </c>
      <c r="H65" s="118">
        <v>7.89593505859375</v>
      </c>
      <c r="I65" s="118">
        <v>20.7736511230469</v>
      </c>
      <c r="J65">
        <v>0</v>
      </c>
      <c r="K65">
        <v>8.4</v>
      </c>
    </row>
    <row r="66" spans="1:11">
      <c r="A66" t="s">
        <v>347</v>
      </c>
      <c r="B66" s="112">
        <v>43012</v>
      </c>
      <c r="C66">
        <v>4</v>
      </c>
      <c r="D66">
        <v>10</v>
      </c>
      <c r="E66">
        <v>2017</v>
      </c>
      <c r="F66">
        <v>40</v>
      </c>
      <c r="G66">
        <v>277</v>
      </c>
      <c r="H66" s="118">
        <v>6.8226013183593803</v>
      </c>
      <c r="I66" s="118">
        <v>19.0123596191406</v>
      </c>
      <c r="J66">
        <v>0</v>
      </c>
      <c r="K66">
        <v>8.9</v>
      </c>
    </row>
    <row r="67" spans="1:11">
      <c r="A67" t="s">
        <v>347</v>
      </c>
      <c r="B67" s="112">
        <v>43013</v>
      </c>
      <c r="C67">
        <v>5</v>
      </c>
      <c r="D67">
        <v>10</v>
      </c>
      <c r="E67">
        <v>2017</v>
      </c>
      <c r="F67">
        <v>40</v>
      </c>
      <c r="G67">
        <v>278</v>
      </c>
      <c r="H67" s="118">
        <v>7.0596008300781197</v>
      </c>
      <c r="I67" s="118">
        <v>16.0254516601562</v>
      </c>
      <c r="J67">
        <v>1.6</v>
      </c>
      <c r="K67">
        <v>3.3</v>
      </c>
    </row>
    <row r="68" spans="1:11">
      <c r="A68" t="s">
        <v>347</v>
      </c>
      <c r="B68" s="112">
        <v>43014</v>
      </c>
      <c r="C68">
        <v>6</v>
      </c>
      <c r="D68">
        <v>10</v>
      </c>
      <c r="E68">
        <v>2017</v>
      </c>
      <c r="F68">
        <v>40</v>
      </c>
      <c r="G68">
        <v>279</v>
      </c>
      <c r="H68" s="118">
        <v>5.7677917480468697</v>
      </c>
      <c r="I68" s="118">
        <v>18.1630859375</v>
      </c>
      <c r="J68">
        <v>0.2</v>
      </c>
      <c r="K68">
        <v>8.6</v>
      </c>
    </row>
    <row r="69" spans="1:11">
      <c r="A69" t="s">
        <v>347</v>
      </c>
      <c r="B69" s="112">
        <v>43015</v>
      </c>
      <c r="C69">
        <v>7</v>
      </c>
      <c r="D69">
        <v>10</v>
      </c>
      <c r="E69">
        <v>2017</v>
      </c>
      <c r="F69">
        <v>40</v>
      </c>
      <c r="G69">
        <v>280</v>
      </c>
      <c r="H69" s="118">
        <v>3.82147216796875</v>
      </c>
      <c r="I69" s="118">
        <v>16.4139709472656</v>
      </c>
      <c r="J69">
        <v>1.8</v>
      </c>
      <c r="K69">
        <v>6.1</v>
      </c>
    </row>
    <row r="70" spans="1:11">
      <c r="A70" t="s">
        <v>347</v>
      </c>
      <c r="B70" s="112">
        <v>43016</v>
      </c>
      <c r="C70">
        <v>8</v>
      </c>
      <c r="D70">
        <v>10</v>
      </c>
      <c r="E70">
        <v>2017</v>
      </c>
      <c r="F70">
        <v>41</v>
      </c>
      <c r="G70">
        <v>281</v>
      </c>
      <c r="H70" s="118">
        <v>10.2501525878906</v>
      </c>
      <c r="I70" s="118">
        <v>16.5491638183594</v>
      </c>
      <c r="J70">
        <v>0</v>
      </c>
      <c r="K70">
        <v>0</v>
      </c>
    </row>
    <row r="71" spans="1:11">
      <c r="A71" t="s">
        <v>347</v>
      </c>
      <c r="B71" s="112">
        <v>43017</v>
      </c>
      <c r="C71">
        <v>9</v>
      </c>
      <c r="D71">
        <v>10</v>
      </c>
      <c r="E71">
        <v>2017</v>
      </c>
      <c r="F71">
        <v>41</v>
      </c>
      <c r="G71">
        <v>282</v>
      </c>
      <c r="H71" s="118">
        <v>9.2191467285156197</v>
      </c>
      <c r="I71" s="118">
        <v>19.8964233398438</v>
      </c>
      <c r="J71">
        <v>0</v>
      </c>
      <c r="K71">
        <v>3.6</v>
      </c>
    </row>
    <row r="72" spans="1:11">
      <c r="A72" t="s">
        <v>347</v>
      </c>
      <c r="B72" s="112">
        <v>43018</v>
      </c>
      <c r="C72">
        <v>10</v>
      </c>
      <c r="D72">
        <v>10</v>
      </c>
      <c r="E72">
        <v>2017</v>
      </c>
      <c r="F72">
        <v>41</v>
      </c>
      <c r="G72">
        <v>283</v>
      </c>
      <c r="H72" s="118">
        <v>12.7582397460938</v>
      </c>
      <c r="I72" s="118">
        <v>16.3154602050781</v>
      </c>
      <c r="J72">
        <v>0.2</v>
      </c>
      <c r="K72">
        <v>0.9</v>
      </c>
    </row>
    <row r="73" spans="1:11">
      <c r="A73" t="s">
        <v>347</v>
      </c>
      <c r="B73" s="112">
        <v>43019</v>
      </c>
      <c r="C73">
        <v>11</v>
      </c>
      <c r="D73">
        <v>10</v>
      </c>
      <c r="E73">
        <v>2017</v>
      </c>
      <c r="F73">
        <v>41</v>
      </c>
      <c r="G73">
        <v>284</v>
      </c>
      <c r="H73" s="118">
        <v>13.1486206054687</v>
      </c>
      <c r="I73" s="118">
        <v>19.7345886230469</v>
      </c>
      <c r="J73">
        <v>0</v>
      </c>
      <c r="K73">
        <v>1.9</v>
      </c>
    </row>
    <row r="74" spans="1:11">
      <c r="A74" t="s">
        <v>347</v>
      </c>
      <c r="B74" s="112">
        <v>43020</v>
      </c>
      <c r="C74">
        <v>12</v>
      </c>
      <c r="D74">
        <v>10</v>
      </c>
      <c r="E74">
        <v>2017</v>
      </c>
      <c r="F74">
        <v>41</v>
      </c>
      <c r="G74">
        <v>285</v>
      </c>
      <c r="H74" s="118">
        <v>11.9367980957031</v>
      </c>
      <c r="I74" s="118">
        <v>20.7118530273438</v>
      </c>
      <c r="J74">
        <v>0.2</v>
      </c>
      <c r="K74">
        <v>3.8</v>
      </c>
    </row>
    <row r="75" spans="1:11">
      <c r="A75" t="s">
        <v>347</v>
      </c>
      <c r="B75" s="112">
        <v>43021</v>
      </c>
      <c r="C75">
        <v>13</v>
      </c>
      <c r="D75">
        <v>10</v>
      </c>
      <c r="E75">
        <v>2017</v>
      </c>
      <c r="F75">
        <v>41</v>
      </c>
      <c r="G75">
        <v>286</v>
      </c>
      <c r="H75" s="118">
        <v>11.2256774902344</v>
      </c>
      <c r="I75" s="118">
        <v>24.1870422363281</v>
      </c>
      <c r="J75">
        <v>0.2</v>
      </c>
      <c r="K75">
        <v>6.6</v>
      </c>
    </row>
    <row r="76" spans="1:11">
      <c r="A76" t="s">
        <v>347</v>
      </c>
      <c r="B76" s="112">
        <v>43022</v>
      </c>
      <c r="C76">
        <v>14</v>
      </c>
      <c r="D76">
        <v>10</v>
      </c>
      <c r="E76">
        <v>2017</v>
      </c>
      <c r="F76">
        <v>41</v>
      </c>
      <c r="G76">
        <v>287</v>
      </c>
      <c r="H76" s="118">
        <v>9.45770263671875</v>
      </c>
      <c r="I76" s="118">
        <v>23.3896789550781</v>
      </c>
      <c r="J76">
        <v>0.2</v>
      </c>
      <c r="K76">
        <v>9.6</v>
      </c>
    </row>
    <row r="77" spans="1:11">
      <c r="A77" t="s">
        <v>347</v>
      </c>
      <c r="B77" s="112">
        <v>43023</v>
      </c>
      <c r="C77">
        <v>15</v>
      </c>
      <c r="D77">
        <v>10</v>
      </c>
      <c r="E77">
        <v>2017</v>
      </c>
      <c r="F77">
        <v>42</v>
      </c>
      <c r="G77">
        <v>288</v>
      </c>
      <c r="H77" s="118">
        <v>11.0328063964844</v>
      </c>
      <c r="I77" s="118">
        <v>24.0444946289062</v>
      </c>
      <c r="J77">
        <v>0.2</v>
      </c>
      <c r="K77">
        <v>8.3000000000000007</v>
      </c>
    </row>
    <row r="78" spans="1:11">
      <c r="A78" t="s">
        <v>347</v>
      </c>
      <c r="B78" s="112">
        <v>43024</v>
      </c>
      <c r="C78">
        <v>16</v>
      </c>
      <c r="D78">
        <v>10</v>
      </c>
      <c r="E78">
        <v>2017</v>
      </c>
      <c r="F78">
        <v>42</v>
      </c>
      <c r="G78">
        <v>289</v>
      </c>
      <c r="H78" s="118">
        <v>14.1996154785156</v>
      </c>
      <c r="I78" s="118">
        <v>25.6327514648438</v>
      </c>
      <c r="J78">
        <v>0</v>
      </c>
      <c r="K78">
        <v>7.3</v>
      </c>
    </row>
    <row r="79" spans="1:11">
      <c r="A79" t="s">
        <v>347</v>
      </c>
      <c r="B79" s="112">
        <v>43025</v>
      </c>
      <c r="C79">
        <v>17</v>
      </c>
      <c r="D79">
        <v>10</v>
      </c>
      <c r="E79">
        <v>2017</v>
      </c>
      <c r="F79">
        <v>42</v>
      </c>
      <c r="G79">
        <v>290</v>
      </c>
      <c r="H79" s="118">
        <v>10.5202941894531</v>
      </c>
      <c r="I79" s="118">
        <v>24.21435546875</v>
      </c>
      <c r="J79">
        <v>0.2</v>
      </c>
      <c r="K79">
        <v>8.8000000000000007</v>
      </c>
    </row>
    <row r="80" spans="1:11">
      <c r="A80" t="s">
        <v>347</v>
      </c>
      <c r="B80" s="112">
        <v>43026</v>
      </c>
      <c r="C80">
        <v>18</v>
      </c>
      <c r="D80">
        <v>10</v>
      </c>
      <c r="E80">
        <v>2017</v>
      </c>
      <c r="F80">
        <v>42</v>
      </c>
      <c r="G80">
        <v>291</v>
      </c>
      <c r="H80" s="118">
        <v>11.3785400390625</v>
      </c>
      <c r="I80" s="118">
        <v>20.347412109375</v>
      </c>
      <c r="J80">
        <v>0.2</v>
      </c>
      <c r="K80">
        <v>2.2999999999999998</v>
      </c>
    </row>
    <row r="81" spans="1:11">
      <c r="A81" t="s">
        <v>347</v>
      </c>
      <c r="B81" s="112">
        <v>43027</v>
      </c>
      <c r="C81">
        <v>19</v>
      </c>
      <c r="D81">
        <v>10</v>
      </c>
      <c r="E81">
        <v>2017</v>
      </c>
      <c r="F81">
        <v>42</v>
      </c>
      <c r="G81">
        <v>292</v>
      </c>
      <c r="H81" s="118">
        <v>12.1401672363281</v>
      </c>
      <c r="I81" s="118">
        <v>20.8932495117187</v>
      </c>
      <c r="J81">
        <v>9.9</v>
      </c>
      <c r="K81">
        <v>2.7</v>
      </c>
    </row>
    <row r="82" spans="1:11">
      <c r="A82" t="s">
        <v>347</v>
      </c>
      <c r="B82" s="112">
        <v>43028</v>
      </c>
      <c r="C82">
        <v>20</v>
      </c>
      <c r="D82">
        <v>10</v>
      </c>
      <c r="E82">
        <v>2017</v>
      </c>
      <c r="F82">
        <v>42</v>
      </c>
      <c r="G82">
        <v>293</v>
      </c>
      <c r="H82" s="118">
        <v>9.9933776855468697</v>
      </c>
      <c r="I82" s="118">
        <v>16.3173522949219</v>
      </c>
      <c r="J82">
        <v>0.4</v>
      </c>
      <c r="K82">
        <v>7.9</v>
      </c>
    </row>
    <row r="83" spans="1:11">
      <c r="A83" t="s">
        <v>347</v>
      </c>
      <c r="B83" s="112">
        <v>43029</v>
      </c>
      <c r="C83">
        <v>21</v>
      </c>
      <c r="D83">
        <v>10</v>
      </c>
      <c r="E83">
        <v>2017</v>
      </c>
      <c r="F83">
        <v>42</v>
      </c>
      <c r="G83">
        <v>294</v>
      </c>
      <c r="H83" s="118">
        <v>8.7991943359375</v>
      </c>
      <c r="I83" s="118">
        <v>17.1898193359375</v>
      </c>
      <c r="J83">
        <v>1.6</v>
      </c>
      <c r="K83">
        <v>4.3</v>
      </c>
    </row>
    <row r="84" spans="1:11">
      <c r="A84" t="s">
        <v>347</v>
      </c>
      <c r="B84" s="112">
        <v>43030</v>
      </c>
      <c r="C84">
        <v>22</v>
      </c>
      <c r="D84">
        <v>10</v>
      </c>
      <c r="E84">
        <v>2017</v>
      </c>
      <c r="F84">
        <v>43</v>
      </c>
      <c r="G84">
        <v>295</v>
      </c>
      <c r="H84" s="118">
        <v>7.80340576171875</v>
      </c>
      <c r="I84" s="118">
        <v>13.6025695800781</v>
      </c>
      <c r="J84">
        <v>0.4</v>
      </c>
      <c r="K84">
        <v>5.9</v>
      </c>
    </row>
    <row r="85" spans="1:11">
      <c r="A85" t="s">
        <v>347</v>
      </c>
      <c r="B85" s="112">
        <v>43031</v>
      </c>
      <c r="C85">
        <v>23</v>
      </c>
      <c r="D85">
        <v>10</v>
      </c>
      <c r="E85">
        <v>2017</v>
      </c>
      <c r="F85">
        <v>43</v>
      </c>
      <c r="G85">
        <v>296</v>
      </c>
      <c r="H85" s="118">
        <v>9.3000793457031197</v>
      </c>
      <c r="I85" s="118">
        <v>14.6238403320313</v>
      </c>
      <c r="J85">
        <v>1.6</v>
      </c>
      <c r="K85">
        <v>0.1</v>
      </c>
    </row>
    <row r="86" spans="1:11">
      <c r="A86" t="s">
        <v>347</v>
      </c>
      <c r="B86" s="112">
        <v>43032</v>
      </c>
      <c r="C86">
        <v>24</v>
      </c>
      <c r="D86">
        <v>10</v>
      </c>
      <c r="E86">
        <v>2017</v>
      </c>
      <c r="F86">
        <v>43</v>
      </c>
      <c r="G86">
        <v>297</v>
      </c>
      <c r="H86" s="118">
        <v>12.9505920410156</v>
      </c>
      <c r="I86" s="118">
        <v>17.573486328125</v>
      </c>
      <c r="J86">
        <v>0</v>
      </c>
      <c r="K86">
        <v>1.3</v>
      </c>
    </row>
    <row r="87" spans="1:11">
      <c r="A87" t="s">
        <v>347</v>
      </c>
      <c r="B87" s="112">
        <v>43033</v>
      </c>
      <c r="C87">
        <v>25</v>
      </c>
      <c r="D87">
        <v>10</v>
      </c>
      <c r="E87">
        <v>2017</v>
      </c>
      <c r="F87">
        <v>43</v>
      </c>
      <c r="G87">
        <v>298</v>
      </c>
      <c r="H87" s="118">
        <v>12.1105651855469</v>
      </c>
      <c r="I87" s="118">
        <v>20.3339233398438</v>
      </c>
      <c r="J87">
        <v>0.4</v>
      </c>
      <c r="K87"/>
    </row>
    <row r="88" spans="1:11">
      <c r="A88" t="s">
        <v>347</v>
      </c>
      <c r="B88" s="112">
        <v>43034</v>
      </c>
      <c r="C88">
        <v>26</v>
      </c>
      <c r="D88">
        <v>10</v>
      </c>
      <c r="E88">
        <v>2017</v>
      </c>
      <c r="F88">
        <v>43</v>
      </c>
      <c r="G88">
        <v>299</v>
      </c>
      <c r="H88" s="118">
        <v>9.73394775390625</v>
      </c>
      <c r="I88" s="118">
        <v>19.8097534179687</v>
      </c>
      <c r="J88">
        <v>0.2</v>
      </c>
      <c r="K88">
        <v>3.3</v>
      </c>
    </row>
    <row r="89" spans="1:11">
      <c r="A89" t="s">
        <v>347</v>
      </c>
      <c r="B89" s="112">
        <v>43035</v>
      </c>
      <c r="C89">
        <v>27</v>
      </c>
      <c r="D89">
        <v>10</v>
      </c>
      <c r="E89">
        <v>2017</v>
      </c>
      <c r="F89">
        <v>43</v>
      </c>
      <c r="G89">
        <v>300</v>
      </c>
      <c r="H89" s="118">
        <v>5.2887268066406303</v>
      </c>
      <c r="I89" s="118">
        <v>19.7018737792969</v>
      </c>
      <c r="J89">
        <v>0.2</v>
      </c>
      <c r="K89">
        <v>4.0999999999999996</v>
      </c>
    </row>
    <row r="90" spans="1:11">
      <c r="A90" t="s">
        <v>347</v>
      </c>
      <c r="B90" s="112">
        <v>43036</v>
      </c>
      <c r="C90">
        <v>28</v>
      </c>
      <c r="D90">
        <v>10</v>
      </c>
      <c r="E90">
        <v>2017</v>
      </c>
      <c r="F90">
        <v>43</v>
      </c>
      <c r="G90">
        <v>301</v>
      </c>
      <c r="H90" s="118">
        <v>3.8714904785156201</v>
      </c>
      <c r="I90" s="118">
        <v>14.5304870605469</v>
      </c>
      <c r="J90">
        <v>0</v>
      </c>
      <c r="K90">
        <v>6.3</v>
      </c>
    </row>
    <row r="91" spans="1:11">
      <c r="A91" t="s">
        <v>347</v>
      </c>
      <c r="B91" s="112">
        <v>43037</v>
      </c>
      <c r="C91">
        <v>29</v>
      </c>
      <c r="D91">
        <v>10</v>
      </c>
      <c r="E91">
        <v>2017</v>
      </c>
      <c r="F91">
        <v>44</v>
      </c>
      <c r="G91">
        <v>302</v>
      </c>
      <c r="H91" s="118">
        <v>6.4447937011718697</v>
      </c>
      <c r="I91" s="118">
        <v>14.9521484375</v>
      </c>
      <c r="J91">
        <v>1.2</v>
      </c>
      <c r="K91">
        <v>0</v>
      </c>
    </row>
    <row r="92" spans="1:11">
      <c r="A92" t="s">
        <v>347</v>
      </c>
      <c r="B92" s="112">
        <v>43038</v>
      </c>
      <c r="C92">
        <v>30</v>
      </c>
      <c r="D92">
        <v>10</v>
      </c>
      <c r="E92">
        <v>2017</v>
      </c>
      <c r="F92">
        <v>44</v>
      </c>
      <c r="G92">
        <v>303</v>
      </c>
      <c r="H92" s="118">
        <v>2.6452941894531299</v>
      </c>
      <c r="I92" s="118">
        <v>15.4253845214844</v>
      </c>
      <c r="J92">
        <v>0</v>
      </c>
      <c r="K92">
        <v>5.7</v>
      </c>
    </row>
    <row r="93" spans="1:11">
      <c r="A93" t="s">
        <v>347</v>
      </c>
      <c r="B93" s="112">
        <v>43039</v>
      </c>
      <c r="C93">
        <v>31</v>
      </c>
      <c r="D93">
        <v>10</v>
      </c>
      <c r="E93">
        <v>2017</v>
      </c>
      <c r="F93">
        <v>44</v>
      </c>
      <c r="G93">
        <v>304</v>
      </c>
      <c r="H93" s="118">
        <v>0.88470458984375</v>
      </c>
      <c r="I93" s="118">
        <v>14.16455078125</v>
      </c>
      <c r="J93">
        <v>0</v>
      </c>
      <c r="K93">
        <v>7.2</v>
      </c>
    </row>
    <row r="94" spans="1:11">
      <c r="A94" t="s">
        <v>347</v>
      </c>
      <c r="B94" s="112">
        <v>43040</v>
      </c>
      <c r="C94">
        <v>1</v>
      </c>
      <c r="D94">
        <v>11</v>
      </c>
      <c r="E94">
        <v>2017</v>
      </c>
      <c r="F94">
        <v>44</v>
      </c>
      <c r="G94">
        <v>305</v>
      </c>
      <c r="H94" s="118">
        <v>3.4502868652343799</v>
      </c>
      <c r="I94" s="118">
        <v>15.3963012695313</v>
      </c>
      <c r="J94">
        <v>0</v>
      </c>
      <c r="K94">
        <v>4.9000000000000004</v>
      </c>
    </row>
    <row r="95" spans="1:11">
      <c r="A95" t="s">
        <v>347</v>
      </c>
      <c r="B95" s="112">
        <v>43041</v>
      </c>
      <c r="C95">
        <v>2</v>
      </c>
      <c r="D95">
        <v>11</v>
      </c>
      <c r="E95">
        <v>2017</v>
      </c>
      <c r="F95">
        <v>44</v>
      </c>
      <c r="G95">
        <v>306</v>
      </c>
      <c r="H95" s="118">
        <v>6.7976379394531303</v>
      </c>
      <c r="I95" s="118">
        <v>14.8861389160156</v>
      </c>
      <c r="J95">
        <v>0.2</v>
      </c>
      <c r="K95">
        <v>0.1</v>
      </c>
    </row>
    <row r="96" spans="1:11">
      <c r="A96" t="s">
        <v>347</v>
      </c>
      <c r="B96" s="112">
        <v>43042</v>
      </c>
      <c r="C96">
        <v>3</v>
      </c>
      <c r="D96">
        <v>11</v>
      </c>
      <c r="E96">
        <v>2017</v>
      </c>
      <c r="F96">
        <v>44</v>
      </c>
      <c r="G96">
        <v>307</v>
      </c>
      <c r="H96" s="118">
        <v>7.2793273925781197</v>
      </c>
      <c r="I96" s="118">
        <v>16.3927001953125</v>
      </c>
      <c r="J96">
        <v>0</v>
      </c>
      <c r="K96">
        <v>1.9</v>
      </c>
    </row>
    <row r="97" spans="1:11">
      <c r="A97" t="s">
        <v>347</v>
      </c>
      <c r="B97" s="112">
        <v>43043</v>
      </c>
      <c r="C97">
        <v>4</v>
      </c>
      <c r="D97">
        <v>11</v>
      </c>
      <c r="E97">
        <v>2017</v>
      </c>
      <c r="F97">
        <v>44</v>
      </c>
      <c r="G97">
        <v>308</v>
      </c>
      <c r="H97" s="118">
        <v>8.7503967285156197</v>
      </c>
      <c r="I97" s="118">
        <v>14.8705749511719</v>
      </c>
      <c r="J97">
        <v>4.5999999999999996</v>
      </c>
      <c r="K97">
        <v>0.3</v>
      </c>
    </row>
    <row r="98" spans="1:11">
      <c r="A98" t="s">
        <v>347</v>
      </c>
      <c r="B98" s="112">
        <v>43044</v>
      </c>
      <c r="C98">
        <v>5</v>
      </c>
      <c r="D98">
        <v>11</v>
      </c>
      <c r="E98">
        <v>2017</v>
      </c>
      <c r="F98">
        <v>45</v>
      </c>
      <c r="G98">
        <v>309</v>
      </c>
      <c r="H98" s="118">
        <v>2.53857421875</v>
      </c>
      <c r="I98" s="118">
        <v>10.7857971191406</v>
      </c>
      <c r="J98">
        <v>0.2</v>
      </c>
      <c r="K98">
        <v>6.8</v>
      </c>
    </row>
    <row r="99" spans="1:11">
      <c r="A99" t="s">
        <v>347</v>
      </c>
      <c r="B99" s="112">
        <v>43045</v>
      </c>
      <c r="C99">
        <v>6</v>
      </c>
      <c r="D99">
        <v>11</v>
      </c>
      <c r="E99">
        <v>2017</v>
      </c>
      <c r="F99">
        <v>45</v>
      </c>
      <c r="G99">
        <v>310</v>
      </c>
      <c r="H99" s="118">
        <v>-0.744140625</v>
      </c>
      <c r="I99" s="118">
        <v>14.3865051269531</v>
      </c>
      <c r="J99">
        <v>0</v>
      </c>
      <c r="K99">
        <v>8.1</v>
      </c>
    </row>
    <row r="100" spans="1:11">
      <c r="A100" t="s">
        <v>347</v>
      </c>
      <c r="B100" s="112">
        <v>43046</v>
      </c>
      <c r="C100">
        <v>7</v>
      </c>
      <c r="D100">
        <v>11</v>
      </c>
      <c r="E100">
        <v>2017</v>
      </c>
      <c r="F100">
        <v>45</v>
      </c>
      <c r="G100">
        <v>311</v>
      </c>
      <c r="H100" s="118">
        <v>-2.22808837890625</v>
      </c>
      <c r="I100" s="118">
        <v>13.6299438476563</v>
      </c>
      <c r="J100">
        <v>0.6</v>
      </c>
      <c r="K100">
        <v>8.1999999999999993</v>
      </c>
    </row>
    <row r="101" spans="1:11">
      <c r="A101" t="s">
        <v>347</v>
      </c>
      <c r="B101" s="112">
        <v>43047</v>
      </c>
      <c r="C101">
        <v>8</v>
      </c>
      <c r="D101">
        <v>11</v>
      </c>
      <c r="E101">
        <v>2017</v>
      </c>
      <c r="F101">
        <v>45</v>
      </c>
      <c r="G101">
        <v>312</v>
      </c>
      <c r="H101" s="118">
        <v>1.27801513671875</v>
      </c>
      <c r="I101" s="118">
        <v>7.2814025878906303</v>
      </c>
      <c r="J101">
        <v>0.6</v>
      </c>
      <c r="K101">
        <v>0</v>
      </c>
    </row>
    <row r="102" spans="1:11">
      <c r="A102" t="s">
        <v>347</v>
      </c>
      <c r="B102" s="112">
        <v>43048</v>
      </c>
      <c r="C102">
        <v>9</v>
      </c>
      <c r="D102">
        <v>11</v>
      </c>
      <c r="E102">
        <v>2017</v>
      </c>
      <c r="F102">
        <v>45</v>
      </c>
      <c r="G102">
        <v>313</v>
      </c>
      <c r="H102" s="118">
        <v>5.3695068359375</v>
      </c>
      <c r="I102" s="118">
        <v>11.2336120605469</v>
      </c>
      <c r="J102">
        <v>0.6</v>
      </c>
      <c r="K102">
        <v>2.2000000000000002</v>
      </c>
    </row>
    <row r="103" spans="1:11">
      <c r="A103" t="s">
        <v>347</v>
      </c>
      <c r="B103" s="112">
        <v>43049</v>
      </c>
      <c r="C103">
        <v>10</v>
      </c>
      <c r="D103">
        <v>11</v>
      </c>
      <c r="E103">
        <v>2017</v>
      </c>
      <c r="F103">
        <v>45</v>
      </c>
      <c r="G103">
        <v>314</v>
      </c>
      <c r="H103" s="118">
        <v>7.6572265625</v>
      </c>
      <c r="I103" s="118">
        <v>12.7523498535156</v>
      </c>
      <c r="J103">
        <v>0.6</v>
      </c>
      <c r="K103">
        <v>2</v>
      </c>
    </row>
    <row r="104" spans="1:11">
      <c r="A104" t="s">
        <v>347</v>
      </c>
      <c r="B104" s="112">
        <v>43050</v>
      </c>
      <c r="C104">
        <v>11</v>
      </c>
      <c r="D104">
        <v>11</v>
      </c>
      <c r="E104">
        <v>2017</v>
      </c>
      <c r="F104">
        <v>45</v>
      </c>
      <c r="G104">
        <v>315</v>
      </c>
      <c r="H104" s="118">
        <v>7.68609619140625</v>
      </c>
      <c r="I104" s="118">
        <v>12.6383666992187</v>
      </c>
      <c r="J104">
        <v>3.6</v>
      </c>
      <c r="K104">
        <v>0</v>
      </c>
    </row>
    <row r="105" spans="1:11">
      <c r="A105" t="s">
        <v>347</v>
      </c>
      <c r="B105" s="112">
        <v>43051</v>
      </c>
      <c r="C105">
        <v>12</v>
      </c>
      <c r="D105">
        <v>11</v>
      </c>
      <c r="E105">
        <v>2017</v>
      </c>
      <c r="F105">
        <v>46</v>
      </c>
      <c r="G105">
        <v>316</v>
      </c>
      <c r="H105" s="118">
        <v>3.5246887207031299</v>
      </c>
      <c r="I105" s="118">
        <v>12.1342468261719</v>
      </c>
      <c r="J105">
        <v>2.2000000000000002</v>
      </c>
      <c r="K105">
        <v>1.5</v>
      </c>
    </row>
    <row r="106" spans="1:11">
      <c r="A106" t="s">
        <v>347</v>
      </c>
      <c r="B106" s="112">
        <v>43052</v>
      </c>
      <c r="C106">
        <v>13</v>
      </c>
      <c r="D106">
        <v>11</v>
      </c>
      <c r="E106">
        <v>2017</v>
      </c>
      <c r="F106">
        <v>46</v>
      </c>
      <c r="G106">
        <v>317</v>
      </c>
      <c r="H106" s="118">
        <v>1.4644470214843801</v>
      </c>
      <c r="I106" s="118">
        <v>10.7020263671875</v>
      </c>
      <c r="J106">
        <v>0</v>
      </c>
      <c r="K106">
        <v>5.6</v>
      </c>
    </row>
    <row r="107" spans="1:11">
      <c r="A107" t="s">
        <v>347</v>
      </c>
      <c r="B107" s="112">
        <v>43053</v>
      </c>
      <c r="C107">
        <v>14</v>
      </c>
      <c r="D107">
        <v>11</v>
      </c>
      <c r="E107">
        <v>2017</v>
      </c>
      <c r="F107">
        <v>46</v>
      </c>
      <c r="G107">
        <v>318</v>
      </c>
      <c r="H107" s="118">
        <v>-0.3682861328125</v>
      </c>
      <c r="I107" s="118">
        <v>13.3091735839844</v>
      </c>
      <c r="J107">
        <v>0</v>
      </c>
      <c r="K107">
        <v>4.4000000000000004</v>
      </c>
    </row>
    <row r="108" spans="1:11">
      <c r="A108" t="s">
        <v>347</v>
      </c>
      <c r="B108" s="112">
        <v>43054</v>
      </c>
      <c r="C108">
        <v>15</v>
      </c>
      <c r="D108">
        <v>11</v>
      </c>
      <c r="E108">
        <v>2017</v>
      </c>
      <c r="F108">
        <v>46</v>
      </c>
      <c r="G108">
        <v>319</v>
      </c>
      <c r="H108" s="118">
        <v>3.3713684082031299</v>
      </c>
      <c r="I108" s="118">
        <v>11.8182373046875</v>
      </c>
      <c r="J108">
        <v>0</v>
      </c>
      <c r="K108">
        <v>0.2</v>
      </c>
    </row>
    <row r="109" spans="1:11">
      <c r="A109" t="s">
        <v>347</v>
      </c>
      <c r="B109" s="112">
        <v>43055</v>
      </c>
      <c r="C109">
        <v>16</v>
      </c>
      <c r="D109">
        <v>11</v>
      </c>
      <c r="E109">
        <v>2017</v>
      </c>
      <c r="F109">
        <v>46</v>
      </c>
      <c r="G109">
        <v>320</v>
      </c>
      <c r="H109" s="118">
        <v>1.9862060546875</v>
      </c>
      <c r="I109" s="118">
        <v>13.0721740722656</v>
      </c>
      <c r="J109">
        <v>0</v>
      </c>
      <c r="K109">
        <v>3.7</v>
      </c>
    </row>
    <row r="110" spans="1:11">
      <c r="A110" t="s">
        <v>347</v>
      </c>
      <c r="B110" s="112">
        <v>43056</v>
      </c>
      <c r="C110">
        <v>17</v>
      </c>
      <c r="D110">
        <v>11</v>
      </c>
      <c r="E110">
        <v>2017</v>
      </c>
      <c r="F110">
        <v>46</v>
      </c>
      <c r="G110">
        <v>321</v>
      </c>
      <c r="H110" s="118">
        <v>4.53778076171875</v>
      </c>
      <c r="I110" s="118">
        <v>11.7055053710938</v>
      </c>
      <c r="J110">
        <v>0</v>
      </c>
      <c r="K110">
        <v>1.2</v>
      </c>
    </row>
    <row r="111" spans="1:11">
      <c r="A111" t="s">
        <v>347</v>
      </c>
      <c r="B111" s="112">
        <v>43057</v>
      </c>
      <c r="C111">
        <v>18</v>
      </c>
      <c r="D111">
        <v>11</v>
      </c>
      <c r="E111">
        <v>2017</v>
      </c>
      <c r="F111">
        <v>46</v>
      </c>
      <c r="G111">
        <v>322</v>
      </c>
      <c r="H111" s="118">
        <v>4.19256591796875</v>
      </c>
      <c r="I111" s="118">
        <v>8.0887756347656303</v>
      </c>
      <c r="J111">
        <v>0</v>
      </c>
      <c r="K111">
        <v>1.1000000000000001</v>
      </c>
    </row>
    <row r="112" spans="1:11">
      <c r="A112" t="s">
        <v>347</v>
      </c>
      <c r="B112" s="112">
        <v>43058</v>
      </c>
      <c r="C112">
        <v>19</v>
      </c>
      <c r="D112">
        <v>11</v>
      </c>
      <c r="E112">
        <v>2017</v>
      </c>
      <c r="F112">
        <v>47</v>
      </c>
      <c r="G112">
        <v>323</v>
      </c>
      <c r="H112" s="118">
        <v>3.6383056640625</v>
      </c>
      <c r="I112" s="118">
        <v>14.3728942871094</v>
      </c>
      <c r="J112">
        <v>0.4</v>
      </c>
      <c r="K112">
        <v>3.7</v>
      </c>
    </row>
    <row r="113" spans="1:11">
      <c r="A113" t="s">
        <v>347</v>
      </c>
      <c r="B113" s="112">
        <v>43059</v>
      </c>
      <c r="C113">
        <v>20</v>
      </c>
      <c r="D113">
        <v>11</v>
      </c>
      <c r="E113">
        <v>2017</v>
      </c>
      <c r="F113">
        <v>47</v>
      </c>
      <c r="G113">
        <v>324</v>
      </c>
      <c r="H113" s="118">
        <v>3.0987854003906299</v>
      </c>
      <c r="I113" s="118">
        <v>9.39508056640625</v>
      </c>
      <c r="J113">
        <v>0</v>
      </c>
      <c r="K113">
        <v>0</v>
      </c>
    </row>
    <row r="114" spans="1:11">
      <c r="A114" t="s">
        <v>347</v>
      </c>
      <c r="B114" s="112">
        <v>43060</v>
      </c>
      <c r="C114">
        <v>21</v>
      </c>
      <c r="D114">
        <v>11</v>
      </c>
      <c r="E114">
        <v>2017</v>
      </c>
      <c r="F114">
        <v>47</v>
      </c>
      <c r="G114">
        <v>325</v>
      </c>
      <c r="H114" s="118">
        <v>7.48193359375</v>
      </c>
      <c r="I114" s="118">
        <v>10.2100830078125</v>
      </c>
      <c r="J114">
        <v>0</v>
      </c>
      <c r="K114">
        <v>0</v>
      </c>
    </row>
    <row r="115" spans="1:11">
      <c r="A115" t="s">
        <v>347</v>
      </c>
      <c r="B115" s="112">
        <v>43061</v>
      </c>
      <c r="C115">
        <v>22</v>
      </c>
      <c r="D115">
        <v>11</v>
      </c>
      <c r="E115">
        <v>2017</v>
      </c>
      <c r="F115">
        <v>47</v>
      </c>
      <c r="G115">
        <v>326</v>
      </c>
      <c r="H115" s="118">
        <v>5.5201721191406303</v>
      </c>
      <c r="I115" s="118">
        <v>13.8876953125</v>
      </c>
      <c r="J115">
        <v>0</v>
      </c>
      <c r="K115">
        <v>6.3</v>
      </c>
    </row>
    <row r="116" spans="1:11">
      <c r="A116" t="s">
        <v>347</v>
      </c>
      <c r="B116" s="112">
        <v>43062</v>
      </c>
      <c r="C116">
        <v>23</v>
      </c>
      <c r="D116">
        <v>11</v>
      </c>
      <c r="E116">
        <v>2017</v>
      </c>
      <c r="F116">
        <v>47</v>
      </c>
      <c r="G116">
        <v>327</v>
      </c>
      <c r="H116" s="118">
        <v>8.98199462890625</v>
      </c>
      <c r="I116" s="118">
        <v>16.1144104003906</v>
      </c>
      <c r="J116">
        <v>7.2</v>
      </c>
      <c r="K116">
        <v>1.2</v>
      </c>
    </row>
    <row r="117" spans="1:11">
      <c r="A117" t="s">
        <v>347</v>
      </c>
      <c r="B117" s="112">
        <v>43063</v>
      </c>
      <c r="C117">
        <v>24</v>
      </c>
      <c r="D117">
        <v>11</v>
      </c>
      <c r="E117">
        <v>2017</v>
      </c>
      <c r="F117">
        <v>47</v>
      </c>
      <c r="G117">
        <v>328</v>
      </c>
      <c r="H117" s="118">
        <v>8.1604919433593803</v>
      </c>
      <c r="I117" s="118">
        <v>12.5203857421875</v>
      </c>
      <c r="J117">
        <v>1.6</v>
      </c>
      <c r="K117">
        <v>1.2</v>
      </c>
    </row>
    <row r="118" spans="1:11">
      <c r="A118" t="s">
        <v>347</v>
      </c>
      <c r="B118" s="112">
        <v>43064</v>
      </c>
      <c r="C118">
        <v>25</v>
      </c>
      <c r="D118">
        <v>11</v>
      </c>
      <c r="E118">
        <v>2017</v>
      </c>
      <c r="F118">
        <v>47</v>
      </c>
      <c r="G118">
        <v>329</v>
      </c>
      <c r="H118" s="118">
        <v>0.78131103515625</v>
      </c>
      <c r="I118" s="118">
        <v>8.8032531738281303</v>
      </c>
      <c r="J118">
        <v>0</v>
      </c>
      <c r="K118">
        <v>1.6</v>
      </c>
    </row>
    <row r="119" spans="1:11">
      <c r="A119" t="s">
        <v>347</v>
      </c>
      <c r="B119" s="112">
        <v>43065</v>
      </c>
      <c r="C119">
        <v>26</v>
      </c>
      <c r="D119">
        <v>11</v>
      </c>
      <c r="E119">
        <v>2017</v>
      </c>
      <c r="F119">
        <v>48</v>
      </c>
      <c r="G119">
        <v>330</v>
      </c>
      <c r="H119" s="118">
        <v>0.790496826171875</v>
      </c>
      <c r="I119" s="118">
        <v>8.0744323730468697</v>
      </c>
      <c r="J119">
        <v>0.2</v>
      </c>
      <c r="K119">
        <v>2</v>
      </c>
    </row>
    <row r="120" spans="1:11">
      <c r="A120" t="s">
        <v>347</v>
      </c>
      <c r="B120" s="112">
        <v>43066</v>
      </c>
      <c r="C120">
        <v>27</v>
      </c>
      <c r="D120">
        <v>11</v>
      </c>
      <c r="E120">
        <v>2017</v>
      </c>
      <c r="F120">
        <v>48</v>
      </c>
      <c r="G120">
        <v>331</v>
      </c>
      <c r="H120" s="118">
        <v>3.2593994140625</v>
      </c>
      <c r="I120" s="118">
        <v>8.487548828125</v>
      </c>
      <c r="J120">
        <v>8.5</v>
      </c>
      <c r="K120">
        <v>0.5</v>
      </c>
    </row>
    <row r="121" spans="1:11">
      <c r="A121" t="s">
        <v>347</v>
      </c>
      <c r="B121" s="112">
        <v>43067</v>
      </c>
      <c r="C121">
        <v>28</v>
      </c>
      <c r="D121">
        <v>11</v>
      </c>
      <c r="E121">
        <v>2017</v>
      </c>
      <c r="F121">
        <v>48</v>
      </c>
      <c r="G121">
        <v>332</v>
      </c>
      <c r="H121" s="118">
        <v>1.58465576171875</v>
      </c>
      <c r="I121" s="118">
        <v>10.6781005859375</v>
      </c>
      <c r="J121">
        <v>1.4</v>
      </c>
      <c r="K121">
        <v>4.7</v>
      </c>
    </row>
    <row r="122" spans="1:11">
      <c r="A122" t="s">
        <v>347</v>
      </c>
      <c r="B122" s="112">
        <v>43068</v>
      </c>
      <c r="C122">
        <v>29</v>
      </c>
      <c r="D122">
        <v>11</v>
      </c>
      <c r="E122">
        <v>2017</v>
      </c>
      <c r="F122">
        <v>48</v>
      </c>
      <c r="G122">
        <v>333</v>
      </c>
      <c r="H122" s="118">
        <v>-0.149749755859375</v>
      </c>
      <c r="I122" s="118">
        <v>7.7025451660156197</v>
      </c>
      <c r="J122">
        <v>0.2</v>
      </c>
      <c r="K122">
        <v>3.2</v>
      </c>
    </row>
    <row r="123" spans="1:11">
      <c r="A123" t="s">
        <v>347</v>
      </c>
      <c r="B123" s="112">
        <v>43069</v>
      </c>
      <c r="C123">
        <v>30</v>
      </c>
      <c r="D123">
        <v>11</v>
      </c>
      <c r="E123">
        <v>2017</v>
      </c>
      <c r="F123">
        <v>48</v>
      </c>
      <c r="G123">
        <v>334</v>
      </c>
      <c r="H123" s="118">
        <v>-0.531036376953125</v>
      </c>
      <c r="I123" s="118">
        <v>4.2163391113281197</v>
      </c>
      <c r="J123">
        <v>1.6</v>
      </c>
      <c r="K123">
        <v>1.2</v>
      </c>
    </row>
    <row r="124" spans="1:11">
      <c r="A124" t="s">
        <v>347</v>
      </c>
      <c r="B124" s="112">
        <v>43070</v>
      </c>
      <c r="C124">
        <v>1</v>
      </c>
      <c r="D124">
        <v>12</v>
      </c>
      <c r="E124">
        <v>2017</v>
      </c>
      <c r="F124">
        <v>48</v>
      </c>
      <c r="G124">
        <v>335</v>
      </c>
      <c r="H124" s="118">
        <v>-0.75128173828125</v>
      </c>
      <c r="I124" s="118">
        <v>3.53125</v>
      </c>
      <c r="J124">
        <v>3.2</v>
      </c>
      <c r="K124">
        <v>0</v>
      </c>
    </row>
    <row r="125" spans="1:11">
      <c r="A125" t="s">
        <v>347</v>
      </c>
      <c r="B125" s="112">
        <v>43071</v>
      </c>
      <c r="C125">
        <v>2</v>
      </c>
      <c r="D125">
        <v>12</v>
      </c>
      <c r="E125">
        <v>2017</v>
      </c>
      <c r="F125">
        <v>48</v>
      </c>
      <c r="G125">
        <v>336</v>
      </c>
      <c r="H125" s="118">
        <v>-2.46673583984375</v>
      </c>
      <c r="I125" s="118">
        <v>1.0634460449218801</v>
      </c>
      <c r="J125">
        <v>0</v>
      </c>
      <c r="K125">
        <v>0</v>
      </c>
    </row>
    <row r="126" spans="1:11">
      <c r="A126" t="s">
        <v>347</v>
      </c>
      <c r="B126" s="112">
        <v>43072</v>
      </c>
      <c r="C126">
        <v>3</v>
      </c>
      <c r="D126">
        <v>12</v>
      </c>
      <c r="E126">
        <v>2017</v>
      </c>
      <c r="F126">
        <v>49</v>
      </c>
      <c r="G126">
        <v>337</v>
      </c>
      <c r="H126" s="118">
        <v>-2.9880676269531299</v>
      </c>
      <c r="I126" s="118">
        <v>2.9067687988281201</v>
      </c>
      <c r="J126">
        <v>1</v>
      </c>
      <c r="K126">
        <v>0.1</v>
      </c>
    </row>
    <row r="127" spans="1:11">
      <c r="A127" t="s">
        <v>347</v>
      </c>
      <c r="B127" s="112">
        <v>43073</v>
      </c>
      <c r="C127">
        <v>4</v>
      </c>
      <c r="D127">
        <v>12</v>
      </c>
      <c r="E127">
        <v>2017</v>
      </c>
      <c r="F127">
        <v>49</v>
      </c>
      <c r="G127">
        <v>338</v>
      </c>
      <c r="H127" s="118">
        <v>2.9730529785156201</v>
      </c>
      <c r="I127" s="118">
        <v>9.5747375488281303</v>
      </c>
      <c r="J127">
        <v>0</v>
      </c>
      <c r="K127">
        <v>2.2000000000000002</v>
      </c>
    </row>
    <row r="128" spans="1:11">
      <c r="A128" t="s">
        <v>347</v>
      </c>
      <c r="B128" s="112">
        <v>43074</v>
      </c>
      <c r="C128">
        <v>5</v>
      </c>
      <c r="D128">
        <v>12</v>
      </c>
      <c r="E128">
        <v>2017</v>
      </c>
      <c r="F128">
        <v>49</v>
      </c>
      <c r="G128">
        <v>339</v>
      </c>
      <c r="H128" s="118">
        <v>2.2798767089843799</v>
      </c>
      <c r="I128" s="118">
        <v>7.0554504394531303</v>
      </c>
      <c r="J128">
        <v>0</v>
      </c>
      <c r="K128">
        <v>0</v>
      </c>
    </row>
    <row r="129" spans="1:11">
      <c r="A129" t="s">
        <v>347</v>
      </c>
      <c r="B129" s="112">
        <v>43075</v>
      </c>
      <c r="C129">
        <v>6</v>
      </c>
      <c r="D129">
        <v>12</v>
      </c>
      <c r="E129">
        <v>2017</v>
      </c>
      <c r="F129">
        <v>49</v>
      </c>
      <c r="G129">
        <v>340</v>
      </c>
      <c r="H129" s="118">
        <v>1.539306640625</v>
      </c>
      <c r="I129" s="118">
        <v>6.2373352050781197</v>
      </c>
      <c r="J129">
        <v>0</v>
      </c>
      <c r="K129">
        <v>0</v>
      </c>
    </row>
    <row r="130" spans="1:11">
      <c r="A130" t="s">
        <v>347</v>
      </c>
      <c r="B130" s="112">
        <v>43076</v>
      </c>
      <c r="C130">
        <v>7</v>
      </c>
      <c r="D130">
        <v>12</v>
      </c>
      <c r="E130">
        <v>2017</v>
      </c>
      <c r="F130">
        <v>49</v>
      </c>
      <c r="G130">
        <v>341</v>
      </c>
      <c r="H130" s="118">
        <v>0.448944091796875</v>
      </c>
      <c r="I130" s="118">
        <v>8.15435791015625</v>
      </c>
      <c r="J130">
        <v>4</v>
      </c>
      <c r="K130">
        <v>0</v>
      </c>
    </row>
    <row r="131" spans="1:11">
      <c r="A131" t="s">
        <v>347</v>
      </c>
      <c r="B131" s="112">
        <v>43077</v>
      </c>
      <c r="C131">
        <v>8</v>
      </c>
      <c r="D131">
        <v>12</v>
      </c>
      <c r="E131">
        <v>2017</v>
      </c>
      <c r="F131">
        <v>49</v>
      </c>
      <c r="G131">
        <v>342</v>
      </c>
      <c r="H131" s="118">
        <v>0.629241943359375</v>
      </c>
      <c r="I131" s="118">
        <v>6.4657287597656303</v>
      </c>
      <c r="J131">
        <v>0.6</v>
      </c>
      <c r="K131">
        <v>4</v>
      </c>
    </row>
    <row r="132" spans="1:11">
      <c r="A132" t="s">
        <v>347</v>
      </c>
      <c r="B132" s="112">
        <v>43078</v>
      </c>
      <c r="C132">
        <v>9</v>
      </c>
      <c r="D132">
        <v>12</v>
      </c>
      <c r="E132">
        <v>2017</v>
      </c>
      <c r="F132">
        <v>49</v>
      </c>
      <c r="G132">
        <v>343</v>
      </c>
      <c r="H132" s="118">
        <v>-1.28619384765625</v>
      </c>
      <c r="I132" s="118">
        <v>4.2854919433593697</v>
      </c>
      <c r="J132">
        <v>6.3</v>
      </c>
      <c r="K132">
        <v>4.8</v>
      </c>
    </row>
    <row r="133" spans="1:11">
      <c r="A133" t="s">
        <v>347</v>
      </c>
      <c r="B133" s="112">
        <v>43079</v>
      </c>
      <c r="C133">
        <v>10</v>
      </c>
      <c r="D133">
        <v>12</v>
      </c>
      <c r="E133">
        <v>2017</v>
      </c>
      <c r="F133">
        <v>50</v>
      </c>
      <c r="G133">
        <v>344</v>
      </c>
      <c r="H133" s="118">
        <v>0.880126953125</v>
      </c>
      <c r="I133" s="118">
        <v>9.951171875</v>
      </c>
      <c r="J133">
        <v>18.100000000000001</v>
      </c>
      <c r="K133">
        <v>1</v>
      </c>
    </row>
    <row r="134" spans="1:11">
      <c r="A134" t="s">
        <v>347</v>
      </c>
      <c r="B134" s="112">
        <v>43080</v>
      </c>
      <c r="C134">
        <v>11</v>
      </c>
      <c r="D134">
        <v>12</v>
      </c>
      <c r="E134">
        <v>2017</v>
      </c>
      <c r="F134">
        <v>50</v>
      </c>
      <c r="G134">
        <v>345</v>
      </c>
      <c r="H134" s="118">
        <v>2.1298828125</v>
      </c>
      <c r="I134" s="118">
        <v>9.4334716796875</v>
      </c>
      <c r="J134">
        <v>1.2</v>
      </c>
      <c r="K134">
        <v>0</v>
      </c>
    </row>
    <row r="135" spans="1:11">
      <c r="A135" t="s">
        <v>347</v>
      </c>
      <c r="B135" s="112">
        <v>43081</v>
      </c>
      <c r="C135">
        <v>12</v>
      </c>
      <c r="D135">
        <v>12</v>
      </c>
      <c r="E135">
        <v>2017</v>
      </c>
      <c r="F135">
        <v>50</v>
      </c>
      <c r="G135">
        <v>346</v>
      </c>
      <c r="H135" s="118">
        <v>-0.5499267578125</v>
      </c>
      <c r="I135" s="118">
        <v>5.5541076660156197</v>
      </c>
      <c r="J135">
        <v>0</v>
      </c>
      <c r="K135">
        <v>4.3</v>
      </c>
    </row>
    <row r="136" spans="1:11">
      <c r="A136" t="s">
        <v>347</v>
      </c>
      <c r="B136" s="112">
        <v>43082</v>
      </c>
      <c r="C136">
        <v>13</v>
      </c>
      <c r="D136">
        <v>12</v>
      </c>
      <c r="E136">
        <v>2017</v>
      </c>
      <c r="F136">
        <v>50</v>
      </c>
      <c r="G136">
        <v>347</v>
      </c>
      <c r="H136" s="118">
        <v>1.6163330078125</v>
      </c>
      <c r="I136" s="118">
        <v>9.0854187011718697</v>
      </c>
      <c r="J136">
        <v>8.6</v>
      </c>
      <c r="K136">
        <v>0</v>
      </c>
    </row>
    <row r="137" spans="1:11">
      <c r="A137" t="s">
        <v>347</v>
      </c>
      <c r="B137" s="112">
        <v>43083</v>
      </c>
      <c r="C137">
        <v>14</v>
      </c>
      <c r="D137">
        <v>12</v>
      </c>
      <c r="E137">
        <v>2017</v>
      </c>
      <c r="F137">
        <v>50</v>
      </c>
      <c r="G137">
        <v>348</v>
      </c>
      <c r="H137" s="118">
        <v>2.61419677734375</v>
      </c>
      <c r="I137" s="118">
        <v>8.2034912109375</v>
      </c>
      <c r="J137"/>
      <c r="K137"/>
    </row>
    <row r="138" spans="1:11">
      <c r="A138" t="s">
        <v>347</v>
      </c>
      <c r="B138" s="112">
        <v>43084</v>
      </c>
      <c r="C138">
        <v>15</v>
      </c>
      <c r="D138">
        <v>12</v>
      </c>
      <c r="E138">
        <v>2017</v>
      </c>
      <c r="F138">
        <v>50</v>
      </c>
      <c r="G138">
        <v>349</v>
      </c>
      <c r="H138" s="118">
        <v>2.2351379394531299</v>
      </c>
      <c r="I138" s="118">
        <v>6.03558349609375</v>
      </c>
      <c r="J138"/>
      <c r="K138"/>
    </row>
    <row r="139" spans="1:11">
      <c r="A139" t="s">
        <v>347</v>
      </c>
      <c r="B139" s="112">
        <v>43085</v>
      </c>
      <c r="C139">
        <v>16</v>
      </c>
      <c r="D139">
        <v>12</v>
      </c>
      <c r="E139">
        <v>2017</v>
      </c>
      <c r="F139">
        <v>50</v>
      </c>
      <c r="G139">
        <v>350</v>
      </c>
      <c r="H139" s="118">
        <v>1.7722473144531301</v>
      </c>
      <c r="I139" s="118">
        <v>9.17254638671875</v>
      </c>
      <c r="J139"/>
      <c r="K139"/>
    </row>
    <row r="140" spans="1:11">
      <c r="A140" t="s">
        <v>347</v>
      </c>
      <c r="B140" s="112">
        <v>43086</v>
      </c>
      <c r="C140">
        <v>17</v>
      </c>
      <c r="D140">
        <v>12</v>
      </c>
      <c r="E140">
        <v>2017</v>
      </c>
      <c r="F140">
        <v>51</v>
      </c>
      <c r="G140">
        <v>351</v>
      </c>
      <c r="H140" s="118">
        <v>0.684600830078125</v>
      </c>
      <c r="I140" s="118">
        <v>5.2589111328125</v>
      </c>
      <c r="J140"/>
      <c r="K140"/>
    </row>
    <row r="141" spans="1:11">
      <c r="A141" t="s">
        <v>347</v>
      </c>
      <c r="B141" s="112">
        <v>43087</v>
      </c>
      <c r="C141">
        <v>18</v>
      </c>
      <c r="D141">
        <v>12</v>
      </c>
      <c r="E141">
        <v>2017</v>
      </c>
      <c r="F141">
        <v>51</v>
      </c>
      <c r="G141">
        <v>352</v>
      </c>
      <c r="H141" s="118">
        <v>0.916839599609375</v>
      </c>
      <c r="I141" s="118">
        <v>9.5222473144531303</v>
      </c>
      <c r="J141">
        <v>0</v>
      </c>
      <c r="K141"/>
    </row>
    <row r="142" spans="1:11">
      <c r="A142" t="s">
        <v>347</v>
      </c>
      <c r="B142" s="112">
        <v>43088</v>
      </c>
      <c r="C142">
        <v>19</v>
      </c>
      <c r="D142">
        <v>12</v>
      </c>
      <c r="E142">
        <v>2017</v>
      </c>
      <c r="F142">
        <v>51</v>
      </c>
      <c r="G142">
        <v>353</v>
      </c>
      <c r="H142" s="118">
        <v>-0.83447265625</v>
      </c>
      <c r="I142" s="118">
        <v>3.0811462402343799</v>
      </c>
      <c r="J142">
        <v>0</v>
      </c>
      <c r="K142">
        <v>1.2</v>
      </c>
    </row>
    <row r="143" spans="1:11">
      <c r="A143" t="s">
        <v>347</v>
      </c>
      <c r="B143" s="112">
        <v>43089</v>
      </c>
      <c r="C143">
        <v>20</v>
      </c>
      <c r="D143">
        <v>12</v>
      </c>
      <c r="E143">
        <v>2017</v>
      </c>
      <c r="F143">
        <v>51</v>
      </c>
      <c r="G143">
        <v>354</v>
      </c>
      <c r="H143" s="118">
        <v>1.6841735839843801</v>
      </c>
      <c r="I143" s="118">
        <v>8.20758056640625</v>
      </c>
      <c r="J143">
        <v>0</v>
      </c>
      <c r="K143">
        <v>0</v>
      </c>
    </row>
    <row r="144" spans="1:11">
      <c r="A144" t="s">
        <v>347</v>
      </c>
      <c r="B144" s="112">
        <v>43090</v>
      </c>
      <c r="C144">
        <v>21</v>
      </c>
      <c r="D144">
        <v>12</v>
      </c>
      <c r="E144">
        <v>2017</v>
      </c>
      <c r="F144">
        <v>51</v>
      </c>
      <c r="G144">
        <v>355</v>
      </c>
      <c r="H144" s="118">
        <v>7.1405334472656303</v>
      </c>
      <c r="I144" s="118">
        <v>9.7601013183593803</v>
      </c>
      <c r="J144">
        <v>0.4</v>
      </c>
      <c r="K144">
        <v>0</v>
      </c>
    </row>
    <row r="145" spans="1:11">
      <c r="A145" t="s">
        <v>347</v>
      </c>
      <c r="B145" s="112">
        <v>43091</v>
      </c>
      <c r="C145">
        <v>22</v>
      </c>
      <c r="D145">
        <v>12</v>
      </c>
      <c r="E145">
        <v>2017</v>
      </c>
      <c r="F145">
        <v>51</v>
      </c>
      <c r="G145">
        <v>356</v>
      </c>
      <c r="H145" s="118">
        <v>6.916259765625</v>
      </c>
      <c r="I145" s="118">
        <v>10.4643249511719</v>
      </c>
      <c r="J145">
        <v>0.6</v>
      </c>
      <c r="K145">
        <v>0</v>
      </c>
    </row>
    <row r="146" spans="1:11">
      <c r="A146" t="s">
        <v>347</v>
      </c>
      <c r="B146" s="112">
        <v>43092</v>
      </c>
      <c r="C146">
        <v>23</v>
      </c>
      <c r="D146">
        <v>12</v>
      </c>
      <c r="E146">
        <v>2017</v>
      </c>
      <c r="F146">
        <v>51</v>
      </c>
      <c r="G146">
        <v>357</v>
      </c>
      <c r="H146" s="118">
        <v>7.6304626464843803</v>
      </c>
      <c r="I146" s="118">
        <v>8.7707214355468697</v>
      </c>
      <c r="J146">
        <v>0.4</v>
      </c>
      <c r="K146">
        <v>0</v>
      </c>
    </row>
    <row r="147" spans="1:11">
      <c r="A147" t="s">
        <v>347</v>
      </c>
      <c r="B147" s="112">
        <v>43093</v>
      </c>
      <c r="C147">
        <v>24</v>
      </c>
      <c r="D147">
        <v>12</v>
      </c>
      <c r="E147">
        <v>2017</v>
      </c>
      <c r="F147">
        <v>52</v>
      </c>
      <c r="G147">
        <v>358</v>
      </c>
      <c r="H147" s="118">
        <v>6.7789001464843803</v>
      </c>
      <c r="I147" s="118">
        <v>8.18096923828125</v>
      </c>
      <c r="J147">
        <v>0.6</v>
      </c>
      <c r="K147">
        <v>0</v>
      </c>
    </row>
    <row r="148" spans="1:11">
      <c r="A148" t="s">
        <v>347</v>
      </c>
      <c r="B148" s="112">
        <v>43094</v>
      </c>
      <c r="C148">
        <v>25</v>
      </c>
      <c r="D148">
        <v>12</v>
      </c>
      <c r="E148">
        <v>2017</v>
      </c>
      <c r="F148">
        <v>52</v>
      </c>
      <c r="G148">
        <v>359</v>
      </c>
      <c r="H148" s="118">
        <v>3.3011169433593701</v>
      </c>
      <c r="I148" s="118">
        <v>6.76220703125</v>
      </c>
      <c r="J148">
        <v>3.4</v>
      </c>
      <c r="K148">
        <v>0.1</v>
      </c>
    </row>
    <row r="149" spans="1:11">
      <c r="A149" t="s">
        <v>347</v>
      </c>
      <c r="B149" s="112">
        <v>43095</v>
      </c>
      <c r="C149">
        <v>26</v>
      </c>
      <c r="D149">
        <v>12</v>
      </c>
      <c r="E149">
        <v>2017</v>
      </c>
      <c r="F149">
        <v>52</v>
      </c>
      <c r="G149">
        <v>360</v>
      </c>
      <c r="H149" s="118">
        <v>3.41302490234375</v>
      </c>
      <c r="I149" s="118">
        <v>8.13592529296875</v>
      </c>
      <c r="J149">
        <v>4.4000000000000004</v>
      </c>
      <c r="K149">
        <v>1</v>
      </c>
    </row>
    <row r="150" spans="1:11">
      <c r="A150" t="s">
        <v>347</v>
      </c>
      <c r="B150" s="112">
        <v>43096</v>
      </c>
      <c r="C150">
        <v>27</v>
      </c>
      <c r="D150">
        <v>12</v>
      </c>
      <c r="E150">
        <v>2017</v>
      </c>
      <c r="F150">
        <v>52</v>
      </c>
      <c r="G150">
        <v>361</v>
      </c>
      <c r="H150" s="118">
        <v>1.4848937988281301</v>
      </c>
      <c r="I150" s="118">
        <v>6.0923767089843803</v>
      </c>
      <c r="J150">
        <v>2.6</v>
      </c>
      <c r="K150">
        <v>0.6</v>
      </c>
    </row>
    <row r="151" spans="1:11">
      <c r="A151" t="s">
        <v>347</v>
      </c>
      <c r="B151" s="112">
        <v>43097</v>
      </c>
      <c r="C151">
        <v>28</v>
      </c>
      <c r="D151">
        <v>12</v>
      </c>
      <c r="E151">
        <v>2017</v>
      </c>
      <c r="F151">
        <v>52</v>
      </c>
      <c r="G151">
        <v>362</v>
      </c>
      <c r="H151" s="118">
        <v>-0.453094482421875</v>
      </c>
      <c r="I151" s="118">
        <v>6.6036682128906303</v>
      </c>
      <c r="J151">
        <v>0</v>
      </c>
      <c r="K151">
        <v>4.4000000000000004</v>
      </c>
    </row>
    <row r="152" spans="1:11">
      <c r="A152" t="s">
        <v>347</v>
      </c>
      <c r="B152" s="112">
        <v>43098</v>
      </c>
      <c r="C152">
        <v>29</v>
      </c>
      <c r="D152">
        <v>12</v>
      </c>
      <c r="E152">
        <v>2017</v>
      </c>
      <c r="F152">
        <v>52</v>
      </c>
      <c r="G152">
        <v>363</v>
      </c>
      <c r="H152" s="118">
        <v>-0.257720947265625</v>
      </c>
      <c r="I152" s="118">
        <v>8.510009765625</v>
      </c>
      <c r="J152">
        <v>7.2</v>
      </c>
      <c r="K152">
        <v>0.3</v>
      </c>
    </row>
    <row r="153" spans="1:11">
      <c r="A153" t="s">
        <v>347</v>
      </c>
      <c r="B153" s="112">
        <v>43099</v>
      </c>
      <c r="C153">
        <v>30</v>
      </c>
      <c r="D153">
        <v>12</v>
      </c>
      <c r="E153">
        <v>2017</v>
      </c>
      <c r="F153">
        <v>52</v>
      </c>
      <c r="G153">
        <v>364</v>
      </c>
      <c r="H153" s="118">
        <v>7.61602783203125</v>
      </c>
      <c r="I153" s="118">
        <v>13.7198181152344</v>
      </c>
      <c r="J153">
        <v>0.8</v>
      </c>
      <c r="K153">
        <v>0</v>
      </c>
    </row>
    <row r="154" spans="1:11">
      <c r="A154" t="s">
        <v>347</v>
      </c>
      <c r="B154" s="112">
        <v>43100</v>
      </c>
      <c r="C154">
        <v>31</v>
      </c>
      <c r="D154">
        <v>12</v>
      </c>
      <c r="E154">
        <v>2017</v>
      </c>
      <c r="F154">
        <v>53</v>
      </c>
      <c r="G154">
        <v>365</v>
      </c>
      <c r="H154" s="118">
        <v>7.7210998535156197</v>
      </c>
      <c r="I154" s="118">
        <v>14.3845825195313</v>
      </c>
      <c r="J154">
        <v>0.4</v>
      </c>
      <c r="K154">
        <v>0.2</v>
      </c>
    </row>
    <row r="155" spans="1:11">
      <c r="A155" t="s">
        <v>347</v>
      </c>
      <c r="B155" s="112">
        <v>43101</v>
      </c>
      <c r="C155">
        <v>1</v>
      </c>
      <c r="D155">
        <v>1</v>
      </c>
      <c r="E155">
        <v>2018</v>
      </c>
      <c r="F155">
        <v>1</v>
      </c>
      <c r="G155">
        <v>1</v>
      </c>
      <c r="H155" s="118">
        <v>4.95391845703125</v>
      </c>
      <c r="I155" s="118">
        <v>9.1340637207031197</v>
      </c>
      <c r="J155">
        <v>10.1</v>
      </c>
      <c r="K155">
        <v>0.2</v>
      </c>
    </row>
    <row r="156" spans="1:11">
      <c r="A156" t="s">
        <v>347</v>
      </c>
      <c r="B156" s="112">
        <v>43102</v>
      </c>
      <c r="C156">
        <v>2</v>
      </c>
      <c r="D156">
        <v>1</v>
      </c>
      <c r="E156">
        <v>2018</v>
      </c>
      <c r="F156">
        <v>1</v>
      </c>
      <c r="G156">
        <v>2</v>
      </c>
      <c r="H156" s="118">
        <v>3.4371032714843799</v>
      </c>
      <c r="I156" s="118">
        <v>11.9506530761719</v>
      </c>
      <c r="J156">
        <v>2.8</v>
      </c>
      <c r="K156">
        <v>0</v>
      </c>
    </row>
    <row r="157" spans="1:11">
      <c r="A157" t="s">
        <v>347</v>
      </c>
      <c r="B157" s="112">
        <v>43103</v>
      </c>
      <c r="C157">
        <v>3</v>
      </c>
      <c r="D157">
        <v>1</v>
      </c>
      <c r="E157">
        <v>2018</v>
      </c>
      <c r="F157">
        <v>1</v>
      </c>
      <c r="G157">
        <v>3</v>
      </c>
      <c r="H157" s="118">
        <v>7.43646240234375</v>
      </c>
      <c r="I157" s="118">
        <v>13.8271789550781</v>
      </c>
      <c r="J157">
        <v>8.1999999999999993</v>
      </c>
      <c r="K157">
        <v>2.9</v>
      </c>
    </row>
    <row r="158" spans="1:11">
      <c r="A158" t="s">
        <v>347</v>
      </c>
      <c r="B158" s="112">
        <v>43104</v>
      </c>
      <c r="C158">
        <v>4</v>
      </c>
      <c r="D158">
        <v>1</v>
      </c>
      <c r="E158">
        <v>2018</v>
      </c>
      <c r="F158">
        <v>1</v>
      </c>
      <c r="G158">
        <v>4</v>
      </c>
      <c r="H158" s="118">
        <v>8.4753112792968803</v>
      </c>
      <c r="I158" s="118">
        <v>13.2602844238281</v>
      </c>
      <c r="J158">
        <v>2.8</v>
      </c>
      <c r="K158">
        <v>0</v>
      </c>
    </row>
    <row r="159" spans="1:11">
      <c r="A159" t="s">
        <v>347</v>
      </c>
      <c r="B159" s="112">
        <v>43105</v>
      </c>
      <c r="C159">
        <v>5</v>
      </c>
      <c r="D159">
        <v>1</v>
      </c>
      <c r="E159">
        <v>2018</v>
      </c>
      <c r="F159">
        <v>1</v>
      </c>
      <c r="G159">
        <v>5</v>
      </c>
      <c r="H159" s="118">
        <v>6.08184814453125</v>
      </c>
      <c r="I159" s="118">
        <v>10.4942932128906</v>
      </c>
      <c r="J159">
        <v>0.8</v>
      </c>
      <c r="K159">
        <v>0.1</v>
      </c>
    </row>
    <row r="160" spans="1:11">
      <c r="A160" t="s">
        <v>347</v>
      </c>
      <c r="B160" s="112">
        <v>43106</v>
      </c>
      <c r="C160">
        <v>6</v>
      </c>
      <c r="D160">
        <v>1</v>
      </c>
      <c r="E160">
        <v>2018</v>
      </c>
      <c r="F160">
        <v>1</v>
      </c>
      <c r="G160">
        <v>6</v>
      </c>
      <c r="H160" s="118">
        <v>4.99664306640625</v>
      </c>
      <c r="I160" s="118">
        <v>7.0367736816406197</v>
      </c>
      <c r="J160">
        <v>4</v>
      </c>
      <c r="K160">
        <v>0</v>
      </c>
    </row>
    <row r="161" spans="1:11">
      <c r="A161" t="s">
        <v>347</v>
      </c>
      <c r="B161" s="112">
        <v>43107</v>
      </c>
      <c r="C161">
        <v>7</v>
      </c>
      <c r="D161">
        <v>1</v>
      </c>
      <c r="E161">
        <v>2018</v>
      </c>
      <c r="F161">
        <v>2</v>
      </c>
      <c r="G161">
        <v>7</v>
      </c>
      <c r="H161" s="118">
        <v>5.6303405761718803</v>
      </c>
      <c r="I161" s="118">
        <v>6.5472717285156197</v>
      </c>
      <c r="J161">
        <v>0.4</v>
      </c>
      <c r="K161">
        <v>0</v>
      </c>
    </row>
    <row r="162" spans="1:11">
      <c r="A162" t="s">
        <v>347</v>
      </c>
      <c r="B162" s="112">
        <v>43108</v>
      </c>
      <c r="C162">
        <v>8</v>
      </c>
      <c r="D162">
        <v>1</v>
      </c>
      <c r="E162">
        <v>2018</v>
      </c>
      <c r="F162">
        <v>2</v>
      </c>
      <c r="G162">
        <v>8</v>
      </c>
      <c r="H162" s="118">
        <v>3.9084777832031299</v>
      </c>
      <c r="I162" s="118">
        <v>10.6081848144531</v>
      </c>
      <c r="J162">
        <v>0</v>
      </c>
      <c r="K162">
        <v>2.9</v>
      </c>
    </row>
    <row r="163" spans="1:11">
      <c r="A163" t="s">
        <v>347</v>
      </c>
      <c r="B163" s="112">
        <v>43109</v>
      </c>
      <c r="C163">
        <v>9</v>
      </c>
      <c r="D163">
        <v>1</v>
      </c>
      <c r="E163">
        <v>2018</v>
      </c>
      <c r="F163">
        <v>2</v>
      </c>
      <c r="G163">
        <v>9</v>
      </c>
      <c r="H163" s="118">
        <v>3.17364501953125</v>
      </c>
      <c r="I163" s="118">
        <v>7.6572265625</v>
      </c>
      <c r="J163">
        <v>4.2</v>
      </c>
      <c r="K163">
        <v>0</v>
      </c>
    </row>
    <row r="164" spans="1:11">
      <c r="A164" t="s">
        <v>347</v>
      </c>
      <c r="B164" s="112">
        <v>43110</v>
      </c>
      <c r="C164">
        <v>10</v>
      </c>
      <c r="D164">
        <v>1</v>
      </c>
      <c r="E164">
        <v>2018</v>
      </c>
      <c r="F164">
        <v>2</v>
      </c>
      <c r="G164">
        <v>10</v>
      </c>
      <c r="H164" s="118">
        <v>4.3309020996093697</v>
      </c>
      <c r="I164" s="118">
        <v>8.7829284667968803</v>
      </c>
      <c r="J164">
        <v>0.2</v>
      </c>
      <c r="K164">
        <v>0.4</v>
      </c>
    </row>
    <row r="165" spans="1:11">
      <c r="A165" t="s">
        <v>347</v>
      </c>
      <c r="B165" s="112">
        <v>43111</v>
      </c>
      <c r="C165">
        <v>11</v>
      </c>
      <c r="D165">
        <v>1</v>
      </c>
      <c r="E165">
        <v>2018</v>
      </c>
      <c r="F165">
        <v>2</v>
      </c>
      <c r="G165">
        <v>11</v>
      </c>
      <c r="H165" s="118">
        <v>4.1947021484375</v>
      </c>
      <c r="I165" s="118">
        <v>8.1953125</v>
      </c>
      <c r="J165">
        <v>0</v>
      </c>
      <c r="K165">
        <v>0.8</v>
      </c>
    </row>
    <row r="166" spans="1:11">
      <c r="A166" t="s">
        <v>347</v>
      </c>
      <c r="B166" s="112">
        <v>43112</v>
      </c>
      <c r="C166">
        <v>12</v>
      </c>
      <c r="D166">
        <v>1</v>
      </c>
      <c r="E166">
        <v>2018</v>
      </c>
      <c r="F166">
        <v>2</v>
      </c>
      <c r="G166">
        <v>12</v>
      </c>
      <c r="H166" s="118">
        <v>3.54437255859375</v>
      </c>
      <c r="I166" s="118">
        <v>6.1617126464843803</v>
      </c>
      <c r="J166">
        <v>0</v>
      </c>
      <c r="K166">
        <v>0</v>
      </c>
    </row>
    <row r="167" spans="1:11">
      <c r="A167" t="s">
        <v>347</v>
      </c>
      <c r="B167" s="112">
        <v>43113</v>
      </c>
      <c r="C167">
        <v>13</v>
      </c>
      <c r="D167">
        <v>1</v>
      </c>
      <c r="E167">
        <v>2018</v>
      </c>
      <c r="F167">
        <v>2</v>
      </c>
      <c r="G167">
        <v>13</v>
      </c>
      <c r="H167" s="118">
        <v>1.4394836425781199</v>
      </c>
      <c r="I167" s="118">
        <v>3.6732482910156201</v>
      </c>
      <c r="J167">
        <v>0</v>
      </c>
      <c r="K167">
        <v>0.2</v>
      </c>
    </row>
    <row r="168" spans="1:11">
      <c r="A168" t="s">
        <v>347</v>
      </c>
      <c r="B168" s="112">
        <v>43114</v>
      </c>
      <c r="C168">
        <v>14</v>
      </c>
      <c r="D168">
        <v>1</v>
      </c>
      <c r="E168">
        <v>2018</v>
      </c>
      <c r="F168">
        <v>3</v>
      </c>
      <c r="G168">
        <v>14</v>
      </c>
      <c r="H168" s="118">
        <v>-1.0753479003906199</v>
      </c>
      <c r="I168" s="118">
        <v>7.7643127441406197</v>
      </c>
      <c r="J168">
        <v>0</v>
      </c>
      <c r="K168">
        <v>2.2999999999999998</v>
      </c>
    </row>
    <row r="169" spans="1:11">
      <c r="A169" t="s">
        <v>347</v>
      </c>
      <c r="B169" s="112">
        <v>43115</v>
      </c>
      <c r="C169">
        <v>15</v>
      </c>
      <c r="D169">
        <v>1</v>
      </c>
      <c r="E169">
        <v>2018</v>
      </c>
      <c r="F169">
        <v>3</v>
      </c>
      <c r="G169">
        <v>15</v>
      </c>
      <c r="H169" s="118">
        <v>2.7008056640625</v>
      </c>
      <c r="I169" s="118">
        <v>9.19281005859375</v>
      </c>
      <c r="J169">
        <v>11.6</v>
      </c>
      <c r="K169">
        <v>0</v>
      </c>
    </row>
    <row r="170" spans="1:11">
      <c r="A170" t="s">
        <v>347</v>
      </c>
      <c r="B170" s="112">
        <v>43116</v>
      </c>
      <c r="C170">
        <v>16</v>
      </c>
      <c r="D170">
        <v>1</v>
      </c>
      <c r="E170">
        <v>2018</v>
      </c>
      <c r="F170">
        <v>3</v>
      </c>
      <c r="G170">
        <v>16</v>
      </c>
      <c r="H170" s="118">
        <v>4.97528076171875</v>
      </c>
      <c r="I170" s="118">
        <v>10.7239990234375</v>
      </c>
      <c r="J170">
        <v>3.6</v>
      </c>
      <c r="K170">
        <v>1.5</v>
      </c>
    </row>
    <row r="171" spans="1:11">
      <c r="A171" t="s">
        <v>347</v>
      </c>
      <c r="B171" s="112">
        <v>43117</v>
      </c>
      <c r="C171">
        <v>17</v>
      </c>
      <c r="D171">
        <v>1</v>
      </c>
      <c r="E171">
        <v>2018</v>
      </c>
      <c r="F171">
        <v>3</v>
      </c>
      <c r="G171">
        <v>17</v>
      </c>
      <c r="H171" s="118">
        <v>2.5207824707031299</v>
      </c>
      <c r="I171" s="118">
        <v>8.2280578613281303</v>
      </c>
      <c r="J171">
        <v>1.2</v>
      </c>
      <c r="K171">
        <v>6.3</v>
      </c>
    </row>
    <row r="172" spans="1:11">
      <c r="A172" t="s">
        <v>347</v>
      </c>
      <c r="B172" s="112">
        <v>43118</v>
      </c>
      <c r="C172">
        <v>18</v>
      </c>
      <c r="D172">
        <v>1</v>
      </c>
      <c r="E172">
        <v>2018</v>
      </c>
      <c r="F172">
        <v>3</v>
      </c>
      <c r="G172">
        <v>18</v>
      </c>
      <c r="H172" s="118">
        <v>5.7213134765625</v>
      </c>
      <c r="I172" s="118">
        <v>11.6718444824219</v>
      </c>
      <c r="J172">
        <v>4.5999999999999996</v>
      </c>
      <c r="K172">
        <v>0.3</v>
      </c>
    </row>
    <row r="173" spans="1:11">
      <c r="A173" t="s">
        <v>347</v>
      </c>
      <c r="B173" s="112">
        <v>43119</v>
      </c>
      <c r="C173">
        <v>19</v>
      </c>
      <c r="D173">
        <v>1</v>
      </c>
      <c r="E173">
        <v>2018</v>
      </c>
      <c r="F173">
        <v>3</v>
      </c>
      <c r="G173">
        <v>19</v>
      </c>
      <c r="H173" s="118">
        <v>2.2082824707031299</v>
      </c>
      <c r="I173" s="118">
        <v>7.0865783691406197</v>
      </c>
      <c r="J173">
        <v>1.6</v>
      </c>
      <c r="K173">
        <v>3</v>
      </c>
    </row>
    <row r="174" spans="1:11">
      <c r="A174" t="s">
        <v>347</v>
      </c>
      <c r="B174" s="112">
        <v>43120</v>
      </c>
      <c r="C174">
        <v>20</v>
      </c>
      <c r="D174">
        <v>1</v>
      </c>
      <c r="E174">
        <v>2018</v>
      </c>
      <c r="F174">
        <v>3</v>
      </c>
      <c r="G174">
        <v>20</v>
      </c>
      <c r="H174" s="118">
        <v>2.1141662597656201</v>
      </c>
      <c r="I174" s="118">
        <v>11.9703979492187</v>
      </c>
      <c r="J174">
        <v>8.3000000000000007</v>
      </c>
      <c r="K174">
        <v>0.2</v>
      </c>
    </row>
    <row r="175" spans="1:11">
      <c r="A175" t="s">
        <v>347</v>
      </c>
      <c r="B175" s="112">
        <v>43121</v>
      </c>
      <c r="C175">
        <v>21</v>
      </c>
      <c r="D175">
        <v>1</v>
      </c>
      <c r="E175">
        <v>2018</v>
      </c>
      <c r="F175">
        <v>4</v>
      </c>
      <c r="G175">
        <v>21</v>
      </c>
      <c r="H175" s="118">
        <v>5.82269287109375</v>
      </c>
      <c r="I175" s="118">
        <v>11.2435607910156</v>
      </c>
      <c r="J175">
        <v>4.4000000000000004</v>
      </c>
      <c r="K175">
        <v>0</v>
      </c>
    </row>
    <row r="176" spans="1:11">
      <c r="A176" t="s">
        <v>347</v>
      </c>
      <c r="B176" s="112">
        <v>43122</v>
      </c>
      <c r="C176">
        <v>22</v>
      </c>
      <c r="D176">
        <v>1</v>
      </c>
      <c r="E176">
        <v>2018</v>
      </c>
      <c r="F176">
        <v>4</v>
      </c>
      <c r="G176">
        <v>22</v>
      </c>
      <c r="H176" s="118">
        <v>8.0252380371093697</v>
      </c>
      <c r="I176" s="118">
        <v>13.1936950683594</v>
      </c>
      <c r="J176">
        <v>3</v>
      </c>
      <c r="K176">
        <v>1.7</v>
      </c>
    </row>
    <row r="177" spans="1:11">
      <c r="A177" t="s">
        <v>347</v>
      </c>
      <c r="B177" s="112">
        <v>43123</v>
      </c>
      <c r="C177">
        <v>23</v>
      </c>
      <c r="D177">
        <v>1</v>
      </c>
      <c r="E177">
        <v>2018</v>
      </c>
      <c r="F177">
        <v>4</v>
      </c>
      <c r="G177">
        <v>23</v>
      </c>
      <c r="H177" s="118">
        <v>5.6642150878906303</v>
      </c>
      <c r="I177" s="118">
        <v>11.0288391113281</v>
      </c>
      <c r="J177">
        <v>0.6</v>
      </c>
      <c r="K177">
        <v>0</v>
      </c>
    </row>
    <row r="178" spans="1:11">
      <c r="A178" t="s">
        <v>347</v>
      </c>
      <c r="B178" s="112">
        <v>43124</v>
      </c>
      <c r="C178">
        <v>24</v>
      </c>
      <c r="D178">
        <v>1</v>
      </c>
      <c r="E178">
        <v>2018</v>
      </c>
      <c r="F178">
        <v>4</v>
      </c>
      <c r="G178">
        <v>24</v>
      </c>
      <c r="H178" s="118">
        <v>10.2120971679688</v>
      </c>
      <c r="I178" s="118">
        <v>12.6246337890625</v>
      </c>
      <c r="J178">
        <v>3.2</v>
      </c>
      <c r="K178">
        <v>1.9</v>
      </c>
    </row>
    <row r="179" spans="1:11">
      <c r="A179" t="s">
        <v>347</v>
      </c>
      <c r="B179" s="112">
        <v>43125</v>
      </c>
      <c r="C179">
        <v>25</v>
      </c>
      <c r="D179">
        <v>1</v>
      </c>
      <c r="E179">
        <v>2018</v>
      </c>
      <c r="F179">
        <v>4</v>
      </c>
      <c r="G179">
        <v>25</v>
      </c>
      <c r="H179" s="118">
        <v>6.5451965332031197</v>
      </c>
      <c r="I179" s="118">
        <v>10.3142395019531</v>
      </c>
      <c r="J179">
        <v>1.2</v>
      </c>
      <c r="K179">
        <v>0</v>
      </c>
    </row>
    <row r="180" spans="1:11">
      <c r="A180" t="s">
        <v>347</v>
      </c>
      <c r="B180" s="112">
        <v>43126</v>
      </c>
      <c r="C180">
        <v>26</v>
      </c>
      <c r="D180">
        <v>1</v>
      </c>
      <c r="E180">
        <v>2018</v>
      </c>
      <c r="F180">
        <v>4</v>
      </c>
      <c r="G180">
        <v>26</v>
      </c>
      <c r="H180" s="118">
        <v>2.5007629394531299</v>
      </c>
      <c r="I180" s="118">
        <v>8.30780029296875</v>
      </c>
      <c r="J180">
        <v>0.4</v>
      </c>
      <c r="K180">
        <v>3.2</v>
      </c>
    </row>
    <row r="181" spans="1:11">
      <c r="A181" t="s">
        <v>347</v>
      </c>
      <c r="B181" s="112">
        <v>43127</v>
      </c>
      <c r="C181">
        <v>27</v>
      </c>
      <c r="D181">
        <v>1</v>
      </c>
      <c r="E181">
        <v>2018</v>
      </c>
      <c r="F181">
        <v>4</v>
      </c>
      <c r="G181">
        <v>27</v>
      </c>
      <c r="H181" s="118">
        <v>1.50982666015625</v>
      </c>
      <c r="I181" s="118">
        <v>4.3524475097656197</v>
      </c>
      <c r="J181">
        <v>0</v>
      </c>
      <c r="K181">
        <v>1.3</v>
      </c>
    </row>
    <row r="182" spans="1:11">
      <c r="A182" t="s">
        <v>347</v>
      </c>
      <c r="B182" s="112">
        <v>43128</v>
      </c>
      <c r="C182">
        <v>28</v>
      </c>
      <c r="D182">
        <v>1</v>
      </c>
      <c r="E182">
        <v>2018</v>
      </c>
      <c r="F182">
        <v>5</v>
      </c>
      <c r="G182">
        <v>28</v>
      </c>
      <c r="H182" s="118">
        <v>3.4962463378906299</v>
      </c>
      <c r="I182" s="118">
        <v>9.55859375</v>
      </c>
      <c r="J182">
        <v>0.2</v>
      </c>
      <c r="K182">
        <v>0</v>
      </c>
    </row>
    <row r="183" spans="1:11">
      <c r="A183" t="s">
        <v>347</v>
      </c>
      <c r="B183" s="112">
        <v>43129</v>
      </c>
      <c r="C183">
        <v>29</v>
      </c>
      <c r="D183">
        <v>1</v>
      </c>
      <c r="E183">
        <v>2018</v>
      </c>
      <c r="F183">
        <v>5</v>
      </c>
      <c r="G183">
        <v>29</v>
      </c>
      <c r="H183" s="118">
        <v>8.1748046875</v>
      </c>
      <c r="I183" s="118">
        <v>10.121826171875</v>
      </c>
      <c r="J183">
        <v>0</v>
      </c>
      <c r="K183">
        <v>1.1000000000000001</v>
      </c>
    </row>
    <row r="184" spans="1:11">
      <c r="A184" t="s">
        <v>347</v>
      </c>
      <c r="B184" s="112">
        <v>43130</v>
      </c>
      <c r="C184">
        <v>30</v>
      </c>
      <c r="D184">
        <v>1</v>
      </c>
      <c r="E184">
        <v>2018</v>
      </c>
      <c r="F184">
        <v>5</v>
      </c>
      <c r="G184">
        <v>30</v>
      </c>
      <c r="H184" s="118">
        <v>8.111328125</v>
      </c>
      <c r="I184" s="118">
        <v>10.0716552734375</v>
      </c>
      <c r="J184">
        <v>0</v>
      </c>
      <c r="K184">
        <v>0</v>
      </c>
    </row>
    <row r="185" spans="1:11">
      <c r="A185" t="s">
        <v>347</v>
      </c>
      <c r="B185" s="112">
        <v>43131</v>
      </c>
      <c r="C185">
        <v>31</v>
      </c>
      <c r="D185">
        <v>1</v>
      </c>
      <c r="E185">
        <v>2018</v>
      </c>
      <c r="F185">
        <v>5</v>
      </c>
      <c r="G185">
        <v>31</v>
      </c>
      <c r="H185" s="118">
        <v>4.81048583984375</v>
      </c>
      <c r="I185" s="118">
        <v>8.5181579589843803</v>
      </c>
      <c r="J185">
        <v>11.7</v>
      </c>
      <c r="K185">
        <v>0</v>
      </c>
    </row>
    <row r="186" spans="1:11">
      <c r="A186" t="s">
        <v>347</v>
      </c>
      <c r="B186" s="112">
        <v>43132</v>
      </c>
      <c r="C186">
        <v>1</v>
      </c>
      <c r="D186">
        <v>2</v>
      </c>
      <c r="E186">
        <v>2018</v>
      </c>
      <c r="F186">
        <v>5</v>
      </c>
      <c r="G186">
        <v>32</v>
      </c>
      <c r="H186" s="118">
        <v>1.0176696777343801</v>
      </c>
      <c r="I186" s="118">
        <v>8.69134521484375</v>
      </c>
      <c r="J186">
        <v>0.2</v>
      </c>
      <c r="K186">
        <v>3.8</v>
      </c>
    </row>
    <row r="187" spans="1:11">
      <c r="A187" t="s">
        <v>347</v>
      </c>
      <c r="B187" s="112">
        <v>43133</v>
      </c>
      <c r="C187">
        <v>2</v>
      </c>
      <c r="D187">
        <v>2</v>
      </c>
      <c r="E187">
        <v>2018</v>
      </c>
      <c r="F187">
        <v>5</v>
      </c>
      <c r="G187">
        <v>33</v>
      </c>
      <c r="H187" s="118">
        <v>0.2796630859375</v>
      </c>
      <c r="I187" s="118">
        <v>7.4633483886718697</v>
      </c>
      <c r="J187">
        <v>0</v>
      </c>
      <c r="K187">
        <v>3.8</v>
      </c>
    </row>
    <row r="188" spans="1:11">
      <c r="A188" t="s">
        <v>347</v>
      </c>
      <c r="B188" s="112">
        <v>43134</v>
      </c>
      <c r="C188">
        <v>3</v>
      </c>
      <c r="D188">
        <v>2</v>
      </c>
      <c r="E188">
        <v>2018</v>
      </c>
      <c r="F188">
        <v>5</v>
      </c>
      <c r="G188">
        <v>34</v>
      </c>
      <c r="H188" s="118">
        <v>0.272705078125</v>
      </c>
      <c r="I188" s="118">
        <v>4.9731140136718803</v>
      </c>
      <c r="J188">
        <v>3.2</v>
      </c>
      <c r="K188">
        <v>0.7</v>
      </c>
    </row>
    <row r="189" spans="1:11">
      <c r="A189" t="s">
        <v>347</v>
      </c>
      <c r="B189" s="112">
        <v>43135</v>
      </c>
      <c r="C189">
        <v>4</v>
      </c>
      <c r="D189">
        <v>2</v>
      </c>
      <c r="E189">
        <v>2018</v>
      </c>
      <c r="F189">
        <v>6</v>
      </c>
      <c r="G189">
        <v>35</v>
      </c>
      <c r="H189" s="118">
        <v>-1.1279602050781199</v>
      </c>
      <c r="I189" s="118">
        <v>3.86712646484375</v>
      </c>
      <c r="J189">
        <v>1.2</v>
      </c>
      <c r="K189">
        <v>1.6</v>
      </c>
    </row>
    <row r="190" spans="1:11">
      <c r="A190" t="s">
        <v>347</v>
      </c>
      <c r="B190" s="112">
        <v>43136</v>
      </c>
      <c r="C190">
        <v>5</v>
      </c>
      <c r="D190">
        <v>2</v>
      </c>
      <c r="E190">
        <v>2018</v>
      </c>
      <c r="F190">
        <v>6</v>
      </c>
      <c r="G190">
        <v>36</v>
      </c>
      <c r="H190" s="118">
        <v>-3.660400390625</v>
      </c>
      <c r="I190" s="118">
        <v>1.7384338378906199</v>
      </c>
      <c r="J190">
        <v>1.6</v>
      </c>
      <c r="K190">
        <v>1.5</v>
      </c>
    </row>
    <row r="191" spans="1:11">
      <c r="A191" t="s">
        <v>347</v>
      </c>
      <c r="B191" s="112">
        <v>43137</v>
      </c>
      <c r="C191">
        <v>6</v>
      </c>
      <c r="D191">
        <v>2</v>
      </c>
      <c r="E191">
        <v>2018</v>
      </c>
      <c r="F191">
        <v>6</v>
      </c>
      <c r="G191">
        <v>37</v>
      </c>
      <c r="H191" s="118">
        <v>-1.40887451171875</v>
      </c>
      <c r="I191" s="118">
        <v>0.82037353515625</v>
      </c>
      <c r="J191">
        <v>6.4</v>
      </c>
      <c r="K191">
        <v>0</v>
      </c>
    </row>
    <row r="192" spans="1:11">
      <c r="A192" t="s">
        <v>347</v>
      </c>
      <c r="B192" s="112">
        <v>43138</v>
      </c>
      <c r="C192">
        <v>7</v>
      </c>
      <c r="D192">
        <v>2</v>
      </c>
      <c r="E192">
        <v>2018</v>
      </c>
      <c r="F192">
        <v>6</v>
      </c>
      <c r="G192">
        <v>38</v>
      </c>
      <c r="H192" s="118">
        <v>-5.42572021484375</v>
      </c>
      <c r="I192" s="118">
        <v>1.65478515625</v>
      </c>
      <c r="J192">
        <v>1.8</v>
      </c>
      <c r="K192">
        <v>0.8</v>
      </c>
    </row>
    <row r="193" spans="1:11">
      <c r="A193" t="s">
        <v>347</v>
      </c>
      <c r="B193" s="112">
        <v>43139</v>
      </c>
      <c r="C193">
        <v>8</v>
      </c>
      <c r="D193">
        <v>2</v>
      </c>
      <c r="E193">
        <v>2018</v>
      </c>
      <c r="F193">
        <v>6</v>
      </c>
      <c r="G193">
        <v>39</v>
      </c>
      <c r="H193" s="118">
        <v>-10.133056640625</v>
      </c>
      <c r="I193" s="118">
        <v>4.7483215332031303</v>
      </c>
      <c r="J193">
        <v>0</v>
      </c>
      <c r="K193">
        <v>8.1999999999999993</v>
      </c>
    </row>
    <row r="194" spans="1:11">
      <c r="A194" t="s">
        <v>347</v>
      </c>
      <c r="B194" s="112">
        <v>43140</v>
      </c>
      <c r="C194">
        <v>9</v>
      </c>
      <c r="D194">
        <v>2</v>
      </c>
      <c r="E194">
        <v>2018</v>
      </c>
      <c r="F194">
        <v>6</v>
      </c>
      <c r="G194">
        <v>40</v>
      </c>
      <c r="H194" s="118">
        <v>-10.52197265625</v>
      </c>
      <c r="I194" s="118">
        <v>0.756011962890625</v>
      </c>
      <c r="J194">
        <v>3.4</v>
      </c>
      <c r="K194">
        <v>2</v>
      </c>
    </row>
    <row r="195" spans="1:11">
      <c r="A195" t="s">
        <v>347</v>
      </c>
      <c r="B195" s="112">
        <v>43141</v>
      </c>
      <c r="C195">
        <v>10</v>
      </c>
      <c r="D195">
        <v>2</v>
      </c>
      <c r="E195">
        <v>2018</v>
      </c>
      <c r="F195">
        <v>6</v>
      </c>
      <c r="G195">
        <v>41</v>
      </c>
      <c r="H195" s="118">
        <v>-6.2991027832031197</v>
      </c>
      <c r="I195" s="118">
        <v>2.3424377441406201</v>
      </c>
      <c r="J195">
        <v>2</v>
      </c>
      <c r="K195">
        <v>7</v>
      </c>
    </row>
    <row r="196" spans="1:11">
      <c r="A196" t="s">
        <v>347</v>
      </c>
      <c r="B196" s="112">
        <v>43142</v>
      </c>
      <c r="C196">
        <v>11</v>
      </c>
      <c r="D196">
        <v>2</v>
      </c>
      <c r="E196">
        <v>2018</v>
      </c>
      <c r="F196">
        <v>7</v>
      </c>
      <c r="G196">
        <v>42</v>
      </c>
      <c r="H196" s="118">
        <v>0.962677001953125</v>
      </c>
      <c r="I196" s="118">
        <v>7.78900146484375</v>
      </c>
      <c r="J196">
        <v>0.4</v>
      </c>
      <c r="K196">
        <v>2.8</v>
      </c>
    </row>
    <row r="197" spans="1:11">
      <c r="A197" t="s">
        <v>347</v>
      </c>
      <c r="B197" s="112">
        <v>43143</v>
      </c>
      <c r="C197">
        <v>12</v>
      </c>
      <c r="D197">
        <v>2</v>
      </c>
      <c r="E197">
        <v>2018</v>
      </c>
      <c r="F197">
        <v>7</v>
      </c>
      <c r="G197">
        <v>43</v>
      </c>
      <c r="H197" s="118">
        <v>-0.453094482421875</v>
      </c>
      <c r="I197" s="118">
        <v>7.49432373046875</v>
      </c>
      <c r="J197">
        <v>0</v>
      </c>
      <c r="K197">
        <v>7.6</v>
      </c>
    </row>
    <row r="198" spans="1:11">
      <c r="A198" t="s">
        <v>347</v>
      </c>
      <c r="B198" s="112">
        <v>43144</v>
      </c>
      <c r="C198">
        <v>13</v>
      </c>
      <c r="D198">
        <v>2</v>
      </c>
      <c r="E198">
        <v>2018</v>
      </c>
      <c r="F198">
        <v>7</v>
      </c>
      <c r="G198">
        <v>44</v>
      </c>
      <c r="H198" s="118">
        <v>-0.882049560546875</v>
      </c>
      <c r="I198" s="118">
        <v>2.2530212402343799</v>
      </c>
      <c r="J198">
        <v>1.4</v>
      </c>
      <c r="K198">
        <v>0.3</v>
      </c>
    </row>
    <row r="199" spans="1:11">
      <c r="A199" t="s">
        <v>347</v>
      </c>
      <c r="B199" s="112">
        <v>43145</v>
      </c>
      <c r="C199">
        <v>14</v>
      </c>
      <c r="D199">
        <v>2</v>
      </c>
      <c r="E199">
        <v>2018</v>
      </c>
      <c r="F199">
        <v>7</v>
      </c>
      <c r="G199">
        <v>45</v>
      </c>
      <c r="H199" s="118">
        <v>-2.8011474609375</v>
      </c>
      <c r="I199" s="118">
        <v>4.32440185546875</v>
      </c>
      <c r="J199">
        <v>4.4000000000000004</v>
      </c>
      <c r="K199">
        <v>0.4</v>
      </c>
    </row>
    <row r="200" spans="1:11">
      <c r="A200" t="s">
        <v>347</v>
      </c>
      <c r="B200" s="112">
        <v>43146</v>
      </c>
      <c r="C200">
        <v>15</v>
      </c>
      <c r="D200">
        <v>2</v>
      </c>
      <c r="E200">
        <v>2018</v>
      </c>
      <c r="F200">
        <v>7</v>
      </c>
      <c r="G200">
        <v>46</v>
      </c>
      <c r="H200" s="118">
        <v>4.4150390625</v>
      </c>
      <c r="I200" s="118">
        <v>11.4043273925781</v>
      </c>
      <c r="J200">
        <v>2.8</v>
      </c>
      <c r="K200">
        <v>0</v>
      </c>
    </row>
    <row r="201" spans="1:11">
      <c r="A201" t="s">
        <v>347</v>
      </c>
      <c r="B201" s="112">
        <v>43147</v>
      </c>
      <c r="C201">
        <v>16</v>
      </c>
      <c r="D201">
        <v>2</v>
      </c>
      <c r="E201">
        <v>2018</v>
      </c>
      <c r="F201">
        <v>7</v>
      </c>
      <c r="G201">
        <v>47</v>
      </c>
      <c r="H201" s="118">
        <v>-0.351776123046875</v>
      </c>
      <c r="I201" s="118">
        <v>9.6795349121093697</v>
      </c>
      <c r="J201">
        <v>1.4</v>
      </c>
      <c r="K201">
        <v>4.5999999999999996</v>
      </c>
    </row>
    <row r="202" spans="1:11">
      <c r="A202" t="s">
        <v>347</v>
      </c>
      <c r="B202" s="112">
        <v>43148</v>
      </c>
      <c r="C202">
        <v>17</v>
      </c>
      <c r="D202">
        <v>2</v>
      </c>
      <c r="E202">
        <v>2018</v>
      </c>
      <c r="F202">
        <v>7</v>
      </c>
      <c r="G202">
        <v>48</v>
      </c>
      <c r="H202" s="118">
        <v>0.714599609375</v>
      </c>
      <c r="I202" s="118">
        <v>10.9531860351562</v>
      </c>
      <c r="J202">
        <v>0.6</v>
      </c>
      <c r="K202">
        <v>4.0999999999999996</v>
      </c>
    </row>
    <row r="203" spans="1:11">
      <c r="A203" t="s">
        <v>347</v>
      </c>
      <c r="B203" s="112">
        <v>43149</v>
      </c>
      <c r="C203">
        <v>18</v>
      </c>
      <c r="D203">
        <v>2</v>
      </c>
      <c r="E203">
        <v>2018</v>
      </c>
      <c r="F203">
        <v>8</v>
      </c>
      <c r="G203">
        <v>49</v>
      </c>
      <c r="H203" s="118">
        <v>-0.33294677734375</v>
      </c>
      <c r="I203" s="118">
        <v>7.6531066894531303</v>
      </c>
      <c r="J203">
        <v>0</v>
      </c>
      <c r="K203">
        <v>3.8</v>
      </c>
    </row>
    <row r="204" spans="1:11">
      <c r="A204" t="s">
        <v>347</v>
      </c>
      <c r="B204" s="112">
        <v>43150</v>
      </c>
      <c r="C204">
        <v>19</v>
      </c>
      <c r="D204">
        <v>2</v>
      </c>
      <c r="E204">
        <v>2018</v>
      </c>
      <c r="F204">
        <v>8</v>
      </c>
      <c r="G204">
        <v>50</v>
      </c>
      <c r="H204" s="118">
        <v>0.181976318359375</v>
      </c>
      <c r="I204" s="118">
        <v>6.8621826171875</v>
      </c>
      <c r="J204">
        <v>5.6</v>
      </c>
      <c r="K204">
        <v>0.1</v>
      </c>
    </row>
    <row r="205" spans="1:11">
      <c r="A205" t="s">
        <v>347</v>
      </c>
      <c r="B205" s="112">
        <v>43151</v>
      </c>
      <c r="C205">
        <v>20</v>
      </c>
      <c r="D205">
        <v>2</v>
      </c>
      <c r="E205">
        <v>2018</v>
      </c>
      <c r="F205">
        <v>8</v>
      </c>
      <c r="G205">
        <v>51</v>
      </c>
      <c r="H205" s="118">
        <v>2.56085205078125</v>
      </c>
      <c r="I205" s="118">
        <v>7.6387023925781197</v>
      </c>
      <c r="J205">
        <v>5.2</v>
      </c>
      <c r="K205">
        <v>0</v>
      </c>
    </row>
    <row r="206" spans="1:11">
      <c r="A206" t="s">
        <v>347</v>
      </c>
      <c r="B206" s="112">
        <v>43152</v>
      </c>
      <c r="C206">
        <v>21</v>
      </c>
      <c r="D206">
        <v>2</v>
      </c>
      <c r="E206">
        <v>2018</v>
      </c>
      <c r="F206">
        <v>8</v>
      </c>
      <c r="G206">
        <v>52</v>
      </c>
      <c r="H206" s="118">
        <v>-1.48846435546875</v>
      </c>
      <c r="I206" s="118">
        <v>7.38897705078125</v>
      </c>
      <c r="J206">
        <v>0</v>
      </c>
      <c r="K206">
        <v>7.6</v>
      </c>
    </row>
    <row r="207" spans="1:11">
      <c r="A207" t="s">
        <v>347</v>
      </c>
      <c r="B207" s="112">
        <v>43153</v>
      </c>
      <c r="C207">
        <v>22</v>
      </c>
      <c r="D207">
        <v>2</v>
      </c>
      <c r="E207">
        <v>2018</v>
      </c>
      <c r="F207">
        <v>8</v>
      </c>
      <c r="G207">
        <v>53</v>
      </c>
      <c r="H207" s="118">
        <v>-3.2561950683593701</v>
      </c>
      <c r="I207" s="118">
        <v>7.85687255859375</v>
      </c>
      <c r="J207">
        <v>0</v>
      </c>
      <c r="K207">
        <v>8.6999999999999993</v>
      </c>
    </row>
    <row r="208" spans="1:11">
      <c r="A208" t="s">
        <v>347</v>
      </c>
      <c r="B208" s="112">
        <v>43154</v>
      </c>
      <c r="C208">
        <v>23</v>
      </c>
      <c r="D208">
        <v>2</v>
      </c>
      <c r="E208">
        <v>2018</v>
      </c>
      <c r="F208">
        <v>8</v>
      </c>
      <c r="G208">
        <v>54</v>
      </c>
      <c r="H208" s="118">
        <v>-3.22601318359375</v>
      </c>
      <c r="I208" s="118">
        <v>6.89752197265625</v>
      </c>
      <c r="J208">
        <v>0</v>
      </c>
      <c r="K208">
        <v>8.9</v>
      </c>
    </row>
    <row r="209" spans="1:11">
      <c r="A209" t="s">
        <v>347</v>
      </c>
      <c r="B209" s="112">
        <v>43155</v>
      </c>
      <c r="C209">
        <v>24</v>
      </c>
      <c r="D209">
        <v>2</v>
      </c>
      <c r="E209">
        <v>2018</v>
      </c>
      <c r="F209">
        <v>8</v>
      </c>
      <c r="G209">
        <v>55</v>
      </c>
      <c r="H209" s="118">
        <v>-3.1683044433593701</v>
      </c>
      <c r="I209" s="118">
        <v>6.8226013183593803</v>
      </c>
      <c r="J209">
        <v>0</v>
      </c>
      <c r="K209">
        <v>8.9</v>
      </c>
    </row>
    <row r="210" spans="1:11">
      <c r="A210" t="s">
        <v>347</v>
      </c>
      <c r="B210" s="112">
        <v>43156</v>
      </c>
      <c r="C210">
        <v>25</v>
      </c>
      <c r="D210">
        <v>2</v>
      </c>
      <c r="E210">
        <v>2018</v>
      </c>
      <c r="F210">
        <v>9</v>
      </c>
      <c r="G210">
        <v>56</v>
      </c>
      <c r="H210" s="118">
        <v>-3.6401062011718799</v>
      </c>
      <c r="I210" s="118">
        <v>5.839599609375</v>
      </c>
      <c r="J210">
        <v>0</v>
      </c>
      <c r="K210">
        <v>9.1</v>
      </c>
    </row>
    <row r="211" spans="1:11">
      <c r="A211" t="s">
        <v>347</v>
      </c>
      <c r="B211" s="112">
        <v>43157</v>
      </c>
      <c r="C211">
        <v>26</v>
      </c>
      <c r="D211">
        <v>2</v>
      </c>
      <c r="E211">
        <v>2018</v>
      </c>
      <c r="F211">
        <v>9</v>
      </c>
      <c r="G211">
        <v>57</v>
      </c>
      <c r="H211" s="118">
        <v>-5.59075927734375</v>
      </c>
      <c r="I211" s="118">
        <v>2.5475158691406201</v>
      </c>
      <c r="J211">
        <v>0</v>
      </c>
      <c r="K211">
        <v>8.6999999999999993</v>
      </c>
    </row>
    <row r="212" spans="1:11">
      <c r="A212" t="s">
        <v>347</v>
      </c>
      <c r="B212" s="112">
        <v>43158</v>
      </c>
      <c r="C212">
        <v>27</v>
      </c>
      <c r="D212">
        <v>2</v>
      </c>
      <c r="E212">
        <v>2018</v>
      </c>
      <c r="F212">
        <v>9</v>
      </c>
      <c r="G212">
        <v>58</v>
      </c>
      <c r="H212" s="118">
        <v>-9.5359802246093697</v>
      </c>
      <c r="I212" s="118">
        <v>0.36553955078125</v>
      </c>
      <c r="J212">
        <v>0</v>
      </c>
      <c r="K212">
        <v>2.4</v>
      </c>
    </row>
    <row r="213" spans="1:11">
      <c r="A213" t="s">
        <v>347</v>
      </c>
      <c r="B213" s="112">
        <v>43159</v>
      </c>
      <c r="C213">
        <v>28</v>
      </c>
      <c r="D213">
        <v>2</v>
      </c>
      <c r="E213">
        <v>2018</v>
      </c>
      <c r="F213">
        <v>9</v>
      </c>
      <c r="G213">
        <v>59</v>
      </c>
      <c r="H213" s="118">
        <v>-9.60479736328125</v>
      </c>
      <c r="I213" s="118">
        <v>0.34234619140625</v>
      </c>
      <c r="J213">
        <v>0</v>
      </c>
      <c r="K213">
        <v>7.5</v>
      </c>
    </row>
    <row r="214" spans="1:11">
      <c r="A214" t="s">
        <v>347</v>
      </c>
      <c r="B214" s="112">
        <v>43160</v>
      </c>
      <c r="C214">
        <v>1</v>
      </c>
      <c r="D214">
        <v>3</v>
      </c>
      <c r="E214">
        <v>2018</v>
      </c>
      <c r="F214">
        <v>9</v>
      </c>
      <c r="G214">
        <v>60</v>
      </c>
      <c r="H214" s="118">
        <v>-4.12261962890625</v>
      </c>
      <c r="I214" s="118">
        <v>3.579345703125</v>
      </c>
      <c r="J214">
        <v>1.2</v>
      </c>
      <c r="K214">
        <v>0.2</v>
      </c>
    </row>
    <row r="215" spans="1:11">
      <c r="A215" t="s">
        <v>347</v>
      </c>
      <c r="B215" s="112">
        <v>43161</v>
      </c>
      <c r="C215">
        <v>2</v>
      </c>
      <c r="D215">
        <v>3</v>
      </c>
      <c r="E215">
        <v>2018</v>
      </c>
      <c r="F215">
        <v>9</v>
      </c>
      <c r="G215">
        <v>61</v>
      </c>
      <c r="H215" s="118">
        <v>0.824981689453125</v>
      </c>
      <c r="I215" s="118">
        <v>8.9677734375</v>
      </c>
      <c r="J215">
        <v>1.2</v>
      </c>
      <c r="K215">
        <v>2.2000000000000002</v>
      </c>
    </row>
    <row r="216" spans="1:11">
      <c r="A216" t="s">
        <v>347</v>
      </c>
      <c r="B216" s="112">
        <v>43162</v>
      </c>
      <c r="C216">
        <v>3</v>
      </c>
      <c r="D216">
        <v>3</v>
      </c>
      <c r="E216">
        <v>2018</v>
      </c>
      <c r="F216">
        <v>9</v>
      </c>
      <c r="G216">
        <v>62</v>
      </c>
      <c r="H216" s="118">
        <v>0.767486572265625</v>
      </c>
      <c r="I216" s="118">
        <v>12.6658935546875</v>
      </c>
      <c r="J216">
        <v>1.6</v>
      </c>
      <c r="K216">
        <v>2.8</v>
      </c>
    </row>
    <row r="217" spans="1:11">
      <c r="A217" t="s">
        <v>347</v>
      </c>
      <c r="B217" s="112">
        <v>43163</v>
      </c>
      <c r="C217">
        <v>4</v>
      </c>
      <c r="D217">
        <v>3</v>
      </c>
      <c r="E217">
        <v>2018</v>
      </c>
      <c r="F217">
        <v>10</v>
      </c>
      <c r="G217">
        <v>63</v>
      </c>
      <c r="H217" s="118">
        <v>2.0738220214843799</v>
      </c>
      <c r="I217" s="118">
        <v>8.4508056640625</v>
      </c>
      <c r="J217">
        <v>14.1</v>
      </c>
      <c r="K217">
        <v>1.4</v>
      </c>
    </row>
    <row r="218" spans="1:11">
      <c r="A218" t="s">
        <v>347</v>
      </c>
      <c r="B218" s="112">
        <v>43164</v>
      </c>
      <c r="C218">
        <v>5</v>
      </c>
      <c r="D218">
        <v>3</v>
      </c>
      <c r="E218">
        <v>2018</v>
      </c>
      <c r="F218">
        <v>10</v>
      </c>
      <c r="G218">
        <v>64</v>
      </c>
      <c r="H218" s="118">
        <v>3.16705322265625</v>
      </c>
      <c r="I218" s="118">
        <v>12.0256958007813</v>
      </c>
      <c r="J218">
        <v>0</v>
      </c>
      <c r="K218">
        <v>2.6</v>
      </c>
    </row>
    <row r="219" spans="1:11">
      <c r="A219" t="s">
        <v>347</v>
      </c>
      <c r="B219" s="112">
        <v>43165</v>
      </c>
      <c r="C219">
        <v>6</v>
      </c>
      <c r="D219">
        <v>3</v>
      </c>
      <c r="E219">
        <v>2018</v>
      </c>
      <c r="F219">
        <v>10</v>
      </c>
      <c r="G219">
        <v>65</v>
      </c>
      <c r="H219" s="118">
        <v>3.623046875</v>
      </c>
      <c r="I219" s="118">
        <v>11.9388122558594</v>
      </c>
      <c r="J219">
        <v>3.6</v>
      </c>
      <c r="K219">
        <v>2.5</v>
      </c>
    </row>
    <row r="220" spans="1:11">
      <c r="A220" t="s">
        <v>347</v>
      </c>
      <c r="B220" s="112">
        <v>43166</v>
      </c>
      <c r="C220">
        <v>7</v>
      </c>
      <c r="D220">
        <v>3</v>
      </c>
      <c r="E220">
        <v>2018</v>
      </c>
      <c r="F220">
        <v>10</v>
      </c>
      <c r="G220">
        <v>66</v>
      </c>
      <c r="H220" s="118">
        <v>3.0106201171875</v>
      </c>
      <c r="I220" s="118">
        <v>9.6573791503906303</v>
      </c>
      <c r="J220">
        <v>4</v>
      </c>
      <c r="K220">
        <v>3.1</v>
      </c>
    </row>
    <row r="221" spans="1:11">
      <c r="A221" t="s">
        <v>347</v>
      </c>
      <c r="B221" s="112">
        <v>43167</v>
      </c>
      <c r="C221">
        <v>8</v>
      </c>
      <c r="D221">
        <v>3</v>
      </c>
      <c r="E221">
        <v>2018</v>
      </c>
      <c r="F221">
        <v>10</v>
      </c>
      <c r="G221">
        <v>67</v>
      </c>
      <c r="H221" s="118">
        <v>2.8780212402343799</v>
      </c>
      <c r="I221" s="118">
        <v>11.0288391113281</v>
      </c>
      <c r="J221">
        <v>0.4</v>
      </c>
      <c r="K221">
        <v>0.9</v>
      </c>
    </row>
    <row r="222" spans="1:11">
      <c r="A222" t="s">
        <v>347</v>
      </c>
      <c r="B222" s="112">
        <v>43168</v>
      </c>
      <c r="C222">
        <v>9</v>
      </c>
      <c r="D222">
        <v>3</v>
      </c>
      <c r="E222">
        <v>2018</v>
      </c>
      <c r="F222">
        <v>10</v>
      </c>
      <c r="G222">
        <v>68</v>
      </c>
      <c r="H222" s="118">
        <v>5.89654541015625</v>
      </c>
      <c r="I222" s="118">
        <v>14.4448852539062</v>
      </c>
      <c r="J222">
        <v>2.4</v>
      </c>
      <c r="K222">
        <v>0.7</v>
      </c>
    </row>
    <row r="223" spans="1:11">
      <c r="A223" t="s">
        <v>347</v>
      </c>
      <c r="B223" s="112">
        <v>43169</v>
      </c>
      <c r="C223">
        <v>10</v>
      </c>
      <c r="D223">
        <v>3</v>
      </c>
      <c r="E223">
        <v>2018</v>
      </c>
      <c r="F223">
        <v>10</v>
      </c>
      <c r="G223">
        <v>69</v>
      </c>
      <c r="H223" s="118">
        <v>10.1278381347656</v>
      </c>
      <c r="I223" s="118">
        <v>17.3807373046875</v>
      </c>
      <c r="J223">
        <v>25.8</v>
      </c>
      <c r="K223">
        <v>1.4</v>
      </c>
    </row>
    <row r="224" spans="1:11">
      <c r="A224" t="s">
        <v>347</v>
      </c>
      <c r="B224" s="112">
        <v>43170</v>
      </c>
      <c r="C224">
        <v>11</v>
      </c>
      <c r="D224">
        <v>3</v>
      </c>
      <c r="E224">
        <v>2018</v>
      </c>
      <c r="F224">
        <v>11</v>
      </c>
      <c r="G224">
        <v>70</v>
      </c>
      <c r="H224" s="118">
        <v>9.19281005859375</v>
      </c>
      <c r="I224" s="118">
        <v>17.3074645996094</v>
      </c>
      <c r="J224">
        <v>0</v>
      </c>
      <c r="K224">
        <v>5.8</v>
      </c>
    </row>
    <row r="225" spans="1:11">
      <c r="A225" t="s">
        <v>347</v>
      </c>
      <c r="B225" s="112">
        <v>43171</v>
      </c>
      <c r="C225">
        <v>12</v>
      </c>
      <c r="D225">
        <v>3</v>
      </c>
      <c r="E225">
        <v>2018</v>
      </c>
      <c r="F225">
        <v>11</v>
      </c>
      <c r="G225">
        <v>71</v>
      </c>
      <c r="H225" s="118">
        <v>7.4798583984375</v>
      </c>
      <c r="I225" s="118">
        <v>13.3248901367188</v>
      </c>
      <c r="J225">
        <v>5.4</v>
      </c>
      <c r="K225">
        <v>2.2000000000000002</v>
      </c>
    </row>
    <row r="226" spans="1:11">
      <c r="A226" t="s">
        <v>347</v>
      </c>
      <c r="B226" s="112">
        <v>43172</v>
      </c>
      <c r="C226">
        <v>13</v>
      </c>
      <c r="D226">
        <v>3</v>
      </c>
      <c r="E226">
        <v>2018</v>
      </c>
      <c r="F226">
        <v>11</v>
      </c>
      <c r="G226">
        <v>72</v>
      </c>
      <c r="H226" s="118">
        <v>2.689697265625</v>
      </c>
      <c r="I226" s="118">
        <v>11.8518676757813</v>
      </c>
      <c r="J226">
        <v>0.6</v>
      </c>
      <c r="K226">
        <v>3</v>
      </c>
    </row>
    <row r="227" spans="1:11">
      <c r="A227" t="s">
        <v>347</v>
      </c>
      <c r="B227" s="112">
        <v>43173</v>
      </c>
      <c r="C227">
        <v>14</v>
      </c>
      <c r="D227">
        <v>3</v>
      </c>
      <c r="E227">
        <v>2018</v>
      </c>
      <c r="F227">
        <v>11</v>
      </c>
      <c r="G227">
        <v>73</v>
      </c>
      <c r="H227" s="118">
        <v>1.98846435546875</v>
      </c>
      <c r="I227" s="118">
        <v>14.3144836425781</v>
      </c>
      <c r="J227">
        <v>9.9</v>
      </c>
      <c r="K227">
        <v>9.1</v>
      </c>
    </row>
    <row r="228" spans="1:11">
      <c r="A228" t="s">
        <v>347</v>
      </c>
      <c r="B228" s="112">
        <v>43174</v>
      </c>
      <c r="C228">
        <v>15</v>
      </c>
      <c r="D228">
        <v>3</v>
      </c>
      <c r="E228">
        <v>2018</v>
      </c>
      <c r="F228">
        <v>11</v>
      </c>
      <c r="G228">
        <v>74</v>
      </c>
      <c r="H228" s="118">
        <v>7.43646240234375</v>
      </c>
      <c r="I228" s="118">
        <v>12.3648681640625</v>
      </c>
      <c r="J228">
        <v>1.2</v>
      </c>
      <c r="K228"/>
    </row>
    <row r="229" spans="1:11">
      <c r="A229" t="s">
        <v>347</v>
      </c>
      <c r="B229" s="112">
        <v>43175</v>
      </c>
      <c r="C229">
        <v>16</v>
      </c>
      <c r="D229">
        <v>3</v>
      </c>
      <c r="E229">
        <v>2018</v>
      </c>
      <c r="F229">
        <v>11</v>
      </c>
      <c r="G229">
        <v>75</v>
      </c>
      <c r="H229" s="118">
        <v>4.4042663574218803</v>
      </c>
      <c r="I229" s="118">
        <v>12.5931396484375</v>
      </c>
      <c r="J229">
        <v>2.6</v>
      </c>
      <c r="K229">
        <v>3.7</v>
      </c>
    </row>
    <row r="230" spans="1:11">
      <c r="A230" t="s">
        <v>347</v>
      </c>
      <c r="B230" s="112">
        <v>43176</v>
      </c>
      <c r="C230">
        <v>17</v>
      </c>
      <c r="D230">
        <v>3</v>
      </c>
      <c r="E230">
        <v>2018</v>
      </c>
      <c r="F230">
        <v>11</v>
      </c>
      <c r="G230">
        <v>76</v>
      </c>
      <c r="H230" s="118">
        <v>1.68194580078125</v>
      </c>
      <c r="I230" s="118">
        <v>9.7379455566406197</v>
      </c>
      <c r="J230">
        <v>0</v>
      </c>
      <c r="K230">
        <v>0</v>
      </c>
    </row>
    <row r="231" spans="1:11">
      <c r="A231" t="s">
        <v>347</v>
      </c>
      <c r="B231" s="112">
        <v>43177</v>
      </c>
      <c r="C231">
        <v>18</v>
      </c>
      <c r="D231">
        <v>3</v>
      </c>
      <c r="E231">
        <v>2018</v>
      </c>
      <c r="F231">
        <v>12</v>
      </c>
      <c r="G231">
        <v>77</v>
      </c>
      <c r="H231" s="118">
        <v>-0.462554931640625</v>
      </c>
      <c r="I231" s="118">
        <v>2.6875</v>
      </c>
      <c r="J231">
        <v>0</v>
      </c>
      <c r="K231">
        <v>0</v>
      </c>
    </row>
    <row r="232" spans="1:11">
      <c r="A232" t="s">
        <v>347</v>
      </c>
      <c r="B232" s="112">
        <v>43178</v>
      </c>
      <c r="C232">
        <v>19</v>
      </c>
      <c r="D232">
        <v>3</v>
      </c>
      <c r="E232">
        <v>2018</v>
      </c>
      <c r="F232">
        <v>12</v>
      </c>
      <c r="G232">
        <v>78</v>
      </c>
      <c r="H232" s="118">
        <v>-1.1231689453125</v>
      </c>
      <c r="I232" s="118">
        <v>2.6941223144531299</v>
      </c>
      <c r="J232">
        <v>0</v>
      </c>
      <c r="K232">
        <v>0.2</v>
      </c>
    </row>
    <row r="233" spans="1:11">
      <c r="A233" t="s">
        <v>347</v>
      </c>
      <c r="B233" s="112">
        <v>43179</v>
      </c>
      <c r="C233">
        <v>20</v>
      </c>
      <c r="D233">
        <v>3</v>
      </c>
      <c r="E233">
        <v>2018</v>
      </c>
      <c r="F233">
        <v>12</v>
      </c>
      <c r="G233">
        <v>79</v>
      </c>
      <c r="H233" s="118">
        <v>-2.6571350097656201</v>
      </c>
      <c r="I233" s="118">
        <v>8.8967590332031197</v>
      </c>
      <c r="J233">
        <v>0</v>
      </c>
      <c r="K233">
        <v>6.3</v>
      </c>
    </row>
    <row r="234" spans="1:11">
      <c r="A234" t="s">
        <v>347</v>
      </c>
      <c r="B234" s="112">
        <v>43180</v>
      </c>
      <c r="C234">
        <v>21</v>
      </c>
      <c r="D234">
        <v>3</v>
      </c>
      <c r="E234">
        <v>2018</v>
      </c>
      <c r="F234">
        <v>12</v>
      </c>
      <c r="G234">
        <v>80</v>
      </c>
      <c r="H234" s="118">
        <v>-1.4715576171875</v>
      </c>
      <c r="I234" s="118">
        <v>11.5014953613281</v>
      </c>
      <c r="J234">
        <v>0</v>
      </c>
      <c r="K234">
        <v>7.2</v>
      </c>
    </row>
    <row r="235" spans="1:11">
      <c r="A235" t="s">
        <v>347</v>
      </c>
      <c r="B235" s="112">
        <v>43181</v>
      </c>
      <c r="C235">
        <v>22</v>
      </c>
      <c r="D235">
        <v>3</v>
      </c>
      <c r="E235">
        <v>2018</v>
      </c>
      <c r="F235">
        <v>12</v>
      </c>
      <c r="G235">
        <v>81</v>
      </c>
      <c r="H235" s="118">
        <v>-1.2430114746093801</v>
      </c>
      <c r="I235" s="118">
        <v>7.766357421875</v>
      </c>
      <c r="J235">
        <v>0</v>
      </c>
      <c r="K235">
        <v>0.1</v>
      </c>
    </row>
    <row r="236" spans="1:11">
      <c r="A236" t="s">
        <v>347</v>
      </c>
      <c r="B236" s="112">
        <v>43182</v>
      </c>
      <c r="C236">
        <v>23</v>
      </c>
      <c r="D236">
        <v>3</v>
      </c>
      <c r="E236">
        <v>2018</v>
      </c>
      <c r="F236">
        <v>12</v>
      </c>
      <c r="G236">
        <v>82</v>
      </c>
      <c r="H236" s="118">
        <v>3.6492614746093701</v>
      </c>
      <c r="I236" s="118">
        <v>6.5284423828125</v>
      </c>
      <c r="J236">
        <v>1.2</v>
      </c>
      <c r="K236">
        <v>0</v>
      </c>
    </row>
    <row r="237" spans="1:11">
      <c r="A237" t="s">
        <v>347</v>
      </c>
      <c r="B237" s="112">
        <v>43183</v>
      </c>
      <c r="C237">
        <v>24</v>
      </c>
      <c r="D237">
        <v>3</v>
      </c>
      <c r="E237">
        <v>2018</v>
      </c>
      <c r="F237">
        <v>12</v>
      </c>
      <c r="G237">
        <v>83</v>
      </c>
      <c r="H237" s="118">
        <v>4.4020690917968697</v>
      </c>
      <c r="I237" s="118">
        <v>15.7081604003906</v>
      </c>
      <c r="J237">
        <v>0</v>
      </c>
      <c r="K237">
        <v>3.9</v>
      </c>
    </row>
    <row r="238" spans="1:11">
      <c r="A238" t="s">
        <v>347</v>
      </c>
      <c r="B238" s="112">
        <v>43184</v>
      </c>
      <c r="C238">
        <v>25</v>
      </c>
      <c r="D238">
        <v>3</v>
      </c>
      <c r="E238">
        <v>2018</v>
      </c>
      <c r="F238">
        <v>13</v>
      </c>
      <c r="G238">
        <v>84</v>
      </c>
      <c r="H238" s="118">
        <v>6.9494934082031197</v>
      </c>
      <c r="I238" s="118">
        <v>20.1469116210938</v>
      </c>
      <c r="J238">
        <v>0</v>
      </c>
      <c r="K238">
        <v>3.7</v>
      </c>
    </row>
    <row r="239" spans="1:11">
      <c r="A239" t="s">
        <v>347</v>
      </c>
      <c r="B239" s="112">
        <v>43185</v>
      </c>
      <c r="C239">
        <v>26</v>
      </c>
      <c r="D239">
        <v>3</v>
      </c>
      <c r="E239">
        <v>2018</v>
      </c>
      <c r="F239">
        <v>13</v>
      </c>
      <c r="G239">
        <v>85</v>
      </c>
      <c r="H239" s="118">
        <v>5.7297668457031303</v>
      </c>
      <c r="I239" s="118">
        <v>17.666015625</v>
      </c>
      <c r="J239">
        <v>2.8</v>
      </c>
      <c r="K239">
        <v>5.9</v>
      </c>
    </row>
    <row r="240" spans="1:11">
      <c r="A240" t="s">
        <v>347</v>
      </c>
      <c r="B240" s="112">
        <v>43186</v>
      </c>
      <c r="C240">
        <v>27</v>
      </c>
      <c r="D240">
        <v>3</v>
      </c>
      <c r="E240">
        <v>2018</v>
      </c>
      <c r="F240">
        <v>13</v>
      </c>
      <c r="G240">
        <v>86</v>
      </c>
      <c r="H240" s="118">
        <v>5.45654296875</v>
      </c>
      <c r="I240" s="118">
        <v>13.9968872070312</v>
      </c>
      <c r="J240">
        <v>2.6</v>
      </c>
      <c r="K240">
        <v>0.8</v>
      </c>
    </row>
    <row r="241" spans="1:11">
      <c r="A241" t="s">
        <v>347</v>
      </c>
      <c r="B241" s="112">
        <v>43187</v>
      </c>
      <c r="C241">
        <v>28</v>
      </c>
      <c r="D241">
        <v>3</v>
      </c>
      <c r="E241">
        <v>2018</v>
      </c>
      <c r="F241">
        <v>13</v>
      </c>
      <c r="G241">
        <v>87</v>
      </c>
      <c r="H241" s="118">
        <v>3.6667175292968701</v>
      </c>
      <c r="I241" s="118">
        <v>12.7405395507813</v>
      </c>
      <c r="J241">
        <v>3.2</v>
      </c>
      <c r="K241">
        <v>2.2999999999999998</v>
      </c>
    </row>
    <row r="242" spans="1:11">
      <c r="A242" t="s">
        <v>347</v>
      </c>
      <c r="B242" s="112">
        <v>43188</v>
      </c>
      <c r="C242">
        <v>29</v>
      </c>
      <c r="D242">
        <v>3</v>
      </c>
      <c r="E242">
        <v>2018</v>
      </c>
      <c r="F242">
        <v>13</v>
      </c>
      <c r="G242">
        <v>88</v>
      </c>
      <c r="H242" s="118">
        <v>1.01995849609375</v>
      </c>
      <c r="I242" s="118">
        <v>11.3844909667969</v>
      </c>
      <c r="J242">
        <v>3.8</v>
      </c>
      <c r="K242">
        <v>5.0999999999999996</v>
      </c>
    </row>
    <row r="243" spans="1:11">
      <c r="A243" t="s">
        <v>347</v>
      </c>
      <c r="B243" s="112">
        <v>43189</v>
      </c>
      <c r="C243">
        <v>30</v>
      </c>
      <c r="D243">
        <v>3</v>
      </c>
      <c r="E243">
        <v>2018</v>
      </c>
      <c r="F243">
        <v>13</v>
      </c>
      <c r="G243">
        <v>89</v>
      </c>
      <c r="H243" s="118">
        <v>3.7561340332031299</v>
      </c>
      <c r="I243" s="118">
        <v>10.3883056640625</v>
      </c>
      <c r="J243">
        <v>1.6</v>
      </c>
      <c r="K243">
        <v>2.9</v>
      </c>
    </row>
    <row r="244" spans="1:11">
      <c r="A244" t="s">
        <v>347</v>
      </c>
      <c r="B244" s="112">
        <v>43190</v>
      </c>
      <c r="C244">
        <v>31</v>
      </c>
      <c r="D244">
        <v>3</v>
      </c>
      <c r="E244">
        <v>2018</v>
      </c>
      <c r="F244">
        <v>13</v>
      </c>
      <c r="G244">
        <v>90</v>
      </c>
      <c r="H244" s="118">
        <v>2.3401794433593799</v>
      </c>
      <c r="I244" s="118">
        <v>10.9929809570312</v>
      </c>
      <c r="J244">
        <v>0</v>
      </c>
      <c r="K244">
        <v>1.5</v>
      </c>
    </row>
    <row r="245" spans="1:11">
      <c r="A245" t="s">
        <v>347</v>
      </c>
      <c r="B245" s="112">
        <v>43191</v>
      </c>
      <c r="C245">
        <v>1</v>
      </c>
      <c r="D245">
        <v>4</v>
      </c>
      <c r="E245">
        <v>2018</v>
      </c>
      <c r="F245">
        <v>14</v>
      </c>
      <c r="G245">
        <v>91</v>
      </c>
      <c r="H245" s="118">
        <v>5.0628356933593697</v>
      </c>
      <c r="I245" s="118">
        <v>11.5034790039062</v>
      </c>
      <c r="J245">
        <v>0</v>
      </c>
      <c r="K245">
        <v>1.6</v>
      </c>
    </row>
    <row r="246" spans="1:11">
      <c r="A246" t="s">
        <v>347</v>
      </c>
      <c r="B246" s="112">
        <v>43192</v>
      </c>
      <c r="C246">
        <v>2</v>
      </c>
      <c r="D246">
        <v>4</v>
      </c>
      <c r="E246">
        <v>2018</v>
      </c>
      <c r="F246">
        <v>14</v>
      </c>
      <c r="G246">
        <v>92</v>
      </c>
      <c r="H246" s="118">
        <v>6.3191223144531303</v>
      </c>
      <c r="I246" s="118">
        <v>14.9366149902344</v>
      </c>
      <c r="J246">
        <v>0.8</v>
      </c>
      <c r="K246">
        <v>0.4</v>
      </c>
    </row>
    <row r="247" spans="1:11">
      <c r="A247" t="s">
        <v>347</v>
      </c>
      <c r="B247" s="112">
        <v>43193</v>
      </c>
      <c r="C247">
        <v>3</v>
      </c>
      <c r="D247">
        <v>4</v>
      </c>
      <c r="E247">
        <v>2018</v>
      </c>
      <c r="F247">
        <v>14</v>
      </c>
      <c r="G247">
        <v>93</v>
      </c>
      <c r="H247" s="118">
        <v>7.1757507324218803</v>
      </c>
      <c r="I247" s="118">
        <v>13.9754638671875</v>
      </c>
      <c r="J247">
        <v>7</v>
      </c>
      <c r="K247">
        <v>2.5</v>
      </c>
    </row>
    <row r="248" spans="1:11">
      <c r="A248" t="s">
        <v>347</v>
      </c>
      <c r="B248" s="112">
        <v>43194</v>
      </c>
      <c r="C248">
        <v>4</v>
      </c>
      <c r="D248">
        <v>4</v>
      </c>
      <c r="E248">
        <v>2018</v>
      </c>
      <c r="F248">
        <v>14</v>
      </c>
      <c r="G248">
        <v>94</v>
      </c>
      <c r="H248" s="118">
        <v>7.7334289550781197</v>
      </c>
      <c r="I248" s="118">
        <v>13.4501037597656</v>
      </c>
      <c r="J248">
        <v>3.6</v>
      </c>
      <c r="K248">
        <v>3</v>
      </c>
    </row>
    <row r="249" spans="1:11">
      <c r="A249" t="s">
        <v>347</v>
      </c>
      <c r="B249" s="112">
        <v>43195</v>
      </c>
      <c r="C249">
        <v>5</v>
      </c>
      <c r="D249">
        <v>4</v>
      </c>
      <c r="E249">
        <v>2018</v>
      </c>
      <c r="F249">
        <v>14</v>
      </c>
      <c r="G249">
        <v>95</v>
      </c>
      <c r="H249" s="118">
        <v>5.3695068359375</v>
      </c>
      <c r="I249" s="118">
        <v>12.9388122558594</v>
      </c>
      <c r="J249">
        <v>0</v>
      </c>
      <c r="K249">
        <v>3.6</v>
      </c>
    </row>
    <row r="250" spans="1:11">
      <c r="A250" t="s">
        <v>347</v>
      </c>
      <c r="B250" s="112">
        <v>43196</v>
      </c>
      <c r="C250">
        <v>6</v>
      </c>
      <c r="D250">
        <v>4</v>
      </c>
      <c r="E250">
        <v>2018</v>
      </c>
      <c r="F250">
        <v>14</v>
      </c>
      <c r="G250">
        <v>96</v>
      </c>
      <c r="H250" s="118">
        <v>3.63177490234375</v>
      </c>
      <c r="I250" s="118">
        <v>20.4939575195313</v>
      </c>
      <c r="J250">
        <v>0</v>
      </c>
      <c r="K250">
        <v>10.9</v>
      </c>
    </row>
    <row r="251" spans="1:11">
      <c r="A251" t="s">
        <v>347</v>
      </c>
      <c r="B251" s="112">
        <v>43197</v>
      </c>
      <c r="C251">
        <v>7</v>
      </c>
      <c r="D251">
        <v>4</v>
      </c>
      <c r="E251">
        <v>2018</v>
      </c>
      <c r="F251">
        <v>14</v>
      </c>
      <c r="G251">
        <v>97</v>
      </c>
      <c r="H251" s="118">
        <v>10.1278381347656</v>
      </c>
      <c r="I251" s="118">
        <v>19.3551635742187</v>
      </c>
      <c r="J251">
        <v>3.4</v>
      </c>
      <c r="K251">
        <v>1.4</v>
      </c>
    </row>
    <row r="252" spans="1:11">
      <c r="A252" t="s">
        <v>347</v>
      </c>
      <c r="B252" s="112">
        <v>43198</v>
      </c>
      <c r="C252">
        <v>8</v>
      </c>
      <c r="D252">
        <v>4</v>
      </c>
      <c r="E252">
        <v>2018</v>
      </c>
      <c r="F252">
        <v>15</v>
      </c>
      <c r="G252">
        <v>98</v>
      </c>
      <c r="H252" s="118">
        <v>9.4556579589843803</v>
      </c>
      <c r="I252" s="118">
        <v>20.3011474609375</v>
      </c>
      <c r="J252">
        <v>0.2</v>
      </c>
      <c r="K252">
        <v>2.4</v>
      </c>
    </row>
    <row r="253" spans="1:11">
      <c r="A253" t="s">
        <v>347</v>
      </c>
      <c r="B253" s="112">
        <v>43199</v>
      </c>
      <c r="C253">
        <v>9</v>
      </c>
      <c r="D253">
        <v>4</v>
      </c>
      <c r="E253">
        <v>2018</v>
      </c>
      <c r="F253">
        <v>15</v>
      </c>
      <c r="G253">
        <v>99</v>
      </c>
      <c r="H253" s="118">
        <v>10.2902221679688</v>
      </c>
      <c r="I253" s="118">
        <v>13.1780395507813</v>
      </c>
      <c r="J253">
        <v>3</v>
      </c>
      <c r="K253">
        <v>0</v>
      </c>
    </row>
    <row r="254" spans="1:11">
      <c r="A254" t="s">
        <v>347</v>
      </c>
      <c r="B254" s="112">
        <v>43200</v>
      </c>
      <c r="C254">
        <v>10</v>
      </c>
      <c r="D254">
        <v>4</v>
      </c>
      <c r="E254">
        <v>2018</v>
      </c>
      <c r="F254">
        <v>15</v>
      </c>
      <c r="G254">
        <v>100</v>
      </c>
      <c r="H254" s="118">
        <v>5.85015869140625</v>
      </c>
      <c r="I254" s="118">
        <v>14.2249145507813</v>
      </c>
      <c r="J254">
        <v>0.2</v>
      </c>
      <c r="K254">
        <v>0.8</v>
      </c>
    </row>
    <row r="255" spans="1:11">
      <c r="A255" t="s">
        <v>347</v>
      </c>
      <c r="B255" s="112">
        <v>43201</v>
      </c>
      <c r="C255">
        <v>11</v>
      </c>
      <c r="D255">
        <v>4</v>
      </c>
      <c r="E255">
        <v>2018</v>
      </c>
      <c r="F255">
        <v>15</v>
      </c>
      <c r="G255">
        <v>101</v>
      </c>
      <c r="H255" s="118">
        <v>5.4438171386718803</v>
      </c>
      <c r="I255" s="118">
        <v>19.5265808105469</v>
      </c>
      <c r="J255">
        <v>0</v>
      </c>
      <c r="K255">
        <v>8.1</v>
      </c>
    </row>
    <row r="256" spans="1:11">
      <c r="A256" t="s">
        <v>347</v>
      </c>
      <c r="B256" s="112">
        <v>43202</v>
      </c>
      <c r="C256">
        <v>12</v>
      </c>
      <c r="D256">
        <v>4</v>
      </c>
      <c r="E256">
        <v>2018</v>
      </c>
      <c r="F256">
        <v>15</v>
      </c>
      <c r="G256">
        <v>102</v>
      </c>
      <c r="H256" s="118">
        <v>7.4633483886718697</v>
      </c>
      <c r="I256" s="118">
        <v>17.3768615722656</v>
      </c>
      <c r="J256">
        <v>3.4</v>
      </c>
      <c r="K256">
        <v>2.4</v>
      </c>
    </row>
    <row r="257" spans="1:11">
      <c r="A257" t="s">
        <v>347</v>
      </c>
      <c r="B257" s="112">
        <v>43203</v>
      </c>
      <c r="C257">
        <v>13</v>
      </c>
      <c r="D257">
        <v>4</v>
      </c>
      <c r="E257">
        <v>2018</v>
      </c>
      <c r="F257">
        <v>15</v>
      </c>
      <c r="G257">
        <v>103</v>
      </c>
      <c r="H257" s="118">
        <v>7.8835754394531303</v>
      </c>
      <c r="I257" s="118">
        <v>17.10693359375</v>
      </c>
      <c r="J257">
        <v>0</v>
      </c>
      <c r="K257">
        <v>2.2999999999999998</v>
      </c>
    </row>
    <row r="258" spans="1:11">
      <c r="A258" t="s">
        <v>347</v>
      </c>
      <c r="B258" s="112">
        <v>43204</v>
      </c>
      <c r="C258">
        <v>14</v>
      </c>
      <c r="D258">
        <v>4</v>
      </c>
      <c r="E258">
        <v>2018</v>
      </c>
      <c r="F258">
        <v>15</v>
      </c>
      <c r="G258">
        <v>104</v>
      </c>
      <c r="H258" s="118">
        <v>8.11749267578125</v>
      </c>
      <c r="I258" s="118">
        <v>16.5935668945313</v>
      </c>
      <c r="J258">
        <v>0.8</v>
      </c>
      <c r="K258">
        <v>0.4</v>
      </c>
    </row>
    <row r="259" spans="1:11">
      <c r="A259" t="s">
        <v>347</v>
      </c>
      <c r="B259" s="112">
        <v>43205</v>
      </c>
      <c r="C259">
        <v>15</v>
      </c>
      <c r="D259">
        <v>4</v>
      </c>
      <c r="E259">
        <v>2018</v>
      </c>
      <c r="F259">
        <v>16</v>
      </c>
      <c r="G259">
        <v>105</v>
      </c>
      <c r="H259" s="118">
        <v>6.5305480957031197</v>
      </c>
      <c r="I259" s="118">
        <v>17.1667175292969</v>
      </c>
      <c r="J259">
        <v>0</v>
      </c>
      <c r="K259">
        <v>4.0999999999999996</v>
      </c>
    </row>
    <row r="260" spans="1:11">
      <c r="A260" t="s">
        <v>347</v>
      </c>
      <c r="B260" s="112">
        <v>43206</v>
      </c>
      <c r="C260">
        <v>16</v>
      </c>
      <c r="D260">
        <v>4</v>
      </c>
      <c r="E260">
        <v>2018</v>
      </c>
      <c r="F260">
        <v>16</v>
      </c>
      <c r="G260">
        <v>106</v>
      </c>
      <c r="H260" s="118">
        <v>5.2695617675781197</v>
      </c>
      <c r="I260" s="118">
        <v>18.4249877929687</v>
      </c>
      <c r="J260">
        <v>0</v>
      </c>
      <c r="K260">
        <v>8</v>
      </c>
    </row>
    <row r="261" spans="1:11">
      <c r="A261" t="s">
        <v>347</v>
      </c>
      <c r="B261" s="112">
        <v>43207</v>
      </c>
      <c r="C261">
        <v>17</v>
      </c>
      <c r="D261">
        <v>4</v>
      </c>
      <c r="E261">
        <v>2018</v>
      </c>
      <c r="F261">
        <v>16</v>
      </c>
      <c r="G261">
        <v>107</v>
      </c>
      <c r="H261" s="118">
        <v>6.419677734375</v>
      </c>
      <c r="I261" s="118">
        <v>22.6999816894531</v>
      </c>
      <c r="J261">
        <v>0</v>
      </c>
      <c r="K261">
        <v>12.8</v>
      </c>
    </row>
    <row r="262" spans="1:11">
      <c r="A262" t="s">
        <v>347</v>
      </c>
      <c r="B262" s="112">
        <v>43208</v>
      </c>
      <c r="C262">
        <v>18</v>
      </c>
      <c r="D262">
        <v>4</v>
      </c>
      <c r="E262">
        <v>2018</v>
      </c>
      <c r="F262">
        <v>16</v>
      </c>
      <c r="G262">
        <v>108</v>
      </c>
      <c r="H262" s="118">
        <v>8.487548828125</v>
      </c>
      <c r="I262" s="118">
        <v>26.7305603027344</v>
      </c>
      <c r="J262">
        <v>0</v>
      </c>
      <c r="K262">
        <v>12.9</v>
      </c>
    </row>
    <row r="263" spans="1:11">
      <c r="A263" t="s">
        <v>347</v>
      </c>
      <c r="B263" s="112">
        <v>43209</v>
      </c>
      <c r="C263">
        <v>19</v>
      </c>
      <c r="D263">
        <v>4</v>
      </c>
      <c r="E263">
        <v>2018</v>
      </c>
      <c r="F263">
        <v>16</v>
      </c>
      <c r="G263">
        <v>109</v>
      </c>
      <c r="H263" s="118">
        <v>12.0592651367188</v>
      </c>
      <c r="I263" s="118">
        <v>28.2152099609375</v>
      </c>
      <c r="J263">
        <v>0</v>
      </c>
      <c r="K263">
        <v>12.8</v>
      </c>
    </row>
    <row r="264" spans="1:11">
      <c r="A264" t="s">
        <v>347</v>
      </c>
      <c r="B264" s="112">
        <v>43210</v>
      </c>
      <c r="C264">
        <v>20</v>
      </c>
      <c r="D264">
        <v>4</v>
      </c>
      <c r="E264">
        <v>2018</v>
      </c>
      <c r="F264">
        <v>16</v>
      </c>
      <c r="G264">
        <v>110</v>
      </c>
      <c r="H264" s="118">
        <v>11.1382141113281</v>
      </c>
      <c r="I264" s="118">
        <v>32.5518188476562</v>
      </c>
      <c r="J264">
        <v>0</v>
      </c>
      <c r="K264">
        <v>13</v>
      </c>
    </row>
    <row r="265" spans="1:11">
      <c r="A265" t="s">
        <v>347</v>
      </c>
      <c r="B265" s="112">
        <v>43211</v>
      </c>
      <c r="C265">
        <v>21</v>
      </c>
      <c r="D265">
        <v>4</v>
      </c>
      <c r="E265">
        <v>2018</v>
      </c>
      <c r="F265">
        <v>16</v>
      </c>
      <c r="G265">
        <v>111</v>
      </c>
      <c r="H265" s="118">
        <v>13.4148864746094</v>
      </c>
      <c r="I265" s="118">
        <v>30.3670959472656</v>
      </c>
      <c r="J265">
        <v>0</v>
      </c>
      <c r="K265">
        <v>11.5</v>
      </c>
    </row>
    <row r="266" spans="1:11">
      <c r="A266" t="s">
        <v>347</v>
      </c>
      <c r="B266" s="112">
        <v>43212</v>
      </c>
      <c r="C266">
        <v>22</v>
      </c>
      <c r="D266">
        <v>4</v>
      </c>
      <c r="E266">
        <v>2018</v>
      </c>
      <c r="F266">
        <v>17</v>
      </c>
      <c r="G266">
        <v>112</v>
      </c>
      <c r="H266" s="118">
        <v>13.4031372070312</v>
      </c>
      <c r="I266" s="118">
        <v>26.1657409667969</v>
      </c>
      <c r="J266">
        <v>5.5</v>
      </c>
      <c r="K266">
        <v>9</v>
      </c>
    </row>
    <row r="267" spans="1:11">
      <c r="A267" t="s">
        <v>347</v>
      </c>
      <c r="B267" s="112">
        <v>43213</v>
      </c>
      <c r="C267">
        <v>23</v>
      </c>
      <c r="D267">
        <v>4</v>
      </c>
      <c r="E267">
        <v>2018</v>
      </c>
      <c r="F267">
        <v>17</v>
      </c>
      <c r="G267">
        <v>113</v>
      </c>
      <c r="H267" s="118">
        <v>8.20965576171875</v>
      </c>
      <c r="I267" s="118">
        <v>19.6421508789062</v>
      </c>
      <c r="J267">
        <v>0.2</v>
      </c>
      <c r="K267">
        <v>5.2</v>
      </c>
    </row>
    <row r="268" spans="1:11">
      <c r="A268" t="s">
        <v>347</v>
      </c>
      <c r="B268" s="112">
        <v>43214</v>
      </c>
      <c r="C268">
        <v>24</v>
      </c>
      <c r="D268">
        <v>4</v>
      </c>
      <c r="E268">
        <v>2018</v>
      </c>
      <c r="F268">
        <v>17</v>
      </c>
      <c r="G268">
        <v>114</v>
      </c>
      <c r="H268" s="118">
        <v>5.56256103515625</v>
      </c>
      <c r="I268" s="118">
        <v>21.971435546875</v>
      </c>
      <c r="J268">
        <v>0</v>
      </c>
      <c r="K268">
        <v>11.6</v>
      </c>
    </row>
    <row r="269" spans="1:11">
      <c r="A269" t="s">
        <v>347</v>
      </c>
      <c r="B269" s="112">
        <v>43215</v>
      </c>
      <c r="C269">
        <v>25</v>
      </c>
      <c r="D269">
        <v>4</v>
      </c>
      <c r="E269">
        <v>2018</v>
      </c>
      <c r="F269">
        <v>17</v>
      </c>
      <c r="G269">
        <v>115</v>
      </c>
      <c r="H269" s="118">
        <v>8.0723876953125</v>
      </c>
      <c r="I269" s="118">
        <v>17.0779418945313</v>
      </c>
      <c r="J269">
        <v>2.2000000000000002</v>
      </c>
      <c r="K269">
        <v>4.9000000000000004</v>
      </c>
    </row>
    <row r="270" spans="1:11">
      <c r="A270" t="s">
        <v>347</v>
      </c>
      <c r="B270" s="112">
        <v>43216</v>
      </c>
      <c r="C270">
        <v>26</v>
      </c>
      <c r="D270">
        <v>4</v>
      </c>
      <c r="E270">
        <v>2018</v>
      </c>
      <c r="F270">
        <v>17</v>
      </c>
      <c r="G270">
        <v>116</v>
      </c>
      <c r="H270" s="118">
        <v>4.1405944824218803</v>
      </c>
      <c r="I270" s="118">
        <v>16.7654113769531</v>
      </c>
      <c r="J270">
        <v>0</v>
      </c>
      <c r="K270">
        <v>11.1</v>
      </c>
    </row>
    <row r="271" spans="1:11">
      <c r="A271" t="s">
        <v>347</v>
      </c>
      <c r="B271" s="112">
        <v>43217</v>
      </c>
      <c r="C271">
        <v>27</v>
      </c>
      <c r="D271">
        <v>4</v>
      </c>
      <c r="E271">
        <v>2018</v>
      </c>
      <c r="F271">
        <v>17</v>
      </c>
      <c r="G271">
        <v>117</v>
      </c>
      <c r="H271" s="118">
        <v>5.60919189453125</v>
      </c>
      <c r="I271" s="118">
        <v>18.7042846679687</v>
      </c>
      <c r="J271">
        <v>0</v>
      </c>
      <c r="K271">
        <v>9.5</v>
      </c>
    </row>
    <row r="272" spans="1:11">
      <c r="A272" t="s">
        <v>347</v>
      </c>
      <c r="B272" s="112">
        <v>43218</v>
      </c>
      <c r="C272">
        <v>28</v>
      </c>
      <c r="D272">
        <v>4</v>
      </c>
      <c r="E272">
        <v>2018</v>
      </c>
      <c r="F272">
        <v>17</v>
      </c>
      <c r="G272">
        <v>118</v>
      </c>
      <c r="H272" s="118">
        <v>8.8743896484375</v>
      </c>
      <c r="I272" s="118">
        <v>15.4215087890625</v>
      </c>
      <c r="J272">
        <v>0.2</v>
      </c>
      <c r="K272">
        <v>4.5999999999999996</v>
      </c>
    </row>
    <row r="273" spans="1:11">
      <c r="A273" t="s">
        <v>347</v>
      </c>
      <c r="B273" s="112">
        <v>43219</v>
      </c>
      <c r="C273">
        <v>29</v>
      </c>
      <c r="D273">
        <v>4</v>
      </c>
      <c r="E273">
        <v>2018</v>
      </c>
      <c r="F273">
        <v>18</v>
      </c>
      <c r="G273">
        <v>119</v>
      </c>
      <c r="H273" s="118">
        <v>8.556884765625</v>
      </c>
      <c r="I273" s="118">
        <v>12.4849243164062</v>
      </c>
      <c r="J273">
        <v>9.3000000000000007</v>
      </c>
      <c r="K273">
        <v>0</v>
      </c>
    </row>
    <row r="274" spans="1:11">
      <c r="A274" t="s">
        <v>347</v>
      </c>
      <c r="B274" s="112">
        <v>43220</v>
      </c>
      <c r="C274">
        <v>30</v>
      </c>
      <c r="D274">
        <v>4</v>
      </c>
      <c r="E274">
        <v>2018</v>
      </c>
      <c r="F274">
        <v>18</v>
      </c>
      <c r="G274">
        <v>120</v>
      </c>
      <c r="H274" s="118">
        <v>3.78009033203125</v>
      </c>
      <c r="I274" s="118">
        <v>8.8174743652343697</v>
      </c>
      <c r="J274">
        <v>3.6</v>
      </c>
      <c r="K274">
        <v>0</v>
      </c>
    </row>
    <row r="275" spans="1:11">
      <c r="A275" t="s">
        <v>347</v>
      </c>
      <c r="B275" s="112">
        <v>43221</v>
      </c>
      <c r="C275">
        <v>1</v>
      </c>
      <c r="D275">
        <v>5</v>
      </c>
      <c r="E275">
        <v>2018</v>
      </c>
      <c r="F275">
        <v>18</v>
      </c>
      <c r="G275">
        <v>121</v>
      </c>
      <c r="H275" s="118">
        <v>1.89849853515625</v>
      </c>
      <c r="I275" s="118">
        <v>13.8330383300781</v>
      </c>
      <c r="J275">
        <v>0</v>
      </c>
      <c r="K275">
        <v>6.1</v>
      </c>
    </row>
    <row r="276" spans="1:11">
      <c r="A276" t="s">
        <v>347</v>
      </c>
      <c r="B276" s="112">
        <v>43222</v>
      </c>
      <c r="C276">
        <v>2</v>
      </c>
      <c r="D276">
        <v>5</v>
      </c>
      <c r="E276">
        <v>2018</v>
      </c>
      <c r="F276">
        <v>18</v>
      </c>
      <c r="G276">
        <v>122</v>
      </c>
      <c r="H276" s="118">
        <v>1.9322814941406199</v>
      </c>
      <c r="I276" s="118">
        <v>16.0796203613281</v>
      </c>
      <c r="J276">
        <v>0</v>
      </c>
      <c r="K276">
        <v>6</v>
      </c>
    </row>
    <row r="277" spans="1:11">
      <c r="A277" t="s">
        <v>347</v>
      </c>
      <c r="B277" s="112">
        <v>43223</v>
      </c>
      <c r="C277">
        <v>3</v>
      </c>
      <c r="D277">
        <v>5</v>
      </c>
      <c r="E277">
        <v>2018</v>
      </c>
      <c r="F277">
        <v>18</v>
      </c>
      <c r="G277">
        <v>123</v>
      </c>
      <c r="H277" s="118">
        <v>4.18389892578125</v>
      </c>
      <c r="I277" s="118">
        <v>19.9426879882813</v>
      </c>
      <c r="J277">
        <v>0</v>
      </c>
      <c r="K277">
        <v>10.6</v>
      </c>
    </row>
    <row r="278" spans="1:11">
      <c r="A278" t="s">
        <v>347</v>
      </c>
      <c r="B278" s="112">
        <v>43224</v>
      </c>
      <c r="C278">
        <v>4</v>
      </c>
      <c r="D278">
        <v>5</v>
      </c>
      <c r="E278">
        <v>2018</v>
      </c>
      <c r="F278">
        <v>18</v>
      </c>
      <c r="G278">
        <v>124</v>
      </c>
      <c r="H278" s="118">
        <v>3.10760498046875</v>
      </c>
      <c r="I278" s="118">
        <v>21.8244323730469</v>
      </c>
      <c r="J278">
        <v>0</v>
      </c>
      <c r="K278">
        <v>13.4</v>
      </c>
    </row>
    <row r="279" spans="1:11">
      <c r="A279" t="s">
        <v>347</v>
      </c>
      <c r="B279" s="112">
        <v>43225</v>
      </c>
      <c r="C279">
        <v>5</v>
      </c>
      <c r="D279">
        <v>5</v>
      </c>
      <c r="E279">
        <v>2018</v>
      </c>
      <c r="F279">
        <v>18</v>
      </c>
      <c r="G279">
        <v>125</v>
      </c>
      <c r="H279" s="118">
        <v>6.12811279296875</v>
      </c>
      <c r="I279" s="118">
        <v>26.353759765625</v>
      </c>
      <c r="J279">
        <v>0</v>
      </c>
      <c r="K279">
        <v>13.5</v>
      </c>
    </row>
    <row r="280" spans="1:11">
      <c r="A280" t="s">
        <v>347</v>
      </c>
      <c r="B280" s="112">
        <v>43226</v>
      </c>
      <c r="C280">
        <v>6</v>
      </c>
      <c r="D280">
        <v>5</v>
      </c>
      <c r="E280">
        <v>2018</v>
      </c>
      <c r="F280">
        <v>19</v>
      </c>
      <c r="G280">
        <v>126</v>
      </c>
      <c r="H280" s="118">
        <v>10.6561279296875</v>
      </c>
      <c r="I280" s="118">
        <v>29.4368591308594</v>
      </c>
      <c r="J280">
        <v>0</v>
      </c>
      <c r="K280">
        <v>13.5</v>
      </c>
    </row>
    <row r="281" spans="1:11">
      <c r="A281" t="s">
        <v>347</v>
      </c>
      <c r="B281" s="112">
        <v>43227</v>
      </c>
      <c r="C281">
        <v>7</v>
      </c>
      <c r="D281">
        <v>5</v>
      </c>
      <c r="E281">
        <v>2018</v>
      </c>
      <c r="F281">
        <v>19</v>
      </c>
      <c r="G281">
        <v>127</v>
      </c>
      <c r="H281" s="118">
        <v>11.3130187988281</v>
      </c>
      <c r="I281" s="118">
        <v>29.7037658691406</v>
      </c>
      <c r="J281">
        <v>0</v>
      </c>
      <c r="K281">
        <v>13.5</v>
      </c>
    </row>
    <row r="282" spans="1:11">
      <c r="A282" t="s">
        <v>347</v>
      </c>
      <c r="B282" s="112">
        <v>43228</v>
      </c>
      <c r="C282">
        <v>8</v>
      </c>
      <c r="D282">
        <v>5</v>
      </c>
      <c r="E282">
        <v>2018</v>
      </c>
      <c r="F282">
        <v>19</v>
      </c>
      <c r="G282">
        <v>128</v>
      </c>
      <c r="H282" s="118">
        <v>9.0915222167968803</v>
      </c>
      <c r="I282" s="118">
        <v>30.2952270507812</v>
      </c>
      <c r="J282">
        <v>0</v>
      </c>
      <c r="K282">
        <v>13.5</v>
      </c>
    </row>
    <row r="283" spans="1:11">
      <c r="A283" t="s">
        <v>347</v>
      </c>
      <c r="B283" s="112">
        <v>43229</v>
      </c>
      <c r="C283">
        <v>9</v>
      </c>
      <c r="D283">
        <v>5</v>
      </c>
      <c r="E283">
        <v>2018</v>
      </c>
      <c r="F283">
        <v>19</v>
      </c>
      <c r="G283">
        <v>129</v>
      </c>
      <c r="H283" s="118">
        <v>11.3011169433594</v>
      </c>
      <c r="I283" s="118">
        <v>23.5590515136719</v>
      </c>
      <c r="J283">
        <v>0</v>
      </c>
      <c r="K283">
        <v>6.7</v>
      </c>
    </row>
    <row r="284" spans="1:11">
      <c r="A284" t="s">
        <v>347</v>
      </c>
      <c r="B284" s="112">
        <v>43230</v>
      </c>
      <c r="C284">
        <v>10</v>
      </c>
      <c r="D284">
        <v>5</v>
      </c>
      <c r="E284">
        <v>2018</v>
      </c>
      <c r="F284">
        <v>19</v>
      </c>
      <c r="G284">
        <v>130</v>
      </c>
      <c r="H284" s="118">
        <v>6.30657958984375</v>
      </c>
      <c r="I284" s="118">
        <v>19.5400695800781</v>
      </c>
      <c r="J284">
        <v>0</v>
      </c>
      <c r="K284">
        <v>7</v>
      </c>
    </row>
    <row r="285" spans="1:11">
      <c r="A285" t="s">
        <v>347</v>
      </c>
      <c r="B285" s="112">
        <v>43231</v>
      </c>
      <c r="C285">
        <v>11</v>
      </c>
      <c r="D285">
        <v>5</v>
      </c>
      <c r="E285">
        <v>2018</v>
      </c>
      <c r="F285">
        <v>19</v>
      </c>
      <c r="G285">
        <v>131</v>
      </c>
      <c r="H285" s="118">
        <v>5.6134033203125</v>
      </c>
      <c r="I285" s="118">
        <v>22.2986755371094</v>
      </c>
      <c r="J285">
        <v>0</v>
      </c>
      <c r="K285">
        <v>10.199999999999999</v>
      </c>
    </row>
    <row r="286" spans="1:11">
      <c r="A286" t="s">
        <v>347</v>
      </c>
      <c r="B286" s="112">
        <v>43232</v>
      </c>
      <c r="C286">
        <v>12</v>
      </c>
      <c r="D286">
        <v>5</v>
      </c>
      <c r="E286">
        <v>2018</v>
      </c>
      <c r="F286">
        <v>19</v>
      </c>
      <c r="G286">
        <v>132</v>
      </c>
      <c r="H286" s="118">
        <v>8.3221130371093697</v>
      </c>
      <c r="I286" s="118">
        <v>17.951171875</v>
      </c>
      <c r="J286">
        <v>5</v>
      </c>
      <c r="K286">
        <v>0.5</v>
      </c>
    </row>
    <row r="287" spans="1:11">
      <c r="A287" t="s">
        <v>347</v>
      </c>
      <c r="B287" s="112">
        <v>43233</v>
      </c>
      <c r="C287">
        <v>13</v>
      </c>
      <c r="D287">
        <v>5</v>
      </c>
      <c r="E287">
        <v>2018</v>
      </c>
      <c r="F287">
        <v>20</v>
      </c>
      <c r="G287">
        <v>133</v>
      </c>
      <c r="H287" s="118">
        <v>8.0252380371093697</v>
      </c>
      <c r="I287" s="118">
        <v>17.7450256347656</v>
      </c>
      <c r="J287">
        <v>0</v>
      </c>
      <c r="K287">
        <v>6.4</v>
      </c>
    </row>
    <row r="288" spans="1:11">
      <c r="A288" t="s">
        <v>347</v>
      </c>
      <c r="B288" s="112">
        <v>43234</v>
      </c>
      <c r="C288">
        <v>14</v>
      </c>
      <c r="D288">
        <v>5</v>
      </c>
      <c r="E288">
        <v>2018</v>
      </c>
      <c r="F288">
        <v>20</v>
      </c>
      <c r="G288">
        <v>134</v>
      </c>
      <c r="H288" s="118">
        <v>9.01446533203125</v>
      </c>
      <c r="I288" s="118">
        <v>13.8096008300781</v>
      </c>
      <c r="J288">
        <v>2</v>
      </c>
      <c r="K288">
        <v>0</v>
      </c>
    </row>
    <row r="289" spans="1:11">
      <c r="A289" t="s">
        <v>347</v>
      </c>
      <c r="B289" s="112">
        <v>43235</v>
      </c>
      <c r="C289">
        <v>15</v>
      </c>
      <c r="D289">
        <v>5</v>
      </c>
      <c r="E289">
        <v>2018</v>
      </c>
      <c r="F289">
        <v>20</v>
      </c>
      <c r="G289">
        <v>135</v>
      </c>
      <c r="H289" s="118">
        <v>10.1579284667969</v>
      </c>
      <c r="I289" s="118">
        <v>23.2379455566406</v>
      </c>
      <c r="J289">
        <v>0</v>
      </c>
      <c r="K289">
        <v>8.9</v>
      </c>
    </row>
    <row r="290" spans="1:11">
      <c r="A290" t="s">
        <v>347</v>
      </c>
      <c r="B290" s="112">
        <v>43236</v>
      </c>
      <c r="C290">
        <v>16</v>
      </c>
      <c r="D290">
        <v>5</v>
      </c>
      <c r="E290">
        <v>2018</v>
      </c>
      <c r="F290">
        <v>20</v>
      </c>
      <c r="G290">
        <v>136</v>
      </c>
      <c r="H290" s="118">
        <v>8.6994934082031197</v>
      </c>
      <c r="I290" s="118">
        <v>25.1566162109375</v>
      </c>
      <c r="J290">
        <v>0</v>
      </c>
      <c r="K290">
        <v>11.3</v>
      </c>
    </row>
    <row r="291" spans="1:11">
      <c r="A291" t="s">
        <v>347</v>
      </c>
      <c r="B291" s="112">
        <v>43237</v>
      </c>
      <c r="C291">
        <v>17</v>
      </c>
      <c r="D291">
        <v>5</v>
      </c>
      <c r="E291">
        <v>2018</v>
      </c>
      <c r="F291">
        <v>20</v>
      </c>
      <c r="G291">
        <v>137</v>
      </c>
      <c r="H291" s="118">
        <v>8.4018249511718697</v>
      </c>
      <c r="I291" s="118">
        <v>23.0358276367187</v>
      </c>
      <c r="J291">
        <v>0</v>
      </c>
      <c r="K291">
        <v>10.5</v>
      </c>
    </row>
    <row r="292" spans="1:11">
      <c r="A292" t="s">
        <v>347</v>
      </c>
      <c r="B292" s="112">
        <v>43238</v>
      </c>
      <c r="C292">
        <v>18</v>
      </c>
      <c r="D292">
        <v>5</v>
      </c>
      <c r="E292">
        <v>2018</v>
      </c>
      <c r="F292">
        <v>20</v>
      </c>
      <c r="G292">
        <v>138</v>
      </c>
      <c r="H292" s="118">
        <v>4.6796569824218803</v>
      </c>
      <c r="I292" s="118">
        <v>22.6378784179687</v>
      </c>
      <c r="J292">
        <v>0</v>
      </c>
      <c r="K292">
        <v>11.1</v>
      </c>
    </row>
    <row r="293" spans="1:11">
      <c r="A293" t="s">
        <v>347</v>
      </c>
      <c r="B293" s="112">
        <v>43239</v>
      </c>
      <c r="C293">
        <v>19</v>
      </c>
      <c r="D293">
        <v>5</v>
      </c>
      <c r="E293">
        <v>2018</v>
      </c>
      <c r="F293">
        <v>20</v>
      </c>
      <c r="G293">
        <v>139</v>
      </c>
      <c r="H293" s="118">
        <v>5.35675048828125</v>
      </c>
      <c r="I293" s="118">
        <v>23.9117736816406</v>
      </c>
      <c r="J293">
        <v>0.2</v>
      </c>
      <c r="K293">
        <v>13.9</v>
      </c>
    </row>
    <row r="294" spans="1:11">
      <c r="A294" t="s">
        <v>347</v>
      </c>
      <c r="B294" s="112">
        <v>43240</v>
      </c>
      <c r="C294">
        <v>20</v>
      </c>
      <c r="D294">
        <v>5</v>
      </c>
      <c r="E294">
        <v>2018</v>
      </c>
      <c r="F294">
        <v>21</v>
      </c>
      <c r="G294">
        <v>140</v>
      </c>
      <c r="H294" s="118">
        <v>5.4183654785156197</v>
      </c>
      <c r="I294" s="118">
        <v>25.2234191894531</v>
      </c>
      <c r="J294">
        <v>0</v>
      </c>
      <c r="K294">
        <v>9.5</v>
      </c>
    </row>
    <row r="295" spans="1:11">
      <c r="A295" t="s">
        <v>347</v>
      </c>
      <c r="B295" s="112">
        <v>43241</v>
      </c>
      <c r="C295">
        <v>21</v>
      </c>
      <c r="D295">
        <v>5</v>
      </c>
      <c r="E295">
        <v>2018</v>
      </c>
      <c r="F295">
        <v>21</v>
      </c>
      <c r="G295">
        <v>141</v>
      </c>
      <c r="H295" s="118">
        <v>9.2636413574218803</v>
      </c>
      <c r="I295" s="118">
        <v>26.7206726074219</v>
      </c>
      <c r="J295">
        <v>0</v>
      </c>
      <c r="K295">
        <v>9</v>
      </c>
    </row>
    <row r="296" spans="1:11">
      <c r="A296" t="s">
        <v>347</v>
      </c>
      <c r="B296" s="112">
        <v>43242</v>
      </c>
      <c r="C296">
        <v>22</v>
      </c>
      <c r="D296">
        <v>5</v>
      </c>
      <c r="E296">
        <v>2018</v>
      </c>
      <c r="F296">
        <v>21</v>
      </c>
      <c r="G296">
        <v>142</v>
      </c>
      <c r="H296" s="118">
        <v>10.3862915039062</v>
      </c>
      <c r="I296" s="118">
        <v>26.7405395507813</v>
      </c>
      <c r="J296">
        <v>14.6</v>
      </c>
      <c r="K296">
        <v>9.8000000000000007</v>
      </c>
    </row>
    <row r="297" spans="1:11">
      <c r="A297" t="s">
        <v>347</v>
      </c>
      <c r="B297" s="112">
        <v>43243</v>
      </c>
      <c r="C297">
        <v>23</v>
      </c>
      <c r="D297">
        <v>5</v>
      </c>
      <c r="E297">
        <v>2018</v>
      </c>
      <c r="F297">
        <v>21</v>
      </c>
      <c r="G297">
        <v>143</v>
      </c>
      <c r="H297" s="118">
        <v>10.5782470703125</v>
      </c>
      <c r="I297" s="118">
        <v>25.3236999511719</v>
      </c>
      <c r="J297">
        <v>0</v>
      </c>
      <c r="K297">
        <v>7</v>
      </c>
    </row>
    <row r="298" spans="1:11">
      <c r="A298" t="s">
        <v>347</v>
      </c>
      <c r="B298" s="112">
        <v>43244</v>
      </c>
      <c r="C298">
        <v>24</v>
      </c>
      <c r="D298">
        <v>5</v>
      </c>
      <c r="E298">
        <v>2018</v>
      </c>
      <c r="F298">
        <v>21</v>
      </c>
      <c r="G298">
        <v>144</v>
      </c>
      <c r="H298" s="118">
        <v>11.6975708007813</v>
      </c>
      <c r="I298" s="118">
        <v>26.0155334472656</v>
      </c>
      <c r="J298">
        <v>0.2</v>
      </c>
      <c r="K298">
        <v>5.8</v>
      </c>
    </row>
    <row r="299" spans="1:11">
      <c r="A299" t="s">
        <v>347</v>
      </c>
      <c r="B299" s="112">
        <v>43245</v>
      </c>
      <c r="C299">
        <v>25</v>
      </c>
      <c r="D299">
        <v>5</v>
      </c>
      <c r="E299">
        <v>2018</v>
      </c>
      <c r="F299">
        <v>21</v>
      </c>
      <c r="G299">
        <v>145</v>
      </c>
      <c r="H299" s="118">
        <v>11.4598388671875</v>
      </c>
      <c r="I299" s="118">
        <v>27.4555969238281</v>
      </c>
      <c r="J299">
        <v>5</v>
      </c>
      <c r="K299">
        <v>4.8</v>
      </c>
    </row>
    <row r="300" spans="1:11">
      <c r="A300" t="s">
        <v>347</v>
      </c>
      <c r="B300" s="112">
        <v>43246</v>
      </c>
      <c r="C300">
        <v>26</v>
      </c>
      <c r="D300">
        <v>5</v>
      </c>
      <c r="E300">
        <v>2018</v>
      </c>
      <c r="F300">
        <v>21</v>
      </c>
      <c r="G300">
        <v>146</v>
      </c>
      <c r="H300" s="118">
        <v>14.6705017089844</v>
      </c>
      <c r="I300" s="118">
        <v>26.7623901367187</v>
      </c>
      <c r="J300">
        <v>0</v>
      </c>
      <c r="K300">
        <v>8.4</v>
      </c>
    </row>
    <row r="301" spans="1:11">
      <c r="A301" t="s">
        <v>347</v>
      </c>
      <c r="B301" s="112">
        <v>43247</v>
      </c>
      <c r="C301">
        <v>27</v>
      </c>
      <c r="D301">
        <v>5</v>
      </c>
      <c r="E301">
        <v>2018</v>
      </c>
      <c r="F301">
        <v>22</v>
      </c>
      <c r="G301">
        <v>147</v>
      </c>
      <c r="H301" s="118">
        <v>14.5596618652344</v>
      </c>
      <c r="I301" s="118">
        <v>28.034423828125</v>
      </c>
      <c r="J301">
        <v>0.4</v>
      </c>
      <c r="K301">
        <v>9.1999999999999993</v>
      </c>
    </row>
    <row r="302" spans="1:11">
      <c r="A302" t="s">
        <v>347</v>
      </c>
      <c r="B302" s="112">
        <v>43248</v>
      </c>
      <c r="C302">
        <v>28</v>
      </c>
      <c r="D302">
        <v>5</v>
      </c>
      <c r="E302">
        <v>2018</v>
      </c>
      <c r="F302">
        <v>22</v>
      </c>
      <c r="G302">
        <v>148</v>
      </c>
      <c r="H302" s="118">
        <v>15.5900573730469</v>
      </c>
      <c r="I302" s="118">
        <v>25.7806091308594</v>
      </c>
      <c r="J302">
        <v>7.9</v>
      </c>
      <c r="K302">
        <v>6.7</v>
      </c>
    </row>
    <row r="303" spans="1:11">
      <c r="A303" t="s">
        <v>347</v>
      </c>
      <c r="B303" s="112">
        <v>43249</v>
      </c>
      <c r="C303">
        <v>29</v>
      </c>
      <c r="D303">
        <v>5</v>
      </c>
      <c r="E303">
        <v>2018</v>
      </c>
      <c r="F303">
        <v>22</v>
      </c>
      <c r="G303">
        <v>149</v>
      </c>
      <c r="H303" s="118">
        <v>15.0996398925781</v>
      </c>
      <c r="I303" s="118">
        <v>25.4200744628906</v>
      </c>
      <c r="J303">
        <v>14.3</v>
      </c>
      <c r="K303">
        <v>1.9</v>
      </c>
    </row>
    <row r="304" spans="1:11">
      <c r="A304" t="s">
        <v>347</v>
      </c>
      <c r="B304" s="112">
        <v>43250</v>
      </c>
      <c r="C304">
        <v>30</v>
      </c>
      <c r="D304">
        <v>5</v>
      </c>
      <c r="E304">
        <v>2018</v>
      </c>
      <c r="F304">
        <v>22</v>
      </c>
      <c r="G304">
        <v>150</v>
      </c>
      <c r="H304" s="118">
        <v>14.7054748535156</v>
      </c>
      <c r="I304" s="118">
        <v>27.353759765625</v>
      </c>
      <c r="J304">
        <v>6.9</v>
      </c>
      <c r="K304">
        <v>6.5</v>
      </c>
    </row>
    <row r="305" spans="1:11">
      <c r="A305" t="s">
        <v>347</v>
      </c>
      <c r="B305" s="112">
        <v>43251</v>
      </c>
      <c r="C305">
        <v>31</v>
      </c>
      <c r="D305">
        <v>5</v>
      </c>
      <c r="E305">
        <v>2018</v>
      </c>
      <c r="F305">
        <v>22</v>
      </c>
      <c r="G305">
        <v>151</v>
      </c>
      <c r="H305" s="118">
        <v>14.6763305664062</v>
      </c>
      <c r="I305" s="118">
        <v>23.4480895996094</v>
      </c>
      <c r="J305">
        <v>15</v>
      </c>
      <c r="K305">
        <v>4.5999999999999996</v>
      </c>
    </row>
    <row r="306" spans="1:11">
      <c r="A306" t="s">
        <v>347</v>
      </c>
      <c r="B306" s="112">
        <v>43252</v>
      </c>
      <c r="C306">
        <v>1</v>
      </c>
      <c r="D306">
        <v>6</v>
      </c>
      <c r="E306">
        <v>2018</v>
      </c>
      <c r="F306">
        <v>22</v>
      </c>
      <c r="G306">
        <v>152</v>
      </c>
      <c r="H306" s="118">
        <v>14.7831726074219</v>
      </c>
      <c r="I306" s="118">
        <v>20.8218383789062</v>
      </c>
      <c r="J306">
        <v>0.6</v>
      </c>
      <c r="K306">
        <v>1.5</v>
      </c>
    </row>
    <row r="307" spans="1:11">
      <c r="A307" t="s">
        <v>347</v>
      </c>
      <c r="B307" s="112">
        <v>43253</v>
      </c>
      <c r="C307">
        <v>2</v>
      </c>
      <c r="D307">
        <v>6</v>
      </c>
      <c r="E307">
        <v>2018</v>
      </c>
      <c r="F307">
        <v>22</v>
      </c>
      <c r="G307">
        <v>153</v>
      </c>
      <c r="H307" s="118">
        <v>15.1132202148438</v>
      </c>
      <c r="I307" s="118">
        <v>28.2152099609375</v>
      </c>
      <c r="J307">
        <v>0</v>
      </c>
      <c r="K307">
        <v>7.2</v>
      </c>
    </row>
    <row r="308" spans="1:11">
      <c r="A308" t="s">
        <v>347</v>
      </c>
      <c r="B308" s="112">
        <v>43254</v>
      </c>
      <c r="C308">
        <v>3</v>
      </c>
      <c r="D308">
        <v>6</v>
      </c>
      <c r="E308">
        <v>2018</v>
      </c>
      <c r="F308">
        <v>23</v>
      </c>
      <c r="G308">
        <v>154</v>
      </c>
      <c r="H308" s="118">
        <v>14.522705078125</v>
      </c>
      <c r="I308" s="118">
        <v>28.9415893554687</v>
      </c>
      <c r="J308">
        <v>0.4</v>
      </c>
      <c r="K308">
        <v>10.1</v>
      </c>
    </row>
    <row r="309" spans="1:11">
      <c r="A309" t="s">
        <v>347</v>
      </c>
      <c r="B309" s="112">
        <v>43255</v>
      </c>
      <c r="C309">
        <v>4</v>
      </c>
      <c r="D309">
        <v>6</v>
      </c>
      <c r="E309">
        <v>2018</v>
      </c>
      <c r="F309">
        <v>23</v>
      </c>
      <c r="G309">
        <v>155</v>
      </c>
      <c r="H309" s="118">
        <v>15.8707580566406</v>
      </c>
      <c r="I309" s="118">
        <v>27.3677673339844</v>
      </c>
      <c r="J309">
        <v>18.399999999999999</v>
      </c>
      <c r="K309">
        <v>3.6</v>
      </c>
    </row>
    <row r="310" spans="1:11">
      <c r="A310" t="s">
        <v>347</v>
      </c>
      <c r="B310" s="112">
        <v>43256</v>
      </c>
      <c r="C310">
        <v>5</v>
      </c>
      <c r="D310">
        <v>6</v>
      </c>
      <c r="E310">
        <v>2018</v>
      </c>
      <c r="F310">
        <v>23</v>
      </c>
      <c r="G310">
        <v>156</v>
      </c>
      <c r="H310" s="118">
        <v>16.08349609375</v>
      </c>
      <c r="I310" s="118">
        <v>19.2319030761719</v>
      </c>
      <c r="J310"/>
      <c r="K310"/>
    </row>
    <row r="311" spans="1:11">
      <c r="A311" t="s">
        <v>347</v>
      </c>
      <c r="B311" s="112">
        <v>43257</v>
      </c>
      <c r="C311">
        <v>6</v>
      </c>
      <c r="D311">
        <v>6</v>
      </c>
      <c r="E311">
        <v>2018</v>
      </c>
      <c r="F311">
        <v>23</v>
      </c>
      <c r="G311">
        <v>157</v>
      </c>
      <c r="H311" s="118">
        <v>15.276123046875</v>
      </c>
      <c r="I311" s="118">
        <v>25.1703796386719</v>
      </c>
      <c r="J311">
        <v>0</v>
      </c>
      <c r="K311"/>
    </row>
    <row r="312" spans="1:11">
      <c r="A312" t="s">
        <v>347</v>
      </c>
      <c r="B312" s="112">
        <v>43258</v>
      </c>
      <c r="C312">
        <v>7</v>
      </c>
      <c r="D312">
        <v>6</v>
      </c>
      <c r="E312">
        <v>2018</v>
      </c>
      <c r="F312">
        <v>23</v>
      </c>
      <c r="G312">
        <v>158</v>
      </c>
      <c r="H312" s="118">
        <v>14.6471557617188</v>
      </c>
      <c r="I312" s="118">
        <v>24.9563903808594</v>
      </c>
      <c r="J312">
        <v>0</v>
      </c>
      <c r="K312">
        <v>8.6999999999999993</v>
      </c>
    </row>
    <row r="313" spans="1:11">
      <c r="A313" t="s">
        <v>347</v>
      </c>
      <c r="B313" s="112">
        <v>43259</v>
      </c>
      <c r="C313">
        <v>8</v>
      </c>
      <c r="D313">
        <v>6</v>
      </c>
      <c r="E313">
        <v>2018</v>
      </c>
      <c r="F313">
        <v>23</v>
      </c>
      <c r="G313">
        <v>159</v>
      </c>
      <c r="H313" s="118">
        <v>13.6670532226563</v>
      </c>
      <c r="I313" s="118">
        <v>29.2335815429687</v>
      </c>
      <c r="J313">
        <v>0</v>
      </c>
      <c r="K313">
        <v>10.7</v>
      </c>
    </row>
    <row r="314" spans="1:11">
      <c r="A314" t="s">
        <v>347</v>
      </c>
      <c r="B314" s="112">
        <v>43260</v>
      </c>
      <c r="C314">
        <v>9</v>
      </c>
      <c r="D314">
        <v>6</v>
      </c>
      <c r="E314">
        <v>2018</v>
      </c>
      <c r="F314">
        <v>23</v>
      </c>
      <c r="G314">
        <v>160</v>
      </c>
      <c r="H314" s="118">
        <v>16.1008605957031</v>
      </c>
      <c r="I314" s="118">
        <v>27.9239807128906</v>
      </c>
      <c r="J314">
        <v>1</v>
      </c>
      <c r="K314">
        <v>6.6</v>
      </c>
    </row>
    <row r="315" spans="1:11">
      <c r="A315" t="s">
        <v>347</v>
      </c>
      <c r="B315" s="112">
        <v>43261</v>
      </c>
      <c r="C315">
        <v>10</v>
      </c>
      <c r="D315">
        <v>6</v>
      </c>
      <c r="E315">
        <v>2018</v>
      </c>
      <c r="F315">
        <v>24</v>
      </c>
      <c r="G315">
        <v>161</v>
      </c>
      <c r="H315" s="118">
        <v>14.2735900878906</v>
      </c>
      <c r="I315" s="118">
        <v>25.4063110351562</v>
      </c>
      <c r="J315">
        <v>25.1</v>
      </c>
      <c r="K315">
        <v>1.7</v>
      </c>
    </row>
    <row r="316" spans="1:11">
      <c r="A316" t="s">
        <v>347</v>
      </c>
      <c r="B316" s="112">
        <v>43262</v>
      </c>
      <c r="C316">
        <v>11</v>
      </c>
      <c r="D316">
        <v>6</v>
      </c>
      <c r="E316">
        <v>2018</v>
      </c>
      <c r="F316">
        <v>24</v>
      </c>
      <c r="G316">
        <v>162</v>
      </c>
      <c r="H316" s="118">
        <v>16.9583740234375</v>
      </c>
      <c r="I316" s="118">
        <v>24.3844299316406</v>
      </c>
      <c r="J316">
        <v>16.899999999999999</v>
      </c>
      <c r="K316"/>
    </row>
    <row r="317" spans="1:11">
      <c r="A317" t="s">
        <v>347</v>
      </c>
      <c r="B317" s="112">
        <v>43263</v>
      </c>
      <c r="C317">
        <v>12</v>
      </c>
      <c r="D317">
        <v>6</v>
      </c>
      <c r="E317">
        <v>2018</v>
      </c>
      <c r="F317">
        <v>24</v>
      </c>
      <c r="G317">
        <v>163</v>
      </c>
      <c r="H317" s="118">
        <v>12.8937072753906</v>
      </c>
      <c r="I317" s="118">
        <v>20.1122436523438</v>
      </c>
      <c r="J317">
        <v>0</v>
      </c>
      <c r="K317"/>
    </row>
    <row r="318" spans="1:11">
      <c r="A318" t="s">
        <v>347</v>
      </c>
      <c r="B318" s="112">
        <v>43264</v>
      </c>
      <c r="C318">
        <v>13</v>
      </c>
      <c r="D318">
        <v>6</v>
      </c>
      <c r="E318">
        <v>2018</v>
      </c>
      <c r="F318">
        <v>24</v>
      </c>
      <c r="G318">
        <v>164</v>
      </c>
      <c r="H318" s="118">
        <v>9.3748779296875</v>
      </c>
      <c r="I318" s="118">
        <v>19.4957580566406</v>
      </c>
      <c r="J318">
        <v>0.2</v>
      </c>
      <c r="K318">
        <v>3.6</v>
      </c>
    </row>
    <row r="319" spans="1:11">
      <c r="A319" t="s">
        <v>347</v>
      </c>
      <c r="B319" s="112">
        <v>43265</v>
      </c>
      <c r="C319">
        <v>14</v>
      </c>
      <c r="D319">
        <v>6</v>
      </c>
      <c r="E319">
        <v>2018</v>
      </c>
      <c r="F319">
        <v>24</v>
      </c>
      <c r="G319">
        <v>165</v>
      </c>
      <c r="H319" s="118">
        <v>8.638427734375</v>
      </c>
      <c r="I319" s="118">
        <v>20.6597900390625</v>
      </c>
      <c r="J319">
        <v>0.2</v>
      </c>
      <c r="K319"/>
    </row>
    <row r="320" spans="1:11">
      <c r="A320" t="s">
        <v>347</v>
      </c>
      <c r="B320" s="112">
        <v>43266</v>
      </c>
      <c r="C320">
        <v>15</v>
      </c>
      <c r="D320">
        <v>6</v>
      </c>
      <c r="E320">
        <v>2018</v>
      </c>
      <c r="F320">
        <v>24</v>
      </c>
      <c r="G320">
        <v>166</v>
      </c>
      <c r="H320" s="118">
        <v>14.7035217285156</v>
      </c>
      <c r="I320" s="118">
        <v>24.3786010742187</v>
      </c>
      <c r="J320">
        <v>0.2</v>
      </c>
      <c r="K320">
        <v>6.2</v>
      </c>
    </row>
    <row r="321" spans="1:11">
      <c r="A321" t="s">
        <v>347</v>
      </c>
      <c r="B321" s="112">
        <v>43267</v>
      </c>
      <c r="C321">
        <v>16</v>
      </c>
      <c r="D321">
        <v>6</v>
      </c>
      <c r="E321">
        <v>2018</v>
      </c>
      <c r="F321">
        <v>24</v>
      </c>
      <c r="G321">
        <v>167</v>
      </c>
      <c r="H321" s="118">
        <v>12.8721008300781</v>
      </c>
      <c r="I321" s="118">
        <v>23.2865905761719</v>
      </c>
      <c r="J321">
        <v>0</v>
      </c>
      <c r="K321">
        <v>7</v>
      </c>
    </row>
    <row r="322" spans="1:11">
      <c r="A322" t="s">
        <v>347</v>
      </c>
      <c r="B322" s="112">
        <v>43268</v>
      </c>
      <c r="C322">
        <v>17</v>
      </c>
      <c r="D322">
        <v>6</v>
      </c>
      <c r="E322">
        <v>2018</v>
      </c>
      <c r="F322">
        <v>25</v>
      </c>
      <c r="G322">
        <v>168</v>
      </c>
      <c r="H322" s="118">
        <v>12.5184020996094</v>
      </c>
      <c r="I322" s="118">
        <v>21.6116943359375</v>
      </c>
      <c r="J322">
        <v>0</v>
      </c>
      <c r="K322">
        <v>5.6</v>
      </c>
    </row>
    <row r="323" spans="1:11">
      <c r="A323" t="s">
        <v>347</v>
      </c>
      <c r="B323" s="112">
        <v>43269</v>
      </c>
      <c r="C323">
        <v>18</v>
      </c>
      <c r="D323">
        <v>6</v>
      </c>
      <c r="E323">
        <v>2018</v>
      </c>
      <c r="F323">
        <v>25</v>
      </c>
      <c r="G323">
        <v>169</v>
      </c>
      <c r="H323" s="118">
        <v>14.6044006347656</v>
      </c>
      <c r="I323" s="118">
        <v>24.7485046386719</v>
      </c>
      <c r="J323">
        <v>0</v>
      </c>
      <c r="K323">
        <v>6.2</v>
      </c>
    </row>
    <row r="324" spans="1:11">
      <c r="A324" t="s">
        <v>347</v>
      </c>
      <c r="B324" s="112">
        <v>43270</v>
      </c>
      <c r="C324">
        <v>19</v>
      </c>
      <c r="D324">
        <v>6</v>
      </c>
      <c r="E324">
        <v>2018</v>
      </c>
      <c r="F324">
        <v>25</v>
      </c>
      <c r="G324">
        <v>170</v>
      </c>
      <c r="H324" s="118">
        <v>14.333984375</v>
      </c>
      <c r="I324" s="118">
        <v>26.3121643066406</v>
      </c>
      <c r="J324">
        <v>0.2</v>
      </c>
      <c r="K324">
        <v>4.9000000000000004</v>
      </c>
    </row>
    <row r="325" spans="1:11">
      <c r="A325" t="s">
        <v>347</v>
      </c>
      <c r="B325" s="112">
        <v>43271</v>
      </c>
      <c r="C325">
        <v>20</v>
      </c>
      <c r="D325">
        <v>6</v>
      </c>
      <c r="E325">
        <v>2018</v>
      </c>
      <c r="F325">
        <v>25</v>
      </c>
      <c r="G325">
        <v>171</v>
      </c>
      <c r="H325" s="118">
        <v>13.5283203125</v>
      </c>
      <c r="I325" s="118">
        <v>31.9573364257812</v>
      </c>
      <c r="J325">
        <v>0</v>
      </c>
      <c r="K325">
        <v>14.2</v>
      </c>
    </row>
    <row r="326" spans="1:11">
      <c r="A326" t="s">
        <v>347</v>
      </c>
      <c r="B326" s="112">
        <v>43272</v>
      </c>
      <c r="C326">
        <v>21</v>
      </c>
      <c r="D326">
        <v>6</v>
      </c>
      <c r="E326">
        <v>2018</v>
      </c>
      <c r="F326">
        <v>25</v>
      </c>
      <c r="G326">
        <v>172</v>
      </c>
      <c r="H326" s="118">
        <v>9.790283203125</v>
      </c>
      <c r="I326" s="118">
        <v>24.668212890625</v>
      </c>
      <c r="J326">
        <v>0</v>
      </c>
      <c r="K326">
        <v>9.9</v>
      </c>
    </row>
    <row r="327" spans="1:11">
      <c r="A327" t="s">
        <v>347</v>
      </c>
      <c r="B327" s="112">
        <v>43273</v>
      </c>
      <c r="C327">
        <v>22</v>
      </c>
      <c r="D327">
        <v>6</v>
      </c>
      <c r="E327">
        <v>2018</v>
      </c>
      <c r="F327">
        <v>25</v>
      </c>
      <c r="G327">
        <v>173</v>
      </c>
      <c r="H327" s="118">
        <v>7.1571044921875</v>
      </c>
      <c r="I327" s="118">
        <v>24.0562133789062</v>
      </c>
      <c r="J327">
        <v>0</v>
      </c>
      <c r="K327">
        <v>13.4</v>
      </c>
    </row>
    <row r="328" spans="1:11">
      <c r="A328" t="s">
        <v>347</v>
      </c>
      <c r="B328" s="112">
        <v>43274</v>
      </c>
      <c r="C328">
        <v>23</v>
      </c>
      <c r="D328">
        <v>6</v>
      </c>
      <c r="E328">
        <v>2018</v>
      </c>
      <c r="F328">
        <v>25</v>
      </c>
      <c r="G328">
        <v>174</v>
      </c>
      <c r="H328" s="118">
        <v>6.5221862792968803</v>
      </c>
      <c r="I328" s="118">
        <v>25.095703125</v>
      </c>
      <c r="J328">
        <v>0</v>
      </c>
      <c r="K328">
        <v>11.1</v>
      </c>
    </row>
    <row r="329" spans="1:11">
      <c r="A329" t="s">
        <v>347</v>
      </c>
      <c r="B329" s="112">
        <v>43275</v>
      </c>
      <c r="C329">
        <v>24</v>
      </c>
      <c r="D329">
        <v>6</v>
      </c>
      <c r="E329">
        <v>2018</v>
      </c>
      <c r="F329">
        <v>26</v>
      </c>
      <c r="G329">
        <v>175</v>
      </c>
      <c r="H329" s="118">
        <v>11.1581115722656</v>
      </c>
      <c r="I329" s="118">
        <v>25.9088745117187</v>
      </c>
      <c r="J329">
        <v>0</v>
      </c>
      <c r="K329">
        <v>14.1</v>
      </c>
    </row>
    <row r="330" spans="1:11">
      <c r="A330" t="s">
        <v>347</v>
      </c>
      <c r="B330" s="112">
        <v>43276</v>
      </c>
      <c r="C330">
        <v>25</v>
      </c>
      <c r="D330">
        <v>6</v>
      </c>
      <c r="E330">
        <v>2018</v>
      </c>
      <c r="F330">
        <v>26</v>
      </c>
      <c r="G330">
        <v>176</v>
      </c>
      <c r="H330" s="118">
        <v>11.1322326660156</v>
      </c>
      <c r="I330" s="118">
        <v>28.1629638671875</v>
      </c>
      <c r="J330">
        <v>0</v>
      </c>
      <c r="K330">
        <v>14.7</v>
      </c>
    </row>
    <row r="331" spans="1:11">
      <c r="A331" t="s">
        <v>347</v>
      </c>
      <c r="B331" s="112">
        <v>43277</v>
      </c>
      <c r="C331">
        <v>26</v>
      </c>
      <c r="D331">
        <v>6</v>
      </c>
      <c r="E331">
        <v>2018</v>
      </c>
      <c r="F331">
        <v>26</v>
      </c>
      <c r="G331">
        <v>177</v>
      </c>
      <c r="H331" s="118">
        <v>12.2190551757813</v>
      </c>
      <c r="I331" s="118">
        <v>30.8553771972656</v>
      </c>
      <c r="J331">
        <v>0</v>
      </c>
      <c r="K331">
        <v>14.7</v>
      </c>
    </row>
    <row r="332" spans="1:11">
      <c r="A332" t="s">
        <v>347</v>
      </c>
      <c r="B332" s="112">
        <v>43278</v>
      </c>
      <c r="C332">
        <v>27</v>
      </c>
      <c r="D332">
        <v>6</v>
      </c>
      <c r="E332">
        <v>2018</v>
      </c>
      <c r="F332">
        <v>26</v>
      </c>
      <c r="G332">
        <v>178</v>
      </c>
      <c r="H332" s="118">
        <v>12.4475402832031</v>
      </c>
      <c r="I332" s="118">
        <v>31.5294494628906</v>
      </c>
      <c r="J332">
        <v>0</v>
      </c>
      <c r="K332">
        <v>14.7</v>
      </c>
    </row>
    <row r="333" spans="1:11">
      <c r="A333" t="s">
        <v>347</v>
      </c>
      <c r="B333" s="112">
        <v>43279</v>
      </c>
      <c r="C333">
        <v>28</v>
      </c>
      <c r="D333">
        <v>6</v>
      </c>
      <c r="E333">
        <v>2018</v>
      </c>
      <c r="F333">
        <v>26</v>
      </c>
      <c r="G333">
        <v>179</v>
      </c>
      <c r="H333" s="118">
        <v>15.5726318359375</v>
      </c>
      <c r="I333" s="118">
        <v>30.293212890625</v>
      </c>
      <c r="J333">
        <v>0</v>
      </c>
      <c r="K333">
        <v>14.7</v>
      </c>
    </row>
    <row r="334" spans="1:11">
      <c r="A334" t="s">
        <v>347</v>
      </c>
      <c r="B334" s="112">
        <v>43280</v>
      </c>
      <c r="C334">
        <v>29</v>
      </c>
      <c r="D334">
        <v>6</v>
      </c>
      <c r="E334">
        <v>2018</v>
      </c>
      <c r="F334">
        <v>26</v>
      </c>
      <c r="G334">
        <v>180</v>
      </c>
      <c r="H334" s="118">
        <v>16.2188110351562</v>
      </c>
      <c r="I334" s="118">
        <v>30.2275085449219</v>
      </c>
      <c r="J334">
        <v>0</v>
      </c>
      <c r="K334">
        <v>8</v>
      </c>
    </row>
    <row r="335" spans="1:11">
      <c r="A335" t="s">
        <v>347</v>
      </c>
      <c r="B335" s="112">
        <v>43281</v>
      </c>
      <c r="C335">
        <v>30</v>
      </c>
      <c r="D335">
        <v>6</v>
      </c>
      <c r="E335">
        <v>2018</v>
      </c>
      <c r="F335">
        <v>26</v>
      </c>
      <c r="G335">
        <v>181</v>
      </c>
      <c r="H335" s="118">
        <v>17.8317565917969</v>
      </c>
      <c r="I335" s="118">
        <v>32.591888427734403</v>
      </c>
      <c r="J335">
        <v>0</v>
      </c>
      <c r="K335">
        <v>11.7</v>
      </c>
    </row>
    <row r="336" spans="1:11">
      <c r="A336" t="s">
        <v>347</v>
      </c>
      <c r="B336" s="112">
        <v>43282</v>
      </c>
      <c r="C336">
        <v>1</v>
      </c>
      <c r="D336">
        <v>7</v>
      </c>
      <c r="E336">
        <v>2018</v>
      </c>
      <c r="F336">
        <v>27</v>
      </c>
      <c r="G336">
        <v>182</v>
      </c>
      <c r="H336" s="118">
        <v>18.6927185058594</v>
      </c>
      <c r="I336" s="118">
        <v>36.156005859375</v>
      </c>
      <c r="J336">
        <v>10.5</v>
      </c>
      <c r="K336">
        <v>8.1</v>
      </c>
    </row>
    <row r="337" spans="1:11">
      <c r="A337" t="s">
        <v>347</v>
      </c>
      <c r="B337" s="112">
        <v>43283</v>
      </c>
      <c r="C337">
        <v>2</v>
      </c>
      <c r="D337">
        <v>7</v>
      </c>
      <c r="E337">
        <v>2018</v>
      </c>
      <c r="F337">
        <v>27</v>
      </c>
      <c r="G337">
        <v>183</v>
      </c>
      <c r="H337" s="118">
        <v>17.55810546875</v>
      </c>
      <c r="I337" s="118">
        <v>28.1408386230469</v>
      </c>
      <c r="J337">
        <v>4.8</v>
      </c>
      <c r="K337">
        <v>7.8</v>
      </c>
    </row>
    <row r="338" spans="1:11">
      <c r="A338" t="s">
        <v>347</v>
      </c>
      <c r="B338" s="112">
        <v>43284</v>
      </c>
      <c r="C338">
        <v>3</v>
      </c>
      <c r="D338">
        <v>7</v>
      </c>
      <c r="E338">
        <v>2018</v>
      </c>
      <c r="F338">
        <v>27</v>
      </c>
      <c r="G338">
        <v>184</v>
      </c>
      <c r="H338" s="118">
        <v>15.6636352539062</v>
      </c>
      <c r="I338" s="118">
        <v>29.530517578125</v>
      </c>
      <c r="J338">
        <v>3.3</v>
      </c>
      <c r="K338">
        <v>11.9</v>
      </c>
    </row>
    <row r="339" spans="1:11">
      <c r="A339" t="s">
        <v>347</v>
      </c>
      <c r="B339" s="112">
        <v>43285</v>
      </c>
      <c r="C339">
        <v>4</v>
      </c>
      <c r="D339">
        <v>7</v>
      </c>
      <c r="E339">
        <v>2018</v>
      </c>
      <c r="F339">
        <v>27</v>
      </c>
      <c r="G339">
        <v>185</v>
      </c>
      <c r="H339" s="118">
        <v>17.1377868652344</v>
      </c>
      <c r="I339" s="118">
        <v>30.2623901367188</v>
      </c>
      <c r="J339">
        <v>0</v>
      </c>
      <c r="K339">
        <v>12</v>
      </c>
    </row>
    <row r="340" spans="1:11">
      <c r="A340" t="s">
        <v>347</v>
      </c>
      <c r="B340" s="112">
        <v>43286</v>
      </c>
      <c r="C340">
        <v>5</v>
      </c>
      <c r="D340">
        <v>7</v>
      </c>
      <c r="E340">
        <v>2018</v>
      </c>
      <c r="F340">
        <v>27</v>
      </c>
      <c r="G340">
        <v>186</v>
      </c>
      <c r="H340" s="118">
        <v>17.5619506835938</v>
      </c>
      <c r="I340" s="118">
        <v>26.6670532226562</v>
      </c>
      <c r="J340">
        <v>0</v>
      </c>
      <c r="K340">
        <v>1</v>
      </c>
    </row>
    <row r="341" spans="1:11">
      <c r="A341" t="s">
        <v>347</v>
      </c>
      <c r="B341" s="112">
        <v>43287</v>
      </c>
      <c r="C341">
        <v>6</v>
      </c>
      <c r="D341">
        <v>7</v>
      </c>
      <c r="E341">
        <v>2018</v>
      </c>
      <c r="F341">
        <v>27</v>
      </c>
      <c r="G341">
        <v>187</v>
      </c>
      <c r="H341" s="118">
        <v>13.5361633300781</v>
      </c>
      <c r="I341" s="118">
        <v>29.7098693847656</v>
      </c>
      <c r="J341">
        <v>0</v>
      </c>
      <c r="K341">
        <v>13.9</v>
      </c>
    </row>
    <row r="342" spans="1:11">
      <c r="A342" t="s">
        <v>347</v>
      </c>
      <c r="B342" s="112">
        <v>43288</v>
      </c>
      <c r="C342">
        <v>7</v>
      </c>
      <c r="D342">
        <v>7</v>
      </c>
      <c r="E342">
        <v>2018</v>
      </c>
      <c r="F342">
        <v>27</v>
      </c>
      <c r="G342">
        <v>188</v>
      </c>
      <c r="H342" s="118">
        <v>14.8492431640625</v>
      </c>
      <c r="I342" s="118">
        <v>34.259796142578097</v>
      </c>
      <c r="J342">
        <v>0</v>
      </c>
      <c r="K342">
        <v>12.8</v>
      </c>
    </row>
    <row r="343" spans="1:11">
      <c r="A343" t="s">
        <v>347</v>
      </c>
      <c r="B343" s="112">
        <v>43289</v>
      </c>
      <c r="C343">
        <v>8</v>
      </c>
      <c r="D343">
        <v>7</v>
      </c>
      <c r="E343">
        <v>2018</v>
      </c>
      <c r="F343">
        <v>28</v>
      </c>
      <c r="G343">
        <v>189</v>
      </c>
      <c r="H343" s="118">
        <v>15.1675415039062</v>
      </c>
      <c r="I343" s="118">
        <v>34.331024169921903</v>
      </c>
      <c r="J343">
        <v>0</v>
      </c>
      <c r="K343">
        <v>9.6</v>
      </c>
    </row>
    <row r="344" spans="1:11">
      <c r="A344" t="s">
        <v>347</v>
      </c>
      <c r="B344" s="112">
        <v>43290</v>
      </c>
      <c r="C344">
        <v>9</v>
      </c>
      <c r="D344">
        <v>7</v>
      </c>
      <c r="E344">
        <v>2018</v>
      </c>
      <c r="F344">
        <v>28</v>
      </c>
      <c r="G344">
        <v>190</v>
      </c>
      <c r="H344" s="118">
        <v>14.7540283203125</v>
      </c>
      <c r="I344" s="118">
        <v>30.6552124023438</v>
      </c>
      <c r="J344">
        <v>0</v>
      </c>
      <c r="K344">
        <v>12.4</v>
      </c>
    </row>
    <row r="345" spans="1:11">
      <c r="A345" t="s">
        <v>347</v>
      </c>
      <c r="B345" s="112">
        <v>43291</v>
      </c>
      <c r="C345">
        <v>10</v>
      </c>
      <c r="D345">
        <v>7</v>
      </c>
      <c r="E345">
        <v>2018</v>
      </c>
      <c r="F345">
        <v>28</v>
      </c>
      <c r="G345">
        <v>191</v>
      </c>
      <c r="H345" s="118">
        <v>13.1838989257813</v>
      </c>
      <c r="I345" s="118">
        <v>27.6595764160156</v>
      </c>
      <c r="J345">
        <v>0</v>
      </c>
      <c r="K345">
        <v>11.1</v>
      </c>
    </row>
    <row r="346" spans="1:11">
      <c r="A346" t="s">
        <v>347</v>
      </c>
      <c r="B346" s="112">
        <v>43292</v>
      </c>
      <c r="C346">
        <v>11</v>
      </c>
      <c r="D346">
        <v>7</v>
      </c>
      <c r="E346">
        <v>2018</v>
      </c>
      <c r="F346">
        <v>28</v>
      </c>
      <c r="G346">
        <v>192</v>
      </c>
      <c r="H346" s="118">
        <v>10.963134765625</v>
      </c>
      <c r="I346" s="118">
        <v>25.8832092285156</v>
      </c>
      <c r="J346">
        <v>0</v>
      </c>
      <c r="K346">
        <v>2.6</v>
      </c>
    </row>
    <row r="347" spans="1:11">
      <c r="A347" t="s">
        <v>347</v>
      </c>
      <c r="B347" s="112">
        <v>43293</v>
      </c>
      <c r="C347">
        <v>12</v>
      </c>
      <c r="D347">
        <v>7</v>
      </c>
      <c r="E347">
        <v>2018</v>
      </c>
      <c r="F347">
        <v>28</v>
      </c>
      <c r="G347">
        <v>193</v>
      </c>
      <c r="H347" s="118">
        <v>14.0183410644531</v>
      </c>
      <c r="I347" s="118">
        <v>27.7796936035156</v>
      </c>
      <c r="J347">
        <v>0</v>
      </c>
      <c r="K347">
        <v>6.5</v>
      </c>
    </row>
    <row r="348" spans="1:11">
      <c r="A348" t="s">
        <v>347</v>
      </c>
      <c r="B348" s="112">
        <v>43294</v>
      </c>
      <c r="C348">
        <v>13</v>
      </c>
      <c r="D348">
        <v>7</v>
      </c>
      <c r="E348">
        <v>2018</v>
      </c>
      <c r="F348">
        <v>28</v>
      </c>
      <c r="G348">
        <v>194</v>
      </c>
      <c r="H348" s="118">
        <v>14.3320007324219</v>
      </c>
      <c r="I348" s="118">
        <v>32.3538818359375</v>
      </c>
      <c r="J348">
        <v>0</v>
      </c>
      <c r="K348">
        <v>9.1</v>
      </c>
    </row>
    <row r="349" spans="1:11">
      <c r="A349" t="s">
        <v>347</v>
      </c>
      <c r="B349" s="112">
        <v>43295</v>
      </c>
      <c r="C349">
        <v>14</v>
      </c>
      <c r="D349">
        <v>7</v>
      </c>
      <c r="E349">
        <v>2018</v>
      </c>
      <c r="F349">
        <v>28</v>
      </c>
      <c r="G349">
        <v>195</v>
      </c>
      <c r="H349" s="118">
        <v>15.2199096679687</v>
      </c>
      <c r="I349" s="118">
        <v>33.044647216796903</v>
      </c>
      <c r="J349">
        <v>0.2</v>
      </c>
      <c r="K349">
        <v>10</v>
      </c>
    </row>
    <row r="350" spans="1:11">
      <c r="A350" t="s">
        <v>347</v>
      </c>
      <c r="B350" s="112">
        <v>43296</v>
      </c>
      <c r="C350">
        <v>15</v>
      </c>
      <c r="D350">
        <v>7</v>
      </c>
      <c r="E350">
        <v>2018</v>
      </c>
      <c r="F350">
        <v>29</v>
      </c>
      <c r="G350">
        <v>196</v>
      </c>
      <c r="H350" s="118">
        <v>15.9229431152344</v>
      </c>
      <c r="I350" s="118">
        <v>33.579132080078097</v>
      </c>
      <c r="J350">
        <v>19.5</v>
      </c>
      <c r="K350">
        <v>4.9000000000000004</v>
      </c>
    </row>
    <row r="351" spans="1:11">
      <c r="A351" t="s">
        <v>347</v>
      </c>
      <c r="B351" s="112">
        <v>43297</v>
      </c>
      <c r="C351">
        <v>16</v>
      </c>
      <c r="D351">
        <v>7</v>
      </c>
      <c r="E351">
        <v>2018</v>
      </c>
      <c r="F351">
        <v>29</v>
      </c>
      <c r="G351">
        <v>197</v>
      </c>
      <c r="H351" s="118">
        <v>15.7352600097656</v>
      </c>
      <c r="I351" s="118">
        <v>33.536376953125</v>
      </c>
      <c r="J351">
        <v>0</v>
      </c>
      <c r="K351">
        <v>11.4</v>
      </c>
    </row>
    <row r="352" spans="1:11">
      <c r="A352" t="s">
        <v>347</v>
      </c>
      <c r="B352" s="112">
        <v>43298</v>
      </c>
      <c r="C352">
        <v>17</v>
      </c>
      <c r="D352">
        <v>7</v>
      </c>
      <c r="E352">
        <v>2018</v>
      </c>
      <c r="F352">
        <v>29</v>
      </c>
      <c r="G352">
        <v>198</v>
      </c>
      <c r="H352" s="118">
        <v>15.9132690429687</v>
      </c>
      <c r="I352" s="118">
        <v>27.4036865234375</v>
      </c>
      <c r="J352">
        <v>0</v>
      </c>
      <c r="K352">
        <v>7.4</v>
      </c>
    </row>
    <row r="353" spans="1:11">
      <c r="A353" t="s">
        <v>347</v>
      </c>
      <c r="B353" s="112">
        <v>43299</v>
      </c>
      <c r="C353">
        <v>18</v>
      </c>
      <c r="D353">
        <v>7</v>
      </c>
      <c r="E353">
        <v>2018</v>
      </c>
      <c r="F353">
        <v>29</v>
      </c>
      <c r="G353">
        <v>199</v>
      </c>
      <c r="H353" s="118">
        <v>14.5090942382812</v>
      </c>
      <c r="I353" s="118">
        <v>31.9447631835937</v>
      </c>
      <c r="J353">
        <v>0</v>
      </c>
      <c r="K353">
        <v>11.7</v>
      </c>
    </row>
    <row r="354" spans="1:11">
      <c r="A354" t="s">
        <v>347</v>
      </c>
      <c r="B354" s="112">
        <v>43300</v>
      </c>
      <c r="C354">
        <v>19</v>
      </c>
      <c r="D354">
        <v>7</v>
      </c>
      <c r="E354">
        <v>2018</v>
      </c>
      <c r="F354">
        <v>29</v>
      </c>
      <c r="G354">
        <v>200</v>
      </c>
      <c r="H354" s="118">
        <v>16.6630859375</v>
      </c>
      <c r="I354" s="118">
        <v>31.87158203125</v>
      </c>
      <c r="J354">
        <v>1.2</v>
      </c>
      <c r="K354">
        <v>3.9</v>
      </c>
    </row>
    <row r="355" spans="1:11">
      <c r="A355" t="s">
        <v>347</v>
      </c>
      <c r="B355" s="112">
        <v>43301</v>
      </c>
      <c r="C355">
        <v>20</v>
      </c>
      <c r="D355">
        <v>7</v>
      </c>
      <c r="E355">
        <v>2018</v>
      </c>
      <c r="F355">
        <v>29</v>
      </c>
      <c r="G355">
        <v>201</v>
      </c>
      <c r="H355" s="118">
        <v>16.2690734863281</v>
      </c>
      <c r="I355" s="118">
        <v>26.4548034667969</v>
      </c>
      <c r="J355">
        <v>0</v>
      </c>
      <c r="K355">
        <v>0.9</v>
      </c>
    </row>
    <row r="356" spans="1:11">
      <c r="A356" t="s">
        <v>347</v>
      </c>
      <c r="B356" s="112">
        <v>43302</v>
      </c>
      <c r="C356">
        <v>21</v>
      </c>
      <c r="D356">
        <v>7</v>
      </c>
      <c r="E356">
        <v>2018</v>
      </c>
      <c r="F356">
        <v>29</v>
      </c>
      <c r="G356">
        <v>202</v>
      </c>
      <c r="H356" s="118">
        <v>13.8369445800781</v>
      </c>
      <c r="I356" s="118">
        <v>27.6335144042969</v>
      </c>
      <c r="J356">
        <v>0</v>
      </c>
      <c r="K356">
        <v>10.5</v>
      </c>
    </row>
    <row r="357" spans="1:11">
      <c r="A357" t="s">
        <v>347</v>
      </c>
      <c r="B357" s="112">
        <v>43303</v>
      </c>
      <c r="C357">
        <v>22</v>
      </c>
      <c r="D357">
        <v>7</v>
      </c>
      <c r="E357">
        <v>2018</v>
      </c>
      <c r="F357">
        <v>30</v>
      </c>
      <c r="G357">
        <v>203</v>
      </c>
      <c r="H357" s="118">
        <v>13.4696655273437</v>
      </c>
      <c r="I357" s="118">
        <v>30.8698425292969</v>
      </c>
      <c r="J357">
        <v>0</v>
      </c>
      <c r="K357">
        <v>9.1999999999999993</v>
      </c>
    </row>
    <row r="358" spans="1:11">
      <c r="A358" t="s">
        <v>347</v>
      </c>
      <c r="B358" s="112">
        <v>43304</v>
      </c>
      <c r="C358">
        <v>23</v>
      </c>
      <c r="D358">
        <v>7</v>
      </c>
      <c r="E358">
        <v>2018</v>
      </c>
      <c r="F358">
        <v>30</v>
      </c>
      <c r="G358">
        <v>204</v>
      </c>
      <c r="H358" s="118">
        <v>14.7384948730469</v>
      </c>
      <c r="I358" s="118">
        <v>31.838134765625</v>
      </c>
      <c r="J358">
        <v>0</v>
      </c>
      <c r="K358">
        <v>9.1999999999999993</v>
      </c>
    </row>
    <row r="359" spans="1:11">
      <c r="A359" t="s">
        <v>347</v>
      </c>
      <c r="B359" s="112">
        <v>43305</v>
      </c>
      <c r="C359">
        <v>24</v>
      </c>
      <c r="D359">
        <v>7</v>
      </c>
      <c r="E359">
        <v>2018</v>
      </c>
      <c r="F359">
        <v>30</v>
      </c>
      <c r="G359">
        <v>205</v>
      </c>
      <c r="H359" s="118">
        <v>17.0008239746094</v>
      </c>
      <c r="I359" s="118">
        <v>33.786773681640597</v>
      </c>
      <c r="J359">
        <v>0</v>
      </c>
      <c r="K359">
        <v>4.5999999999999996</v>
      </c>
    </row>
    <row r="360" spans="1:11">
      <c r="A360" t="s">
        <v>347</v>
      </c>
      <c r="B360" s="112">
        <v>43306</v>
      </c>
      <c r="C360">
        <v>25</v>
      </c>
      <c r="D360">
        <v>7</v>
      </c>
      <c r="E360">
        <v>2018</v>
      </c>
      <c r="F360">
        <v>30</v>
      </c>
      <c r="G360">
        <v>206</v>
      </c>
      <c r="H360" s="118">
        <v>17.0162658691406</v>
      </c>
      <c r="I360" s="118">
        <v>35.643341064453097</v>
      </c>
      <c r="J360">
        <v>0</v>
      </c>
      <c r="K360">
        <v>11.8</v>
      </c>
    </row>
    <row r="361" spans="1:11">
      <c r="A361" t="s">
        <v>347</v>
      </c>
      <c r="B361" s="112">
        <v>43307</v>
      </c>
      <c r="C361">
        <v>26</v>
      </c>
      <c r="D361">
        <v>7</v>
      </c>
      <c r="E361">
        <v>2018</v>
      </c>
      <c r="F361">
        <v>30</v>
      </c>
      <c r="G361">
        <v>207</v>
      </c>
      <c r="H361" s="118">
        <v>17.7238464355469</v>
      </c>
      <c r="I361" s="118">
        <v>36.293701171875</v>
      </c>
      <c r="J361">
        <v>0</v>
      </c>
      <c r="K361">
        <v>11.1</v>
      </c>
    </row>
    <row r="362" spans="1:11">
      <c r="A362" t="s">
        <v>347</v>
      </c>
      <c r="B362" s="112">
        <v>43308</v>
      </c>
      <c r="C362">
        <v>27</v>
      </c>
      <c r="D362">
        <v>7</v>
      </c>
      <c r="E362">
        <v>2018</v>
      </c>
      <c r="F362">
        <v>30</v>
      </c>
      <c r="G362">
        <v>208</v>
      </c>
      <c r="H362" s="118">
        <v>17.9819946289062</v>
      </c>
      <c r="I362" s="118">
        <v>35.8373413085937</v>
      </c>
      <c r="J362">
        <v>0</v>
      </c>
      <c r="K362">
        <v>10.3</v>
      </c>
    </row>
    <row r="363" spans="1:11">
      <c r="A363" t="s">
        <v>347</v>
      </c>
      <c r="B363" s="112">
        <v>43309</v>
      </c>
      <c r="C363">
        <v>28</v>
      </c>
      <c r="D363">
        <v>7</v>
      </c>
      <c r="E363">
        <v>2018</v>
      </c>
      <c r="F363">
        <v>30</v>
      </c>
      <c r="G363">
        <v>209</v>
      </c>
      <c r="H363" s="118">
        <v>17.8143920898438</v>
      </c>
      <c r="I363" s="118">
        <v>25.6307678222656</v>
      </c>
      <c r="J363">
        <v>0</v>
      </c>
      <c r="K363">
        <v>9.5</v>
      </c>
    </row>
    <row r="364" spans="1:11">
      <c r="A364" t="s">
        <v>347</v>
      </c>
      <c r="B364" s="112">
        <v>43310</v>
      </c>
      <c r="C364">
        <v>29</v>
      </c>
      <c r="D364">
        <v>7</v>
      </c>
      <c r="E364">
        <v>2018</v>
      </c>
      <c r="F364">
        <v>31</v>
      </c>
      <c r="G364">
        <v>210</v>
      </c>
      <c r="H364" s="118">
        <v>15.3614501953125</v>
      </c>
      <c r="I364" s="118">
        <v>27.3917236328125</v>
      </c>
      <c r="J364">
        <v>0</v>
      </c>
      <c r="K364">
        <v>4.4000000000000004</v>
      </c>
    </row>
    <row r="365" spans="1:11">
      <c r="A365" t="s">
        <v>347</v>
      </c>
      <c r="B365" s="112">
        <v>43311</v>
      </c>
      <c r="C365">
        <v>30</v>
      </c>
      <c r="D365">
        <v>7</v>
      </c>
      <c r="E365">
        <v>2018</v>
      </c>
      <c r="F365">
        <v>31</v>
      </c>
      <c r="G365">
        <v>211</v>
      </c>
      <c r="H365" s="118">
        <v>16.0776672363281</v>
      </c>
      <c r="I365" s="118">
        <v>27.4416198730469</v>
      </c>
      <c r="J365">
        <v>0</v>
      </c>
      <c r="K365">
        <v>4.5999999999999996</v>
      </c>
    </row>
    <row r="366" spans="1:11">
      <c r="A366" t="s">
        <v>347</v>
      </c>
      <c r="B366" s="112">
        <v>43312</v>
      </c>
      <c r="C366">
        <v>31</v>
      </c>
      <c r="D366">
        <v>7</v>
      </c>
      <c r="E366">
        <v>2018</v>
      </c>
      <c r="F366">
        <v>31</v>
      </c>
      <c r="G366">
        <v>212</v>
      </c>
      <c r="H366" s="118">
        <v>17.4328002929687</v>
      </c>
      <c r="I366" s="118">
        <v>28.5051879882813</v>
      </c>
      <c r="J366">
        <v>0</v>
      </c>
      <c r="K366">
        <v>8</v>
      </c>
    </row>
    <row r="367" spans="1:11">
      <c r="A367" t="s">
        <v>347</v>
      </c>
      <c r="B367" s="112">
        <v>43313</v>
      </c>
      <c r="C367">
        <v>1</v>
      </c>
      <c r="D367">
        <v>8</v>
      </c>
      <c r="E367">
        <v>2018</v>
      </c>
      <c r="F367">
        <v>31</v>
      </c>
      <c r="G367">
        <v>213</v>
      </c>
      <c r="H367" s="118">
        <v>15.406005859375</v>
      </c>
      <c r="I367" s="118">
        <v>32.5054321289063</v>
      </c>
      <c r="J367">
        <v>0</v>
      </c>
      <c r="K367">
        <v>9.6</v>
      </c>
    </row>
    <row r="368" spans="1:11">
      <c r="A368" t="s">
        <v>347</v>
      </c>
      <c r="B368" s="112">
        <v>43314</v>
      </c>
      <c r="C368">
        <v>2</v>
      </c>
      <c r="D368">
        <v>8</v>
      </c>
      <c r="E368">
        <v>2018</v>
      </c>
      <c r="F368">
        <v>31</v>
      </c>
      <c r="G368">
        <v>214</v>
      </c>
      <c r="H368" s="118">
        <v>15.6268615722656</v>
      </c>
      <c r="I368" s="118">
        <v>35.4608764648438</v>
      </c>
      <c r="J368">
        <v>0</v>
      </c>
      <c r="K368">
        <v>12.7</v>
      </c>
    </row>
    <row r="369" spans="1:11">
      <c r="A369" t="s">
        <v>347</v>
      </c>
      <c r="B369" s="112">
        <v>43315</v>
      </c>
      <c r="C369">
        <v>3</v>
      </c>
      <c r="D369">
        <v>8</v>
      </c>
      <c r="E369">
        <v>2018</v>
      </c>
      <c r="F369">
        <v>31</v>
      </c>
      <c r="G369">
        <v>215</v>
      </c>
      <c r="H369" s="118">
        <v>18.8641052246094</v>
      </c>
      <c r="I369" s="118">
        <v>38.1875610351562</v>
      </c>
      <c r="J369">
        <v>0</v>
      </c>
      <c r="K369">
        <v>13.1</v>
      </c>
    </row>
    <row r="370" spans="1:11">
      <c r="A370" t="s">
        <v>347</v>
      </c>
      <c r="B370" s="112">
        <v>43316</v>
      </c>
      <c r="C370">
        <v>4</v>
      </c>
      <c r="D370">
        <v>8</v>
      </c>
      <c r="E370">
        <v>2018</v>
      </c>
      <c r="F370">
        <v>31</v>
      </c>
      <c r="G370">
        <v>216</v>
      </c>
      <c r="H370" s="118">
        <v>18.5502014160156</v>
      </c>
      <c r="I370" s="118">
        <v>36.973236083984403</v>
      </c>
      <c r="J370">
        <v>0</v>
      </c>
      <c r="K370">
        <v>12.2</v>
      </c>
    </row>
    <row r="371" spans="1:11">
      <c r="A371" t="s">
        <v>347</v>
      </c>
      <c r="B371" s="112">
        <v>43317</v>
      </c>
      <c r="C371">
        <v>5</v>
      </c>
      <c r="D371">
        <v>8</v>
      </c>
      <c r="E371">
        <v>2018</v>
      </c>
      <c r="F371">
        <v>32</v>
      </c>
      <c r="G371">
        <v>217</v>
      </c>
      <c r="H371" s="118">
        <v>17.0702514648438</v>
      </c>
      <c r="I371" s="118">
        <v>35.520172119140597</v>
      </c>
      <c r="J371">
        <v>0</v>
      </c>
      <c r="K371">
        <v>13.1</v>
      </c>
    </row>
    <row r="372" spans="1:11">
      <c r="A372" t="s">
        <v>347</v>
      </c>
      <c r="B372" s="112">
        <v>43318</v>
      </c>
      <c r="C372">
        <v>6</v>
      </c>
      <c r="D372">
        <v>8</v>
      </c>
      <c r="E372">
        <v>2018</v>
      </c>
      <c r="F372">
        <v>32</v>
      </c>
      <c r="G372">
        <v>218</v>
      </c>
      <c r="H372" s="118">
        <v>15.1578369140625</v>
      </c>
      <c r="I372" s="118">
        <v>37.2344970703125</v>
      </c>
      <c r="J372">
        <v>0</v>
      </c>
      <c r="K372">
        <v>12.7</v>
      </c>
    </row>
    <row r="373" spans="1:11">
      <c r="A373" t="s">
        <v>347</v>
      </c>
      <c r="B373" s="112">
        <v>43319</v>
      </c>
      <c r="C373">
        <v>7</v>
      </c>
      <c r="D373">
        <v>8</v>
      </c>
      <c r="E373">
        <v>2018</v>
      </c>
      <c r="F373">
        <v>32</v>
      </c>
      <c r="G373">
        <v>219</v>
      </c>
      <c r="H373" s="118">
        <v>20.3319702148438</v>
      </c>
      <c r="I373" s="118">
        <v>36.2092895507812</v>
      </c>
      <c r="J373">
        <v>0</v>
      </c>
      <c r="K373">
        <v>7.9</v>
      </c>
    </row>
    <row r="374" spans="1:11">
      <c r="A374" t="s">
        <v>347</v>
      </c>
      <c r="B374" s="112">
        <v>43320</v>
      </c>
      <c r="C374">
        <v>8</v>
      </c>
      <c r="D374">
        <v>8</v>
      </c>
      <c r="E374">
        <v>2018</v>
      </c>
      <c r="F374">
        <v>32</v>
      </c>
      <c r="G374">
        <v>220</v>
      </c>
      <c r="H374" s="118">
        <v>17.1917724609375</v>
      </c>
      <c r="I374" s="118">
        <v>26.522216796875</v>
      </c>
      <c r="J374">
        <v>1.4</v>
      </c>
      <c r="K374">
        <v>7.2</v>
      </c>
    </row>
    <row r="375" spans="1:11">
      <c r="A375" t="s">
        <v>347</v>
      </c>
      <c r="B375" s="112">
        <v>43321</v>
      </c>
      <c r="C375">
        <v>9</v>
      </c>
      <c r="D375">
        <v>8</v>
      </c>
      <c r="E375">
        <v>2018</v>
      </c>
      <c r="F375">
        <v>32</v>
      </c>
      <c r="G375">
        <v>221</v>
      </c>
      <c r="H375" s="118">
        <v>12.69140625</v>
      </c>
      <c r="I375" s="118">
        <v>18.7023315429687</v>
      </c>
      <c r="J375">
        <v>6.9</v>
      </c>
      <c r="K375">
        <v>2.2999999999999998</v>
      </c>
    </row>
    <row r="376" spans="1:11">
      <c r="A376" t="s">
        <v>347</v>
      </c>
      <c r="B376" s="112">
        <v>43322</v>
      </c>
      <c r="C376">
        <v>10</v>
      </c>
      <c r="D376">
        <v>8</v>
      </c>
      <c r="E376">
        <v>2018</v>
      </c>
      <c r="F376">
        <v>32</v>
      </c>
      <c r="G376">
        <v>222</v>
      </c>
      <c r="H376" s="118">
        <v>9.62310791015625</v>
      </c>
      <c r="I376" s="118">
        <v>22.3761596679687</v>
      </c>
      <c r="J376">
        <v>0</v>
      </c>
      <c r="K376">
        <v>8</v>
      </c>
    </row>
    <row r="377" spans="1:11">
      <c r="A377" t="s">
        <v>347</v>
      </c>
      <c r="B377" s="112">
        <v>43323</v>
      </c>
      <c r="C377">
        <v>11</v>
      </c>
      <c r="D377">
        <v>8</v>
      </c>
      <c r="E377">
        <v>2018</v>
      </c>
      <c r="F377">
        <v>32</v>
      </c>
      <c r="G377">
        <v>223</v>
      </c>
      <c r="H377" s="118">
        <v>10.0033874511719</v>
      </c>
      <c r="I377" s="118">
        <v>27.849853515625</v>
      </c>
      <c r="J377">
        <v>0</v>
      </c>
      <c r="K377">
        <v>9.1999999999999993</v>
      </c>
    </row>
    <row r="378" spans="1:11">
      <c r="A378" t="s">
        <v>347</v>
      </c>
      <c r="B378" s="112">
        <v>43324</v>
      </c>
      <c r="C378">
        <v>12</v>
      </c>
      <c r="D378">
        <v>8</v>
      </c>
      <c r="E378">
        <v>2018</v>
      </c>
      <c r="F378">
        <v>33</v>
      </c>
      <c r="G378">
        <v>224</v>
      </c>
      <c r="H378" s="118">
        <v>13.9149780273437</v>
      </c>
      <c r="I378" s="118">
        <v>30.6181335449219</v>
      </c>
      <c r="J378">
        <v>2.2000000000000002</v>
      </c>
      <c r="K378">
        <v>7.8</v>
      </c>
    </row>
    <row r="379" spans="1:11">
      <c r="A379" t="s">
        <v>347</v>
      </c>
      <c r="B379" s="112">
        <v>43325</v>
      </c>
      <c r="C379">
        <v>13</v>
      </c>
      <c r="D379">
        <v>8</v>
      </c>
      <c r="E379">
        <v>2018</v>
      </c>
      <c r="F379">
        <v>33</v>
      </c>
      <c r="G379">
        <v>225</v>
      </c>
      <c r="H379" s="118">
        <v>14.3787231445313</v>
      </c>
      <c r="I379" s="118">
        <v>24.2573547363281</v>
      </c>
      <c r="J379">
        <v>0</v>
      </c>
      <c r="K379">
        <v>5.2</v>
      </c>
    </row>
    <row r="380" spans="1:11">
      <c r="A380" t="s">
        <v>347</v>
      </c>
      <c r="B380" s="112">
        <v>43326</v>
      </c>
      <c r="C380">
        <v>14</v>
      </c>
      <c r="D380">
        <v>8</v>
      </c>
      <c r="E380">
        <v>2018</v>
      </c>
      <c r="F380">
        <v>33</v>
      </c>
      <c r="G380">
        <v>226</v>
      </c>
      <c r="H380" s="118">
        <v>13.0545349121094</v>
      </c>
      <c r="I380" s="118">
        <v>26.3497924804687</v>
      </c>
      <c r="J380">
        <v>0</v>
      </c>
      <c r="K380">
        <v>7.4</v>
      </c>
    </row>
    <row r="381" spans="1:11">
      <c r="A381" t="s">
        <v>347</v>
      </c>
      <c r="B381" s="112">
        <v>43327</v>
      </c>
      <c r="C381">
        <v>15</v>
      </c>
      <c r="D381">
        <v>8</v>
      </c>
      <c r="E381">
        <v>2018</v>
      </c>
      <c r="F381">
        <v>33</v>
      </c>
      <c r="G381">
        <v>227</v>
      </c>
      <c r="H381" s="118">
        <v>12.8721008300781</v>
      </c>
      <c r="I381" s="118">
        <v>27.7676696777344</v>
      </c>
      <c r="J381">
        <v>0</v>
      </c>
      <c r="K381">
        <v>6.9</v>
      </c>
    </row>
    <row r="382" spans="1:11">
      <c r="A382" t="s">
        <v>347</v>
      </c>
      <c r="B382" s="112">
        <v>43328</v>
      </c>
      <c r="C382">
        <v>16</v>
      </c>
      <c r="D382">
        <v>8</v>
      </c>
      <c r="E382">
        <v>2018</v>
      </c>
      <c r="F382">
        <v>33</v>
      </c>
      <c r="G382">
        <v>228</v>
      </c>
      <c r="H382" s="118">
        <v>12.728759765625</v>
      </c>
      <c r="I382" s="118">
        <v>32.0704345703125</v>
      </c>
      <c r="J382">
        <v>0.2</v>
      </c>
      <c r="K382">
        <v>11.7</v>
      </c>
    </row>
    <row r="383" spans="1:11">
      <c r="A383" t="s">
        <v>347</v>
      </c>
      <c r="B383" s="112">
        <v>43329</v>
      </c>
      <c r="C383">
        <v>17</v>
      </c>
      <c r="D383">
        <v>8</v>
      </c>
      <c r="E383">
        <v>2018</v>
      </c>
      <c r="F383">
        <v>33</v>
      </c>
      <c r="G383">
        <v>229</v>
      </c>
      <c r="H383" s="118">
        <v>13.7139282226563</v>
      </c>
      <c r="I383" s="118">
        <v>27.6054992675781</v>
      </c>
      <c r="J383">
        <v>0</v>
      </c>
      <c r="K383">
        <v>8.5</v>
      </c>
    </row>
    <row r="384" spans="1:11">
      <c r="A384" t="s">
        <v>347</v>
      </c>
      <c r="B384" s="112">
        <v>43330</v>
      </c>
      <c r="C384">
        <v>18</v>
      </c>
      <c r="D384">
        <v>8</v>
      </c>
      <c r="E384">
        <v>2018</v>
      </c>
      <c r="F384">
        <v>33</v>
      </c>
      <c r="G384">
        <v>230</v>
      </c>
      <c r="H384" s="118">
        <v>9.6271667480468697</v>
      </c>
      <c r="I384" s="118">
        <v>27.8778991699219</v>
      </c>
      <c r="J384">
        <v>0</v>
      </c>
      <c r="K384">
        <v>12</v>
      </c>
    </row>
    <row r="385" spans="1:11">
      <c r="A385" t="s">
        <v>347</v>
      </c>
      <c r="B385" s="112">
        <v>43331</v>
      </c>
      <c r="C385">
        <v>19</v>
      </c>
      <c r="D385">
        <v>8</v>
      </c>
      <c r="E385">
        <v>2018</v>
      </c>
      <c r="F385">
        <v>34</v>
      </c>
      <c r="G385">
        <v>231</v>
      </c>
      <c r="H385" s="118">
        <v>11.8558044433594</v>
      </c>
      <c r="I385" s="118">
        <v>30.0512390136719</v>
      </c>
      <c r="J385">
        <v>0</v>
      </c>
      <c r="K385">
        <v>12.3</v>
      </c>
    </row>
    <row r="386" spans="1:11">
      <c r="A386" t="s">
        <v>347</v>
      </c>
      <c r="B386" s="112">
        <v>43332</v>
      </c>
      <c r="C386">
        <v>20</v>
      </c>
      <c r="D386">
        <v>8</v>
      </c>
      <c r="E386">
        <v>2018</v>
      </c>
      <c r="F386">
        <v>34</v>
      </c>
      <c r="G386">
        <v>232</v>
      </c>
      <c r="H386" s="118">
        <v>15.9693908691406</v>
      </c>
      <c r="I386" s="118">
        <v>28.9679565429687</v>
      </c>
      <c r="J386">
        <v>0</v>
      </c>
      <c r="K386">
        <v>2.4</v>
      </c>
    </row>
    <row r="387" spans="1:11">
      <c r="A387" t="s">
        <v>347</v>
      </c>
      <c r="B387" s="112">
        <v>43333</v>
      </c>
      <c r="C387">
        <v>21</v>
      </c>
      <c r="D387">
        <v>8</v>
      </c>
      <c r="E387">
        <v>2018</v>
      </c>
      <c r="F387">
        <v>34</v>
      </c>
      <c r="G387">
        <v>233</v>
      </c>
      <c r="H387" s="118">
        <v>16.4951171875</v>
      </c>
      <c r="I387" s="118">
        <v>32.0830078125</v>
      </c>
      <c r="J387">
        <v>0</v>
      </c>
      <c r="K387">
        <v>2</v>
      </c>
    </row>
    <row r="388" spans="1:11">
      <c r="A388" t="s">
        <v>347</v>
      </c>
      <c r="B388" s="112">
        <v>43334</v>
      </c>
      <c r="C388">
        <v>22</v>
      </c>
      <c r="D388">
        <v>8</v>
      </c>
      <c r="E388">
        <v>2018</v>
      </c>
      <c r="F388">
        <v>34</v>
      </c>
      <c r="G388">
        <v>234</v>
      </c>
      <c r="H388" s="118">
        <v>14.6841125488281</v>
      </c>
      <c r="I388" s="118">
        <v>33.2635498046875</v>
      </c>
      <c r="J388">
        <v>0</v>
      </c>
      <c r="K388">
        <v>9.9</v>
      </c>
    </row>
    <row r="389" spans="1:11">
      <c r="A389" t="s">
        <v>347</v>
      </c>
      <c r="B389" s="112">
        <v>43335</v>
      </c>
      <c r="C389">
        <v>23</v>
      </c>
      <c r="D389">
        <v>8</v>
      </c>
      <c r="E389">
        <v>2018</v>
      </c>
      <c r="F389">
        <v>34</v>
      </c>
      <c r="G389">
        <v>235</v>
      </c>
      <c r="H389" s="118">
        <v>16.7306518554687</v>
      </c>
      <c r="I389" s="118">
        <v>28.8950805664063</v>
      </c>
      <c r="J389">
        <v>0.6</v>
      </c>
      <c r="K389">
        <v>9.6999999999999993</v>
      </c>
    </row>
    <row r="390" spans="1:11">
      <c r="A390" t="s">
        <v>347</v>
      </c>
      <c r="B390" s="112">
        <v>43336</v>
      </c>
      <c r="C390">
        <v>24</v>
      </c>
      <c r="D390">
        <v>8</v>
      </c>
      <c r="E390">
        <v>2018</v>
      </c>
      <c r="F390">
        <v>34</v>
      </c>
      <c r="G390">
        <v>236</v>
      </c>
      <c r="H390" s="118">
        <v>12.6364135742187</v>
      </c>
      <c r="I390" s="118">
        <v>21.3759155273438</v>
      </c>
      <c r="J390">
        <v>0.4</v>
      </c>
      <c r="K390">
        <v>4.5999999999999996</v>
      </c>
    </row>
    <row r="391" spans="1:11">
      <c r="A391" t="s">
        <v>347</v>
      </c>
      <c r="B391" s="112">
        <v>43337</v>
      </c>
      <c r="C391">
        <v>25</v>
      </c>
      <c r="D391">
        <v>8</v>
      </c>
      <c r="E391">
        <v>2018</v>
      </c>
      <c r="F391">
        <v>34</v>
      </c>
      <c r="G391">
        <v>237</v>
      </c>
      <c r="H391" s="118">
        <v>9.026611328125</v>
      </c>
      <c r="I391" s="118">
        <v>22.9814453125</v>
      </c>
      <c r="J391">
        <v>0</v>
      </c>
      <c r="K391">
        <v>9</v>
      </c>
    </row>
    <row r="392" spans="1:11">
      <c r="A392" t="s">
        <v>347</v>
      </c>
      <c r="B392" s="112">
        <v>43338</v>
      </c>
      <c r="C392">
        <v>26</v>
      </c>
      <c r="D392">
        <v>8</v>
      </c>
      <c r="E392">
        <v>2018</v>
      </c>
      <c r="F392">
        <v>35</v>
      </c>
      <c r="G392">
        <v>238</v>
      </c>
      <c r="H392" s="118">
        <v>6.3275146484375</v>
      </c>
      <c r="I392" s="118">
        <v>24.3179626464844</v>
      </c>
      <c r="J392">
        <v>0</v>
      </c>
      <c r="K392">
        <v>6.6</v>
      </c>
    </row>
    <row r="393" spans="1:11">
      <c r="A393" t="s">
        <v>347</v>
      </c>
      <c r="B393" s="112">
        <v>43339</v>
      </c>
      <c r="C393">
        <v>27</v>
      </c>
      <c r="D393">
        <v>8</v>
      </c>
      <c r="E393">
        <v>2018</v>
      </c>
      <c r="F393">
        <v>35</v>
      </c>
      <c r="G393">
        <v>239</v>
      </c>
      <c r="H393" s="118">
        <v>12.4416809082031</v>
      </c>
      <c r="I393" s="118">
        <v>25.095703125</v>
      </c>
      <c r="J393">
        <v>0.8</v>
      </c>
      <c r="K393">
        <v>5.7</v>
      </c>
    </row>
    <row r="394" spans="1:11">
      <c r="A394" t="s">
        <v>347</v>
      </c>
      <c r="B394" s="112">
        <v>43340</v>
      </c>
      <c r="C394">
        <v>28</v>
      </c>
      <c r="D394">
        <v>8</v>
      </c>
      <c r="E394">
        <v>2018</v>
      </c>
      <c r="F394">
        <v>35</v>
      </c>
      <c r="G394">
        <v>240</v>
      </c>
      <c r="H394" s="118">
        <v>9.9812927246093697</v>
      </c>
      <c r="I394" s="118">
        <v>28.8606567382812</v>
      </c>
      <c r="J394">
        <v>16.3</v>
      </c>
      <c r="K394">
        <v>12</v>
      </c>
    </row>
    <row r="395" spans="1:11">
      <c r="A395" t="s">
        <v>347</v>
      </c>
      <c r="B395" s="112">
        <v>43341</v>
      </c>
      <c r="C395">
        <v>29</v>
      </c>
      <c r="D395">
        <v>8</v>
      </c>
      <c r="E395">
        <v>2018</v>
      </c>
      <c r="F395">
        <v>35</v>
      </c>
      <c r="G395">
        <v>241</v>
      </c>
      <c r="H395" s="118">
        <v>14.1119384765625</v>
      </c>
      <c r="I395" s="118">
        <v>21.0263977050781</v>
      </c>
      <c r="J395">
        <v>7.4</v>
      </c>
      <c r="K395">
        <v>1.2</v>
      </c>
    </row>
    <row r="396" spans="1:11">
      <c r="A396" t="s">
        <v>347</v>
      </c>
      <c r="B396" s="112">
        <v>43342</v>
      </c>
      <c r="C396">
        <v>30</v>
      </c>
      <c r="D396">
        <v>8</v>
      </c>
      <c r="E396">
        <v>2018</v>
      </c>
      <c r="F396">
        <v>35</v>
      </c>
      <c r="G396">
        <v>242</v>
      </c>
      <c r="H396" s="118">
        <v>11.6758117675781</v>
      </c>
      <c r="I396" s="118">
        <v>23.1563415527344</v>
      </c>
      <c r="J396">
        <v>0</v>
      </c>
      <c r="K396">
        <v>0.6</v>
      </c>
    </row>
    <row r="397" spans="1:11">
      <c r="A397" t="s">
        <v>347</v>
      </c>
      <c r="B397" s="112">
        <v>43343</v>
      </c>
      <c r="C397">
        <v>31</v>
      </c>
      <c r="D397">
        <v>8</v>
      </c>
      <c r="E397">
        <v>2018</v>
      </c>
      <c r="F397">
        <v>35</v>
      </c>
      <c r="G397">
        <v>243</v>
      </c>
      <c r="H397" s="118">
        <v>11.9012451171875</v>
      </c>
      <c r="I397" s="118">
        <v>26.6074829101562</v>
      </c>
      <c r="J397">
        <v>0</v>
      </c>
      <c r="K397">
        <v>9.1</v>
      </c>
    </row>
  </sheetData>
  <hyperlinks>
    <hyperlink ref="J40" r:id="rId1" location="donneeincomplete" tooltip="Donnée incomplète" display="http://www.meteociel.fr/climatologie/villes.php?code=7143&amp;mois=9&amp;annee=2017 - donneeincomplete"/>
    <hyperlink ref="J41" r:id="rId2" location="donneeincomplete" tooltip="Donnée incomplète" display="http://www.meteociel.fr/climatologie/villes.php?code=7143&amp;mois=9&amp;annee=2017 - donneeincomplete"/>
    <hyperlink ref="J43" r:id="rId3" location="donneeincomplete" tooltip="Donnée incomplète" display="http://www.meteociel.fr/climatologie/villes.php?code=7143&amp;mois=9&amp;annee=2017 - donneeincomplete"/>
    <hyperlink ref="J47" r:id="rId4" location="donneeincomplete" tooltip="Donnée incomplète" display="http://www.meteociel.fr/climatologie/villes.php?code=7143&amp;mois=9&amp;annee=2017 - donneeincomplete"/>
    <hyperlink ref="J58" r:id="rId5" location="donneeincomplete" tooltip="Donnée incomplète" display="http://www.meteociel.fr/climatologie/villes.php?code=7143&amp;mois=9&amp;annee=2017 - donneeincomplete"/>
    <hyperlink ref="J61" r:id="rId6" location="donneeincomplete" tooltip="Donnée incomplète" display="http://www.meteociel.fr/climatologie/villes.php?code=7143&amp;mois=9&amp;annee=2017 - donneeincomplete"/>
    <hyperlink ref="J87" r:id="rId7" location="donneeincomplete" tooltip="Donnée incomplète" display="http://www.meteociel.fr/climatologie/villes.php?code=7143&amp;mois=10&amp;annee=2017 - donneeincomplete"/>
    <hyperlink ref="J141" r:id="rId8" location="donneeincomplete" tooltip="Donnée incomplète" display="donneeincomplete"/>
    <hyperlink ref="J311" r:id="rId9" location="donneeincomplete" tooltip="Donnée incomplète" display="http://www.meteociel.fr/climatologie/villes.php?code=7143&amp;mois=6&amp;annee=2018 - donneeincomplete"/>
    <hyperlink ref="J313" r:id="rId10" location="donneeincomplete" tooltip="Donnée incomplète" display="http://www.meteociel.fr/climatologie/villes.php?code=7143&amp;mois=6&amp;annee=2018 - donneeincomplete"/>
    <hyperlink ref="J316" r:id="rId11" location="donneeincomplete" tooltip="Donnée incomplète" display="http://www.meteociel.fr/climatologie/villes.php?code=7143&amp;mois=6&amp;annee=2018 - donneeincomplete"/>
    <hyperlink ref="J317" r:id="rId12" location="donneeincomplete" tooltip="Donnée incomplète" display="http://www.meteociel.fr/climatologie/villes.php?code=7143&amp;mois=6&amp;annee=2018 - donneeincomplete"/>
  </hyperlinks>
  <pageMargins left="0.7" right="0.7" top="0.75" bottom="0.75" header="0.3" footer="0.3"/>
  <pageSetup paperSize="9" orientation="portrait" r:id="rId1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selection activeCell="P23" sqref="P23:P24"/>
    </sheetView>
  </sheetViews>
  <sheetFormatPr baseColWidth="10" defaultRowHeight="15"/>
  <cols>
    <col min="1" max="1" width="11.42578125" customWidth="1"/>
    <col min="2" max="2" width="10.7109375" bestFit="1" customWidth="1"/>
    <col min="3" max="3" width="13" bestFit="1" customWidth="1"/>
    <col min="4" max="4" width="8.42578125" customWidth="1"/>
    <col min="5" max="5" width="7.7109375" customWidth="1"/>
    <col min="6" max="7" width="9.140625" customWidth="1"/>
    <col min="8" max="21" width="8.28515625" customWidth="1"/>
    <col min="22" max="22" width="42.42578125" customWidth="1"/>
  </cols>
  <sheetData>
    <row r="1" spans="1:24">
      <c r="A1" s="119" t="s">
        <v>350</v>
      </c>
      <c r="J1" s="120"/>
      <c r="T1" s="120"/>
      <c r="U1" s="121"/>
      <c r="V1" s="122"/>
    </row>
    <row r="2" spans="1:24">
      <c r="A2" s="119" t="s">
        <v>377</v>
      </c>
      <c r="J2" s="120"/>
      <c r="T2" s="120"/>
      <c r="U2" s="121"/>
      <c r="V2" s="122"/>
    </row>
    <row r="3" spans="1:24">
      <c r="A3" s="119" t="s">
        <v>378</v>
      </c>
      <c r="J3" s="120"/>
      <c r="T3" s="120"/>
      <c r="U3" s="121"/>
      <c r="V3" s="122"/>
    </row>
    <row r="4" spans="1:24">
      <c r="A4" s="119" t="s">
        <v>351</v>
      </c>
      <c r="H4" s="123" t="s">
        <v>352</v>
      </c>
      <c r="I4" s="123"/>
      <c r="J4" s="153" t="s">
        <v>353</v>
      </c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24" t="s">
        <v>354</v>
      </c>
      <c r="W4" s="125"/>
    </row>
    <row r="5" spans="1:24" ht="126.75" customHeight="1">
      <c r="A5" s="126" t="s">
        <v>355</v>
      </c>
      <c r="B5" s="126" t="s">
        <v>61</v>
      </c>
      <c r="C5" s="126" t="s">
        <v>65</v>
      </c>
      <c r="D5" s="126" t="s">
        <v>356</v>
      </c>
      <c r="E5" s="126" t="s">
        <v>357</v>
      </c>
      <c r="F5" s="126" t="s">
        <v>358</v>
      </c>
      <c r="G5" s="126" t="s">
        <v>359</v>
      </c>
      <c r="H5" s="127" t="s">
        <v>360</v>
      </c>
      <c r="I5" s="127" t="s">
        <v>361</v>
      </c>
      <c r="J5" s="128" t="s">
        <v>362</v>
      </c>
      <c r="K5" s="128" t="s">
        <v>363</v>
      </c>
      <c r="L5" s="128" t="s">
        <v>364</v>
      </c>
      <c r="M5" s="128" t="s">
        <v>365</v>
      </c>
      <c r="N5" s="128" t="s">
        <v>366</v>
      </c>
      <c r="O5" s="128" t="s">
        <v>367</v>
      </c>
      <c r="P5" s="128" t="s">
        <v>368</v>
      </c>
      <c r="Q5" s="129" t="s">
        <v>369</v>
      </c>
      <c r="R5" s="129" t="s">
        <v>370</v>
      </c>
      <c r="S5" s="129" t="s">
        <v>371</v>
      </c>
      <c r="T5" s="129" t="s">
        <v>372</v>
      </c>
      <c r="U5" s="130" t="s">
        <v>373</v>
      </c>
      <c r="V5" s="131" t="s">
        <v>374</v>
      </c>
      <c r="W5" s="132" t="s">
        <v>375</v>
      </c>
      <c r="X5" s="126" t="s">
        <v>8</v>
      </c>
    </row>
    <row r="6" spans="1:24" ht="14.25" customHeight="1">
      <c r="A6" s="114" t="s">
        <v>376</v>
      </c>
      <c r="B6" s="133">
        <v>43201</v>
      </c>
      <c r="C6" s="114" t="s">
        <v>139</v>
      </c>
      <c r="D6" s="134" t="s">
        <v>316</v>
      </c>
      <c r="E6" s="114" t="s">
        <v>136</v>
      </c>
      <c r="F6" s="114">
        <v>1</v>
      </c>
      <c r="G6" s="135"/>
      <c r="H6" s="136"/>
      <c r="I6" s="135">
        <v>6670</v>
      </c>
      <c r="J6" s="135"/>
      <c r="K6" s="137">
        <v>1334</v>
      </c>
      <c r="L6" s="135"/>
      <c r="M6" s="137">
        <v>1334</v>
      </c>
      <c r="N6" s="135"/>
      <c r="O6" s="13">
        <v>128</v>
      </c>
      <c r="P6" s="135"/>
      <c r="Q6" s="138">
        <v>4.1449999999999996</v>
      </c>
      <c r="R6" s="139">
        <f>(((((SUM(O6:P6))/(SUM(M6:N6))))*(I6+K6))/1000)*10000</f>
        <v>7680</v>
      </c>
      <c r="S6" s="139">
        <f>4.48*((R6/1000)^(-0.25))</f>
        <v>2.6911487838309252</v>
      </c>
      <c r="T6" s="139">
        <f>(Q6)/(S6)</f>
        <v>1.5402344251288391</v>
      </c>
      <c r="U6" s="137"/>
      <c r="V6" s="140"/>
      <c r="W6" s="139"/>
      <c r="X6" s="141"/>
    </row>
    <row r="7" spans="1:24" ht="14.25" customHeight="1">
      <c r="A7" s="114" t="s">
        <v>376</v>
      </c>
      <c r="B7" s="133">
        <v>43201</v>
      </c>
      <c r="C7" s="114" t="s">
        <v>140</v>
      </c>
      <c r="D7" s="134" t="s">
        <v>318</v>
      </c>
      <c r="E7" s="114" t="s">
        <v>136</v>
      </c>
      <c r="F7" s="114">
        <v>1</v>
      </c>
      <c r="G7" s="135"/>
      <c r="H7" s="136"/>
      <c r="I7" s="135">
        <v>3731</v>
      </c>
      <c r="J7" s="135"/>
      <c r="K7" s="137">
        <v>747</v>
      </c>
      <c r="L7" s="135"/>
      <c r="M7" s="137">
        <v>747</v>
      </c>
      <c r="N7" s="135"/>
      <c r="O7" s="13">
        <v>79</v>
      </c>
      <c r="P7" s="135"/>
      <c r="Q7" s="138">
        <v>2.9449999999999998</v>
      </c>
      <c r="R7" s="139">
        <f t="shared" ref="R7" si="0">(((((SUM(O7:P7))/(SUM(M7:N7))))*(I7+K7))/1000)*10000</f>
        <v>4735.7697456492633</v>
      </c>
      <c r="S7" s="139">
        <f t="shared" ref="S7" si="1">4.48*((R7/1000)^(-0.25))</f>
        <v>3.0368991451431762</v>
      </c>
      <c r="T7" s="139">
        <f t="shared" ref="T7" si="2">(Q7)/(S7)</f>
        <v>0.96973915143341261</v>
      </c>
      <c r="U7" s="137"/>
      <c r="V7" s="140"/>
      <c r="W7" s="139"/>
      <c r="X7" s="142"/>
    </row>
  </sheetData>
  <mergeCells count="1">
    <mergeCell ref="J4:U4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  <vt:lpstr>INN3 calcul</vt:lpstr>
    </vt:vector>
  </TitlesOfParts>
  <Company>INRA - RENNES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DDugue</cp:lastModifiedBy>
  <dcterms:created xsi:type="dcterms:W3CDTF">2018-02-01T08:48:39Z</dcterms:created>
  <dcterms:modified xsi:type="dcterms:W3CDTF">2018-10-24T08:58:19Z</dcterms:modified>
</cp:coreProperties>
</file>