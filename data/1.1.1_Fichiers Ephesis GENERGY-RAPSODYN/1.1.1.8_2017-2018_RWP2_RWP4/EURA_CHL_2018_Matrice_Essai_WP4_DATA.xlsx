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0" yWindow="0" windowWidth="19200" windowHeight="11445" activeTab="2"/>
  </bookViews>
  <sheets>
    <sheet name="READ_ME" sheetId="1" r:id="rId1"/>
    <sheet name="TRIAL" sheetId="2" r:id="rId2"/>
    <sheet name="Parcellaire_Data" sheetId="4" r:id="rId3"/>
    <sheet name="Plant_Material" sheetId="3" r:id="rId4"/>
    <sheet name="SOIL_DATA" sheetId="5" r:id="rId5"/>
    <sheet name="INN_DATA" sheetId="6" r:id="rId6"/>
    <sheet name="PHENO_DATA" sheetId="7" r:id="rId7"/>
    <sheet name="METEO_DATA" sheetId="8" r:id="rId8"/>
  </sheets>
  <calcPr calcId="145621"/>
</workbook>
</file>

<file path=xl/calcChain.xml><?xml version="1.0" encoding="utf-8"?>
<calcChain xmlns="http://schemas.openxmlformats.org/spreadsheetml/2006/main">
  <c r="P3" i="7" l="1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8" i="7"/>
  <c r="P19" i="7"/>
  <c r="P20" i="7"/>
  <c r="P21" i="7"/>
  <c r="P22" i="7"/>
  <c r="P23" i="7"/>
  <c r="P24" i="7"/>
  <c r="P25" i="7"/>
  <c r="P2" i="7"/>
  <c r="Y3" i="6"/>
  <c r="S4" i="6"/>
  <c r="T4" i="6" s="1"/>
  <c r="Y4" i="6" s="1"/>
  <c r="S3" i="6"/>
  <c r="T3" i="6" s="1"/>
  <c r="L4" i="6"/>
  <c r="L3" i="6"/>
  <c r="G3" i="2"/>
  <c r="N3" i="2"/>
  <c r="O3" i="2"/>
  <c r="O2" i="2"/>
  <c r="N2" i="2"/>
  <c r="G2" i="2"/>
</calcChain>
</file>

<file path=xl/comments1.xml><?xml version="1.0" encoding="utf-8"?>
<comments xmlns="http://schemas.openxmlformats.org/spreadsheetml/2006/main">
  <authors>
    <author>younous</author>
    <author>YOUNOUS</author>
  </authors>
  <commentList>
    <comment ref="H1" authorId="0">
      <text>
        <r>
          <rPr>
            <b/>
            <sz val="9"/>
            <color indexed="81"/>
            <rFont val="Tahoma"/>
            <family val="2"/>
          </rPr>
          <t xml:space="preserve">N + ou N - </t>
        </r>
      </text>
    </comment>
    <comment ref="M1" authorId="0">
      <text>
        <r>
          <rPr>
            <b/>
            <sz val="9"/>
            <color indexed="81"/>
            <rFont val="Tahoma"/>
            <family val="2"/>
          </rPr>
          <t>Témoin ou génotype</t>
        </r>
      </text>
    </comment>
    <comment ref="N1" authorId="0">
      <text>
        <r>
          <rPr>
            <b/>
            <sz val="9"/>
            <color indexed="81"/>
            <rFont val="Tahoma"/>
            <family val="2"/>
          </rPr>
          <t xml:space="preserve">taille de la parcelle récoltée
</t>
        </r>
      </text>
    </comment>
    <comment ref="P1" authorId="0">
      <text>
        <r>
          <rPr>
            <b/>
            <sz val="9"/>
            <color indexed="81"/>
            <rFont val="Tahoma"/>
            <family val="2"/>
          </rPr>
          <t xml:space="preserve">Rendement à 0% d'humidité)
</t>
        </r>
      </text>
    </comment>
    <comment ref="Q1" authorId="0">
      <text>
        <r>
          <rPr>
            <b/>
            <sz val="9"/>
            <color indexed="81"/>
            <rFont val="Tahoma"/>
            <family val="2"/>
          </rPr>
          <t>rendement aux normes (9%)</t>
        </r>
      </text>
    </comment>
    <comment ref="R1" authorId="0">
      <text>
        <r>
          <rPr>
            <b/>
            <sz val="9"/>
            <color indexed="81"/>
            <rFont val="Tahoma"/>
            <family val="2"/>
          </rPr>
          <t>Peuplement parcellaire</t>
        </r>
      </text>
    </comment>
    <comment ref="S1" authorId="0">
      <text>
        <r>
          <rPr>
            <b/>
            <sz val="9"/>
            <color indexed="81"/>
            <rFont val="Tahoma"/>
            <family val="2"/>
          </rPr>
          <t>Mesure de vigeur sortie hiver</t>
        </r>
      </text>
    </comment>
    <comment ref="T1" authorId="0">
      <text>
        <r>
          <rPr>
            <b/>
            <sz val="9"/>
            <color indexed="81"/>
            <rFont val="Tahoma"/>
            <family val="2"/>
          </rPr>
          <t>DTF en nombre de jour</t>
        </r>
      </text>
    </comment>
    <comment ref="U1" authorId="0">
      <text>
        <r>
          <rPr>
            <b/>
            <sz val="9"/>
            <color indexed="81"/>
            <rFont val="Tahoma"/>
            <family val="2"/>
          </rPr>
          <t>Hauteur Plante</t>
        </r>
      </text>
    </comment>
    <comment ref="V1" authorId="0">
      <text>
        <r>
          <rPr>
            <b/>
            <sz val="9"/>
            <color indexed="81"/>
            <rFont val="Tahoma"/>
            <family val="2"/>
          </rPr>
          <t>Fin Floraison</t>
        </r>
      </text>
    </comment>
    <comment ref="W1" authorId="0">
      <text>
        <r>
          <rPr>
            <b/>
            <sz val="9"/>
            <color indexed="81"/>
            <rFont val="Tahoma"/>
            <family val="2"/>
          </rPr>
          <t>Biomasse fraîche des grains récoltés</t>
        </r>
      </text>
    </comment>
    <comment ref="X1" authorId="0">
      <text>
        <r>
          <rPr>
            <b/>
            <sz val="9"/>
            <color indexed="81"/>
            <rFont val="Tahoma"/>
            <family val="2"/>
          </rPr>
          <t>teneur en eau du grain à la récolte</t>
        </r>
      </text>
    </comment>
    <comment ref="Y1" authorId="0">
      <text>
        <r>
          <rPr>
            <b/>
            <sz val="9"/>
            <color indexed="81"/>
            <rFont val="Tahoma"/>
            <family val="2"/>
          </rPr>
          <t>Teneur en huile des grains</t>
        </r>
      </text>
    </comment>
    <comment ref="Z1" authorId="0">
      <text>
        <r>
          <rPr>
            <b/>
            <sz val="9"/>
            <color indexed="81"/>
            <rFont val="Tahoma"/>
            <family val="2"/>
          </rPr>
          <t>Teneur en protéines des grains</t>
        </r>
      </text>
    </comment>
    <comment ref="AA1" authorId="0">
      <text>
        <r>
          <rPr>
            <b/>
            <sz val="9"/>
            <color indexed="81"/>
            <rFont val="Tahoma"/>
            <family val="2"/>
          </rPr>
          <t>Teneur en protéine de la graine deshuilée</t>
        </r>
      </text>
    </comment>
    <comment ref="AB1" authorId="0">
      <text>
        <r>
          <rPr>
            <b/>
            <sz val="9"/>
            <color indexed="81"/>
            <rFont val="Tahoma"/>
            <family val="2"/>
          </rPr>
          <t>Teneur en glucosinolate</t>
        </r>
      </text>
    </comment>
    <comment ref="AC1" authorId="0">
      <text>
        <r>
          <rPr>
            <sz val="9"/>
            <color indexed="81"/>
            <rFont val="Tahoma"/>
            <family val="2"/>
          </rPr>
          <t>Poids de 1000 grains</t>
        </r>
      </text>
    </comment>
    <comment ref="AD1" authorId="1">
      <text>
        <r>
          <rPr>
            <b/>
            <sz val="9"/>
            <color indexed="81"/>
            <rFont val="Tahoma"/>
            <family val="2"/>
          </rPr>
          <t xml:space="preserve">Additionnel =&gt; Validité estimé de la parcelle sortie hiver. 1=&gt; Valide , 2 douteux, 3 parcelle out
</t>
        </r>
      </text>
    </comment>
  </commentList>
</comments>
</file>

<file path=xl/sharedStrings.xml><?xml version="1.0" encoding="utf-8"?>
<sst xmlns="http://schemas.openxmlformats.org/spreadsheetml/2006/main" count="522" uniqueCount="225">
  <si>
    <t>READ ME</t>
  </si>
  <si>
    <t>AUTEUR</t>
  </si>
  <si>
    <t>NOM DU FICHIER</t>
  </si>
  <si>
    <t>DATE DE CREATION</t>
  </si>
  <si>
    <t>PROJET</t>
  </si>
  <si>
    <t>RAPSODYN</t>
  </si>
  <si>
    <t>VERSION</t>
  </si>
  <si>
    <t>Description</t>
  </si>
  <si>
    <t>Commentaire</t>
  </si>
  <si>
    <t>MODIFICATION</t>
  </si>
  <si>
    <t>CONTACT MAIL</t>
  </si>
  <si>
    <t>WORK_PACKAGE</t>
  </si>
  <si>
    <t>WP4</t>
  </si>
  <si>
    <t>TRIAL_NAME</t>
  </si>
  <si>
    <t>Date_Begin</t>
  </si>
  <si>
    <t>Date_End</t>
  </si>
  <si>
    <t>Trial_Comments</t>
  </si>
  <si>
    <t>TRIAL_BASIC_INFO</t>
  </si>
  <si>
    <t>TRIAL_LOCALISATION_INFO</t>
  </si>
  <si>
    <t>SITE_NAME</t>
  </si>
  <si>
    <t>Latitude</t>
  </si>
  <si>
    <t>Longitude</t>
  </si>
  <si>
    <t>TRIAL_ITK</t>
  </si>
  <si>
    <t>Contact_Name</t>
  </si>
  <si>
    <t>Contact_Phone</t>
  </si>
  <si>
    <t>Contact_email</t>
  </si>
  <si>
    <t>N1_Treatment</t>
  </si>
  <si>
    <t>N2_Treatment</t>
  </si>
  <si>
    <t>TRIAL_Design</t>
  </si>
  <si>
    <t>Sowing Date</t>
  </si>
  <si>
    <t>Fertilisation_Date_1</t>
  </si>
  <si>
    <t>Fertilisation_Date_2</t>
  </si>
  <si>
    <t>Fertilisation_Date_3</t>
  </si>
  <si>
    <t>Harvest</t>
  </si>
  <si>
    <t>Accession_Name</t>
  </si>
  <si>
    <t>CODE_RAPSO</t>
  </si>
  <si>
    <t>Intitulé</t>
  </si>
  <si>
    <t>Résultat [Sur brut] horizon 0-30cm</t>
  </si>
  <si>
    <t>Résultat [Sur brut] horizon 30-60cm</t>
  </si>
  <si>
    <t>Résultat [Sur brut] horizon  60-90cm</t>
  </si>
  <si>
    <t>Argile (&lt; 2 µm)</t>
  </si>
  <si>
    <t>Capacité d'Echange Cationique (méthode Metson) (CEC)</t>
  </si>
  <si>
    <t>Carbone organique</t>
  </si>
  <si>
    <t>Limons fins (2 à 20 µm)</t>
  </si>
  <si>
    <t>Limons grossiers (20 à 50 µm)</t>
  </si>
  <si>
    <t>Matières Organiques</t>
  </si>
  <si>
    <t>pH eau</t>
  </si>
  <si>
    <t>Sables fins (50 à 200 µm)</t>
  </si>
  <si>
    <t>Sables grossiers (200 à 2000 µm)</t>
  </si>
  <si>
    <t>Infos concernant la nature du sol, sa composition, sa profondeur…</t>
  </si>
  <si>
    <t>Préciser Unité</t>
  </si>
  <si>
    <t>AUTRES INFORMATIONS</t>
  </si>
  <si>
    <t>Profondeur du sol</t>
  </si>
  <si>
    <t>Réserve Utile</t>
  </si>
  <si>
    <t>Densité apparente</t>
  </si>
  <si>
    <t>Data</t>
  </si>
  <si>
    <t>4/5</t>
  </si>
  <si>
    <t>1/5</t>
  </si>
  <si>
    <t>Total</t>
  </si>
  <si>
    <t>N % DUMAS Spécial Ferti</t>
  </si>
  <si>
    <t>Manip</t>
  </si>
  <si>
    <t>Date</t>
  </si>
  <si>
    <t>Y</t>
  </si>
  <si>
    <t>X</t>
  </si>
  <si>
    <t>Modalite</t>
  </si>
  <si>
    <t>Genotype</t>
  </si>
  <si>
    <t>Stade</t>
  </si>
  <si>
    <t>Nbr</t>
  </si>
  <si>
    <t>MF Feuilles (g)</t>
  </si>
  <si>
    <t>MF Tige (g)</t>
  </si>
  <si>
    <t>% Humidité</t>
  </si>
  <si>
    <t>MF Aér</t>
  </si>
  <si>
    <t>MS Feuilles (g)</t>
  </si>
  <si>
    <t>MS Tige (g)</t>
  </si>
  <si>
    <t>MS Aér (g)</t>
  </si>
  <si>
    <t>MS Totale (t)</t>
  </si>
  <si>
    <t>%N critique</t>
  </si>
  <si>
    <t>Feuilles</t>
  </si>
  <si>
    <t>Tiges</t>
  </si>
  <si>
    <t>Qté N Total</t>
  </si>
  <si>
    <t>% Azote MS (1/5)</t>
  </si>
  <si>
    <t>INN</t>
  </si>
  <si>
    <t>De "Parcelle" à "Genotype" = données générales sur l'essai</t>
  </si>
  <si>
    <r>
      <rPr>
        <b/>
        <sz val="10"/>
        <rFont val="Arial"/>
        <family val="2"/>
      </rPr>
      <t>Manip</t>
    </r>
    <r>
      <rPr>
        <sz val="10"/>
        <rFont val="Arial"/>
        <family val="2"/>
      </rPr>
      <t xml:space="preserve"> = quelle INN</t>
    </r>
  </si>
  <si>
    <r>
      <rPr>
        <b/>
        <sz val="10"/>
        <rFont val="Arial"/>
        <family val="2"/>
      </rPr>
      <t>Date</t>
    </r>
    <r>
      <rPr>
        <sz val="10"/>
        <rFont val="Arial"/>
        <family val="2"/>
      </rPr>
      <t xml:space="preserve"> = date de prélèvement</t>
    </r>
  </si>
  <si>
    <r>
      <rPr>
        <b/>
        <sz val="10"/>
        <rFont val="Arial"/>
        <family val="2"/>
      </rPr>
      <t>Stade</t>
    </r>
    <r>
      <rPr>
        <sz val="10"/>
        <rFont val="Arial"/>
        <family val="2"/>
      </rPr>
      <t xml:space="preserve"> = stade moyen de la parcelle</t>
    </r>
  </si>
  <si>
    <t>Deux échantillons différents sont identifiés : 1/5 des plantes et 4/5 des plantes</t>
  </si>
  <si>
    <t xml:space="preserve">A partir des INN3, une distinction est faite entre les feuilles et le tiges pour les pesées </t>
  </si>
  <si>
    <t>et les analyses par SAS pour l'échantillon 1/5</t>
  </si>
  <si>
    <r>
      <rPr>
        <b/>
        <sz val="10"/>
        <rFont val="Arial"/>
        <family val="2"/>
      </rPr>
      <t>Nbr</t>
    </r>
    <r>
      <rPr>
        <sz val="10"/>
        <rFont val="Arial"/>
        <family val="2"/>
      </rPr>
      <t xml:space="preserve"> = nombre de plantes du prélèvement</t>
    </r>
  </si>
  <si>
    <r>
      <rPr>
        <b/>
        <sz val="10"/>
        <rFont val="Arial"/>
        <family val="2"/>
      </rPr>
      <t>MF</t>
    </r>
    <r>
      <rPr>
        <sz val="10"/>
        <rFont val="Arial"/>
        <family val="2"/>
      </rPr>
      <t xml:space="preserve"> = matière fraiche du prélèvement en grammes</t>
    </r>
  </si>
  <si>
    <r>
      <rPr>
        <b/>
        <sz val="10"/>
        <rFont val="Arial"/>
        <family val="2"/>
      </rPr>
      <t>MS</t>
    </r>
    <r>
      <rPr>
        <sz val="10"/>
        <rFont val="Arial"/>
        <family val="2"/>
      </rPr>
      <t xml:space="preserve"> = matière séche du prélèvement en grammes</t>
    </r>
  </si>
  <si>
    <r>
      <rPr>
        <b/>
        <sz val="10"/>
        <rFont val="Arial"/>
        <family val="2"/>
      </rPr>
      <t>N % DUMAS Spérial Ferti</t>
    </r>
    <r>
      <rPr>
        <sz val="10"/>
        <rFont val="Arial"/>
        <family val="2"/>
      </rPr>
      <t xml:space="preserve"> = pourcentage d'azote dans la plante (résultat laboratoire)</t>
    </r>
  </si>
  <si>
    <r>
      <rPr>
        <b/>
        <sz val="10"/>
        <rFont val="Arial"/>
        <family val="2"/>
      </rPr>
      <t>INN</t>
    </r>
    <r>
      <rPr>
        <sz val="10"/>
        <rFont val="Arial"/>
        <family val="2"/>
      </rPr>
      <t xml:space="preserve"> = (Qté N tot / MS (1/5) (g)) / %Ncritique</t>
    </r>
  </si>
  <si>
    <t>A AJOUTER EN COMPLEMENT D'INFORMATION</t>
  </si>
  <si>
    <t>Texture</t>
  </si>
  <si>
    <t>Annee</t>
  </si>
  <si>
    <t>Partenaire</t>
  </si>
  <si>
    <t>Lieu</t>
  </si>
  <si>
    <t>Jour_semis</t>
  </si>
  <si>
    <t>Jour_levee</t>
  </si>
  <si>
    <t>Jour_recolte</t>
  </si>
  <si>
    <t>YYXXX</t>
  </si>
  <si>
    <t>Code_RAPSO</t>
  </si>
  <si>
    <t>Statut</t>
  </si>
  <si>
    <t>Plot Size </t>
  </si>
  <si>
    <t>Objectif rendement</t>
  </si>
  <si>
    <t>Relicat post récolte</t>
  </si>
  <si>
    <t>besoins culture (7)</t>
  </si>
  <si>
    <t>Relicat sortie hiver</t>
  </si>
  <si>
    <t>Effet du précédent</t>
  </si>
  <si>
    <t>Azote absorbé hiver</t>
  </si>
  <si>
    <t>Mineralisation nette sortie hiver</t>
  </si>
  <si>
    <t>Utilisation engrais organiques</t>
  </si>
  <si>
    <t>Effet Prairie</t>
  </si>
  <si>
    <t>Fourniture du sol - Kg/Ha</t>
  </si>
  <si>
    <t>Apport necessaire théorique</t>
  </si>
  <si>
    <t>quantité N apporté</t>
  </si>
  <si>
    <t>SY</t>
  </si>
  <si>
    <t>VIGH</t>
  </si>
  <si>
    <t>End of flowering time (BBCH 69)</t>
  </si>
  <si>
    <t>SdMoist</t>
  </si>
  <si>
    <t>SdProt</t>
  </si>
  <si>
    <t>PNRD</t>
  </si>
  <si>
    <t>SdGLS</t>
  </si>
  <si>
    <t>TSW</t>
  </si>
  <si>
    <t>Répétition</t>
  </si>
  <si>
    <t>N° Entrée</t>
  </si>
  <si>
    <t>Numéro de lot</t>
  </si>
  <si>
    <t>INN 3</t>
  </si>
  <si>
    <t>Plantdens</t>
  </si>
  <si>
    <t>F1/FLO</t>
  </si>
  <si>
    <t>Plantsize</t>
  </si>
  <si>
    <t>PGF</t>
  </si>
  <si>
    <t>OIL</t>
  </si>
  <si>
    <r>
      <t xml:space="preserve">SY </t>
    </r>
    <r>
      <rPr>
        <b/>
        <vertAlign val="subscript"/>
        <sz val="10"/>
        <color indexed="10"/>
        <rFont val="Calibri"/>
        <family val="2"/>
      </rPr>
      <t xml:space="preserve">9%_ </t>
    </r>
  </si>
  <si>
    <t>Bilan</t>
  </si>
  <si>
    <t>N+</t>
  </si>
  <si>
    <t>N-</t>
  </si>
  <si>
    <t>Johanna Younous</t>
  </si>
  <si>
    <t>johanna.younous@euralis.com</t>
  </si>
  <si>
    <t>CHL</t>
  </si>
  <si>
    <t>VATRY</t>
  </si>
  <si>
    <t>ANNEE : 18</t>
  </si>
  <si>
    <t>LIEU : CHL</t>
  </si>
  <si>
    <t>N- uniquement</t>
  </si>
  <si>
    <t>PROTOCOLE : MN01</t>
  </si>
  <si>
    <t/>
  </si>
  <si>
    <t>X-&gt;</t>
  </si>
  <si>
    <t>Montego</t>
  </si>
  <si>
    <t>Aviso</t>
  </si>
  <si>
    <t>RAPSO_325</t>
  </si>
  <si>
    <t>RAPSO_316</t>
  </si>
  <si>
    <t>RAPSO_315</t>
  </si>
  <si>
    <t>RAPSO_312</t>
  </si>
  <si>
    <t>RAPSO_472</t>
  </si>
  <si>
    <t>RAPSO_330</t>
  </si>
  <si>
    <t>RAPSO_318</t>
  </si>
  <si>
    <t>RAPSO_305</t>
  </si>
  <si>
    <t>RAPSO_294</t>
  </si>
  <si>
    <t>RAPSO_302</t>
  </si>
  <si>
    <t>calcaire total</t>
  </si>
  <si>
    <t>772.4 g/kg</t>
  </si>
  <si>
    <t xml:space="preserve">horizon 0 -30 </t>
  </si>
  <si>
    <t>Horizon 30-60</t>
  </si>
  <si>
    <t>839.5 g/kg</t>
  </si>
  <si>
    <t>g/kg</t>
  </si>
  <si>
    <t>meq/100g</t>
  </si>
  <si>
    <t>unité</t>
  </si>
  <si>
    <t>0682239380</t>
  </si>
  <si>
    <t>INN3</t>
  </si>
  <si>
    <t>01016</t>
  </si>
  <si>
    <t>02035</t>
  </si>
  <si>
    <t>03022</t>
  </si>
  <si>
    <t>02</t>
  </si>
  <si>
    <t>035</t>
  </si>
  <si>
    <t>03</t>
  </si>
  <si>
    <t>022</t>
  </si>
  <si>
    <t>MONTEGO</t>
  </si>
  <si>
    <t>AVISO</t>
  </si>
  <si>
    <t>F1</t>
  </si>
  <si>
    <t>VAL1</t>
  </si>
  <si>
    <t>01024</t>
  </si>
  <si>
    <t>1</t>
  </si>
  <si>
    <t>T</t>
  </si>
  <si>
    <t>X16T09MB</t>
  </si>
  <si>
    <t>3</t>
  </si>
  <si>
    <t>01012</t>
  </si>
  <si>
    <t>X14T24MB</t>
  </si>
  <si>
    <t>01028</t>
  </si>
  <si>
    <t>01008</t>
  </si>
  <si>
    <t>R17L0054</t>
  </si>
  <si>
    <t>01036</t>
  </si>
  <si>
    <t>01032</t>
  </si>
  <si>
    <t>R17L0055</t>
  </si>
  <si>
    <t>R17L0073</t>
  </si>
  <si>
    <t>02029</t>
  </si>
  <si>
    <t>2</t>
  </si>
  <si>
    <t>R17L0048</t>
  </si>
  <si>
    <t>02003</t>
  </si>
  <si>
    <t>R17L0050</t>
  </si>
  <si>
    <t>02025</t>
  </si>
  <si>
    <t>02027</t>
  </si>
  <si>
    <t>R17L0051</t>
  </si>
  <si>
    <t>02011</t>
  </si>
  <si>
    <t>R17L0052</t>
  </si>
  <si>
    <t>02005</t>
  </si>
  <si>
    <t>R17L0072</t>
  </si>
  <si>
    <t>03010</t>
  </si>
  <si>
    <t>03002</t>
  </si>
  <si>
    <t>R17L0053</t>
  </si>
  <si>
    <t>03038</t>
  </si>
  <si>
    <t>03006</t>
  </si>
  <si>
    <t>04021</t>
  </si>
  <si>
    <t>04016</t>
  </si>
  <si>
    <t>R17L0049</t>
  </si>
  <si>
    <t>04028</t>
  </si>
  <si>
    <t>04012</t>
  </si>
  <si>
    <t>04041</t>
  </si>
  <si>
    <t>EUR</t>
  </si>
  <si>
    <t>plot out</t>
  </si>
  <si>
    <t>yield lost at harvest</t>
  </si>
  <si>
    <t>2B</t>
  </si>
  <si>
    <t>johanna.younou@euralis.com</t>
  </si>
  <si>
    <t>horizon inaccessible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</si>
</sst>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-* #,##0.00\ _€_-;\-* #,##0.00\ _€_-;_-* &quot;-&quot;??\ _€_-;_-@_-"/>
    <numFmt numFmtId="164" formatCode="0.0000"/>
    <numFmt numFmtId="165" formatCode="_(\$* #,##0.00_);_(\$* \(#,##0.00\);_(\$* \-??_);_(@_)"/>
    <numFmt numFmtId="166" formatCode="00"/>
    <numFmt numFmtId="167" formatCode="000"/>
    <numFmt numFmtId="168" formatCode=".00"/>
    <numFmt numFmtId="169" formatCode=".0"/>
  </numFmts>
  <fonts count="6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9"/>
      <color rgb="FF66669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9"/>
      <name val="Geneva"/>
      <family val="2"/>
    </font>
    <font>
      <b/>
      <sz val="12"/>
      <name val="Geneva"/>
    </font>
    <font>
      <sz val="9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17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sz val="11"/>
      <name val="Calibri"/>
      <family val="2"/>
    </font>
    <font>
      <sz val="10"/>
      <name val="Tahoma"/>
      <family val="2"/>
    </font>
    <font>
      <sz val="11"/>
      <color theme="1"/>
      <name val="Calibri"/>
      <family val="2"/>
    </font>
    <font>
      <sz val="11"/>
      <color indexed="20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sz val="10"/>
      <name val="Arial"/>
      <family val="2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vertAlign val="subscript"/>
      <sz val="10"/>
      <color indexed="10"/>
      <name val="Calibri"/>
      <family val="2"/>
    </font>
    <font>
      <b/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7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00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8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rgb="FF000000"/>
      </left>
      <right style="thick">
        <color indexed="64"/>
      </right>
      <top style="thick">
        <color indexed="64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rgb="FF000000"/>
      </left>
      <right style="thick">
        <color indexed="64"/>
      </right>
      <top style="thin">
        <color rgb="FF000000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 style="hair">
        <color indexed="64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160">
    <xf numFmtId="0" fontId="0" fillId="0" borderId="0"/>
    <xf numFmtId="0" fontId="1" fillId="0" borderId="0"/>
    <xf numFmtId="0" fontId="11" fillId="0" borderId="0"/>
    <xf numFmtId="0" fontId="13" fillId="0" borderId="0"/>
    <xf numFmtId="43" fontId="1" fillId="0" borderId="0" applyFont="0" applyFill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31" fillId="44" borderId="0" applyNumberFormat="0" applyBorder="0" applyAlignment="0" applyProtection="0"/>
    <xf numFmtId="0" fontId="31" fillId="45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49" borderId="0" applyNumberFormat="0" applyBorder="0" applyAlignment="0" applyProtection="0"/>
    <xf numFmtId="0" fontId="31" fillId="44" borderId="0" applyNumberFormat="0" applyBorder="0" applyAlignment="0" applyProtection="0"/>
    <xf numFmtId="0" fontId="31" fillId="45" borderId="0" applyNumberFormat="0" applyBorder="0" applyAlignment="0" applyProtection="0"/>
    <xf numFmtId="0" fontId="31" fillId="46" borderId="0" applyNumberFormat="0" applyBorder="0" applyAlignment="0" applyProtection="0"/>
    <xf numFmtId="0" fontId="31" fillId="47" borderId="0" applyNumberFormat="0" applyBorder="0" applyAlignment="0" applyProtection="0"/>
    <xf numFmtId="0" fontId="31" fillId="48" borderId="0" applyNumberFormat="0" applyBorder="0" applyAlignment="0" applyProtection="0"/>
    <xf numFmtId="0" fontId="31" fillId="49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41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52" borderId="0" applyNumberFormat="0" applyBorder="0" applyAlignment="0" applyProtection="0"/>
    <xf numFmtId="0" fontId="31" fillId="47" borderId="0" applyNumberFormat="0" applyBorder="0" applyAlignment="0" applyProtection="0"/>
    <xf numFmtId="0" fontId="31" fillId="50" borderId="0" applyNumberFormat="0" applyBorder="0" applyAlignment="0" applyProtection="0"/>
    <xf numFmtId="0" fontId="31" fillId="53" borderId="0" applyNumberFormat="0" applyBorder="0" applyAlignment="0" applyProtection="0"/>
    <xf numFmtId="0" fontId="31" fillId="50" borderId="0" applyNumberFormat="0" applyBorder="0" applyAlignment="0" applyProtection="0"/>
    <xf numFmtId="0" fontId="31" fillId="51" borderId="0" applyNumberFormat="0" applyBorder="0" applyAlignment="0" applyProtection="0"/>
    <xf numFmtId="0" fontId="31" fillId="52" borderId="0" applyNumberFormat="0" applyBorder="0" applyAlignment="0" applyProtection="0"/>
    <xf numFmtId="0" fontId="31" fillId="47" borderId="0" applyNumberFormat="0" applyBorder="0" applyAlignment="0" applyProtection="0"/>
    <xf numFmtId="0" fontId="31" fillId="50" borderId="0" applyNumberFormat="0" applyBorder="0" applyAlignment="0" applyProtection="0"/>
    <xf numFmtId="0" fontId="31" fillId="53" borderId="0" applyNumberFormat="0" applyBorder="0" applyAlignment="0" applyProtection="0"/>
    <xf numFmtId="0" fontId="30" fillId="22" borderId="0" applyNumberFormat="0" applyBorder="0" applyAlignment="0" applyProtection="0"/>
    <xf numFmtId="0" fontId="30" fillId="26" borderId="0" applyNumberFormat="0" applyBorder="0" applyAlignment="0" applyProtection="0"/>
    <xf numFmtId="0" fontId="30" fillId="30" borderId="0" applyNumberFormat="0" applyBorder="0" applyAlignment="0" applyProtection="0"/>
    <xf numFmtId="0" fontId="30" fillId="34" borderId="0" applyNumberFormat="0" applyBorder="0" applyAlignment="0" applyProtection="0"/>
    <xf numFmtId="0" fontId="30" fillId="38" borderId="0" applyNumberFormat="0" applyBorder="0" applyAlignment="0" applyProtection="0"/>
    <xf numFmtId="0" fontId="30" fillId="42" borderId="0" applyNumberFormat="0" applyBorder="0" applyAlignment="0" applyProtection="0"/>
    <xf numFmtId="0" fontId="32" fillId="54" borderId="0" applyNumberFormat="0" applyBorder="0" applyAlignment="0" applyProtection="0"/>
    <xf numFmtId="0" fontId="32" fillId="51" borderId="0" applyNumberFormat="0" applyBorder="0" applyAlignment="0" applyProtection="0"/>
    <xf numFmtId="0" fontId="32" fillId="52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57" borderId="0" applyNumberFormat="0" applyBorder="0" applyAlignment="0" applyProtection="0"/>
    <xf numFmtId="0" fontId="32" fillId="54" borderId="0" applyNumberFormat="0" applyBorder="0" applyAlignment="0" applyProtection="0"/>
    <xf numFmtId="0" fontId="32" fillId="51" borderId="0" applyNumberFormat="0" applyBorder="0" applyAlignment="0" applyProtection="0"/>
    <xf numFmtId="0" fontId="32" fillId="52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57" borderId="0" applyNumberFormat="0" applyBorder="0" applyAlignment="0" applyProtection="0"/>
    <xf numFmtId="0" fontId="30" fillId="19" borderId="0" applyNumberFormat="0" applyBorder="0" applyAlignment="0" applyProtection="0"/>
    <xf numFmtId="0" fontId="30" fillId="23" borderId="0" applyNumberFormat="0" applyBorder="0" applyAlignment="0" applyProtection="0"/>
    <xf numFmtId="0" fontId="30" fillId="27" borderId="0" applyNumberFormat="0" applyBorder="0" applyAlignment="0" applyProtection="0"/>
    <xf numFmtId="0" fontId="30" fillId="31" borderId="0" applyNumberFormat="0" applyBorder="0" applyAlignment="0" applyProtection="0"/>
    <xf numFmtId="0" fontId="30" fillId="35" borderId="0" applyNumberFormat="0" applyBorder="0" applyAlignment="0" applyProtection="0"/>
    <xf numFmtId="0" fontId="30" fillId="39" borderId="0" applyNumberFormat="0" applyBorder="0" applyAlignment="0" applyProtection="0"/>
    <xf numFmtId="0" fontId="32" fillId="58" borderId="0" applyNumberFormat="0" applyBorder="0" applyAlignment="0" applyProtection="0"/>
    <xf numFmtId="0" fontId="32" fillId="59" borderId="0" applyNumberFormat="0" applyBorder="0" applyAlignment="0" applyProtection="0"/>
    <xf numFmtId="0" fontId="32" fillId="60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61" borderId="0" applyNumberFormat="0" applyBorder="0" applyAlignment="0" applyProtection="0"/>
    <xf numFmtId="0" fontId="32" fillId="58" borderId="0" applyNumberFormat="0" applyBorder="0" applyAlignment="0" applyProtection="0"/>
    <xf numFmtId="0" fontId="32" fillId="59" borderId="0" applyNumberFormat="0" applyBorder="0" applyAlignment="0" applyProtection="0"/>
    <xf numFmtId="0" fontId="32" fillId="60" borderId="0" applyNumberFormat="0" applyBorder="0" applyAlignment="0" applyProtection="0"/>
    <xf numFmtId="0" fontId="32" fillId="55" borderId="0" applyNumberFormat="0" applyBorder="0" applyAlignment="0" applyProtection="0"/>
    <xf numFmtId="0" fontId="32" fillId="56" borderId="0" applyNumberFormat="0" applyBorder="0" applyAlignment="0" applyProtection="0"/>
    <xf numFmtId="0" fontId="32" fillId="61" borderId="0" applyNumberFormat="0" applyBorder="0" applyAlignment="0" applyProtection="0"/>
    <xf numFmtId="0" fontId="33" fillId="62" borderId="64" applyNumberFormat="0" applyAlignment="0" applyProtection="0"/>
    <xf numFmtId="0" fontId="33" fillId="62" borderId="64" applyNumberFormat="0" applyAlignment="0" applyProtection="0"/>
    <xf numFmtId="0" fontId="28" fillId="0" borderId="0" applyNumberFormat="0" applyFill="0" applyBorder="0" applyAlignment="0" applyProtection="0"/>
    <xf numFmtId="0" fontId="34" fillId="62" borderId="65" applyNumberFormat="0" applyAlignment="0" applyProtection="0"/>
    <xf numFmtId="0" fontId="34" fillId="62" borderId="65" applyNumberFormat="0" applyAlignment="0" applyProtection="0"/>
    <xf numFmtId="0" fontId="25" fillId="16" borderId="58" applyNumberFormat="0" applyAlignment="0" applyProtection="0"/>
    <xf numFmtId="0" fontId="26" fillId="0" borderId="60" applyNumberFormat="0" applyFill="0" applyAlignment="0" applyProtection="0"/>
    <xf numFmtId="0" fontId="31" fillId="18" borderId="62" applyNumberFormat="0" applyFont="0" applyAlignment="0" applyProtection="0"/>
    <xf numFmtId="165" fontId="31" fillId="0" borderId="0" applyFill="0" applyBorder="0" applyAlignment="0" applyProtection="0"/>
    <xf numFmtId="0" fontId="35" fillId="49" borderId="65" applyNumberFormat="0" applyAlignment="0" applyProtection="0"/>
    <xf numFmtId="0" fontId="35" fillId="49" borderId="65" applyNumberFormat="0" applyAlignment="0" applyProtection="0"/>
    <xf numFmtId="0" fontId="33" fillId="62" borderId="64" applyNumberFormat="0" applyAlignment="0" applyProtection="0"/>
    <xf numFmtId="0" fontId="33" fillId="62" borderId="64" applyNumberFormat="0" applyAlignment="0" applyProtection="0"/>
    <xf numFmtId="0" fontId="36" fillId="46" borderId="0" applyNumberFormat="0" applyBorder="0" applyAlignment="0" applyProtection="0"/>
    <xf numFmtId="0" fontId="35" fillId="49" borderId="65" applyNumberFormat="0" applyAlignment="0" applyProtection="0"/>
    <xf numFmtId="0" fontId="35" fillId="49" borderId="65" applyNumberFormat="0" applyAlignment="0" applyProtection="0"/>
    <xf numFmtId="0" fontId="23" fillId="15" borderId="58" applyNumberFormat="0" applyAlignment="0" applyProtection="0"/>
    <xf numFmtId="0" fontId="37" fillId="0" borderId="66" applyNumberFormat="0" applyFill="0" applyAlignment="0" applyProtection="0"/>
    <xf numFmtId="0" fontId="37" fillId="0" borderId="66" applyNumberFormat="0" applyFill="0" applyAlignment="0" applyProtection="0"/>
    <xf numFmtId="0" fontId="38" fillId="0" borderId="0" applyNumberFormat="0" applyFill="0" applyBorder="0" applyAlignment="0" applyProtection="0"/>
    <xf numFmtId="0" fontId="36" fillId="46" borderId="0" applyNumberFormat="0" applyBorder="0" applyAlignment="0" applyProtection="0"/>
    <xf numFmtId="0" fontId="21" fillId="13" borderId="0" applyNumberFormat="0" applyBorder="0" applyAlignment="0" applyProtection="0"/>
    <xf numFmtId="0" fontId="39" fillId="0" borderId="67" applyNumberFormat="0" applyFill="0" applyAlignment="0" applyProtection="0"/>
    <xf numFmtId="0" fontId="40" fillId="63" borderId="68" applyNumberFormat="0" applyAlignment="0" applyProtection="0"/>
    <xf numFmtId="0" fontId="11" fillId="0" borderId="0"/>
    <xf numFmtId="0" fontId="11" fillId="0" borderId="0"/>
    <xf numFmtId="0" fontId="41" fillId="0" borderId="69" applyNumberFormat="0" applyFill="0" applyAlignment="0" applyProtection="0"/>
    <xf numFmtId="0" fontId="42" fillId="0" borderId="70" applyNumberFormat="0" applyFill="0" applyAlignment="0" applyProtection="0"/>
    <xf numFmtId="0" fontId="43" fillId="0" borderId="71" applyNumberFormat="0" applyFill="0" applyAlignment="0" applyProtection="0"/>
    <xf numFmtId="0" fontId="43" fillId="0" borderId="0" applyNumberFormat="0" applyFill="0" applyBorder="0" applyAlignment="0" applyProtection="0"/>
    <xf numFmtId="0" fontId="44" fillId="64" borderId="0" applyNumberFormat="0" applyBorder="0" applyAlignment="0" applyProtection="0"/>
    <xf numFmtId="0" fontId="44" fillId="64" borderId="0" applyNumberFormat="0" applyBorder="0" applyAlignment="0" applyProtection="0"/>
    <xf numFmtId="0" fontId="22" fillId="14" borderId="0" applyNumberFormat="0" applyBorder="0" applyAlignment="0" applyProtection="0"/>
    <xf numFmtId="0" fontId="1" fillId="0" borderId="0"/>
    <xf numFmtId="0" fontId="11" fillId="0" borderId="0"/>
    <xf numFmtId="0" fontId="45" fillId="0" borderId="0"/>
    <xf numFmtId="0" fontId="45" fillId="0" borderId="0"/>
    <xf numFmtId="0" fontId="46" fillId="0" borderId="0"/>
    <xf numFmtId="0" fontId="11" fillId="0" borderId="0"/>
    <xf numFmtId="0" fontId="47" fillId="0" borderId="0"/>
    <xf numFmtId="0" fontId="11" fillId="0" borderId="0"/>
    <xf numFmtId="0" fontId="46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1" fillId="65" borderId="72" applyNumberFormat="0" applyFont="0" applyAlignment="0" applyProtection="0"/>
    <xf numFmtId="0" fontId="31" fillId="65" borderId="72" applyNumberFormat="0" applyFont="0" applyAlignment="0" applyProtection="0"/>
    <xf numFmtId="0" fontId="34" fillId="62" borderId="65" applyNumberFormat="0" applyAlignment="0" applyProtection="0"/>
    <xf numFmtId="0" fontId="34" fillId="62" borderId="65" applyNumberFormat="0" applyAlignment="0" applyProtection="0"/>
    <xf numFmtId="0" fontId="20" fillId="12" borderId="0" applyNumberFormat="0" applyBorder="0" applyAlignment="0" applyProtection="0"/>
    <xf numFmtId="0" fontId="48" fillId="45" borderId="0" applyNumberFormat="0" applyBorder="0" applyAlignment="0" applyProtection="0"/>
    <xf numFmtId="0" fontId="24" fillId="16" borderId="59" applyNumberFormat="0" applyAlignment="0" applyProtection="0"/>
    <xf numFmtId="0" fontId="37" fillId="0" borderId="66" applyNumberFormat="0" applyFill="0" applyAlignment="0" applyProtection="0"/>
    <xf numFmtId="0" fontId="37" fillId="0" borderId="66" applyNumberFormat="0" applyFill="0" applyAlignment="0" applyProtection="0"/>
    <xf numFmtId="0" fontId="3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55" applyNumberFormat="0" applyFill="0" applyAlignment="0" applyProtection="0"/>
    <xf numFmtId="0" fontId="18" fillId="0" borderId="56" applyNumberFormat="0" applyFill="0" applyAlignment="0" applyProtection="0"/>
    <xf numFmtId="0" fontId="19" fillId="0" borderId="57" applyNumberFormat="0" applyFill="0" applyAlignment="0" applyProtection="0"/>
    <xf numFmtId="0" fontId="19" fillId="0" borderId="0" applyNumberFormat="0" applyFill="0" applyBorder="0" applyAlignment="0" applyProtection="0"/>
    <xf numFmtId="0" fontId="2" fillId="0" borderId="63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41" fillId="0" borderId="69" applyNumberFormat="0" applyFill="0" applyAlignment="0" applyProtection="0"/>
    <xf numFmtId="0" fontId="42" fillId="0" borderId="70" applyNumberFormat="0" applyFill="0" applyAlignment="0" applyProtection="0"/>
    <xf numFmtId="0" fontId="43" fillId="0" borderId="71" applyNumberFormat="0" applyFill="0" applyAlignment="0" applyProtection="0"/>
    <xf numFmtId="0" fontId="43" fillId="0" borderId="0" applyNumberFormat="0" applyFill="0" applyBorder="0" applyAlignment="0" applyProtection="0"/>
    <xf numFmtId="0" fontId="31" fillId="65" borderId="72" applyNumberFormat="0" applyFont="0" applyAlignment="0" applyProtection="0"/>
    <xf numFmtId="0" fontId="31" fillId="65" borderId="72" applyNumberFormat="0" applyFont="0" applyAlignment="0" applyProtection="0"/>
    <xf numFmtId="0" fontId="27" fillId="17" borderId="61" applyNumberFormat="0" applyAlignment="0" applyProtection="0"/>
    <xf numFmtId="0" fontId="39" fillId="0" borderId="67" applyNumberFormat="0" applyFill="0" applyAlignment="0" applyProtection="0"/>
    <xf numFmtId="0" fontId="49" fillId="0" borderId="0" applyNumberFormat="0" applyFill="0" applyBorder="0" applyAlignment="0" applyProtection="0"/>
    <xf numFmtId="0" fontId="40" fillId="63" borderId="68" applyNumberFormat="0" applyAlignment="0" applyProtection="0"/>
    <xf numFmtId="0" fontId="48" fillId="45" borderId="0" applyNumberFormat="0" applyBorder="0" applyAlignment="0" applyProtection="0"/>
    <xf numFmtId="0" fontId="51" fillId="0" borderId="0"/>
    <xf numFmtId="0" fontId="52" fillId="0" borderId="0"/>
    <xf numFmtId="9" fontId="1" fillId="0" borderId="0" applyFont="0" applyFill="0" applyBorder="0" applyAlignment="0" applyProtection="0"/>
    <xf numFmtId="0" fontId="60" fillId="0" borderId="0" applyNumberFormat="0" applyFill="0" applyBorder="0" applyAlignment="0" applyProtection="0"/>
  </cellStyleXfs>
  <cellXfs count="169">
    <xf numFmtId="0" fontId="0" fillId="0" borderId="0" xfId="0"/>
    <xf numFmtId="0" fontId="3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2" fillId="0" borderId="2" xfId="0" applyFont="1" applyBorder="1"/>
    <xf numFmtId="0" fontId="0" fillId="0" borderId="3" xfId="0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vertical="top"/>
    </xf>
    <xf numFmtId="0" fontId="2" fillId="0" borderId="1" xfId="0" applyFont="1" applyBorder="1"/>
    <xf numFmtId="0" fontId="0" fillId="0" borderId="1" xfId="0" applyBorder="1"/>
    <xf numFmtId="14" fontId="0" fillId="0" borderId="1" xfId="0" applyNumberFormat="1" applyBorder="1" applyAlignment="1">
      <alignment horizontal="left"/>
    </xf>
    <xf numFmtId="0" fontId="10" fillId="0" borderId="4" xfId="0" applyFont="1" applyBorder="1" applyAlignment="1">
      <alignment horizontal="center"/>
    </xf>
    <xf numFmtId="0" fontId="0" fillId="0" borderId="4" xfId="0" applyBorder="1"/>
    <xf numFmtId="0" fontId="11" fillId="0" borderId="0" xfId="2" applyAlignment="1">
      <alignment horizontal="center"/>
    </xf>
    <xf numFmtId="0" fontId="11" fillId="0" borderId="8" xfId="2" applyBorder="1" applyAlignment="1">
      <alignment horizontal="center"/>
    </xf>
    <xf numFmtId="0" fontId="13" fillId="0" borderId="15" xfId="3" applyBorder="1"/>
    <xf numFmtId="0" fontId="0" fillId="0" borderId="16" xfId="0" applyBorder="1"/>
    <xf numFmtId="0" fontId="7" fillId="6" borderId="17" xfId="2" applyFont="1" applyFill="1" applyBorder="1" applyAlignment="1">
      <alignment horizontal="center"/>
    </xf>
    <xf numFmtId="0" fontId="7" fillId="6" borderId="18" xfId="2" applyFont="1" applyFill="1" applyBorder="1" applyAlignment="1">
      <alignment horizontal="center"/>
    </xf>
    <xf numFmtId="0" fontId="7" fillId="7" borderId="19" xfId="0" applyFont="1" applyFill="1" applyBorder="1" applyAlignment="1">
      <alignment horizontal="center" vertical="center"/>
    </xf>
    <xf numFmtId="0" fontId="7" fillId="7" borderId="20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/>
    </xf>
    <xf numFmtId="0" fontId="7" fillId="6" borderId="19" xfId="2" applyFont="1" applyFill="1" applyBorder="1" applyAlignment="1">
      <alignment horizontal="center"/>
    </xf>
    <xf numFmtId="0" fontId="7" fillId="6" borderId="23" xfId="2" applyFont="1" applyFill="1" applyBorder="1" applyAlignment="1">
      <alignment horizontal="center"/>
    </xf>
    <xf numFmtId="0" fontId="7" fillId="6" borderId="24" xfId="2" applyFont="1" applyFill="1" applyBorder="1" applyAlignment="1">
      <alignment horizontal="center"/>
    </xf>
    <xf numFmtId="0" fontId="7" fillId="6" borderId="21" xfId="2" applyFont="1" applyFill="1" applyBorder="1" applyAlignment="1">
      <alignment horizontal="center"/>
    </xf>
    <xf numFmtId="0" fontId="7" fillId="6" borderId="25" xfId="2" applyFont="1" applyFill="1" applyBorder="1" applyAlignment="1">
      <alignment horizontal="center"/>
    </xf>
    <xf numFmtId="0" fontId="7" fillId="6" borderId="20" xfId="2" applyFont="1" applyFill="1" applyBorder="1" applyAlignment="1">
      <alignment horizontal="center"/>
    </xf>
    <xf numFmtId="0" fontId="7" fillId="8" borderId="19" xfId="2" applyFont="1" applyFill="1" applyBorder="1" applyAlignment="1">
      <alignment horizontal="center"/>
    </xf>
    <xf numFmtId="0" fontId="15" fillId="0" borderId="26" xfId="0" applyFont="1" applyBorder="1" applyAlignment="1">
      <alignment horizontal="center" vertical="center"/>
    </xf>
    <xf numFmtId="14" fontId="15" fillId="0" borderId="26" xfId="0" applyNumberFormat="1" applyFont="1" applyBorder="1" applyAlignment="1">
      <alignment horizontal="center" vertical="center"/>
    </xf>
    <xf numFmtId="49" fontId="15" fillId="0" borderId="26" xfId="0" applyNumberFormat="1" applyFont="1" applyBorder="1" applyAlignment="1">
      <alignment horizontal="center" vertical="center"/>
    </xf>
    <xf numFmtId="0" fontId="15" fillId="0" borderId="28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1" fillId="0" borderId="34" xfId="2" applyBorder="1" applyAlignment="1">
      <alignment horizontal="center"/>
    </xf>
    <xf numFmtId="0" fontId="11" fillId="0" borderId="35" xfId="2" applyBorder="1" applyAlignment="1">
      <alignment horizontal="center"/>
    </xf>
    <xf numFmtId="2" fontId="11" fillId="0" borderId="31" xfId="2" applyNumberFormat="1" applyBorder="1" applyAlignment="1">
      <alignment horizontal="center"/>
    </xf>
    <xf numFmtId="164" fontId="13" fillId="0" borderId="34" xfId="3" applyNumberFormat="1" applyBorder="1" applyAlignment="1">
      <alignment horizontal="center"/>
    </xf>
    <xf numFmtId="0" fontId="15" fillId="0" borderId="4" xfId="0" applyFont="1" applyBorder="1" applyAlignment="1">
      <alignment horizontal="center" vertical="center"/>
    </xf>
    <xf numFmtId="14" fontId="15" fillId="0" borderId="4" xfId="0" applyNumberFormat="1" applyFont="1" applyBorder="1" applyAlignment="1">
      <alignment horizontal="center" vertical="center"/>
    </xf>
    <xf numFmtId="49" fontId="15" fillId="0" borderId="4" xfId="0" applyNumberFormat="1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1" fillId="0" borderId="36" xfId="2" applyBorder="1" applyAlignment="1">
      <alignment horizontal="center"/>
    </xf>
    <xf numFmtId="0" fontId="11" fillId="0" borderId="39" xfId="2" applyBorder="1" applyAlignment="1">
      <alignment horizontal="center"/>
    </xf>
    <xf numFmtId="2" fontId="11" fillId="0" borderId="38" xfId="2" applyNumberFormat="1" applyBorder="1" applyAlignment="1">
      <alignment horizontal="center"/>
    </xf>
    <xf numFmtId="164" fontId="13" fillId="0" borderId="36" xfId="3" applyNumberFormat="1" applyBorder="1" applyAlignment="1">
      <alignment horizontal="center"/>
    </xf>
    <xf numFmtId="164" fontId="13" fillId="0" borderId="37" xfId="3" applyNumberFormat="1" applyBorder="1" applyAlignment="1">
      <alignment horizontal="center"/>
    </xf>
    <xf numFmtId="0" fontId="11" fillId="0" borderId="40" xfId="2" applyBorder="1" applyAlignment="1">
      <alignment horizontal="center"/>
    </xf>
    <xf numFmtId="0" fontId="11" fillId="0" borderId="43" xfId="2" applyBorder="1" applyAlignment="1">
      <alignment horizontal="center"/>
    </xf>
    <xf numFmtId="0" fontId="11" fillId="0" borderId="44" xfId="2" applyBorder="1" applyAlignment="1">
      <alignment horizontal="center"/>
    </xf>
    <xf numFmtId="2" fontId="11" fillId="0" borderId="40" xfId="2" applyNumberFormat="1" applyBorder="1" applyAlignment="1">
      <alignment horizontal="center"/>
    </xf>
    <xf numFmtId="164" fontId="13" fillId="0" borderId="43" xfId="3" applyNumberFormat="1" applyBorder="1" applyAlignment="1">
      <alignment horizontal="center"/>
    </xf>
    <xf numFmtId="164" fontId="13" fillId="0" borderId="42" xfId="3" applyNumberFormat="1" applyBorder="1" applyAlignment="1">
      <alignment horizontal="center"/>
    </xf>
    <xf numFmtId="0" fontId="15" fillId="0" borderId="36" xfId="0" applyFont="1" applyFill="1" applyBorder="1" applyAlignment="1">
      <alignment horizontal="center" vertical="center"/>
    </xf>
    <xf numFmtId="0" fontId="11" fillId="0" borderId="37" xfId="2" applyBorder="1" applyAlignment="1">
      <alignment horizontal="center"/>
    </xf>
    <xf numFmtId="2" fontId="11" fillId="0" borderId="36" xfId="2" applyNumberFormat="1" applyBorder="1" applyAlignment="1">
      <alignment horizontal="center"/>
    </xf>
    <xf numFmtId="0" fontId="15" fillId="0" borderId="15" xfId="0" applyFont="1" applyBorder="1" applyAlignment="1">
      <alignment horizontal="center" vertical="center"/>
    </xf>
    <xf numFmtId="14" fontId="15" fillId="0" borderId="15" xfId="0" applyNumberFormat="1" applyFont="1" applyBorder="1" applyAlignment="1">
      <alignment horizontal="center" vertical="center"/>
    </xf>
    <xf numFmtId="49" fontId="15" fillId="0" borderId="15" xfId="0" applyNumberFormat="1" applyFont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1" fillId="0" borderId="47" xfId="2" applyBorder="1" applyAlignment="1">
      <alignment horizontal="center"/>
    </xf>
    <xf numFmtId="0" fontId="11" fillId="0" borderId="49" xfId="2" applyBorder="1" applyAlignment="1">
      <alignment horizontal="center"/>
    </xf>
    <xf numFmtId="2" fontId="11" fillId="0" borderId="47" xfId="2" applyNumberFormat="1" applyBorder="1" applyAlignment="1">
      <alignment horizontal="center"/>
    </xf>
    <xf numFmtId="164" fontId="13" fillId="0" borderId="47" xfId="3" applyNumberFormat="1" applyBorder="1" applyAlignment="1">
      <alignment horizontal="center"/>
    </xf>
    <xf numFmtId="164" fontId="13" fillId="0" borderId="49" xfId="3" applyNumberFormat="1" applyBorder="1" applyAlignment="1">
      <alignment horizontal="center"/>
    </xf>
    <xf numFmtId="0" fontId="11" fillId="0" borderId="28" xfId="2" applyBorder="1" applyAlignment="1">
      <alignment horizontal="center"/>
    </xf>
    <xf numFmtId="0" fontId="11" fillId="0" borderId="30" xfId="2" applyBorder="1" applyAlignment="1">
      <alignment horizontal="center"/>
    </xf>
    <xf numFmtId="2" fontId="11" fillId="0" borderId="28" xfId="2" applyNumberFormat="1" applyBorder="1" applyAlignment="1">
      <alignment horizontal="center"/>
    </xf>
    <xf numFmtId="164" fontId="13" fillId="0" borderId="28" xfId="3" applyNumberFormat="1" applyBorder="1" applyAlignment="1">
      <alignment horizontal="center"/>
    </xf>
    <xf numFmtId="164" fontId="13" fillId="0" borderId="30" xfId="3" applyNumberFormat="1" applyBorder="1" applyAlignment="1">
      <alignment horizontal="center"/>
    </xf>
    <xf numFmtId="2" fontId="11" fillId="0" borderId="43" xfId="2" applyNumberFormat="1" applyBorder="1" applyAlignment="1">
      <alignment horizontal="center"/>
    </xf>
    <xf numFmtId="0" fontId="15" fillId="0" borderId="43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1" fillId="0" borderId="0" xfId="2"/>
    <xf numFmtId="0" fontId="13" fillId="0" borderId="0" xfId="3"/>
    <xf numFmtId="0" fontId="7" fillId="0" borderId="0" xfId="2" applyFont="1"/>
    <xf numFmtId="0" fontId="11" fillId="0" borderId="0" xfId="2" applyFont="1"/>
    <xf numFmtId="0" fontId="0" fillId="9" borderId="4" xfId="0" applyFill="1" applyBorder="1"/>
    <xf numFmtId="0" fontId="0" fillId="9" borderId="4" xfId="0" applyFill="1" applyBorder="1" applyAlignment="1">
      <alignment wrapText="1"/>
    </xf>
    <xf numFmtId="0" fontId="9" fillId="11" borderId="1" xfId="0" applyFont="1" applyFill="1" applyBorder="1"/>
    <xf numFmtId="0" fontId="0" fillId="11" borderId="2" xfId="0" applyFill="1" applyBorder="1"/>
    <xf numFmtId="43" fontId="55" fillId="6" borderId="0" xfId="4" applyFont="1" applyFill="1" applyAlignment="1">
      <alignment horizontal="center" vertical="center" wrapText="1"/>
    </xf>
    <xf numFmtId="0" fontId="55" fillId="66" borderId="0" xfId="0" applyFont="1" applyFill="1" applyAlignment="1">
      <alignment horizontal="center" vertical="center"/>
    </xf>
    <xf numFmtId="0" fontId="55" fillId="0" borderId="0" xfId="0" applyFont="1" applyAlignment="1">
      <alignment horizontal="center" vertical="center" textRotation="45"/>
    </xf>
    <xf numFmtId="0" fontId="56" fillId="43" borderId="0" xfId="0" applyFont="1" applyFill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 wrapText="1"/>
    </xf>
    <xf numFmtId="2" fontId="58" fillId="0" borderId="0" xfId="0" applyNumberFormat="1" applyFont="1" applyAlignment="1">
      <alignment horizontal="center" vertical="center"/>
    </xf>
    <xf numFmtId="0" fontId="55" fillId="68" borderId="0" xfId="0" applyFont="1" applyFill="1" applyAlignment="1">
      <alignment horizontal="center" vertical="center"/>
    </xf>
    <xf numFmtId="0" fontId="59" fillId="0" borderId="0" xfId="0" applyFont="1"/>
    <xf numFmtId="0" fontId="55" fillId="67" borderId="4" xfId="0" applyFont="1" applyFill="1" applyBorder="1" applyAlignment="1">
      <alignment horizontal="center" vertical="center" wrapText="1"/>
    </xf>
    <xf numFmtId="0" fontId="55" fillId="69" borderId="4" xfId="0" applyFont="1" applyFill="1" applyBorder="1" applyAlignment="1">
      <alignment horizontal="center" vertical="center" wrapText="1"/>
    </xf>
    <xf numFmtId="0" fontId="55" fillId="70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9" borderId="4" xfId="0" applyNumberFormat="1" applyFill="1" applyBorder="1" applyAlignment="1">
      <alignment wrapText="1"/>
    </xf>
    <xf numFmtId="0" fontId="60" fillId="9" borderId="4" xfId="159" applyFill="1" applyBorder="1"/>
    <xf numFmtId="14" fontId="0" fillId="9" borderId="4" xfId="0" applyNumberFormat="1" applyFill="1" applyBorder="1"/>
    <xf numFmtId="0" fontId="61" fillId="0" borderId="0" xfId="0" applyFont="1"/>
    <xf numFmtId="166" fontId="61" fillId="0" borderId="73" xfId="0" applyNumberFormat="1" applyFont="1" applyBorder="1"/>
    <xf numFmtId="0" fontId="62" fillId="0" borderId="74" xfId="0" applyFont="1" applyBorder="1"/>
    <xf numFmtId="0" fontId="62" fillId="0" borderId="75" xfId="0" applyFont="1" applyBorder="1"/>
    <xf numFmtId="0" fontId="62" fillId="0" borderId="76" xfId="0" applyFont="1" applyBorder="1"/>
    <xf numFmtId="0" fontId="62" fillId="0" borderId="77" xfId="0" applyFont="1" applyBorder="1"/>
    <xf numFmtId="166" fontId="61" fillId="0" borderId="78" xfId="0" applyNumberFormat="1" applyFont="1" applyBorder="1"/>
    <xf numFmtId="0" fontId="62" fillId="0" borderId="0" xfId="0" applyFont="1" applyBorder="1"/>
    <xf numFmtId="0" fontId="62" fillId="0" borderId="79" xfId="0" applyFont="1" applyBorder="1"/>
    <xf numFmtId="0" fontId="62" fillId="0" borderId="80" xfId="0" applyFont="1" applyBorder="1"/>
    <xf numFmtId="0" fontId="62" fillId="0" borderId="81" xfId="0" applyFont="1" applyBorder="1"/>
    <xf numFmtId="166" fontId="61" fillId="0" borderId="82" xfId="0" applyNumberFormat="1" applyFont="1" applyBorder="1"/>
    <xf numFmtId="167" fontId="61" fillId="0" borderId="83" xfId="0" applyNumberFormat="1" applyFont="1" applyBorder="1"/>
    <xf numFmtId="167" fontId="61" fillId="0" borderId="84" xfId="0" applyNumberFormat="1" applyFont="1" applyBorder="1"/>
    <xf numFmtId="0" fontId="9" fillId="0" borderId="0" xfId="0" applyFont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9" borderId="4" xfId="0" quotePrefix="1" applyFill="1" applyBorder="1"/>
    <xf numFmtId="1" fontId="0" fillId="0" borderId="4" xfId="0" applyNumberFormat="1" applyFill="1" applyBorder="1" applyAlignment="1">
      <alignment horizontal="center" vertical="center"/>
    </xf>
    <xf numFmtId="9" fontId="11" fillId="0" borderId="31" xfId="158" applyFont="1" applyBorder="1" applyAlignment="1">
      <alignment horizontal="center"/>
    </xf>
    <xf numFmtId="2" fontId="13" fillId="0" borderId="34" xfId="3" applyNumberFormat="1" applyBorder="1" applyAlignment="1">
      <alignment horizontal="center"/>
    </xf>
    <xf numFmtId="2" fontId="13" fillId="0" borderId="36" xfId="3" applyNumberFormat="1" applyBorder="1" applyAlignment="1">
      <alignment horizontal="center"/>
    </xf>
    <xf numFmtId="9" fontId="11" fillId="0" borderId="40" xfId="158" applyFont="1" applyBorder="1" applyAlignment="1">
      <alignment horizontal="center"/>
    </xf>
    <xf numFmtId="168" fontId="0" fillId="0" borderId="0" xfId="0" applyNumberFormat="1"/>
    <xf numFmtId="169" fontId="0" fillId="0" borderId="0" xfId="0" applyNumberFormat="1"/>
    <xf numFmtId="14" fontId="0" fillId="0" borderId="0" xfId="0" applyNumberFormat="1"/>
    <xf numFmtId="0" fontId="60" fillId="11" borderId="1" xfId="159" applyFill="1" applyBorder="1"/>
    <xf numFmtId="0" fontId="0" fillId="0" borderId="0" xfId="0"/>
    <xf numFmtId="0" fontId="0" fillId="71" borderId="0" xfId="0" applyFill="1" applyAlignment="1">
      <alignment horizontal="center" vertical="center" wrapText="1"/>
    </xf>
    <xf numFmtId="0" fontId="2" fillId="10" borderId="4" xfId="0" applyFont="1" applyFill="1" applyBorder="1" applyAlignment="1">
      <alignment horizontal="center"/>
    </xf>
    <xf numFmtId="0" fontId="28" fillId="0" borderId="74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8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wrapText="1"/>
    </xf>
    <xf numFmtId="0" fontId="7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15" fillId="0" borderId="48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0" fontId="15" fillId="0" borderId="51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0" fontId="15" fillId="0" borderId="27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53" xfId="0" applyFont="1" applyBorder="1" applyAlignment="1">
      <alignment horizontal="center" vertical="center"/>
    </xf>
    <xf numFmtId="0" fontId="15" fillId="0" borderId="54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49" fontId="12" fillId="5" borderId="9" xfId="2" applyNumberFormat="1" applyFont="1" applyFill="1" applyBorder="1" applyAlignment="1">
      <alignment horizontal="center"/>
    </xf>
    <xf numFmtId="49" fontId="12" fillId="5" borderId="10" xfId="2" applyNumberFormat="1" applyFont="1" applyFill="1" applyBorder="1" applyAlignment="1">
      <alignment horizontal="center"/>
    </xf>
    <xf numFmtId="0" fontId="14" fillId="5" borderId="11" xfId="3" applyFont="1" applyFill="1" applyBorder="1" applyAlignment="1">
      <alignment horizontal="center"/>
    </xf>
    <xf numFmtId="0" fontId="14" fillId="5" borderId="12" xfId="3" applyFont="1" applyFill="1" applyBorder="1" applyAlignment="1">
      <alignment horizontal="center"/>
    </xf>
    <xf numFmtId="0" fontId="2" fillId="5" borderId="13" xfId="3" applyFont="1" applyFill="1" applyBorder="1" applyAlignment="1">
      <alignment horizontal="center"/>
    </xf>
    <xf numFmtId="0" fontId="2" fillId="5" borderId="14" xfId="3" applyFont="1" applyFill="1" applyBorder="1" applyAlignment="1">
      <alignment horizontal="center"/>
    </xf>
    <xf numFmtId="0" fontId="15" fillId="0" borderId="29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60">
    <cellStyle name="20 % - Accent1 2" xfId="5"/>
    <cellStyle name="20 % - Accent2 2" xfId="6"/>
    <cellStyle name="20 % - Accent3 2" xfId="7"/>
    <cellStyle name="20 % - Accent4 2" xfId="8"/>
    <cellStyle name="20 % - Accent5 2" xfId="9"/>
    <cellStyle name="20 % - Accent6 2" xfId="10"/>
    <cellStyle name="20% — akcent 1" xfId="11"/>
    <cellStyle name="20% — akcent 2" xfId="12"/>
    <cellStyle name="20% — akcent 3" xfId="13"/>
    <cellStyle name="20% — akcent 4" xfId="14"/>
    <cellStyle name="20% — akcent 5" xfId="15"/>
    <cellStyle name="20% — akcent 6" xfId="16"/>
    <cellStyle name="20% - Akzent1" xfId="17"/>
    <cellStyle name="20% - Akzent2" xfId="18"/>
    <cellStyle name="20% - Akzent3" xfId="19"/>
    <cellStyle name="20% - Akzent4" xfId="20"/>
    <cellStyle name="20% - Akzent5" xfId="21"/>
    <cellStyle name="20% - Akzent6" xfId="22"/>
    <cellStyle name="40 % - Accent1 2" xfId="23"/>
    <cellStyle name="40 % - Accent2 2" xfId="24"/>
    <cellStyle name="40 % - Accent3 2" xfId="25"/>
    <cellStyle name="40 % - Accent4 2" xfId="26"/>
    <cellStyle name="40 % - Accent5 2" xfId="27"/>
    <cellStyle name="40 % - Accent6 2" xfId="28"/>
    <cellStyle name="40% — akcent 1" xfId="29"/>
    <cellStyle name="40% — akcent 2" xfId="30"/>
    <cellStyle name="40% — akcent 3" xfId="31"/>
    <cellStyle name="40% — akcent 4" xfId="32"/>
    <cellStyle name="40% — akcent 5" xfId="33"/>
    <cellStyle name="40% — akcent 6" xfId="34"/>
    <cellStyle name="40% - Akzent1" xfId="35"/>
    <cellStyle name="40% - Akzent2" xfId="36"/>
    <cellStyle name="40% - Akzent3" xfId="37"/>
    <cellStyle name="40% - Akzent4" xfId="38"/>
    <cellStyle name="40% - Akzent5" xfId="39"/>
    <cellStyle name="40% - Akzent6" xfId="40"/>
    <cellStyle name="60 % - Accent1 2" xfId="41"/>
    <cellStyle name="60 % - Accent2 2" xfId="42"/>
    <cellStyle name="60 % - Accent3 2" xfId="43"/>
    <cellStyle name="60 % - Accent4 2" xfId="44"/>
    <cellStyle name="60 % - Accent5 2" xfId="45"/>
    <cellStyle name="60 % - Accent6 2" xfId="46"/>
    <cellStyle name="60% — akcent 1" xfId="47"/>
    <cellStyle name="60% — akcent 2" xfId="48"/>
    <cellStyle name="60% — akcent 3" xfId="49"/>
    <cellStyle name="60% — akcent 4" xfId="50"/>
    <cellStyle name="60% — akcent 5" xfId="51"/>
    <cellStyle name="60% — akcent 6" xfId="52"/>
    <cellStyle name="60% - Akzent1" xfId="53"/>
    <cellStyle name="60% - Akzent2" xfId="54"/>
    <cellStyle name="60% - Akzent3" xfId="55"/>
    <cellStyle name="60% - Akzent4" xfId="56"/>
    <cellStyle name="60% - Akzent5" xfId="57"/>
    <cellStyle name="60% - Akzent6" xfId="58"/>
    <cellStyle name="Accent1 2" xfId="59"/>
    <cellStyle name="Accent2 2" xfId="60"/>
    <cellStyle name="Accent3 2" xfId="61"/>
    <cellStyle name="Accent4 2" xfId="62"/>
    <cellStyle name="Accent5 2" xfId="63"/>
    <cellStyle name="Accent6 2" xfId="64"/>
    <cellStyle name="Akcent 1" xfId="65"/>
    <cellStyle name="Akcent 2" xfId="66"/>
    <cellStyle name="Akcent 3" xfId="67"/>
    <cellStyle name="Akcent 4" xfId="68"/>
    <cellStyle name="Akcent 5" xfId="69"/>
    <cellStyle name="Akcent 6" xfId="70"/>
    <cellStyle name="Akzent1" xfId="71"/>
    <cellStyle name="Akzent2" xfId="72"/>
    <cellStyle name="Akzent3" xfId="73"/>
    <cellStyle name="Akzent4" xfId="74"/>
    <cellStyle name="Akzent5" xfId="75"/>
    <cellStyle name="Akzent6" xfId="76"/>
    <cellStyle name="Ausgabe" xfId="77"/>
    <cellStyle name="Ausgabe 2" xfId="78"/>
    <cellStyle name="Avertissement 2" xfId="79"/>
    <cellStyle name="Berechnung" xfId="80"/>
    <cellStyle name="Berechnung 2" xfId="81"/>
    <cellStyle name="Calcul 2" xfId="82"/>
    <cellStyle name="Cellule liée 2" xfId="83"/>
    <cellStyle name="Commentaire 2" xfId="84"/>
    <cellStyle name="Currency 2" xfId="85"/>
    <cellStyle name="Dane wejściowe" xfId="86"/>
    <cellStyle name="Dane wejściowe 2" xfId="87"/>
    <cellStyle name="Dane wyjściowe" xfId="88"/>
    <cellStyle name="Dane wyjściowe 2" xfId="89"/>
    <cellStyle name="Dobry" xfId="90"/>
    <cellStyle name="Eingabe" xfId="91"/>
    <cellStyle name="Eingabe 2" xfId="92"/>
    <cellStyle name="Entrée 2" xfId="93"/>
    <cellStyle name="Ergebnis" xfId="94"/>
    <cellStyle name="Ergebnis 2" xfId="95"/>
    <cellStyle name="Erklärender Text" xfId="96"/>
    <cellStyle name="Gut" xfId="97"/>
    <cellStyle name="Insatisfaisant 2" xfId="98"/>
    <cellStyle name="Komórka połączona" xfId="99"/>
    <cellStyle name="Komórka zaznaczona" xfId="100"/>
    <cellStyle name="Lien hypertexte" xfId="159" builtinId="8"/>
    <cellStyle name="Milliers" xfId="4" builtinId="3"/>
    <cellStyle name="N1" xfId="101"/>
    <cellStyle name="N1 2" xfId="102"/>
    <cellStyle name="N1_TRIAL" xfId="156"/>
    <cellStyle name="Nagłówek 1" xfId="103"/>
    <cellStyle name="Nagłówek 2" xfId="104"/>
    <cellStyle name="Nagłówek 3" xfId="105"/>
    <cellStyle name="Nagłówek 4" xfId="106"/>
    <cellStyle name="Neutral" xfId="107"/>
    <cellStyle name="Neutralny" xfId="108"/>
    <cellStyle name="Neutre 2" xfId="109"/>
    <cellStyle name="Normal" xfId="0" builtinId="0"/>
    <cellStyle name="Normal 2" xfId="110"/>
    <cellStyle name="Normal 2 2" xfId="2"/>
    <cellStyle name="Normal 2 3" xfId="111"/>
    <cellStyle name="Normal 2 4" xfId="112"/>
    <cellStyle name="Normal 2 4 2" xfId="113"/>
    <cellStyle name="Normal 2 4 3" xfId="114"/>
    <cellStyle name="Normal 2 4_TRIAL" xfId="157"/>
    <cellStyle name="Normal 2_Bilan N" xfId="115"/>
    <cellStyle name="Normal 3" xfId="116"/>
    <cellStyle name="Normal 3 2" xfId="117"/>
    <cellStyle name="Normal 3 3" xfId="118"/>
    <cellStyle name="Normal 3_Bilan N" xfId="119"/>
    <cellStyle name="Normal 4" xfId="120"/>
    <cellStyle name="Normal 4 2" xfId="121"/>
    <cellStyle name="Normal 5" xfId="122"/>
    <cellStyle name="Normal 5 2" xfId="123"/>
    <cellStyle name="Normal 5_Feuil3" xfId="124"/>
    <cellStyle name="Normal 6" xfId="3"/>
    <cellStyle name="Normal 8 2 3" xfId="1"/>
    <cellStyle name="Notiz" xfId="125"/>
    <cellStyle name="Notiz 2" xfId="126"/>
    <cellStyle name="Obliczenia" xfId="127"/>
    <cellStyle name="Obliczenia 2" xfId="128"/>
    <cellStyle name="Pourcentage" xfId="158" builtinId="5"/>
    <cellStyle name="Satisfaisant 2" xfId="129"/>
    <cellStyle name="Schlecht" xfId="130"/>
    <cellStyle name="Sortie 2" xfId="131"/>
    <cellStyle name="Suma" xfId="132"/>
    <cellStyle name="Suma 2" xfId="133"/>
    <cellStyle name="Tekst objaśnienia" xfId="134"/>
    <cellStyle name="Tekst ostrzeżenia" xfId="135"/>
    <cellStyle name="Texte explicatif 2" xfId="136"/>
    <cellStyle name="Titre 2" xfId="137"/>
    <cellStyle name="Titre 1 2" xfId="138"/>
    <cellStyle name="Titre 2 2" xfId="139"/>
    <cellStyle name="Titre 3 2" xfId="140"/>
    <cellStyle name="Titre 4 2" xfId="141"/>
    <cellStyle name="Total 2" xfId="142"/>
    <cellStyle name="Tytuł" xfId="143"/>
    <cellStyle name="Überschrift" xfId="144"/>
    <cellStyle name="Überschrift 1" xfId="145"/>
    <cellStyle name="Überschrift 2" xfId="146"/>
    <cellStyle name="Überschrift 3" xfId="147"/>
    <cellStyle name="Überschrift 4" xfId="148"/>
    <cellStyle name="Uwaga" xfId="149"/>
    <cellStyle name="Uwaga 2" xfId="150"/>
    <cellStyle name="Vérification 2" xfId="151"/>
    <cellStyle name="Verknüpfte Zelle" xfId="152"/>
    <cellStyle name="Warnender Text" xfId="153"/>
    <cellStyle name="Zelle überprüfen" xfId="154"/>
    <cellStyle name="Zły" xfId="155"/>
  </cellStyles>
  <dxfs count="14">
    <dxf>
      <font>
        <color rgb="FF0000FF"/>
      </font>
      <fill>
        <patternFill>
          <bgColor rgb="FFFF0000"/>
        </patternFill>
      </fill>
    </dxf>
    <dxf>
      <font>
        <color rgb="FF0000FF"/>
      </font>
      <fill>
        <patternFill>
          <bgColor rgb="FFFFFF00"/>
        </patternFill>
      </fill>
    </dxf>
    <dxf>
      <font>
        <color rgb="FF0000FF"/>
      </font>
      <fill>
        <patternFill>
          <bgColor rgb="FF008F00"/>
        </patternFill>
      </fill>
    </dxf>
    <dxf>
      <font>
        <color rgb="FF0000FF"/>
      </font>
      <fill>
        <patternFill>
          <bgColor rgb="FF00FF00"/>
        </patternFill>
      </fill>
    </dxf>
    <dxf>
      <font>
        <color rgb="FF000000"/>
      </font>
      <fill>
        <patternFill>
          <bgColor rgb="FF008F00"/>
        </patternFill>
      </fill>
    </dxf>
    <dxf>
      <font>
        <color rgb="FF000000"/>
      </font>
      <fill>
        <patternFill>
          <bgColor rgb="FF0000FF"/>
        </patternFill>
      </fill>
    </dxf>
    <dxf>
      <font>
        <color rgb="FF000000"/>
      </font>
      <fill>
        <patternFill>
          <bgColor rgb="FF8FFFFF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000000"/>
      </font>
      <fill>
        <patternFill>
          <bgColor rgb="FF008F00"/>
        </patternFill>
      </fill>
    </dxf>
    <dxf>
      <font>
        <color rgb="FF000000"/>
      </font>
      <fill>
        <patternFill>
          <bgColor rgb="FF00FF00"/>
        </patternFill>
      </fill>
    </dxf>
    <dxf>
      <font>
        <color rgb="FF000000"/>
      </font>
      <fill>
        <patternFill>
          <bgColor rgb="FFFFFF00"/>
        </patternFill>
      </fill>
    </dxf>
    <dxf>
      <font>
        <color rgb="FF0000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anna.younou@euralis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hanna.younous@euralis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C4" sqref="C4"/>
    </sheetView>
  </sheetViews>
  <sheetFormatPr baseColWidth="10" defaultRowHeight="15"/>
  <cols>
    <col min="1" max="1" width="17.85546875" bestFit="1" customWidth="1"/>
    <col min="2" max="2" width="91.5703125" customWidth="1"/>
  </cols>
  <sheetData>
    <row r="1" spans="1:2" ht="21">
      <c r="A1" s="1" t="s">
        <v>0</v>
      </c>
    </row>
    <row r="2" spans="1:2" ht="15.75" thickBot="1"/>
    <row r="3" spans="1:2" ht="15.75" thickBot="1">
      <c r="A3" s="9" t="s">
        <v>1</v>
      </c>
      <c r="B3" s="83" t="s">
        <v>139</v>
      </c>
    </row>
    <row r="4" spans="1:2" ht="15.75" thickBot="1">
      <c r="A4" s="9" t="s">
        <v>10</v>
      </c>
      <c r="B4" s="127" t="s">
        <v>223</v>
      </c>
    </row>
    <row r="5" spans="1:2" ht="15.75" thickBot="1">
      <c r="A5" s="9" t="s">
        <v>2</v>
      </c>
      <c r="B5" s="10"/>
    </row>
    <row r="6" spans="1:2" ht="15.75" thickBot="1">
      <c r="A6" s="9" t="s">
        <v>3</v>
      </c>
      <c r="B6" s="11"/>
    </row>
    <row r="7" spans="1:2" ht="15.75" thickBot="1">
      <c r="A7" s="9" t="s">
        <v>4</v>
      </c>
      <c r="B7" s="10" t="s">
        <v>5</v>
      </c>
    </row>
    <row r="8" spans="1:2" ht="15.75" thickBot="1">
      <c r="A8" s="9" t="s">
        <v>11</v>
      </c>
      <c r="B8" s="10" t="s">
        <v>12</v>
      </c>
    </row>
    <row r="9" spans="1:2" ht="15.75" thickBot="1">
      <c r="A9" s="4" t="s">
        <v>6</v>
      </c>
      <c r="B9" s="84"/>
    </row>
    <row r="10" spans="1:2" ht="15.75" thickBot="1">
      <c r="A10" s="2"/>
    </row>
    <row r="11" spans="1:2" ht="15.75" thickBot="1">
      <c r="A11" s="6" t="s">
        <v>7</v>
      </c>
      <c r="B11" s="5"/>
    </row>
    <row r="12" spans="1:2" ht="15.75" thickBot="1">
      <c r="A12" s="6" t="s">
        <v>8</v>
      </c>
      <c r="B12" s="7"/>
    </row>
    <row r="14" spans="1:2" ht="15.75" thickBot="1"/>
    <row r="15" spans="1:2" ht="15.75" thickBot="1">
      <c r="A15" s="8" t="s">
        <v>9</v>
      </c>
      <c r="B15" s="7"/>
    </row>
    <row r="17" spans="2:2">
      <c r="B17" s="3"/>
    </row>
  </sheetData>
  <hyperlinks>
    <hyperlink ref="B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23"/>
  <sheetViews>
    <sheetView zoomScale="85" zoomScaleNormal="85" workbookViewId="0">
      <selection activeCell="A26" sqref="A26"/>
    </sheetView>
  </sheetViews>
  <sheetFormatPr baseColWidth="10" defaultRowHeight="15"/>
  <cols>
    <col min="1" max="1" width="19" bestFit="1" customWidth="1"/>
    <col min="2" max="2" width="33.5703125" customWidth="1"/>
    <col min="3" max="3" width="13.7109375" customWidth="1"/>
    <col min="4" max="4" width="16.7109375" customWidth="1"/>
    <col min="5" max="5" width="16.7109375" bestFit="1" customWidth="1"/>
    <col min="6" max="6" width="16.42578125" bestFit="1" customWidth="1"/>
    <col min="7" max="7" width="13.140625" bestFit="1" customWidth="1"/>
    <col min="9" max="9" width="9.42578125" bestFit="1" customWidth="1"/>
    <col min="10" max="10" width="12.28515625" bestFit="1" customWidth="1"/>
    <col min="11" max="11" width="12.5703125" bestFit="1" customWidth="1"/>
    <col min="12" max="12" width="9.7109375" bestFit="1" customWidth="1"/>
    <col min="13" max="13" width="10.28515625" bestFit="1" customWidth="1"/>
    <col min="14" max="14" width="11.85546875" bestFit="1" customWidth="1"/>
    <col min="15" max="16" width="9.42578125" bestFit="1" customWidth="1"/>
  </cols>
  <sheetData>
    <row r="1" spans="1:16" ht="38.25">
      <c r="A1" s="130" t="s">
        <v>17</v>
      </c>
      <c r="B1" s="130"/>
      <c r="D1" s="97" t="s">
        <v>136</v>
      </c>
      <c r="E1" s="95" t="s">
        <v>106</v>
      </c>
      <c r="F1" s="95" t="s">
        <v>107</v>
      </c>
      <c r="G1" s="95" t="s">
        <v>108</v>
      </c>
      <c r="H1" s="96" t="s">
        <v>109</v>
      </c>
      <c r="I1" s="96" t="s">
        <v>110</v>
      </c>
      <c r="J1" s="96" t="s">
        <v>111</v>
      </c>
      <c r="K1" s="96" t="s">
        <v>112</v>
      </c>
      <c r="L1" s="96" t="s">
        <v>113</v>
      </c>
      <c r="M1" s="96" t="s">
        <v>114</v>
      </c>
      <c r="N1" s="96" t="s">
        <v>115</v>
      </c>
      <c r="O1" s="96" t="s">
        <v>116</v>
      </c>
      <c r="P1" s="94" t="s">
        <v>117</v>
      </c>
    </row>
    <row r="2" spans="1:16">
      <c r="A2" s="81" t="s">
        <v>13</v>
      </c>
      <c r="B2" s="82" t="s">
        <v>141</v>
      </c>
      <c r="D2" t="s">
        <v>137</v>
      </c>
      <c r="E2" s="13">
        <v>37</v>
      </c>
      <c r="F2" s="13">
        <v>15</v>
      </c>
      <c r="G2" s="13">
        <f>7*E2</f>
        <v>259</v>
      </c>
      <c r="H2" s="13">
        <v>31</v>
      </c>
      <c r="I2" s="13">
        <v>-20</v>
      </c>
      <c r="J2" s="13">
        <v>71.5</v>
      </c>
      <c r="K2" s="13">
        <v>30</v>
      </c>
      <c r="L2" s="13">
        <v>0</v>
      </c>
      <c r="M2" s="13">
        <v>0</v>
      </c>
      <c r="N2" s="13">
        <f>SUM(H2:M2)</f>
        <v>112.5</v>
      </c>
      <c r="O2" s="13">
        <f>G2-N2</f>
        <v>146.5</v>
      </c>
      <c r="P2" s="13">
        <v>140</v>
      </c>
    </row>
    <row r="3" spans="1:16">
      <c r="A3" s="81" t="s">
        <v>14</v>
      </c>
      <c r="B3" s="98">
        <v>42970</v>
      </c>
      <c r="D3" t="s">
        <v>138</v>
      </c>
      <c r="E3" s="13">
        <v>37</v>
      </c>
      <c r="F3" s="13">
        <v>15</v>
      </c>
      <c r="G3" s="13">
        <f>7*E3</f>
        <v>259</v>
      </c>
      <c r="H3" s="13">
        <v>31</v>
      </c>
      <c r="I3" s="13">
        <v>-20</v>
      </c>
      <c r="J3" s="13">
        <v>71.5</v>
      </c>
      <c r="K3" s="13">
        <v>30</v>
      </c>
      <c r="L3" s="13">
        <v>0</v>
      </c>
      <c r="M3" s="13">
        <v>0</v>
      </c>
      <c r="N3" s="13">
        <f>SUM(H3:M3)</f>
        <v>112.5</v>
      </c>
      <c r="O3" s="13">
        <f>G3-N3</f>
        <v>146.5</v>
      </c>
      <c r="P3" s="13">
        <v>0</v>
      </c>
    </row>
    <row r="4" spans="1:16">
      <c r="A4" s="81" t="s">
        <v>15</v>
      </c>
      <c r="B4" s="98">
        <v>43291</v>
      </c>
    </row>
    <row r="5" spans="1:16">
      <c r="A5" s="81" t="s">
        <v>16</v>
      </c>
      <c r="B5" s="82"/>
    </row>
    <row r="6" spans="1:16">
      <c r="A6" s="81" t="s">
        <v>23</v>
      </c>
      <c r="B6" s="81" t="s">
        <v>139</v>
      </c>
    </row>
    <row r="7" spans="1:16">
      <c r="A7" s="81" t="s">
        <v>24</v>
      </c>
      <c r="B7" s="118" t="s">
        <v>169</v>
      </c>
    </row>
    <row r="8" spans="1:16">
      <c r="A8" s="81" t="s">
        <v>25</v>
      </c>
      <c r="B8" s="99" t="s">
        <v>140</v>
      </c>
    </row>
    <row r="10" spans="1:16">
      <c r="A10" s="130" t="s">
        <v>18</v>
      </c>
      <c r="B10" s="130"/>
    </row>
    <row r="11" spans="1:16">
      <c r="A11" s="81" t="s">
        <v>19</v>
      </c>
      <c r="B11" s="81" t="s">
        <v>142</v>
      </c>
    </row>
    <row r="12" spans="1:16">
      <c r="A12" s="81" t="s">
        <v>20</v>
      </c>
      <c r="B12" s="81">
        <v>48.833565999999998</v>
      </c>
    </row>
    <row r="13" spans="1:16">
      <c r="A13" s="81" t="s">
        <v>21</v>
      </c>
      <c r="B13" s="81">
        <v>48.833565999999998</v>
      </c>
    </row>
    <row r="15" spans="1:16">
      <c r="A15" s="130" t="s">
        <v>22</v>
      </c>
      <c r="B15" s="130"/>
    </row>
    <row r="16" spans="1:16">
      <c r="A16" s="81" t="s">
        <v>26</v>
      </c>
      <c r="B16" s="81"/>
    </row>
    <row r="17" spans="1:2">
      <c r="A17" s="81" t="s">
        <v>27</v>
      </c>
      <c r="B17" s="81"/>
    </row>
    <row r="18" spans="1:2">
      <c r="A18" s="81" t="s">
        <v>28</v>
      </c>
      <c r="B18" s="81"/>
    </row>
    <row r="19" spans="1:2">
      <c r="A19" s="81" t="s">
        <v>29</v>
      </c>
      <c r="B19" s="100">
        <v>42970</v>
      </c>
    </row>
    <row r="20" spans="1:2">
      <c r="A20" s="81" t="s">
        <v>30</v>
      </c>
      <c r="B20" s="100">
        <v>43167</v>
      </c>
    </row>
    <row r="21" spans="1:2">
      <c r="A21" s="81" t="s">
        <v>31</v>
      </c>
      <c r="B21" s="100">
        <v>43185</v>
      </c>
    </row>
    <row r="22" spans="1:2">
      <c r="A22" s="81" t="s">
        <v>32</v>
      </c>
      <c r="B22" s="81"/>
    </row>
    <row r="23" spans="1:2">
      <c r="A23" s="81" t="s">
        <v>33</v>
      </c>
      <c r="B23" s="100">
        <v>43291</v>
      </c>
    </row>
  </sheetData>
  <mergeCells count="3">
    <mergeCell ref="A1:B1"/>
    <mergeCell ref="A10:B10"/>
    <mergeCell ref="A15:B15"/>
  </mergeCells>
  <hyperlinks>
    <hyperlink ref="B8" r:id="rId1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O24"/>
  <sheetViews>
    <sheetView tabSelected="1" workbookViewId="0">
      <selection activeCell="A13" sqref="A13:B24"/>
    </sheetView>
  </sheetViews>
  <sheetFormatPr baseColWidth="10" defaultRowHeight="15"/>
  <cols>
    <col min="1" max="1" width="13.85546875" bestFit="1" customWidth="1"/>
    <col min="2" max="2" width="14.5703125" bestFit="1" customWidth="1"/>
    <col min="3" max="41" width="3.5703125" bestFit="1" customWidth="1"/>
  </cols>
  <sheetData>
    <row r="1" spans="1:41">
      <c r="A1" s="101" t="s">
        <v>143</v>
      </c>
    </row>
    <row r="2" spans="1:41" ht="15" customHeight="1">
      <c r="A2" s="101" t="s">
        <v>144</v>
      </c>
      <c r="B2" t="s">
        <v>145</v>
      </c>
    </row>
    <row r="3" spans="1:41" ht="15" customHeight="1">
      <c r="A3" s="101" t="s">
        <v>146</v>
      </c>
    </row>
    <row r="4" spans="1:41" ht="15" customHeight="1">
      <c r="A4" s="101" t="s">
        <v>62</v>
      </c>
    </row>
    <row r="5" spans="1:41" ht="15" customHeight="1">
      <c r="A5" s="102">
        <v>4</v>
      </c>
      <c r="B5" s="103" t="s">
        <v>147</v>
      </c>
      <c r="C5" s="103" t="s">
        <v>147</v>
      </c>
      <c r="D5" s="103" t="s">
        <v>147</v>
      </c>
      <c r="E5" s="103" t="s">
        <v>147</v>
      </c>
      <c r="F5" s="103" t="s">
        <v>147</v>
      </c>
      <c r="G5" s="103" t="s">
        <v>147</v>
      </c>
      <c r="H5" s="103" t="s">
        <v>147</v>
      </c>
      <c r="I5" s="103" t="s">
        <v>147</v>
      </c>
      <c r="J5" s="103" t="s">
        <v>147</v>
      </c>
      <c r="K5" s="103" t="s">
        <v>147</v>
      </c>
      <c r="L5" s="103">
        <v>6</v>
      </c>
      <c r="M5" s="103" t="s">
        <v>147</v>
      </c>
      <c r="N5" s="103" t="s">
        <v>147</v>
      </c>
      <c r="O5" s="103" t="s">
        <v>147</v>
      </c>
      <c r="P5" s="103">
        <v>4</v>
      </c>
      <c r="Q5" s="103" t="s">
        <v>147</v>
      </c>
      <c r="R5" s="103" t="s">
        <v>147</v>
      </c>
      <c r="S5" s="103" t="s">
        <v>147</v>
      </c>
      <c r="T5" s="103" t="s">
        <v>147</v>
      </c>
      <c r="U5" s="104">
        <v>3</v>
      </c>
      <c r="V5" s="105" t="s">
        <v>147</v>
      </c>
      <c r="W5" s="103" t="s">
        <v>147</v>
      </c>
      <c r="X5" s="103" t="s">
        <v>147</v>
      </c>
      <c r="Y5" s="103" t="s">
        <v>147</v>
      </c>
      <c r="Z5" s="103" t="s">
        <v>147</v>
      </c>
      <c r="AA5" s="103" t="s">
        <v>147</v>
      </c>
      <c r="AB5" s="103">
        <v>4</v>
      </c>
      <c r="AC5" s="103" t="s">
        <v>147</v>
      </c>
      <c r="AD5" s="103" t="s">
        <v>147</v>
      </c>
      <c r="AE5" s="103" t="s">
        <v>147</v>
      </c>
      <c r="AF5" s="103" t="s">
        <v>147</v>
      </c>
      <c r="AG5" s="103" t="s">
        <v>147</v>
      </c>
      <c r="AH5" s="103" t="s">
        <v>147</v>
      </c>
      <c r="AI5" s="103" t="s">
        <v>147</v>
      </c>
      <c r="AJ5" s="103" t="s">
        <v>147</v>
      </c>
      <c r="AK5" s="103" t="s">
        <v>147</v>
      </c>
      <c r="AL5" s="103" t="s">
        <v>147</v>
      </c>
      <c r="AM5" s="103" t="s">
        <v>147</v>
      </c>
      <c r="AN5" s="103" t="s">
        <v>147</v>
      </c>
      <c r="AO5" s="106">
        <v>7</v>
      </c>
    </row>
    <row r="6" spans="1:41" ht="15" customHeight="1">
      <c r="A6" s="107">
        <v>3</v>
      </c>
      <c r="B6" s="108">
        <v>8</v>
      </c>
      <c r="C6" s="108" t="s">
        <v>147</v>
      </c>
      <c r="D6" s="108" t="s">
        <v>147</v>
      </c>
      <c r="E6" s="108" t="s">
        <v>147</v>
      </c>
      <c r="F6" s="108">
        <v>10</v>
      </c>
      <c r="G6" s="108" t="s">
        <v>147</v>
      </c>
      <c r="H6" s="108" t="s">
        <v>147</v>
      </c>
      <c r="I6" s="108" t="s">
        <v>147</v>
      </c>
      <c r="J6" s="108">
        <v>1</v>
      </c>
      <c r="K6" s="108" t="s">
        <v>147</v>
      </c>
      <c r="L6" s="108" t="s">
        <v>147</v>
      </c>
      <c r="M6" s="108" t="s">
        <v>147</v>
      </c>
      <c r="N6" s="108" t="s">
        <v>147</v>
      </c>
      <c r="O6" s="108" t="s">
        <v>147</v>
      </c>
      <c r="P6" s="108" t="s">
        <v>147</v>
      </c>
      <c r="Q6" s="108" t="s">
        <v>147</v>
      </c>
      <c r="R6" s="108" t="s">
        <v>147</v>
      </c>
      <c r="S6" s="108" t="s">
        <v>147</v>
      </c>
      <c r="T6" s="108" t="s">
        <v>147</v>
      </c>
      <c r="U6" s="109" t="s">
        <v>147</v>
      </c>
      <c r="V6" s="110">
        <v>12</v>
      </c>
      <c r="W6" s="108" t="s">
        <v>147</v>
      </c>
      <c r="X6" s="108" t="s">
        <v>147</v>
      </c>
      <c r="Y6" s="108" t="s">
        <v>147</v>
      </c>
      <c r="Z6" s="108" t="s">
        <v>147</v>
      </c>
      <c r="AA6" s="108" t="s">
        <v>147</v>
      </c>
      <c r="AB6" s="108" t="s">
        <v>147</v>
      </c>
      <c r="AC6" s="108" t="s">
        <v>147</v>
      </c>
      <c r="AD6" s="108" t="s">
        <v>147</v>
      </c>
      <c r="AE6" s="108" t="s">
        <v>147</v>
      </c>
      <c r="AF6" s="108" t="s">
        <v>147</v>
      </c>
      <c r="AG6" s="108" t="s">
        <v>147</v>
      </c>
      <c r="AH6" s="108" t="s">
        <v>147</v>
      </c>
      <c r="AI6" s="108" t="s">
        <v>147</v>
      </c>
      <c r="AJ6" s="108" t="s">
        <v>147</v>
      </c>
      <c r="AK6" s="108" t="s">
        <v>147</v>
      </c>
      <c r="AL6" s="108">
        <v>8</v>
      </c>
      <c r="AM6" s="108" t="s">
        <v>147</v>
      </c>
      <c r="AN6" s="108" t="s">
        <v>147</v>
      </c>
      <c r="AO6" s="111" t="s">
        <v>147</v>
      </c>
    </row>
    <row r="7" spans="1:41" ht="15" customHeight="1">
      <c r="A7" s="107">
        <v>2</v>
      </c>
      <c r="B7" s="108" t="s">
        <v>147</v>
      </c>
      <c r="C7" s="108">
        <v>5</v>
      </c>
      <c r="D7" s="108" t="s">
        <v>147</v>
      </c>
      <c r="E7" s="108">
        <v>12</v>
      </c>
      <c r="F7" s="108" t="s">
        <v>147</v>
      </c>
      <c r="G7" s="108" t="s">
        <v>147</v>
      </c>
      <c r="H7" s="108" t="s">
        <v>147</v>
      </c>
      <c r="I7" s="108" t="s">
        <v>147</v>
      </c>
      <c r="J7" s="108" t="s">
        <v>147</v>
      </c>
      <c r="K7" s="108">
        <v>7</v>
      </c>
      <c r="L7" s="108" t="s">
        <v>147</v>
      </c>
      <c r="M7" s="108" t="s">
        <v>147</v>
      </c>
      <c r="N7" s="108" t="s">
        <v>147</v>
      </c>
      <c r="O7" s="108" t="s">
        <v>147</v>
      </c>
      <c r="P7" s="108" t="s">
        <v>147</v>
      </c>
      <c r="Q7" s="108" t="s">
        <v>147</v>
      </c>
      <c r="R7" s="108" t="s">
        <v>147</v>
      </c>
      <c r="S7" s="108" t="s">
        <v>147</v>
      </c>
      <c r="T7" s="108" t="s">
        <v>147</v>
      </c>
      <c r="U7" s="109" t="s">
        <v>147</v>
      </c>
      <c r="V7" s="110" t="s">
        <v>147</v>
      </c>
      <c r="W7" s="108" t="s">
        <v>147</v>
      </c>
      <c r="X7" s="108" t="s">
        <v>147</v>
      </c>
      <c r="Y7" s="108">
        <v>5</v>
      </c>
      <c r="Z7" s="108" t="s">
        <v>147</v>
      </c>
      <c r="AA7" s="108">
        <v>6</v>
      </c>
      <c r="AB7" s="108" t="s">
        <v>147</v>
      </c>
      <c r="AC7" s="108">
        <v>3</v>
      </c>
      <c r="AD7" s="108" t="s">
        <v>147</v>
      </c>
      <c r="AE7" s="108" t="s">
        <v>147</v>
      </c>
      <c r="AF7" s="108" t="s">
        <v>147</v>
      </c>
      <c r="AG7" s="108" t="s">
        <v>147</v>
      </c>
      <c r="AH7" s="108" t="s">
        <v>147</v>
      </c>
      <c r="AI7" s="108">
        <v>11</v>
      </c>
      <c r="AJ7" s="108" t="s">
        <v>147</v>
      </c>
      <c r="AK7" s="108" t="s">
        <v>147</v>
      </c>
      <c r="AL7" s="108" t="s">
        <v>147</v>
      </c>
      <c r="AM7" s="108" t="s">
        <v>147</v>
      </c>
      <c r="AN7" s="108" t="s">
        <v>147</v>
      </c>
      <c r="AO7" s="111" t="s">
        <v>147</v>
      </c>
    </row>
    <row r="8" spans="1:41">
      <c r="A8" s="107">
        <v>1</v>
      </c>
      <c r="B8" s="108" t="s">
        <v>147</v>
      </c>
      <c r="C8" s="108" t="s">
        <v>147</v>
      </c>
      <c r="D8" s="108" t="s">
        <v>147</v>
      </c>
      <c r="E8" s="108" t="s">
        <v>147</v>
      </c>
      <c r="F8" s="108" t="s">
        <v>147</v>
      </c>
      <c r="G8" s="108" t="s">
        <v>147</v>
      </c>
      <c r="H8" s="108">
        <v>9</v>
      </c>
      <c r="I8" s="108" t="s">
        <v>147</v>
      </c>
      <c r="J8" s="108" t="s">
        <v>147</v>
      </c>
      <c r="K8" s="108" t="s">
        <v>147</v>
      </c>
      <c r="L8" s="108">
        <v>2</v>
      </c>
      <c r="M8" s="108" t="s">
        <v>147</v>
      </c>
      <c r="N8" s="108" t="s">
        <v>147</v>
      </c>
      <c r="O8" s="108" t="s">
        <v>147</v>
      </c>
      <c r="P8" s="108">
        <v>11</v>
      </c>
      <c r="Q8" s="108" t="s">
        <v>147</v>
      </c>
      <c r="R8" s="108" t="s">
        <v>147</v>
      </c>
      <c r="S8" s="108" t="s">
        <v>147</v>
      </c>
      <c r="T8" s="108" t="s">
        <v>147</v>
      </c>
      <c r="U8" s="109" t="s">
        <v>147</v>
      </c>
      <c r="V8" s="110" t="s">
        <v>147</v>
      </c>
      <c r="W8" s="108" t="s">
        <v>147</v>
      </c>
      <c r="X8" s="108">
        <v>1</v>
      </c>
      <c r="Y8" s="108" t="s">
        <v>147</v>
      </c>
      <c r="Z8" s="108" t="s">
        <v>147</v>
      </c>
      <c r="AA8" s="108" t="s">
        <v>147</v>
      </c>
      <c r="AB8" s="108">
        <v>2</v>
      </c>
      <c r="AC8" s="108" t="s">
        <v>147</v>
      </c>
      <c r="AD8" s="108" t="s">
        <v>147</v>
      </c>
      <c r="AE8" s="108" t="s">
        <v>147</v>
      </c>
      <c r="AF8" s="108">
        <v>10</v>
      </c>
      <c r="AG8" s="108" t="s">
        <v>147</v>
      </c>
      <c r="AH8" s="108" t="s">
        <v>147</v>
      </c>
      <c r="AI8" s="108" t="s">
        <v>147</v>
      </c>
      <c r="AJ8" s="108">
        <v>9</v>
      </c>
      <c r="AK8" s="108" t="s">
        <v>147</v>
      </c>
      <c r="AL8" s="108" t="s">
        <v>147</v>
      </c>
      <c r="AM8" s="108" t="s">
        <v>147</v>
      </c>
      <c r="AN8" s="108" t="s">
        <v>147</v>
      </c>
      <c r="AO8" s="111" t="s">
        <v>147</v>
      </c>
    </row>
    <row r="9" spans="1:41">
      <c r="A9" s="112" t="s">
        <v>148</v>
      </c>
      <c r="B9" s="113">
        <v>2</v>
      </c>
      <c r="C9" s="113">
        <v>3</v>
      </c>
      <c r="D9" s="113">
        <v>4</v>
      </c>
      <c r="E9" s="113">
        <v>5</v>
      </c>
      <c r="F9" s="113">
        <v>6</v>
      </c>
      <c r="G9" s="113">
        <v>7</v>
      </c>
      <c r="H9" s="113">
        <v>8</v>
      </c>
      <c r="I9" s="113">
        <v>9</v>
      </c>
      <c r="J9" s="113">
        <v>10</v>
      </c>
      <c r="K9" s="113">
        <v>11</v>
      </c>
      <c r="L9" s="113">
        <v>12</v>
      </c>
      <c r="M9" s="113">
        <v>13</v>
      </c>
      <c r="N9" s="113">
        <v>14</v>
      </c>
      <c r="O9" s="113">
        <v>15</v>
      </c>
      <c r="P9" s="113">
        <v>16</v>
      </c>
      <c r="Q9" s="113">
        <v>17</v>
      </c>
      <c r="R9" s="113">
        <v>18</v>
      </c>
      <c r="S9" s="113">
        <v>19</v>
      </c>
      <c r="T9" s="113">
        <v>20</v>
      </c>
      <c r="U9" s="113">
        <v>21</v>
      </c>
      <c r="V9" s="113">
        <v>22</v>
      </c>
      <c r="W9" s="113">
        <v>23</v>
      </c>
      <c r="X9" s="113">
        <v>24</v>
      </c>
      <c r="Y9" s="113">
        <v>25</v>
      </c>
      <c r="Z9" s="113">
        <v>26</v>
      </c>
      <c r="AA9" s="113">
        <v>27</v>
      </c>
      <c r="AB9" s="113">
        <v>28</v>
      </c>
      <c r="AC9" s="113">
        <v>29</v>
      </c>
      <c r="AD9" s="113">
        <v>30</v>
      </c>
      <c r="AE9" s="113">
        <v>31</v>
      </c>
      <c r="AF9" s="113">
        <v>32</v>
      </c>
      <c r="AG9" s="113">
        <v>33</v>
      </c>
      <c r="AH9" s="113">
        <v>34</v>
      </c>
      <c r="AI9" s="113">
        <v>35</v>
      </c>
      <c r="AJ9" s="113">
        <v>36</v>
      </c>
      <c r="AK9" s="113">
        <v>37</v>
      </c>
      <c r="AL9" s="113">
        <v>38</v>
      </c>
      <c r="AM9" s="113">
        <v>39</v>
      </c>
      <c r="AN9" s="113">
        <v>40</v>
      </c>
      <c r="AO9" s="114">
        <v>41</v>
      </c>
    </row>
    <row r="12" spans="1:41">
      <c r="A12" s="128" t="s">
        <v>34</v>
      </c>
      <c r="B12" s="128" t="s">
        <v>35</v>
      </c>
    </row>
    <row r="13" spans="1:41">
      <c r="A13" s="128">
        <v>1</v>
      </c>
      <c r="B13" s="115" t="s">
        <v>160</v>
      </c>
    </row>
    <row r="14" spans="1:41">
      <c r="A14" s="128">
        <v>2</v>
      </c>
      <c r="B14" s="115" t="s">
        <v>159</v>
      </c>
    </row>
    <row r="15" spans="1:41">
      <c r="A15" s="128">
        <v>3</v>
      </c>
      <c r="B15" s="115" t="s">
        <v>158</v>
      </c>
    </row>
    <row r="16" spans="1:41">
      <c r="A16" s="128">
        <v>4</v>
      </c>
      <c r="B16" s="115" t="s">
        <v>157</v>
      </c>
    </row>
    <row r="17" spans="1:2">
      <c r="A17" s="128">
        <v>5</v>
      </c>
      <c r="B17" s="115" t="s">
        <v>156</v>
      </c>
    </row>
    <row r="18" spans="1:2">
      <c r="A18" s="128">
        <v>6</v>
      </c>
      <c r="B18" s="115" t="s">
        <v>155</v>
      </c>
    </row>
    <row r="19" spans="1:2">
      <c r="A19" s="128">
        <v>7</v>
      </c>
      <c r="B19" s="115" t="s">
        <v>154</v>
      </c>
    </row>
    <row r="20" spans="1:2">
      <c r="A20" s="128">
        <v>8</v>
      </c>
      <c r="B20" s="115" t="s">
        <v>153</v>
      </c>
    </row>
    <row r="21" spans="1:2">
      <c r="A21" s="128">
        <v>9</v>
      </c>
      <c r="B21" s="115" t="s">
        <v>152</v>
      </c>
    </row>
    <row r="22" spans="1:2">
      <c r="A22" s="128">
        <v>10</v>
      </c>
      <c r="B22" s="115" t="s">
        <v>151</v>
      </c>
    </row>
    <row r="23" spans="1:2">
      <c r="A23" s="128">
        <v>12</v>
      </c>
      <c r="B23" s="115" t="s">
        <v>150</v>
      </c>
    </row>
    <row r="24" spans="1:2">
      <c r="A24" s="128">
        <v>11</v>
      </c>
      <c r="B24" s="115" t="s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13"/>
  <sheetViews>
    <sheetView workbookViewId="0">
      <selection activeCell="A13" sqref="A1:B13"/>
    </sheetView>
  </sheetViews>
  <sheetFormatPr baseColWidth="10" defaultRowHeight="15"/>
  <cols>
    <col min="1" max="1" width="16.140625" bestFit="1" customWidth="1"/>
    <col min="2" max="2" width="12.85546875" bestFit="1" customWidth="1"/>
  </cols>
  <sheetData>
    <row r="1" spans="1:3">
      <c r="A1" t="s">
        <v>34</v>
      </c>
      <c r="B1" t="s">
        <v>35</v>
      </c>
    </row>
    <row r="2" spans="1:3">
      <c r="A2">
        <v>1</v>
      </c>
      <c r="B2" s="115" t="s">
        <v>160</v>
      </c>
    </row>
    <row r="3" spans="1:3">
      <c r="A3">
        <v>2</v>
      </c>
      <c r="B3" s="115" t="s">
        <v>159</v>
      </c>
      <c r="C3" s="128"/>
    </row>
    <row r="4" spans="1:3">
      <c r="A4">
        <v>3</v>
      </c>
      <c r="B4" s="115" t="s">
        <v>158</v>
      </c>
      <c r="C4" s="128"/>
    </row>
    <row r="5" spans="1:3">
      <c r="A5">
        <v>4</v>
      </c>
      <c r="B5" s="115" t="s">
        <v>157</v>
      </c>
      <c r="C5" s="128"/>
    </row>
    <row r="6" spans="1:3">
      <c r="A6">
        <v>5</v>
      </c>
      <c r="B6" s="115" t="s">
        <v>156</v>
      </c>
      <c r="C6" s="128"/>
    </row>
    <row r="7" spans="1:3">
      <c r="A7">
        <v>6</v>
      </c>
      <c r="B7" s="115" t="s">
        <v>155</v>
      </c>
      <c r="C7" s="128"/>
    </row>
    <row r="8" spans="1:3">
      <c r="A8">
        <v>7</v>
      </c>
      <c r="B8" s="115" t="s">
        <v>154</v>
      </c>
      <c r="C8" s="128"/>
    </row>
    <row r="9" spans="1:3">
      <c r="A9">
        <v>8</v>
      </c>
      <c r="B9" s="115" t="s">
        <v>153</v>
      </c>
      <c r="C9" s="128"/>
    </row>
    <row r="10" spans="1:3">
      <c r="A10">
        <v>9</v>
      </c>
      <c r="B10" s="115" t="s">
        <v>152</v>
      </c>
      <c r="C10" s="128"/>
    </row>
    <row r="11" spans="1:3">
      <c r="A11">
        <v>10</v>
      </c>
      <c r="B11" s="115" t="s">
        <v>151</v>
      </c>
      <c r="C11" s="128"/>
    </row>
    <row r="12" spans="1:3">
      <c r="A12">
        <v>12</v>
      </c>
      <c r="B12" s="115" t="s">
        <v>150</v>
      </c>
      <c r="C12" s="128"/>
    </row>
    <row r="13" spans="1:3">
      <c r="A13">
        <v>11</v>
      </c>
      <c r="B13" s="115" t="s">
        <v>149</v>
      </c>
      <c r="C13" s="12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24"/>
  <sheetViews>
    <sheetView workbookViewId="0">
      <selection activeCell="F14" sqref="F14:G14"/>
    </sheetView>
  </sheetViews>
  <sheetFormatPr baseColWidth="10" defaultRowHeight="15"/>
  <sheetData>
    <row r="1" spans="1:10">
      <c r="A1" s="140" t="s">
        <v>49</v>
      </c>
      <c r="B1" s="140"/>
      <c r="C1" s="140"/>
      <c r="D1" s="140"/>
      <c r="E1" s="140"/>
      <c r="F1" s="140"/>
    </row>
    <row r="2" spans="1:10">
      <c r="A2" s="140"/>
      <c r="B2" s="140"/>
      <c r="C2" s="140"/>
      <c r="D2" s="140"/>
      <c r="E2" s="140"/>
      <c r="F2" s="140"/>
    </row>
    <row r="3" spans="1:10">
      <c r="A3" s="140"/>
      <c r="B3" s="140"/>
      <c r="C3" s="140"/>
      <c r="D3" s="140"/>
      <c r="E3" s="140"/>
      <c r="F3" s="140"/>
    </row>
    <row r="4" spans="1:10">
      <c r="A4" t="s">
        <v>50</v>
      </c>
    </row>
    <row r="5" spans="1:10" ht="28.5" customHeight="1">
      <c r="A5" s="141" t="s">
        <v>36</v>
      </c>
      <c r="B5" s="141"/>
      <c r="C5" s="141"/>
      <c r="D5" s="142" t="s">
        <v>37</v>
      </c>
      <c r="E5" s="142"/>
      <c r="F5" s="142" t="s">
        <v>38</v>
      </c>
      <c r="G5" s="142"/>
      <c r="H5" s="142" t="s">
        <v>39</v>
      </c>
      <c r="I5" s="142"/>
      <c r="J5" t="s">
        <v>168</v>
      </c>
    </row>
    <row r="6" spans="1:10" ht="22.5" customHeight="1">
      <c r="A6" s="134" t="s">
        <v>40</v>
      </c>
      <c r="B6" s="134"/>
      <c r="C6" s="134"/>
      <c r="D6" s="135">
        <v>177</v>
      </c>
      <c r="E6" s="135"/>
      <c r="F6" s="135">
        <v>246</v>
      </c>
      <c r="G6" s="135"/>
      <c r="H6" s="135"/>
      <c r="I6" s="135"/>
      <c r="J6" t="s">
        <v>166</v>
      </c>
    </row>
    <row r="7" spans="1:10" ht="25.5" customHeight="1">
      <c r="A7" s="139" t="s">
        <v>41</v>
      </c>
      <c r="B7" s="139"/>
      <c r="C7" s="139"/>
      <c r="D7" s="135">
        <v>7.64</v>
      </c>
      <c r="E7" s="135"/>
      <c r="F7" s="135">
        <v>4.25</v>
      </c>
      <c r="G7" s="135"/>
      <c r="H7" s="135"/>
      <c r="I7" s="135"/>
      <c r="J7" t="s">
        <v>167</v>
      </c>
    </row>
    <row r="8" spans="1:10" ht="18.75" customHeight="1">
      <c r="A8" s="134" t="s">
        <v>42</v>
      </c>
      <c r="B8" s="134"/>
      <c r="C8" s="134"/>
      <c r="D8" s="135">
        <v>19.940000000000001</v>
      </c>
      <c r="E8" s="135"/>
      <c r="F8" s="135">
        <v>14.04</v>
      </c>
      <c r="G8" s="135"/>
      <c r="H8" s="135"/>
      <c r="I8" s="135"/>
      <c r="J8" t="s">
        <v>166</v>
      </c>
    </row>
    <row r="9" spans="1:10">
      <c r="A9" s="134" t="s">
        <v>43</v>
      </c>
      <c r="B9" s="134"/>
      <c r="C9" s="134"/>
      <c r="D9" s="135">
        <v>323</v>
      </c>
      <c r="E9" s="135"/>
      <c r="F9" s="135">
        <v>313</v>
      </c>
      <c r="G9" s="135"/>
      <c r="H9" s="135"/>
      <c r="I9" s="135"/>
      <c r="J9" t="s">
        <v>166</v>
      </c>
    </row>
    <row r="10" spans="1:10">
      <c r="A10" s="134" t="s">
        <v>44</v>
      </c>
      <c r="B10" s="134"/>
      <c r="C10" s="134"/>
      <c r="D10" s="135">
        <v>85</v>
      </c>
      <c r="E10" s="135"/>
      <c r="F10" s="135">
        <v>60</v>
      </c>
      <c r="G10" s="135"/>
      <c r="H10" s="135"/>
      <c r="I10" s="135"/>
      <c r="J10" t="s">
        <v>166</v>
      </c>
    </row>
    <row r="11" spans="1:10">
      <c r="A11" s="134" t="s">
        <v>45</v>
      </c>
      <c r="B11" s="134"/>
      <c r="C11" s="134"/>
      <c r="D11" s="135">
        <v>34.5</v>
      </c>
      <c r="E11" s="135"/>
      <c r="F11" s="135">
        <v>24.29</v>
      </c>
      <c r="G11" s="135"/>
      <c r="H11" s="135"/>
      <c r="I11" s="135"/>
      <c r="J11" t="s">
        <v>166</v>
      </c>
    </row>
    <row r="12" spans="1:10">
      <c r="A12" s="134" t="s">
        <v>46</v>
      </c>
      <c r="B12" s="134"/>
      <c r="C12" s="134"/>
      <c r="D12" s="135">
        <v>8.1999999999999993</v>
      </c>
      <c r="E12" s="135"/>
      <c r="F12" s="135">
        <v>8.5500000000000007</v>
      </c>
      <c r="G12" s="135"/>
      <c r="H12" s="135"/>
      <c r="I12" s="135"/>
    </row>
    <row r="13" spans="1:10">
      <c r="A13" s="134" t="s">
        <v>47</v>
      </c>
      <c r="B13" s="134"/>
      <c r="C13" s="134"/>
      <c r="D13" s="135">
        <v>72</v>
      </c>
      <c r="E13" s="135"/>
      <c r="F13" s="135">
        <v>63</v>
      </c>
      <c r="G13" s="135"/>
      <c r="H13" s="135"/>
      <c r="I13" s="135"/>
      <c r="J13" t="s">
        <v>166</v>
      </c>
    </row>
    <row r="14" spans="1:10">
      <c r="A14" s="136" t="s">
        <v>48</v>
      </c>
      <c r="B14" s="137"/>
      <c r="C14" s="138"/>
      <c r="D14" s="135">
        <v>343</v>
      </c>
      <c r="E14" s="135"/>
      <c r="F14" s="135">
        <v>318</v>
      </c>
      <c r="G14" s="135"/>
      <c r="H14" s="135"/>
      <c r="I14" s="135"/>
      <c r="J14" t="s">
        <v>166</v>
      </c>
    </row>
    <row r="15" spans="1:10">
      <c r="H15" s="131" t="s">
        <v>224</v>
      </c>
      <c r="I15" s="131"/>
    </row>
    <row r="16" spans="1:10">
      <c r="A16" t="s">
        <v>51</v>
      </c>
    </row>
    <row r="18" spans="1:4">
      <c r="A18" s="132" t="s">
        <v>36</v>
      </c>
      <c r="B18" s="132"/>
      <c r="C18" s="12" t="s">
        <v>55</v>
      </c>
    </row>
    <row r="19" spans="1:4">
      <c r="A19" s="133" t="s">
        <v>52</v>
      </c>
      <c r="B19" s="133"/>
      <c r="C19" s="13"/>
    </row>
    <row r="20" spans="1:4">
      <c r="A20" s="133" t="s">
        <v>53</v>
      </c>
      <c r="B20" s="133"/>
      <c r="C20" s="13"/>
    </row>
    <row r="21" spans="1:4">
      <c r="A21" s="133" t="s">
        <v>54</v>
      </c>
      <c r="B21" s="133"/>
      <c r="C21" s="13"/>
    </row>
    <row r="22" spans="1:4">
      <c r="A22" s="133" t="s">
        <v>95</v>
      </c>
      <c r="B22" s="133"/>
      <c r="C22" s="13"/>
    </row>
    <row r="23" spans="1:4">
      <c r="A23" s="116"/>
      <c r="B23" s="116"/>
      <c r="C23" s="117" t="s">
        <v>163</v>
      </c>
      <c r="D23" t="s">
        <v>164</v>
      </c>
    </row>
    <row r="24" spans="1:4">
      <c r="A24" t="s">
        <v>161</v>
      </c>
      <c r="C24" t="s">
        <v>162</v>
      </c>
      <c r="D24" t="s">
        <v>165</v>
      </c>
    </row>
  </sheetData>
  <mergeCells count="47">
    <mergeCell ref="A6:C6"/>
    <mergeCell ref="D6:E6"/>
    <mergeCell ref="F6:G6"/>
    <mergeCell ref="H6:I6"/>
    <mergeCell ref="A1:F3"/>
    <mergeCell ref="A5:C5"/>
    <mergeCell ref="D5:E5"/>
    <mergeCell ref="F5:G5"/>
    <mergeCell ref="H5:I5"/>
    <mergeCell ref="A7:C7"/>
    <mergeCell ref="D7:E7"/>
    <mergeCell ref="F7:G7"/>
    <mergeCell ref="H7:I7"/>
    <mergeCell ref="A8:C8"/>
    <mergeCell ref="D8:E8"/>
    <mergeCell ref="F8:G8"/>
    <mergeCell ref="H8:I8"/>
    <mergeCell ref="A9:C9"/>
    <mergeCell ref="D9:E9"/>
    <mergeCell ref="F9:G9"/>
    <mergeCell ref="H9:I9"/>
    <mergeCell ref="A10:C10"/>
    <mergeCell ref="D10:E10"/>
    <mergeCell ref="F10:G10"/>
    <mergeCell ref="H10:I10"/>
    <mergeCell ref="A11:C11"/>
    <mergeCell ref="D11:E11"/>
    <mergeCell ref="F11:G11"/>
    <mergeCell ref="H11:I11"/>
    <mergeCell ref="A12:C12"/>
    <mergeCell ref="D12:E12"/>
    <mergeCell ref="F12:G12"/>
    <mergeCell ref="H12:I12"/>
    <mergeCell ref="A22:B22"/>
    <mergeCell ref="A13:C13"/>
    <mergeCell ref="D13:E13"/>
    <mergeCell ref="F13:G13"/>
    <mergeCell ref="H13:I13"/>
    <mergeCell ref="D14:E14"/>
    <mergeCell ref="F14:G14"/>
    <mergeCell ref="H14:I14"/>
    <mergeCell ref="A14:C14"/>
    <mergeCell ref="H15:I15"/>
    <mergeCell ref="A18:B18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Y32"/>
  <sheetViews>
    <sheetView workbookViewId="0">
      <selection activeCell="J18" sqref="J18"/>
    </sheetView>
  </sheetViews>
  <sheetFormatPr baseColWidth="10" defaultRowHeight="15"/>
  <cols>
    <col min="3" max="4" width="2.7109375" bestFit="1" customWidth="1"/>
    <col min="9" max="9" width="14.28515625" bestFit="1" customWidth="1"/>
    <col min="10" max="10" width="11.140625" bestFit="1" customWidth="1"/>
    <col min="13" max="13" width="14.28515625" bestFit="1" customWidth="1"/>
    <col min="14" max="14" width="11.140625" bestFit="1" customWidth="1"/>
    <col min="16" max="16" width="14.42578125" bestFit="1" customWidth="1"/>
    <col min="18" max="18" width="10.42578125" bestFit="1" customWidth="1"/>
    <col min="19" max="19" width="12.42578125" bestFit="1" customWidth="1"/>
    <col min="24" max="24" width="15.85546875" bestFit="1" customWidth="1"/>
  </cols>
  <sheetData>
    <row r="1" spans="1:25" ht="16.5" thickBot="1">
      <c r="C1" s="14"/>
      <c r="D1" s="14"/>
      <c r="E1" s="14"/>
      <c r="F1" s="14"/>
      <c r="G1" s="15"/>
      <c r="H1" s="160" t="s">
        <v>56</v>
      </c>
      <c r="I1" s="160"/>
      <c r="J1" s="160"/>
      <c r="K1" s="161" t="s">
        <v>57</v>
      </c>
      <c r="L1" s="160"/>
      <c r="M1" s="160"/>
      <c r="N1" s="160"/>
      <c r="O1" s="160"/>
      <c r="P1" s="160"/>
      <c r="Q1" s="160"/>
      <c r="R1" s="160"/>
      <c r="S1" s="162" t="s">
        <v>58</v>
      </c>
      <c r="T1" s="163"/>
      <c r="U1" s="164" t="s">
        <v>59</v>
      </c>
      <c r="V1" s="164"/>
      <c r="W1" s="165"/>
      <c r="X1" s="16"/>
      <c r="Y1" s="17"/>
    </row>
    <row r="2" spans="1:25" ht="16.5" thickTop="1" thickBot="1">
      <c r="A2" s="18" t="s">
        <v>60</v>
      </c>
      <c r="B2" s="19" t="s">
        <v>61</v>
      </c>
      <c r="C2" s="19" t="s">
        <v>62</v>
      </c>
      <c r="D2" s="19" t="s">
        <v>63</v>
      </c>
      <c r="E2" s="19" t="s">
        <v>64</v>
      </c>
      <c r="F2" s="19" t="s">
        <v>65</v>
      </c>
      <c r="G2" s="19" t="s">
        <v>66</v>
      </c>
      <c r="H2" s="20" t="s">
        <v>67</v>
      </c>
      <c r="I2" s="21" t="s">
        <v>68</v>
      </c>
      <c r="J2" s="22" t="s">
        <v>69</v>
      </c>
      <c r="K2" s="23" t="s">
        <v>67</v>
      </c>
      <c r="L2" s="24" t="s">
        <v>70</v>
      </c>
      <c r="M2" s="25" t="s">
        <v>68</v>
      </c>
      <c r="N2" s="26" t="s">
        <v>69</v>
      </c>
      <c r="O2" s="24" t="s">
        <v>71</v>
      </c>
      <c r="P2" s="25" t="s">
        <v>72</v>
      </c>
      <c r="Q2" s="27" t="s">
        <v>73</v>
      </c>
      <c r="R2" s="28" t="s">
        <v>74</v>
      </c>
      <c r="S2" s="24" t="s">
        <v>75</v>
      </c>
      <c r="T2" s="29" t="s">
        <v>76</v>
      </c>
      <c r="U2" s="18" t="s">
        <v>77</v>
      </c>
      <c r="V2" s="26" t="s">
        <v>78</v>
      </c>
      <c r="W2" s="24" t="s">
        <v>79</v>
      </c>
      <c r="X2" s="29" t="s">
        <v>80</v>
      </c>
      <c r="Y2" s="30" t="s">
        <v>81</v>
      </c>
    </row>
    <row r="3" spans="1:25" ht="15.75" thickTop="1">
      <c r="A3" s="31" t="s">
        <v>170</v>
      </c>
      <c r="B3" s="32"/>
      <c r="C3" s="42" t="s">
        <v>174</v>
      </c>
      <c r="D3" s="33" t="s">
        <v>175</v>
      </c>
      <c r="E3" s="31" t="s">
        <v>138</v>
      </c>
      <c r="F3" t="s">
        <v>178</v>
      </c>
      <c r="G3" s="152" t="s">
        <v>180</v>
      </c>
      <c r="H3" s="119">
        <v>32</v>
      </c>
      <c r="I3" s="166">
        <v>1700</v>
      </c>
      <c r="J3" s="167"/>
      <c r="K3" s="35">
        <v>8</v>
      </c>
      <c r="L3" s="120">
        <f>1-(O3-R3)/O3</f>
        <v>0.21999999999999997</v>
      </c>
      <c r="M3" s="154"/>
      <c r="N3" s="155"/>
      <c r="O3" s="36">
        <v>500</v>
      </c>
      <c r="P3" s="154"/>
      <c r="Q3" s="155"/>
      <c r="R3" s="37">
        <v>110</v>
      </c>
      <c r="S3" s="38">
        <f>((I3+O3)*L3)/100</f>
        <v>4.84</v>
      </c>
      <c r="T3" s="38">
        <f>4.48*S3^(-0.25)</f>
        <v>3.0204153838353247</v>
      </c>
      <c r="U3" s="154"/>
      <c r="V3" s="155"/>
      <c r="W3" s="121">
        <v>17.829999999999998</v>
      </c>
      <c r="Y3" s="39">
        <f>(W3/10)/T3</f>
        <v>0.59031615636123058</v>
      </c>
    </row>
    <row r="4" spans="1:25">
      <c r="A4" s="31" t="s">
        <v>170</v>
      </c>
      <c r="B4" s="41"/>
      <c r="C4" s="42" t="s">
        <v>176</v>
      </c>
      <c r="D4" s="42" t="s">
        <v>177</v>
      </c>
      <c r="E4" s="31" t="s">
        <v>138</v>
      </c>
      <c r="F4" t="s">
        <v>179</v>
      </c>
      <c r="G4" s="152"/>
      <c r="H4" s="119">
        <v>35</v>
      </c>
      <c r="I4" s="149">
        <v>2840</v>
      </c>
      <c r="J4" s="150"/>
      <c r="K4" s="44">
        <v>8</v>
      </c>
      <c r="L4" s="123">
        <f>1-(O4-R4)/O4</f>
        <v>8.7777777777777732E-2</v>
      </c>
      <c r="M4" s="149"/>
      <c r="N4" s="150"/>
      <c r="O4" s="45">
        <v>900</v>
      </c>
      <c r="P4" s="149"/>
      <c r="Q4" s="150"/>
      <c r="R4" s="46">
        <v>79</v>
      </c>
      <c r="S4" s="47">
        <f>((I4+O4)*L4)/100</f>
        <v>3.2828888888888872</v>
      </c>
      <c r="T4" s="47">
        <f>4.48*S4^(-0.25)</f>
        <v>3.3282348821450127</v>
      </c>
      <c r="U4" s="149"/>
      <c r="V4" s="150"/>
      <c r="W4" s="122">
        <v>18.75</v>
      </c>
      <c r="Y4" s="48">
        <f>(W4/10)/T4</f>
        <v>0.56336168161051847</v>
      </c>
    </row>
    <row r="5" spans="1:25">
      <c r="A5" s="40"/>
      <c r="B5" s="41"/>
      <c r="C5" s="42"/>
      <c r="D5" s="42"/>
      <c r="E5" s="40"/>
      <c r="F5" s="40"/>
      <c r="G5" s="152"/>
      <c r="H5" s="43"/>
      <c r="I5" s="149"/>
      <c r="J5" s="150"/>
      <c r="K5" s="44"/>
      <c r="L5" s="50"/>
      <c r="M5" s="158"/>
      <c r="N5" s="159"/>
      <c r="O5" s="51"/>
      <c r="P5" s="158"/>
      <c r="Q5" s="159"/>
      <c r="R5" s="52"/>
      <c r="S5" s="53"/>
      <c r="T5" s="53"/>
      <c r="U5" s="158"/>
      <c r="V5" s="159"/>
      <c r="W5" s="54"/>
      <c r="X5" s="54"/>
      <c r="Y5" s="55"/>
    </row>
    <row r="6" spans="1:25">
      <c r="A6" s="40"/>
      <c r="B6" s="41"/>
      <c r="C6" s="42"/>
      <c r="D6" s="42"/>
      <c r="E6" s="40"/>
      <c r="F6" s="40"/>
      <c r="G6" s="152"/>
      <c r="H6" s="56"/>
      <c r="I6" s="149"/>
      <c r="J6" s="150"/>
      <c r="K6" s="44"/>
      <c r="L6" s="45"/>
      <c r="M6" s="147"/>
      <c r="N6" s="148"/>
      <c r="O6" s="45"/>
      <c r="P6" s="147"/>
      <c r="Q6" s="148"/>
      <c r="R6" s="57"/>
      <c r="S6" s="58"/>
      <c r="T6" s="58"/>
      <c r="U6" s="147"/>
      <c r="V6" s="148"/>
      <c r="W6" s="48"/>
      <c r="X6" s="48"/>
      <c r="Y6" s="49"/>
    </row>
    <row r="7" spans="1:25">
      <c r="A7" s="40"/>
      <c r="B7" s="41"/>
      <c r="C7" s="42"/>
      <c r="D7" s="42"/>
      <c r="E7" s="40"/>
      <c r="F7" s="40"/>
      <c r="G7" s="152"/>
      <c r="H7" s="43"/>
      <c r="I7" s="149"/>
      <c r="J7" s="150"/>
      <c r="K7" s="44"/>
      <c r="L7" s="45"/>
      <c r="M7" s="147"/>
      <c r="N7" s="148"/>
      <c r="O7" s="45"/>
      <c r="P7" s="147"/>
      <c r="Q7" s="148"/>
      <c r="R7" s="57"/>
      <c r="S7" s="58"/>
      <c r="T7" s="58"/>
      <c r="U7" s="147"/>
      <c r="V7" s="148"/>
      <c r="W7" s="48"/>
      <c r="X7" s="48"/>
      <c r="Y7" s="49"/>
    </row>
    <row r="8" spans="1:25" ht="15.75" thickBot="1">
      <c r="A8" s="59"/>
      <c r="B8" s="60"/>
      <c r="C8" s="61"/>
      <c r="D8" s="61"/>
      <c r="E8" s="59"/>
      <c r="F8" s="59"/>
      <c r="G8" s="153"/>
      <c r="H8" s="62"/>
      <c r="I8" s="143"/>
      <c r="J8" s="144"/>
      <c r="K8" s="63"/>
      <c r="L8" s="64"/>
      <c r="M8" s="145"/>
      <c r="N8" s="146"/>
      <c r="O8" s="64"/>
      <c r="P8" s="145"/>
      <c r="Q8" s="146"/>
      <c r="R8" s="65"/>
      <c r="S8" s="66"/>
      <c r="T8" s="66"/>
      <c r="U8" s="145"/>
      <c r="V8" s="146"/>
      <c r="W8" s="67"/>
      <c r="X8" s="67"/>
      <c r="Y8" s="68"/>
    </row>
    <row r="9" spans="1:25" ht="15.75" thickTop="1">
      <c r="A9" s="31"/>
      <c r="B9" s="32"/>
      <c r="C9" s="33"/>
      <c r="D9" s="33"/>
      <c r="E9" s="31"/>
      <c r="F9" s="31"/>
      <c r="G9" s="151"/>
      <c r="H9" s="34"/>
      <c r="I9" s="154"/>
      <c r="J9" s="155"/>
      <c r="K9" s="35"/>
      <c r="L9" s="69"/>
      <c r="M9" s="156"/>
      <c r="N9" s="157"/>
      <c r="O9" s="69"/>
      <c r="P9" s="156"/>
      <c r="Q9" s="157"/>
      <c r="R9" s="70"/>
      <c r="S9" s="71"/>
      <c r="T9" s="71"/>
      <c r="U9" s="156"/>
      <c r="V9" s="157"/>
      <c r="W9" s="72"/>
      <c r="X9" s="72"/>
      <c r="Y9" s="73"/>
    </row>
    <row r="10" spans="1:25">
      <c r="A10" s="40"/>
      <c r="B10" s="41"/>
      <c r="C10" s="42"/>
      <c r="D10" s="42"/>
      <c r="E10" s="40"/>
      <c r="F10" s="40"/>
      <c r="G10" s="152"/>
      <c r="H10" s="43"/>
      <c r="I10" s="149"/>
      <c r="J10" s="150"/>
      <c r="K10" s="44"/>
      <c r="L10" s="45"/>
      <c r="M10" s="147"/>
      <c r="N10" s="148"/>
      <c r="O10" s="45"/>
      <c r="P10" s="147"/>
      <c r="Q10" s="148"/>
      <c r="R10" s="57"/>
      <c r="S10" s="58"/>
      <c r="T10" s="74"/>
      <c r="U10" s="147"/>
      <c r="V10" s="148"/>
      <c r="W10" s="48"/>
      <c r="X10" s="48"/>
      <c r="Y10" s="49"/>
    </row>
    <row r="11" spans="1:25">
      <c r="A11" s="40"/>
      <c r="B11" s="41"/>
      <c r="C11" s="42"/>
      <c r="D11" s="42"/>
      <c r="E11" s="40"/>
      <c r="F11" s="40"/>
      <c r="G11" s="152"/>
      <c r="H11" s="43"/>
      <c r="I11" s="149"/>
      <c r="J11" s="150"/>
      <c r="K11" s="44"/>
      <c r="L11" s="45"/>
      <c r="M11" s="147"/>
      <c r="N11" s="148"/>
      <c r="O11" s="45"/>
      <c r="P11" s="147"/>
      <c r="Q11" s="148"/>
      <c r="R11" s="57"/>
      <c r="S11" s="58"/>
      <c r="T11" s="74"/>
      <c r="U11" s="147"/>
      <c r="V11" s="148"/>
      <c r="W11" s="48"/>
      <c r="X11" s="48"/>
      <c r="Y11" s="49"/>
    </row>
    <row r="12" spans="1:25">
      <c r="A12" s="40"/>
      <c r="B12" s="41"/>
      <c r="C12" s="42"/>
      <c r="D12" s="42"/>
      <c r="E12" s="40"/>
      <c r="F12" s="40"/>
      <c r="G12" s="152"/>
      <c r="H12" s="43"/>
      <c r="I12" s="149"/>
      <c r="J12" s="150"/>
      <c r="K12" s="44"/>
      <c r="L12" s="45"/>
      <c r="M12" s="147"/>
      <c r="N12" s="148"/>
      <c r="O12" s="45"/>
      <c r="P12" s="147"/>
      <c r="Q12" s="148"/>
      <c r="R12" s="57"/>
      <c r="S12" s="58"/>
      <c r="T12" s="58"/>
      <c r="U12" s="147"/>
      <c r="V12" s="148"/>
      <c r="W12" s="48"/>
      <c r="X12" s="48"/>
      <c r="Y12" s="49"/>
    </row>
    <row r="13" spans="1:25">
      <c r="A13" s="40"/>
      <c r="B13" s="41"/>
      <c r="C13" s="42"/>
      <c r="D13" s="42"/>
      <c r="E13" s="40"/>
      <c r="F13" s="40"/>
      <c r="G13" s="152"/>
      <c r="H13" s="43"/>
      <c r="I13" s="149"/>
      <c r="J13" s="150"/>
      <c r="K13" s="44"/>
      <c r="L13" s="45"/>
      <c r="M13" s="147"/>
      <c r="N13" s="148"/>
      <c r="O13" s="45"/>
      <c r="P13" s="147"/>
      <c r="Q13" s="148"/>
      <c r="R13" s="57"/>
      <c r="S13" s="58"/>
      <c r="T13" s="58"/>
      <c r="U13" s="147"/>
      <c r="V13" s="148"/>
      <c r="W13" s="48"/>
      <c r="X13" s="48"/>
      <c r="Y13" s="49"/>
    </row>
    <row r="14" spans="1:25" ht="15.75" thickBot="1">
      <c r="A14" s="59"/>
      <c r="B14" s="60"/>
      <c r="C14" s="61"/>
      <c r="D14" s="61"/>
      <c r="E14" s="59"/>
      <c r="F14" s="59"/>
      <c r="G14" s="153"/>
      <c r="H14" s="75"/>
      <c r="I14" s="143"/>
      <c r="J14" s="144"/>
      <c r="K14" s="76"/>
      <c r="L14" s="64"/>
      <c r="M14" s="145"/>
      <c r="N14" s="146"/>
      <c r="O14" s="64"/>
      <c r="P14" s="145"/>
      <c r="Q14" s="146"/>
      <c r="R14" s="65"/>
      <c r="S14" s="66"/>
      <c r="T14" s="66"/>
      <c r="U14" s="145"/>
      <c r="V14" s="146"/>
      <c r="W14" s="67"/>
      <c r="X14" s="67"/>
      <c r="Y14" s="68"/>
    </row>
    <row r="15" spans="1:25" ht="15.75" thickTop="1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8"/>
      <c r="T15" s="78"/>
      <c r="U15" s="77"/>
      <c r="V15" s="77"/>
      <c r="W15" s="78"/>
      <c r="X15" s="78"/>
      <c r="Y15" s="78"/>
    </row>
    <row r="16" spans="1:25">
      <c r="A16" s="77"/>
      <c r="C16" s="77"/>
      <c r="D16" s="77"/>
      <c r="E16" s="77"/>
      <c r="F16" s="77"/>
      <c r="R16" s="77"/>
      <c r="S16" s="78"/>
      <c r="T16" s="78"/>
      <c r="U16" s="77"/>
      <c r="V16" s="77"/>
      <c r="W16" s="78"/>
      <c r="X16" s="78"/>
      <c r="Y16" s="78"/>
    </row>
    <row r="17" spans="1:25">
      <c r="A17" s="79" t="s">
        <v>82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8"/>
      <c r="T17" s="78"/>
      <c r="U17" s="77"/>
      <c r="V17" s="77"/>
      <c r="W17" s="78"/>
      <c r="X17" s="78"/>
      <c r="Y17" s="78"/>
    </row>
    <row r="18" spans="1:25">
      <c r="A18" s="80" t="s">
        <v>83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8"/>
      <c r="T18" s="78"/>
      <c r="U18" s="77"/>
      <c r="V18" s="77"/>
      <c r="W18" s="78"/>
      <c r="X18" s="78"/>
      <c r="Y18" s="78"/>
    </row>
    <row r="19" spans="1:25">
      <c r="A19" s="80" t="s">
        <v>84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8"/>
      <c r="T19" s="78"/>
      <c r="U19" s="77"/>
      <c r="V19" s="77"/>
      <c r="W19" s="78"/>
      <c r="X19" s="78"/>
      <c r="Y19" s="78"/>
    </row>
    <row r="20" spans="1:25">
      <c r="A20" s="80" t="s">
        <v>85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8"/>
      <c r="T20" s="78"/>
      <c r="U20" s="77"/>
      <c r="V20" s="77"/>
      <c r="W20" s="78"/>
      <c r="X20" s="78"/>
      <c r="Y20" s="78"/>
    </row>
    <row r="21" spans="1:25">
      <c r="A21" s="79" t="s">
        <v>86</v>
      </c>
      <c r="B21" s="77"/>
      <c r="C21" s="77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8"/>
      <c r="T21" s="78"/>
      <c r="U21" s="77"/>
      <c r="V21" s="77"/>
      <c r="W21" s="78"/>
      <c r="X21" s="78"/>
      <c r="Y21" s="78"/>
    </row>
    <row r="22" spans="1:25">
      <c r="A22" s="79" t="s">
        <v>87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8"/>
      <c r="T22" s="78"/>
      <c r="U22" s="77"/>
      <c r="V22" s="77"/>
      <c r="W22" s="78"/>
      <c r="X22" s="78"/>
      <c r="Y22" s="78"/>
    </row>
    <row r="23" spans="1:25">
      <c r="A23" s="79" t="s">
        <v>88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8"/>
      <c r="T23" s="78"/>
      <c r="U23" s="77"/>
      <c r="V23" s="77"/>
      <c r="W23" s="78"/>
      <c r="X23" s="78"/>
      <c r="Y23" s="78"/>
    </row>
    <row r="24" spans="1:25">
      <c r="A24" s="80" t="s">
        <v>89</v>
      </c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8"/>
      <c r="T24" s="78"/>
      <c r="U24" s="77"/>
      <c r="V24" s="77"/>
      <c r="W24" s="78"/>
      <c r="X24" s="78"/>
      <c r="Y24" s="78"/>
    </row>
    <row r="25" spans="1:25">
      <c r="A25" s="80" t="s">
        <v>90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8"/>
      <c r="T25" s="78"/>
      <c r="U25" s="77"/>
      <c r="V25" s="77"/>
      <c r="W25" s="78"/>
      <c r="X25" s="78"/>
      <c r="Y25" s="78"/>
    </row>
    <row r="26" spans="1:25">
      <c r="A26" s="80" t="s">
        <v>91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8"/>
      <c r="T26" s="78"/>
      <c r="U26" s="77"/>
      <c r="V26" s="77"/>
      <c r="W26" s="78"/>
      <c r="X26" s="78"/>
      <c r="Y26" s="78"/>
    </row>
    <row r="27" spans="1:25">
      <c r="A27" s="80" t="s">
        <v>92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8"/>
      <c r="P27" s="77"/>
      <c r="Q27" s="77"/>
      <c r="R27" s="77"/>
      <c r="S27" s="78"/>
      <c r="T27" s="78"/>
      <c r="U27" s="77"/>
      <c r="V27" s="77"/>
      <c r="W27" s="78"/>
      <c r="X27" s="78"/>
      <c r="Y27" s="78"/>
    </row>
    <row r="28" spans="1:25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8"/>
      <c r="P28" s="77"/>
      <c r="Q28" s="77"/>
      <c r="R28" s="77"/>
      <c r="S28" s="78"/>
      <c r="T28" s="78"/>
      <c r="U28" s="77"/>
      <c r="V28" s="77"/>
      <c r="W28" s="78"/>
      <c r="X28" s="78"/>
      <c r="Y28" s="78"/>
    </row>
    <row r="29" spans="1:25">
      <c r="A29" s="77" t="s">
        <v>93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8"/>
      <c r="P29" s="77"/>
      <c r="Q29" s="77"/>
      <c r="R29" s="77"/>
      <c r="S29" s="78"/>
      <c r="T29" s="78"/>
      <c r="U29" s="77"/>
      <c r="V29" s="77"/>
      <c r="W29" s="78"/>
      <c r="X29" s="78"/>
      <c r="Y29" s="78"/>
    </row>
    <row r="30" spans="1:25">
      <c r="A30" s="77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8"/>
      <c r="P30" s="77"/>
      <c r="Q30" s="77"/>
      <c r="R30" s="77"/>
      <c r="S30" s="78"/>
      <c r="T30" s="78"/>
      <c r="U30" s="77"/>
      <c r="V30" s="77"/>
      <c r="W30" s="78"/>
      <c r="X30" s="78"/>
      <c r="Y30" s="78"/>
    </row>
    <row r="31" spans="1:25">
      <c r="A31" s="77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8"/>
      <c r="P31" s="77"/>
      <c r="Q31" s="77"/>
      <c r="R31" s="77"/>
      <c r="S31" s="78"/>
      <c r="T31" s="78"/>
      <c r="U31" s="77"/>
      <c r="V31" s="77"/>
      <c r="W31" s="78"/>
      <c r="X31" s="78"/>
      <c r="Y31" s="78"/>
    </row>
    <row r="32" spans="1:25">
      <c r="A32" s="77"/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8"/>
      <c r="P32" s="77"/>
      <c r="Q32" s="77"/>
      <c r="R32" s="77"/>
      <c r="S32" s="78"/>
      <c r="T32" s="78"/>
      <c r="U32" s="77"/>
      <c r="V32" s="77"/>
      <c r="W32" s="78"/>
      <c r="X32" s="78"/>
      <c r="Y32" s="78"/>
    </row>
  </sheetData>
  <mergeCells count="54">
    <mergeCell ref="H1:J1"/>
    <mergeCell ref="K1:R1"/>
    <mergeCell ref="S1:T1"/>
    <mergeCell ref="U1:W1"/>
    <mergeCell ref="G3:G8"/>
    <mergeCell ref="I3:J3"/>
    <mergeCell ref="M3:N3"/>
    <mergeCell ref="P3:Q3"/>
    <mergeCell ref="U3:V3"/>
    <mergeCell ref="I4:J4"/>
    <mergeCell ref="M4:N4"/>
    <mergeCell ref="P4:Q4"/>
    <mergeCell ref="U4:V4"/>
    <mergeCell ref="I5:J5"/>
    <mergeCell ref="M5:N5"/>
    <mergeCell ref="P5:Q5"/>
    <mergeCell ref="U5:V5"/>
    <mergeCell ref="I6:J6"/>
    <mergeCell ref="M6:N6"/>
    <mergeCell ref="P6:Q6"/>
    <mergeCell ref="U6:V6"/>
    <mergeCell ref="I7:J7"/>
    <mergeCell ref="M7:N7"/>
    <mergeCell ref="P7:Q7"/>
    <mergeCell ref="U7:V7"/>
    <mergeCell ref="I8:J8"/>
    <mergeCell ref="M8:N8"/>
    <mergeCell ref="P8:Q8"/>
    <mergeCell ref="U8:V8"/>
    <mergeCell ref="G9:G14"/>
    <mergeCell ref="I9:J9"/>
    <mergeCell ref="M9:N9"/>
    <mergeCell ref="P9:Q9"/>
    <mergeCell ref="U9:V9"/>
    <mergeCell ref="I10:J10"/>
    <mergeCell ref="M10:N10"/>
    <mergeCell ref="P10:Q10"/>
    <mergeCell ref="U10:V10"/>
    <mergeCell ref="I11:J11"/>
    <mergeCell ref="M11:N11"/>
    <mergeCell ref="P11:Q11"/>
    <mergeCell ref="U11:V11"/>
    <mergeCell ref="I12:J12"/>
    <mergeCell ref="M12:N12"/>
    <mergeCell ref="P12:Q12"/>
    <mergeCell ref="I14:J14"/>
    <mergeCell ref="M14:N14"/>
    <mergeCell ref="P14:Q14"/>
    <mergeCell ref="U14:V14"/>
    <mergeCell ref="U12:V12"/>
    <mergeCell ref="I13:J13"/>
    <mergeCell ref="M13:N13"/>
    <mergeCell ref="P13:Q13"/>
    <mergeCell ref="U13:V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AE25"/>
  <sheetViews>
    <sheetView topLeftCell="F1" zoomScale="85" zoomScaleNormal="85" workbookViewId="0">
      <selection activeCell="Y27" sqref="Y27"/>
    </sheetView>
  </sheetViews>
  <sheetFormatPr baseColWidth="10" defaultRowHeight="15"/>
  <cols>
    <col min="1" max="1" width="6.85546875" bestFit="1" customWidth="1"/>
    <col min="2" max="2" width="10.28515625" bestFit="1" customWidth="1"/>
    <col min="3" max="3" width="4.7109375" bestFit="1" customWidth="1"/>
    <col min="4" max="4" width="10.85546875" bestFit="1" customWidth="1"/>
    <col min="5" max="5" width="10.7109375" bestFit="1" customWidth="1"/>
    <col min="6" max="6" width="12" bestFit="1" customWidth="1"/>
    <col min="7" max="7" width="6.7109375" bestFit="1" customWidth="1"/>
    <col min="8" max="8" width="9.140625" bestFit="1" customWidth="1"/>
    <col min="9" max="9" width="10.42578125" bestFit="1" customWidth="1"/>
    <col min="10" max="10" width="9.42578125" bestFit="1" customWidth="1"/>
    <col min="11" max="11" width="13.85546875" bestFit="1" customWidth="1"/>
    <col min="12" max="12" width="12.5703125" bestFit="1" customWidth="1"/>
    <col min="13" max="13" width="6.28515625" bestFit="1" customWidth="1"/>
    <col min="14" max="14" width="8.7109375" bestFit="1" customWidth="1"/>
    <col min="15" max="15" width="6.28515625" bestFit="1" customWidth="1"/>
    <col min="16" max="16" width="3.140625" bestFit="1" customWidth="1"/>
    <col min="17" max="17" width="6" bestFit="1" customWidth="1"/>
    <col min="18" max="18" width="9.85546875" bestFit="1" customWidth="1"/>
    <col min="19" max="19" width="5.5703125" bestFit="1" customWidth="1"/>
    <col min="20" max="20" width="7.140625" bestFit="1" customWidth="1"/>
    <col min="21" max="21" width="9" bestFit="1" customWidth="1"/>
    <col min="22" max="22" width="11" bestFit="1" customWidth="1"/>
    <col min="23" max="23" width="5.140625" bestFit="1" customWidth="1"/>
    <col min="24" max="24" width="8.28515625" bestFit="1" customWidth="1"/>
    <col min="25" max="25" width="13.140625" customWidth="1"/>
    <col min="26" max="26" width="6.85546875" bestFit="1" customWidth="1"/>
    <col min="27" max="27" width="6" bestFit="1" customWidth="1"/>
    <col min="28" max="28" width="6.42578125" bestFit="1" customWidth="1"/>
    <col min="29" max="29" width="5" bestFit="1" customWidth="1"/>
  </cols>
  <sheetData>
    <row r="1" spans="1:31" s="93" customFormat="1" ht="51">
      <c r="A1" s="86" t="s">
        <v>96</v>
      </c>
      <c r="B1" s="86" t="s">
        <v>97</v>
      </c>
      <c r="C1" s="86" t="s">
        <v>98</v>
      </c>
      <c r="D1" s="86" t="s">
        <v>99</v>
      </c>
      <c r="E1" s="86" t="s">
        <v>100</v>
      </c>
      <c r="F1" s="86" t="s">
        <v>101</v>
      </c>
      <c r="G1" s="86" t="s">
        <v>102</v>
      </c>
      <c r="H1" s="86" t="s">
        <v>64</v>
      </c>
      <c r="I1" s="86" t="s">
        <v>126</v>
      </c>
      <c r="J1" s="86" t="s">
        <v>127</v>
      </c>
      <c r="K1" s="86" t="s">
        <v>128</v>
      </c>
      <c r="L1" s="86" t="s">
        <v>103</v>
      </c>
      <c r="M1" s="86" t="s">
        <v>104</v>
      </c>
      <c r="N1" s="87" t="s">
        <v>105</v>
      </c>
      <c r="O1" s="85" t="s">
        <v>129</v>
      </c>
      <c r="P1" s="88" t="s">
        <v>118</v>
      </c>
      <c r="Q1" s="88" t="s">
        <v>135</v>
      </c>
      <c r="R1" s="89" t="s">
        <v>130</v>
      </c>
      <c r="S1" s="89" t="s">
        <v>119</v>
      </c>
      <c r="T1" s="90" t="s">
        <v>131</v>
      </c>
      <c r="U1" s="89" t="s">
        <v>132</v>
      </c>
      <c r="V1" s="90" t="s">
        <v>120</v>
      </c>
      <c r="W1" s="91" t="s">
        <v>133</v>
      </c>
      <c r="X1" s="90" t="s">
        <v>121</v>
      </c>
      <c r="Y1" s="89" t="s">
        <v>134</v>
      </c>
      <c r="Z1" s="90" t="s">
        <v>122</v>
      </c>
      <c r="AA1" s="90" t="s">
        <v>123</v>
      </c>
      <c r="AB1" s="90" t="s">
        <v>124</v>
      </c>
      <c r="AC1" s="92" t="s">
        <v>125</v>
      </c>
      <c r="AD1" s="129" t="s">
        <v>181</v>
      </c>
      <c r="AE1" s="129" t="s">
        <v>8</v>
      </c>
    </row>
    <row r="2" spans="1:31">
      <c r="A2">
        <v>18</v>
      </c>
      <c r="B2" t="s">
        <v>219</v>
      </c>
      <c r="C2" t="s">
        <v>141</v>
      </c>
      <c r="D2" s="126">
        <v>42970</v>
      </c>
      <c r="E2" s="128"/>
      <c r="F2" s="126">
        <v>43291</v>
      </c>
      <c r="G2" t="s">
        <v>182</v>
      </c>
      <c r="H2" t="s">
        <v>138</v>
      </c>
      <c r="I2">
        <v>2</v>
      </c>
      <c r="J2">
        <v>1</v>
      </c>
      <c r="K2" t="s">
        <v>185</v>
      </c>
      <c r="L2" t="s">
        <v>160</v>
      </c>
      <c r="N2">
        <v>16.2</v>
      </c>
      <c r="P2">
        <f t="shared" ref="P2:P16" si="0">W2*(100-X2)/N2</f>
        <v>13.809876543209878</v>
      </c>
      <c r="Q2">
        <v>15.052765432098768</v>
      </c>
      <c r="R2" s="125">
        <v>3</v>
      </c>
      <c r="S2" s="125"/>
      <c r="T2">
        <v>104</v>
      </c>
      <c r="W2" s="124">
        <v>2.35</v>
      </c>
      <c r="X2" s="125">
        <v>4.8</v>
      </c>
      <c r="Y2" s="125">
        <v>51.3</v>
      </c>
      <c r="Z2" s="125">
        <v>17.100000000000001</v>
      </c>
      <c r="AA2" s="125">
        <v>35.112936344969199</v>
      </c>
      <c r="AB2" s="125">
        <v>11.1</v>
      </c>
      <c r="AC2">
        <v>5</v>
      </c>
      <c r="AD2" t="s">
        <v>186</v>
      </c>
      <c r="AE2" t="s">
        <v>220</v>
      </c>
    </row>
    <row r="3" spans="1:31">
      <c r="A3">
        <v>18</v>
      </c>
      <c r="B3" t="s">
        <v>219</v>
      </c>
      <c r="C3" t="s">
        <v>141</v>
      </c>
      <c r="D3" s="126">
        <v>42970</v>
      </c>
      <c r="E3" s="128"/>
      <c r="F3" s="126">
        <v>43291</v>
      </c>
      <c r="G3" t="s">
        <v>187</v>
      </c>
      <c r="H3" t="s">
        <v>138</v>
      </c>
      <c r="I3">
        <v>1</v>
      </c>
      <c r="J3">
        <v>2</v>
      </c>
      <c r="K3" t="s">
        <v>188</v>
      </c>
      <c r="L3" t="s">
        <v>159</v>
      </c>
      <c r="N3">
        <v>16.2</v>
      </c>
      <c r="P3">
        <f t="shared" si="0"/>
        <v>7.6555555555555568</v>
      </c>
      <c r="Q3">
        <v>8.3445555555555568</v>
      </c>
      <c r="R3" s="125">
        <v>1</v>
      </c>
      <c r="S3" s="125"/>
      <c r="W3" s="124">
        <v>1.3</v>
      </c>
      <c r="X3" s="125">
        <v>4.5999999999999996</v>
      </c>
      <c r="Y3" s="125">
        <v>50.3</v>
      </c>
      <c r="Z3" s="125">
        <v>18.2</v>
      </c>
      <c r="AA3" s="125">
        <v>36.619718309859152</v>
      </c>
      <c r="AB3" s="125">
        <v>11.6</v>
      </c>
      <c r="AC3">
        <v>4</v>
      </c>
      <c r="AD3" t="s">
        <v>186</v>
      </c>
      <c r="AE3" t="s">
        <v>220</v>
      </c>
    </row>
    <row r="4" spans="1:31">
      <c r="A4">
        <v>18</v>
      </c>
      <c r="B4" t="s">
        <v>219</v>
      </c>
      <c r="C4" t="s">
        <v>141</v>
      </c>
      <c r="D4" s="126">
        <v>42970</v>
      </c>
      <c r="E4" s="128"/>
      <c r="F4" s="126">
        <v>43291</v>
      </c>
      <c r="G4" t="s">
        <v>189</v>
      </c>
      <c r="H4" t="s">
        <v>138</v>
      </c>
      <c r="I4">
        <v>2</v>
      </c>
      <c r="J4">
        <v>2</v>
      </c>
      <c r="K4" t="s">
        <v>188</v>
      </c>
      <c r="L4" t="s">
        <v>159</v>
      </c>
      <c r="N4">
        <v>16.2</v>
      </c>
      <c r="P4">
        <f t="shared" si="0"/>
        <v>21.857407407407411</v>
      </c>
      <c r="Q4">
        <v>23.824574074074079</v>
      </c>
      <c r="R4" s="125">
        <v>9</v>
      </c>
      <c r="S4" s="125"/>
      <c r="T4">
        <v>103</v>
      </c>
      <c r="W4" s="124">
        <v>3.7</v>
      </c>
      <c r="X4" s="125">
        <v>4.3</v>
      </c>
      <c r="Y4" s="125">
        <v>51.3</v>
      </c>
      <c r="Z4" s="125">
        <v>17.600000000000001</v>
      </c>
      <c r="AA4" s="125">
        <v>36.139630390143736</v>
      </c>
      <c r="AB4" s="125">
        <v>9.6</v>
      </c>
      <c r="AC4">
        <v>4</v>
      </c>
      <c r="AD4" t="s">
        <v>183</v>
      </c>
    </row>
    <row r="5" spans="1:31">
      <c r="A5">
        <v>18</v>
      </c>
      <c r="B5" t="s">
        <v>219</v>
      </c>
      <c r="C5" t="s">
        <v>141</v>
      </c>
      <c r="D5" s="126">
        <v>42970</v>
      </c>
      <c r="E5" s="128"/>
      <c r="F5" s="126">
        <v>43291</v>
      </c>
      <c r="G5" t="s">
        <v>190</v>
      </c>
      <c r="H5" t="s">
        <v>138</v>
      </c>
      <c r="I5">
        <v>1</v>
      </c>
      <c r="J5">
        <v>9</v>
      </c>
      <c r="K5" t="s">
        <v>191</v>
      </c>
      <c r="L5" t="s">
        <v>152</v>
      </c>
      <c r="N5">
        <v>16.2</v>
      </c>
      <c r="P5">
        <f t="shared" si="0"/>
        <v>19.769135802469137</v>
      </c>
      <c r="Q5">
        <v>21.54835802469136</v>
      </c>
      <c r="R5" s="125">
        <v>9</v>
      </c>
      <c r="S5" s="125"/>
      <c r="T5">
        <v>102</v>
      </c>
      <c r="W5" s="124">
        <v>3.35</v>
      </c>
      <c r="X5" s="125">
        <v>4.4000000000000004</v>
      </c>
      <c r="Y5" s="125">
        <v>51.9</v>
      </c>
      <c r="Z5" s="125">
        <v>17.2</v>
      </c>
      <c r="AA5" s="125">
        <v>35.758835758835758</v>
      </c>
      <c r="AB5" s="125">
        <v>16.7</v>
      </c>
      <c r="AC5">
        <v>5</v>
      </c>
      <c r="AD5" t="s">
        <v>183</v>
      </c>
    </row>
    <row r="6" spans="1:31">
      <c r="A6">
        <v>18</v>
      </c>
      <c r="B6" t="s">
        <v>219</v>
      </c>
      <c r="C6" t="s">
        <v>141</v>
      </c>
      <c r="D6" s="126">
        <v>42970</v>
      </c>
      <c r="E6" s="128"/>
      <c r="F6" s="126">
        <v>43291</v>
      </c>
      <c r="G6" t="s">
        <v>192</v>
      </c>
      <c r="H6" t="s">
        <v>138</v>
      </c>
      <c r="I6">
        <v>2</v>
      </c>
      <c r="J6">
        <v>9</v>
      </c>
      <c r="K6" t="s">
        <v>191</v>
      </c>
      <c r="L6" t="s">
        <v>152</v>
      </c>
      <c r="N6">
        <v>16.2</v>
      </c>
      <c r="P6">
        <f t="shared" si="0"/>
        <v>21.021296296296295</v>
      </c>
      <c r="Q6">
        <v>22.913212962962962</v>
      </c>
      <c r="R6" s="125">
        <v>9</v>
      </c>
      <c r="S6" s="125"/>
      <c r="T6">
        <v>103</v>
      </c>
      <c r="W6" s="124">
        <v>3.65</v>
      </c>
      <c r="X6" s="125">
        <v>6.7</v>
      </c>
      <c r="Y6" s="125">
        <v>51.9</v>
      </c>
      <c r="Z6" s="125">
        <v>17.5</v>
      </c>
      <c r="AA6" s="125">
        <v>36.382536382536379</v>
      </c>
      <c r="AB6" s="125">
        <v>19.7</v>
      </c>
      <c r="AC6">
        <v>5</v>
      </c>
      <c r="AD6" t="s">
        <v>183</v>
      </c>
    </row>
    <row r="7" spans="1:31">
      <c r="A7">
        <v>18</v>
      </c>
      <c r="B7" t="s">
        <v>219</v>
      </c>
      <c r="C7" t="s">
        <v>141</v>
      </c>
      <c r="D7" s="126">
        <v>42970</v>
      </c>
      <c r="E7" s="128"/>
      <c r="F7" s="126">
        <v>43291</v>
      </c>
      <c r="G7" t="s">
        <v>193</v>
      </c>
      <c r="H7" t="s">
        <v>138</v>
      </c>
      <c r="I7">
        <v>2</v>
      </c>
      <c r="J7">
        <v>10</v>
      </c>
      <c r="K7" t="s">
        <v>194</v>
      </c>
      <c r="L7" t="s">
        <v>151</v>
      </c>
      <c r="N7">
        <v>16.2</v>
      </c>
      <c r="P7">
        <f t="shared" si="0"/>
        <v>18.217283950617286</v>
      </c>
      <c r="Q7">
        <v>19.856839506172843</v>
      </c>
      <c r="R7" s="125">
        <v>9</v>
      </c>
      <c r="S7" s="125"/>
      <c r="T7">
        <v>101</v>
      </c>
      <c r="W7" s="124">
        <v>3.1</v>
      </c>
      <c r="X7" s="125">
        <v>4.8</v>
      </c>
      <c r="Y7" s="125">
        <v>51.8</v>
      </c>
      <c r="Z7" s="125">
        <v>16.899999999999999</v>
      </c>
      <c r="AA7" s="125">
        <v>35.062240663900411</v>
      </c>
      <c r="AB7" s="125">
        <v>12.8</v>
      </c>
      <c r="AC7">
        <v>4.5</v>
      </c>
      <c r="AD7" t="s">
        <v>183</v>
      </c>
    </row>
    <row r="8" spans="1:31">
      <c r="A8">
        <v>18</v>
      </c>
      <c r="B8" t="s">
        <v>219</v>
      </c>
      <c r="C8" t="s">
        <v>141</v>
      </c>
      <c r="D8" s="126">
        <v>42970</v>
      </c>
      <c r="E8" s="128"/>
      <c r="F8" s="126">
        <v>43291</v>
      </c>
      <c r="G8" t="s">
        <v>171</v>
      </c>
      <c r="H8" t="s">
        <v>138</v>
      </c>
      <c r="I8">
        <v>1</v>
      </c>
      <c r="J8">
        <v>11</v>
      </c>
      <c r="K8" t="s">
        <v>195</v>
      </c>
      <c r="L8" t="s">
        <v>178</v>
      </c>
      <c r="M8" t="s">
        <v>184</v>
      </c>
      <c r="N8">
        <v>16.2</v>
      </c>
      <c r="P8">
        <f t="shared" si="0"/>
        <v>18.8641975308642</v>
      </c>
      <c r="Q8">
        <v>20.56197530864198</v>
      </c>
      <c r="R8" s="125">
        <v>9</v>
      </c>
      <c r="S8" s="125"/>
      <c r="T8">
        <v>102</v>
      </c>
      <c r="W8" s="124">
        <v>3.2</v>
      </c>
      <c r="X8" s="125">
        <v>4.5</v>
      </c>
      <c r="Y8" s="125">
        <v>50.9</v>
      </c>
      <c r="Z8" s="125">
        <v>18</v>
      </c>
      <c r="AA8" s="125">
        <v>36.65987780040733</v>
      </c>
      <c r="AB8" s="125">
        <v>11.3</v>
      </c>
      <c r="AC8">
        <v>4.5</v>
      </c>
      <c r="AD8" t="s">
        <v>183</v>
      </c>
    </row>
    <row r="9" spans="1:31">
      <c r="A9">
        <v>18</v>
      </c>
      <c r="B9" t="s">
        <v>219</v>
      </c>
      <c r="C9" t="s">
        <v>141</v>
      </c>
      <c r="D9" s="126">
        <v>42970</v>
      </c>
      <c r="E9" s="128"/>
      <c r="F9" s="126">
        <v>43291</v>
      </c>
      <c r="G9" t="s">
        <v>196</v>
      </c>
      <c r="H9" t="s">
        <v>138</v>
      </c>
      <c r="I9">
        <v>2</v>
      </c>
      <c r="J9">
        <v>3</v>
      </c>
      <c r="K9" t="s">
        <v>198</v>
      </c>
      <c r="L9" t="s">
        <v>158</v>
      </c>
      <c r="N9">
        <v>16.2</v>
      </c>
      <c r="P9">
        <f t="shared" si="0"/>
        <v>20.611111111111114</v>
      </c>
      <c r="Q9">
        <v>22.466111111111115</v>
      </c>
      <c r="R9" s="125">
        <v>9</v>
      </c>
      <c r="S9" s="125"/>
      <c r="T9">
        <v>102</v>
      </c>
      <c r="W9" s="124">
        <v>3.5</v>
      </c>
      <c r="X9" s="125">
        <v>4.5999999999999996</v>
      </c>
      <c r="Y9" s="125">
        <v>53.1</v>
      </c>
      <c r="Z9" s="125">
        <v>16.7</v>
      </c>
      <c r="AA9" s="125">
        <v>35.607675906183367</v>
      </c>
      <c r="AB9" s="125">
        <v>12.1</v>
      </c>
      <c r="AC9">
        <v>4.5</v>
      </c>
      <c r="AD9" t="s">
        <v>183</v>
      </c>
    </row>
    <row r="10" spans="1:31">
      <c r="A10">
        <v>18</v>
      </c>
      <c r="B10" t="s">
        <v>219</v>
      </c>
      <c r="C10" t="s">
        <v>141</v>
      </c>
      <c r="D10" s="126">
        <v>42970</v>
      </c>
      <c r="E10" s="128"/>
      <c r="F10" s="126">
        <v>43291</v>
      </c>
      <c r="G10" t="s">
        <v>199</v>
      </c>
      <c r="H10" t="s">
        <v>138</v>
      </c>
      <c r="I10">
        <v>1</v>
      </c>
      <c r="J10">
        <v>5</v>
      </c>
      <c r="K10" t="s">
        <v>200</v>
      </c>
      <c r="L10" t="s">
        <v>156</v>
      </c>
      <c r="N10">
        <v>16.2</v>
      </c>
      <c r="P10">
        <f t="shared" si="0"/>
        <v>12.941975308641975</v>
      </c>
      <c r="Q10">
        <v>14.106753086419754</v>
      </c>
      <c r="R10" s="125">
        <v>9</v>
      </c>
      <c r="S10" s="125"/>
      <c r="T10">
        <v>103</v>
      </c>
      <c r="W10" s="124">
        <v>2.2000000000000002</v>
      </c>
      <c r="X10" s="125">
        <v>4.7</v>
      </c>
      <c r="Y10" s="125">
        <v>52.5</v>
      </c>
      <c r="Z10" s="125">
        <v>17</v>
      </c>
      <c r="AA10" s="125">
        <v>35.789473684210527</v>
      </c>
      <c r="AB10" s="125">
        <v>15.1</v>
      </c>
      <c r="AC10">
        <v>5</v>
      </c>
      <c r="AD10" t="s">
        <v>183</v>
      </c>
    </row>
    <row r="11" spans="1:31">
      <c r="A11">
        <v>18</v>
      </c>
      <c r="B11" t="s">
        <v>219</v>
      </c>
      <c r="C11" t="s">
        <v>141</v>
      </c>
      <c r="D11" s="126">
        <v>42970</v>
      </c>
      <c r="E11" s="128"/>
      <c r="F11" s="126">
        <v>43291</v>
      </c>
      <c r="G11" t="s">
        <v>201</v>
      </c>
      <c r="H11" t="s">
        <v>138</v>
      </c>
      <c r="I11">
        <v>2</v>
      </c>
      <c r="J11">
        <v>5</v>
      </c>
      <c r="K11" t="s">
        <v>200</v>
      </c>
      <c r="L11" t="s">
        <v>156</v>
      </c>
      <c r="N11">
        <v>16.2</v>
      </c>
      <c r="P11">
        <f t="shared" si="0"/>
        <v>22.152777777777779</v>
      </c>
      <c r="Q11">
        <v>24.146527777777781</v>
      </c>
      <c r="R11" s="125">
        <v>9</v>
      </c>
      <c r="S11" s="125"/>
      <c r="T11">
        <v>103</v>
      </c>
      <c r="W11" s="124">
        <v>3.75</v>
      </c>
      <c r="X11" s="125">
        <v>4.3</v>
      </c>
      <c r="Y11" s="125">
        <v>52.3</v>
      </c>
      <c r="Z11" s="125">
        <v>17.2</v>
      </c>
      <c r="AA11" s="125">
        <v>36.058700209643604</v>
      </c>
      <c r="AB11" s="125">
        <v>11.1</v>
      </c>
      <c r="AC11">
        <v>5</v>
      </c>
      <c r="AD11" t="s">
        <v>183</v>
      </c>
    </row>
    <row r="12" spans="1:31">
      <c r="A12">
        <v>18</v>
      </c>
      <c r="B12" t="s">
        <v>219</v>
      </c>
      <c r="C12" t="s">
        <v>141</v>
      </c>
      <c r="D12" s="126">
        <v>42970</v>
      </c>
      <c r="E12" s="128"/>
      <c r="F12" s="126">
        <v>43291</v>
      </c>
      <c r="G12" t="s">
        <v>202</v>
      </c>
      <c r="H12" t="s">
        <v>138</v>
      </c>
      <c r="I12">
        <v>2</v>
      </c>
      <c r="J12">
        <v>6</v>
      </c>
      <c r="K12" t="s">
        <v>203</v>
      </c>
      <c r="L12" t="s">
        <v>155</v>
      </c>
      <c r="N12">
        <v>16.2</v>
      </c>
      <c r="P12">
        <f t="shared" si="0"/>
        <v>23.236728395061728</v>
      </c>
      <c r="Q12">
        <v>25.328033950617286</v>
      </c>
      <c r="R12" s="125">
        <v>9</v>
      </c>
      <c r="S12" s="125"/>
      <c r="T12">
        <v>103</v>
      </c>
      <c r="W12" s="124">
        <v>3.95</v>
      </c>
      <c r="X12" s="125">
        <v>4.7</v>
      </c>
      <c r="Y12" s="125">
        <v>51.2</v>
      </c>
      <c r="Z12" s="125">
        <v>17.2</v>
      </c>
      <c r="AA12" s="125">
        <v>35.245901639344261</v>
      </c>
      <c r="AB12" s="125">
        <v>12.6</v>
      </c>
      <c r="AC12">
        <v>4.5</v>
      </c>
      <c r="AD12" t="s">
        <v>183</v>
      </c>
    </row>
    <row r="13" spans="1:31">
      <c r="A13">
        <v>18</v>
      </c>
      <c r="B13" t="s">
        <v>219</v>
      </c>
      <c r="C13" t="s">
        <v>141</v>
      </c>
      <c r="D13" s="126">
        <v>42970</v>
      </c>
      <c r="E13" s="128"/>
      <c r="F13" s="126">
        <v>43291</v>
      </c>
      <c r="G13" t="s">
        <v>204</v>
      </c>
      <c r="H13" t="s">
        <v>138</v>
      </c>
      <c r="I13">
        <v>1</v>
      </c>
      <c r="J13">
        <v>7</v>
      </c>
      <c r="K13" t="s">
        <v>205</v>
      </c>
      <c r="L13" t="s">
        <v>154</v>
      </c>
      <c r="N13">
        <v>16.2</v>
      </c>
      <c r="P13">
        <f t="shared" si="0"/>
        <v>12.634567901234568</v>
      </c>
      <c r="Q13">
        <v>13.771679012345681</v>
      </c>
      <c r="R13" s="125">
        <v>7</v>
      </c>
      <c r="S13" s="125"/>
      <c r="T13">
        <v>104</v>
      </c>
      <c r="W13" s="124">
        <v>2.15</v>
      </c>
      <c r="X13" s="125">
        <v>4.8</v>
      </c>
      <c r="Y13" s="125">
        <v>51.3</v>
      </c>
      <c r="Z13" s="125">
        <v>17.600000000000001</v>
      </c>
      <c r="AA13" s="125">
        <v>36.139630390143736</v>
      </c>
      <c r="AB13" s="125">
        <v>10.9</v>
      </c>
      <c r="AC13">
        <v>5</v>
      </c>
      <c r="AD13" t="s">
        <v>222</v>
      </c>
    </row>
    <row r="14" spans="1:31">
      <c r="A14">
        <v>18</v>
      </c>
      <c r="B14" t="s">
        <v>219</v>
      </c>
      <c r="C14" t="s">
        <v>141</v>
      </c>
      <c r="D14" s="126">
        <v>42970</v>
      </c>
      <c r="E14" s="128"/>
      <c r="F14" s="126">
        <v>43291</v>
      </c>
      <c r="G14" t="s">
        <v>172</v>
      </c>
      <c r="H14" t="s">
        <v>138</v>
      </c>
      <c r="I14">
        <v>2</v>
      </c>
      <c r="J14">
        <v>11</v>
      </c>
      <c r="K14" t="s">
        <v>195</v>
      </c>
      <c r="L14" t="s">
        <v>178</v>
      </c>
      <c r="M14" t="s">
        <v>184</v>
      </c>
      <c r="N14">
        <v>16.2</v>
      </c>
      <c r="P14">
        <f t="shared" si="0"/>
        <v>15.483333333333336</v>
      </c>
      <c r="Q14">
        <v>16.876833333333337</v>
      </c>
      <c r="R14" s="125">
        <v>9</v>
      </c>
      <c r="S14" s="125"/>
      <c r="T14">
        <v>102</v>
      </c>
      <c r="W14" s="124">
        <v>2.7</v>
      </c>
      <c r="X14" s="125">
        <v>7.1</v>
      </c>
      <c r="Y14" s="125">
        <v>51.6</v>
      </c>
      <c r="Z14" s="125">
        <v>17</v>
      </c>
      <c r="AA14" s="125">
        <v>35.123966942148762</v>
      </c>
      <c r="AB14" s="125">
        <v>7.9</v>
      </c>
      <c r="AC14">
        <v>4.5</v>
      </c>
      <c r="AD14" t="s">
        <v>183</v>
      </c>
    </row>
    <row r="15" spans="1:31">
      <c r="A15">
        <v>18</v>
      </c>
      <c r="B15" t="s">
        <v>219</v>
      </c>
      <c r="C15" t="s">
        <v>141</v>
      </c>
      <c r="D15" s="126">
        <v>42970</v>
      </c>
      <c r="E15" s="128"/>
      <c r="F15" s="126">
        <v>43291</v>
      </c>
      <c r="G15" t="s">
        <v>206</v>
      </c>
      <c r="H15" t="s">
        <v>138</v>
      </c>
      <c r="I15">
        <v>1</v>
      </c>
      <c r="J15">
        <v>12</v>
      </c>
      <c r="K15" t="s">
        <v>207</v>
      </c>
      <c r="L15" t="s">
        <v>179</v>
      </c>
      <c r="M15" t="s">
        <v>184</v>
      </c>
      <c r="N15">
        <v>16.2</v>
      </c>
      <c r="P15">
        <f t="shared" si="0"/>
        <v>19.727777777777781</v>
      </c>
      <c r="Q15">
        <v>21.503277777777782</v>
      </c>
      <c r="R15" s="125">
        <v>9</v>
      </c>
      <c r="S15" s="125"/>
      <c r="T15">
        <v>104</v>
      </c>
      <c r="W15" s="124">
        <v>3.35</v>
      </c>
      <c r="X15" s="125">
        <v>4.5999999999999996</v>
      </c>
      <c r="Y15" s="125">
        <v>49.7</v>
      </c>
      <c r="Z15" s="125">
        <v>17.600000000000001</v>
      </c>
      <c r="AA15" s="125">
        <v>34.990059642147123</v>
      </c>
      <c r="AB15" s="125">
        <v>12.3</v>
      </c>
      <c r="AC15">
        <v>4.5</v>
      </c>
      <c r="AD15" t="s">
        <v>183</v>
      </c>
    </row>
    <row r="16" spans="1:31">
      <c r="A16">
        <v>18</v>
      </c>
      <c r="B16" t="s">
        <v>219</v>
      </c>
      <c r="C16" t="s">
        <v>141</v>
      </c>
      <c r="D16" s="126">
        <v>42970</v>
      </c>
      <c r="E16" s="128"/>
      <c r="F16" s="126">
        <v>43291</v>
      </c>
      <c r="G16" t="s">
        <v>208</v>
      </c>
      <c r="H16" t="s">
        <v>138</v>
      </c>
      <c r="I16">
        <v>1</v>
      </c>
      <c r="J16">
        <v>1</v>
      </c>
      <c r="K16" t="s">
        <v>185</v>
      </c>
      <c r="L16" t="s">
        <v>160</v>
      </c>
      <c r="N16">
        <v>16.2</v>
      </c>
      <c r="P16">
        <f t="shared" si="0"/>
        <v>18.804938271604943</v>
      </c>
      <c r="Q16">
        <v>20.49738271604939</v>
      </c>
      <c r="R16" s="125">
        <v>9</v>
      </c>
      <c r="S16" s="125"/>
      <c r="T16">
        <v>104</v>
      </c>
      <c r="W16" s="124">
        <v>3.2</v>
      </c>
      <c r="X16" s="125">
        <v>4.8</v>
      </c>
      <c r="Y16" s="125">
        <v>50.4</v>
      </c>
      <c r="Z16" s="125">
        <v>17.600000000000001</v>
      </c>
      <c r="AA16" s="125">
        <v>35.483870967741936</v>
      </c>
      <c r="AB16" s="125">
        <v>11</v>
      </c>
      <c r="AC16">
        <v>5</v>
      </c>
      <c r="AD16" t="s">
        <v>183</v>
      </c>
    </row>
    <row r="17" spans="1:31">
      <c r="A17">
        <v>18</v>
      </c>
      <c r="B17" t="s">
        <v>219</v>
      </c>
      <c r="C17" t="s">
        <v>141</v>
      </c>
      <c r="D17" s="126">
        <v>42970</v>
      </c>
      <c r="E17" s="128"/>
      <c r="F17" s="126">
        <v>43291</v>
      </c>
      <c r="G17" t="s">
        <v>209</v>
      </c>
      <c r="H17" t="s">
        <v>138</v>
      </c>
      <c r="I17">
        <v>1</v>
      </c>
      <c r="J17">
        <v>8</v>
      </c>
      <c r="K17" t="s">
        <v>210</v>
      </c>
      <c r="L17" t="s">
        <v>153</v>
      </c>
      <c r="N17">
        <v>16.2</v>
      </c>
      <c r="R17" s="125">
        <v>9</v>
      </c>
      <c r="S17" s="125"/>
      <c r="T17">
        <v>104</v>
      </c>
      <c r="W17" s="124"/>
      <c r="X17" s="125"/>
      <c r="Y17" s="125">
        <v>49.7</v>
      </c>
      <c r="Z17" s="125">
        <v>16.5</v>
      </c>
      <c r="AA17" s="125">
        <v>32.803180914512922</v>
      </c>
      <c r="AB17" s="125">
        <v>9.6</v>
      </c>
      <c r="AC17">
        <v>5</v>
      </c>
      <c r="AD17" t="s">
        <v>183</v>
      </c>
      <c r="AE17" t="s">
        <v>221</v>
      </c>
    </row>
    <row r="18" spans="1:31">
      <c r="A18">
        <v>18</v>
      </c>
      <c r="B18" t="s">
        <v>219</v>
      </c>
      <c r="C18" t="s">
        <v>141</v>
      </c>
      <c r="D18" s="126">
        <v>42970</v>
      </c>
      <c r="E18" s="128"/>
      <c r="F18" s="126">
        <v>43291</v>
      </c>
      <c r="G18" t="s">
        <v>211</v>
      </c>
      <c r="H18" t="s">
        <v>138</v>
      </c>
      <c r="I18">
        <v>2</v>
      </c>
      <c r="J18">
        <v>8</v>
      </c>
      <c r="K18" t="s">
        <v>210</v>
      </c>
      <c r="L18" t="s">
        <v>153</v>
      </c>
      <c r="N18">
        <v>16.2</v>
      </c>
      <c r="P18">
        <f t="shared" ref="P18:P25" si="1">W18*(100-X18)/N18</f>
        <v>23.274999999999999</v>
      </c>
      <c r="Q18">
        <v>25.36975</v>
      </c>
      <c r="R18" s="125">
        <v>9</v>
      </c>
      <c r="S18" s="125"/>
      <c r="T18">
        <v>104</v>
      </c>
      <c r="W18" s="124">
        <v>4.05</v>
      </c>
      <c r="X18" s="125">
        <v>6.9</v>
      </c>
      <c r="Y18" s="125">
        <v>50.3</v>
      </c>
      <c r="Z18" s="125">
        <v>17</v>
      </c>
      <c r="AA18" s="125">
        <v>34.205231388329977</v>
      </c>
      <c r="AB18" s="125">
        <v>11.8</v>
      </c>
      <c r="AC18">
        <v>5</v>
      </c>
      <c r="AD18" t="s">
        <v>183</v>
      </c>
    </row>
    <row r="19" spans="1:31">
      <c r="A19">
        <v>18</v>
      </c>
      <c r="B19" t="s">
        <v>219</v>
      </c>
      <c r="C19" t="s">
        <v>141</v>
      </c>
      <c r="D19" s="126">
        <v>42970</v>
      </c>
      <c r="E19" s="128"/>
      <c r="F19" s="126">
        <v>43291</v>
      </c>
      <c r="G19" t="s">
        <v>212</v>
      </c>
      <c r="H19" t="s">
        <v>138</v>
      </c>
      <c r="I19">
        <v>1</v>
      </c>
      <c r="J19">
        <v>10</v>
      </c>
      <c r="K19" t="s">
        <v>194</v>
      </c>
      <c r="L19" t="s">
        <v>151</v>
      </c>
      <c r="N19">
        <v>16.2</v>
      </c>
      <c r="P19">
        <f t="shared" si="1"/>
        <v>19.118827160493826</v>
      </c>
      <c r="Q19">
        <v>20.839521604938273</v>
      </c>
      <c r="R19" s="125">
        <v>9</v>
      </c>
      <c r="S19" s="125"/>
      <c r="T19">
        <v>102</v>
      </c>
      <c r="W19" s="124">
        <v>3.25</v>
      </c>
      <c r="X19" s="125">
        <v>4.7</v>
      </c>
      <c r="Y19" s="125">
        <v>52.1</v>
      </c>
      <c r="Z19" s="125">
        <v>16.399999999999999</v>
      </c>
      <c r="AA19" s="125">
        <v>34.237995824634652</v>
      </c>
      <c r="AB19" s="125">
        <v>12.4</v>
      </c>
      <c r="AC19">
        <v>4.5</v>
      </c>
      <c r="AD19" t="s">
        <v>183</v>
      </c>
    </row>
    <row r="20" spans="1:31">
      <c r="A20">
        <v>18</v>
      </c>
      <c r="B20" t="s">
        <v>219</v>
      </c>
      <c r="C20" t="s">
        <v>141</v>
      </c>
      <c r="D20" s="126">
        <v>42970</v>
      </c>
      <c r="E20" s="128"/>
      <c r="F20" s="126">
        <v>43291</v>
      </c>
      <c r="G20" t="s">
        <v>173</v>
      </c>
      <c r="H20" t="s">
        <v>138</v>
      </c>
      <c r="I20">
        <v>2</v>
      </c>
      <c r="J20">
        <v>12</v>
      </c>
      <c r="K20" t="s">
        <v>207</v>
      </c>
      <c r="L20" t="s">
        <v>179</v>
      </c>
      <c r="M20" t="s">
        <v>184</v>
      </c>
      <c r="N20">
        <v>16.2</v>
      </c>
      <c r="P20">
        <f t="shared" si="1"/>
        <v>17.979938271604937</v>
      </c>
      <c r="Q20">
        <v>19.598132716049381</v>
      </c>
      <c r="R20" s="125">
        <v>9</v>
      </c>
      <c r="S20" s="125"/>
      <c r="T20">
        <v>103</v>
      </c>
      <c r="W20" s="124">
        <v>3.05</v>
      </c>
      <c r="X20" s="125">
        <v>4.5</v>
      </c>
      <c r="Y20" s="125">
        <v>49.8</v>
      </c>
      <c r="Z20" s="125">
        <v>17.399999999999999</v>
      </c>
      <c r="AA20" s="125">
        <v>34.661354581673301</v>
      </c>
      <c r="AB20" s="125">
        <v>12.7</v>
      </c>
      <c r="AC20">
        <v>4.5</v>
      </c>
      <c r="AD20" t="s">
        <v>183</v>
      </c>
    </row>
    <row r="21" spans="1:31">
      <c r="A21">
        <v>18</v>
      </c>
      <c r="B21" t="s">
        <v>219</v>
      </c>
      <c r="C21" t="s">
        <v>141</v>
      </c>
      <c r="D21" s="126">
        <v>42970</v>
      </c>
      <c r="E21" s="128"/>
      <c r="F21" s="126">
        <v>43291</v>
      </c>
      <c r="G21" t="s">
        <v>213</v>
      </c>
      <c r="H21" t="s">
        <v>138</v>
      </c>
      <c r="I21">
        <v>1</v>
      </c>
      <c r="J21">
        <v>3</v>
      </c>
      <c r="K21" t="s">
        <v>198</v>
      </c>
      <c r="L21" t="s">
        <v>158</v>
      </c>
      <c r="N21">
        <v>16.2</v>
      </c>
      <c r="P21">
        <f t="shared" si="1"/>
        <v>20.654320987654319</v>
      </c>
      <c r="Q21">
        <v>22.513209876543211</v>
      </c>
      <c r="R21" s="125">
        <v>9</v>
      </c>
      <c r="S21" s="125"/>
      <c r="T21">
        <v>103</v>
      </c>
      <c r="W21" s="124">
        <v>3.5</v>
      </c>
      <c r="X21" s="125">
        <v>4.4000000000000004</v>
      </c>
      <c r="Y21" s="125">
        <v>52.7</v>
      </c>
      <c r="Z21" s="125">
        <v>16.899999999999999</v>
      </c>
      <c r="AA21" s="125">
        <v>35.729386892177587</v>
      </c>
      <c r="AB21" s="125">
        <v>11.9</v>
      </c>
      <c r="AC21">
        <v>4.5</v>
      </c>
      <c r="AD21" t="s">
        <v>183</v>
      </c>
    </row>
    <row r="22" spans="1:31">
      <c r="A22">
        <v>18</v>
      </c>
      <c r="B22" t="s">
        <v>219</v>
      </c>
      <c r="C22" t="s">
        <v>141</v>
      </c>
      <c r="D22" s="126">
        <v>42970</v>
      </c>
      <c r="E22" s="128"/>
      <c r="F22" s="126">
        <v>43291</v>
      </c>
      <c r="G22" t="s">
        <v>214</v>
      </c>
      <c r="H22" t="s">
        <v>138</v>
      </c>
      <c r="I22">
        <v>1</v>
      </c>
      <c r="J22">
        <v>4</v>
      </c>
      <c r="K22" t="s">
        <v>215</v>
      </c>
      <c r="L22" t="s">
        <v>157</v>
      </c>
      <c r="N22">
        <v>16.2</v>
      </c>
      <c r="P22">
        <f t="shared" si="1"/>
        <v>22.152777777777779</v>
      </c>
      <c r="Q22">
        <v>24.146527777777781</v>
      </c>
      <c r="R22" s="125">
        <v>9</v>
      </c>
      <c r="S22" s="125"/>
      <c r="T22">
        <v>104</v>
      </c>
      <c r="W22" s="124">
        <v>3.75</v>
      </c>
      <c r="X22" s="125">
        <v>4.3</v>
      </c>
      <c r="Y22" s="125">
        <v>52.9</v>
      </c>
      <c r="Z22" s="125">
        <v>16.2</v>
      </c>
      <c r="AA22" s="125">
        <v>34.394904458598724</v>
      </c>
      <c r="AB22" s="125">
        <v>14.3</v>
      </c>
      <c r="AC22">
        <v>5</v>
      </c>
      <c r="AD22" t="s">
        <v>183</v>
      </c>
    </row>
    <row r="23" spans="1:31">
      <c r="A23">
        <v>18</v>
      </c>
      <c r="B23" t="s">
        <v>219</v>
      </c>
      <c r="C23" t="s">
        <v>141</v>
      </c>
      <c r="D23" s="126">
        <v>42970</v>
      </c>
      <c r="E23" s="128"/>
      <c r="F23" s="126">
        <v>43291</v>
      </c>
      <c r="G23" t="s">
        <v>216</v>
      </c>
      <c r="H23" t="s">
        <v>138</v>
      </c>
      <c r="I23">
        <v>2</v>
      </c>
      <c r="J23">
        <v>4</v>
      </c>
      <c r="K23" t="s">
        <v>215</v>
      </c>
      <c r="L23" t="s">
        <v>157</v>
      </c>
      <c r="N23">
        <v>16.2</v>
      </c>
      <c r="P23">
        <f t="shared" si="1"/>
        <v>22.152777777777779</v>
      </c>
      <c r="Q23">
        <v>24.146527777777781</v>
      </c>
      <c r="R23" s="125">
        <v>9</v>
      </c>
      <c r="S23" s="125"/>
      <c r="T23">
        <v>104</v>
      </c>
      <c r="W23" s="124">
        <v>3.75</v>
      </c>
      <c r="X23" s="125">
        <v>4.3</v>
      </c>
      <c r="Y23" s="125">
        <v>52.4</v>
      </c>
      <c r="Z23" s="125">
        <v>16.7</v>
      </c>
      <c r="AA23" s="125">
        <v>35.084033613445378</v>
      </c>
      <c r="AB23" s="125">
        <v>13</v>
      </c>
      <c r="AC23">
        <v>4.5</v>
      </c>
      <c r="AD23" t="s">
        <v>183</v>
      </c>
    </row>
    <row r="24" spans="1:31">
      <c r="A24">
        <v>18</v>
      </c>
      <c r="B24" t="s">
        <v>219</v>
      </c>
      <c r="C24" t="s">
        <v>141</v>
      </c>
      <c r="D24" s="126">
        <v>42970</v>
      </c>
      <c r="E24" s="128"/>
      <c r="F24" s="126">
        <v>43291</v>
      </c>
      <c r="G24" t="s">
        <v>217</v>
      </c>
      <c r="H24" t="s">
        <v>138</v>
      </c>
      <c r="I24">
        <v>1</v>
      </c>
      <c r="J24">
        <v>6</v>
      </c>
      <c r="K24" t="s">
        <v>203</v>
      </c>
      <c r="L24" t="s">
        <v>155</v>
      </c>
      <c r="N24">
        <v>16.2</v>
      </c>
      <c r="P24">
        <f t="shared" si="1"/>
        <v>27.088888888888889</v>
      </c>
      <c r="Q24">
        <v>29.526888888888891</v>
      </c>
      <c r="R24" s="125">
        <v>9</v>
      </c>
      <c r="S24" s="125"/>
      <c r="T24">
        <v>104</v>
      </c>
      <c r="W24" s="124">
        <v>4.5999999999999996</v>
      </c>
      <c r="X24" s="125">
        <v>4.5999999999999996</v>
      </c>
      <c r="Y24" s="125">
        <v>50.7</v>
      </c>
      <c r="Z24" s="125">
        <v>17.100000000000001</v>
      </c>
      <c r="AA24" s="125">
        <v>34.685598377281956</v>
      </c>
      <c r="AB24" s="125">
        <v>11.4</v>
      </c>
      <c r="AC24">
        <v>5</v>
      </c>
      <c r="AD24" t="s">
        <v>183</v>
      </c>
    </row>
    <row r="25" spans="1:31">
      <c r="A25">
        <v>18</v>
      </c>
      <c r="B25" t="s">
        <v>219</v>
      </c>
      <c r="C25" t="s">
        <v>141</v>
      </c>
      <c r="D25" s="126">
        <v>42970</v>
      </c>
      <c r="E25" s="128"/>
      <c r="F25" s="126">
        <v>43291</v>
      </c>
      <c r="G25" t="s">
        <v>218</v>
      </c>
      <c r="H25" t="s">
        <v>138</v>
      </c>
      <c r="I25">
        <v>2</v>
      </c>
      <c r="J25">
        <v>7</v>
      </c>
      <c r="K25" t="s">
        <v>205</v>
      </c>
      <c r="L25" t="s">
        <v>154</v>
      </c>
      <c r="N25">
        <v>16.2</v>
      </c>
      <c r="P25">
        <f t="shared" si="1"/>
        <v>14.110185185185186</v>
      </c>
      <c r="Q25">
        <v>15.380101851851853</v>
      </c>
      <c r="R25" s="125">
        <v>6</v>
      </c>
      <c r="S25" s="125"/>
      <c r="T25">
        <v>104</v>
      </c>
      <c r="W25" s="124">
        <v>2.4500000000000002</v>
      </c>
      <c r="X25" s="125">
        <v>6.7</v>
      </c>
      <c r="Y25" s="125">
        <v>50.6</v>
      </c>
      <c r="Z25" s="125">
        <v>16.899999999999999</v>
      </c>
      <c r="AA25" s="125">
        <v>34.210526315789473</v>
      </c>
      <c r="AB25" s="125">
        <v>11.8</v>
      </c>
      <c r="AC25">
        <v>5</v>
      </c>
      <c r="AD25" t="s">
        <v>197</v>
      </c>
    </row>
  </sheetData>
  <conditionalFormatting sqref="R2:S25">
    <cfRule type="cellIs" dxfId="13" priority="15" operator="between">
      <formula>1</formula>
      <formula>5.999999</formula>
    </cfRule>
    <cfRule type="cellIs" dxfId="12" priority="16" operator="between">
      <formula>6</formula>
      <formula>6.999999</formula>
    </cfRule>
    <cfRule type="cellIs" dxfId="11" priority="17" operator="between">
      <formula>7</formula>
      <formula>7.999999</formula>
    </cfRule>
    <cfRule type="cellIs" dxfId="10" priority="18" operator="between">
      <formula>8</formula>
      <formula>9.999999</formula>
    </cfRule>
  </conditionalFormatting>
  <conditionalFormatting sqref="W2:W25">
    <cfRule type="cellIs" dxfId="9" priority="1" operator="between">
      <formula>5</formula>
      <formula>5.899999</formula>
    </cfRule>
    <cfRule type="cellIs" dxfId="8" priority="2" operator="between">
      <formula>8</formula>
      <formula>8.899999</formula>
    </cfRule>
    <cfRule type="cellIs" dxfId="7" priority="3" operator="between">
      <formula>2.5</formula>
      <formula>4.899999</formula>
    </cfRule>
    <cfRule type="cellIs" dxfId="6" priority="4" operator="between">
      <formula>6</formula>
      <formula>6.899999</formula>
    </cfRule>
    <cfRule type="cellIs" dxfId="5" priority="5" operator="between">
      <formula>7</formula>
      <formula>7.899999</formula>
    </cfRule>
    <cfRule type="cellIs" dxfId="4" priority="6" operator="between">
      <formula>9</formula>
      <formula>10.999999</formula>
    </cfRule>
  </conditionalFormatting>
  <conditionalFormatting sqref="X2:X25">
    <cfRule type="cellIs" dxfId="3" priority="7" operator="between">
      <formula>4</formula>
      <formula>5.999999</formula>
    </cfRule>
    <cfRule type="cellIs" dxfId="2" priority="8" operator="between">
      <formula>6</formula>
      <formula>8.999999</formula>
    </cfRule>
    <cfRule type="cellIs" dxfId="1" priority="9" operator="between">
      <formula>9</formula>
      <formula>11.999999</formula>
    </cfRule>
    <cfRule type="cellIs" dxfId="0" priority="10" operator="between">
      <formula>12</formula>
      <formula>14.999999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2:I7"/>
  <sheetViews>
    <sheetView workbookViewId="0">
      <selection activeCell="H32" sqref="H32"/>
    </sheetView>
  </sheetViews>
  <sheetFormatPr baseColWidth="10" defaultRowHeight="15"/>
  <sheetData>
    <row r="2" spans="1:9">
      <c r="A2" s="168" t="s">
        <v>94</v>
      </c>
      <c r="B2" s="168"/>
      <c r="C2" s="168"/>
      <c r="D2" s="168"/>
      <c r="E2" s="168"/>
      <c r="F2" s="168"/>
      <c r="G2" s="168"/>
      <c r="H2" s="168"/>
      <c r="I2" s="168"/>
    </row>
    <row r="3" spans="1:9">
      <c r="A3" s="168"/>
      <c r="B3" s="168"/>
      <c r="C3" s="168"/>
      <c r="D3" s="168"/>
      <c r="E3" s="168"/>
      <c r="F3" s="168"/>
      <c r="G3" s="168"/>
      <c r="H3" s="168"/>
      <c r="I3" s="168"/>
    </row>
    <row r="4" spans="1:9">
      <c r="A4" s="168"/>
      <c r="B4" s="168"/>
      <c r="C4" s="168"/>
      <c r="D4" s="168"/>
      <c r="E4" s="168"/>
      <c r="F4" s="168"/>
      <c r="G4" s="168"/>
      <c r="H4" s="168"/>
      <c r="I4" s="168"/>
    </row>
    <row r="5" spans="1:9">
      <c r="A5" s="168"/>
      <c r="B5" s="168"/>
      <c r="C5" s="168"/>
      <c r="D5" s="168"/>
      <c r="E5" s="168"/>
      <c r="F5" s="168"/>
      <c r="G5" s="168"/>
      <c r="H5" s="168"/>
      <c r="I5" s="168"/>
    </row>
    <row r="6" spans="1:9">
      <c r="A6" s="168"/>
      <c r="B6" s="168"/>
      <c r="C6" s="168"/>
      <c r="D6" s="168"/>
      <c r="E6" s="168"/>
      <c r="F6" s="168"/>
      <c r="G6" s="168"/>
      <c r="H6" s="168"/>
      <c r="I6" s="168"/>
    </row>
    <row r="7" spans="1:9">
      <c r="A7" s="168"/>
      <c r="B7" s="168"/>
      <c r="C7" s="168"/>
      <c r="D7" s="168"/>
      <c r="E7" s="168"/>
      <c r="F7" s="168"/>
      <c r="G7" s="168"/>
      <c r="H7" s="168"/>
      <c r="I7" s="168"/>
    </row>
  </sheetData>
  <mergeCells count="1">
    <mergeCell ref="A2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READ_ME</vt:lpstr>
      <vt:lpstr>TRIAL</vt:lpstr>
      <vt:lpstr>Parcellaire_Data</vt:lpstr>
      <vt:lpstr>Plant_Material</vt:lpstr>
      <vt:lpstr>SOIL_DATA</vt:lpstr>
      <vt:lpstr>INN_DATA</vt:lpstr>
      <vt:lpstr>PHENO_DATA</vt:lpstr>
      <vt:lpstr>METEO_DATA</vt:lpstr>
    </vt:vector>
  </TitlesOfParts>
  <Company>INRA - RENNES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YOUNOUS</cp:lastModifiedBy>
  <dcterms:created xsi:type="dcterms:W3CDTF">2018-02-01T08:48:39Z</dcterms:created>
  <dcterms:modified xsi:type="dcterms:W3CDTF">2018-11-05T14:56:09Z</dcterms:modified>
</cp:coreProperties>
</file>