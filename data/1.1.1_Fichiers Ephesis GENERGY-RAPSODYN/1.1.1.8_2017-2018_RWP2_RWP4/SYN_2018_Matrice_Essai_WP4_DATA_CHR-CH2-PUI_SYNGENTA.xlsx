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esktop\RECHERCHE\RAPSODYN\WP4\2018\"/>
    </mc:Choice>
  </mc:AlternateContent>
  <bookViews>
    <workbookView xWindow="0" yWindow="0" windowWidth="28800" windowHeight="12435" activeTab="5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62913"/>
</workbook>
</file>

<file path=xl/calcChain.xml><?xml version="1.0" encoding="utf-8"?>
<calcChain xmlns="http://schemas.openxmlformats.org/spreadsheetml/2006/main">
  <c r="Y4" i="6" l="1"/>
  <c r="Y5" i="6"/>
  <c r="Y6" i="6"/>
  <c r="Y7" i="6"/>
  <c r="Y8" i="6"/>
  <c r="Y3" i="6"/>
  <c r="T4" i="6"/>
  <c r="T5" i="6"/>
  <c r="T6" i="6"/>
  <c r="T7" i="6"/>
  <c r="T8" i="6"/>
  <c r="T3" i="6"/>
  <c r="P3" i="2" l="1"/>
  <c r="R7" i="6" l="1"/>
  <c r="S7" i="6" s="1"/>
  <c r="R8" i="6"/>
  <c r="O7" i="6"/>
  <c r="O8" i="6"/>
  <c r="L7" i="6"/>
  <c r="L8" i="6"/>
  <c r="R6" i="6"/>
  <c r="S6" i="6" s="1"/>
  <c r="R5" i="6"/>
  <c r="L5" i="6"/>
  <c r="L6" i="6"/>
  <c r="O6" i="6"/>
  <c r="O5" i="6"/>
  <c r="L4" i="6"/>
  <c r="S4" i="6" s="1"/>
  <c r="L3" i="6"/>
  <c r="S3" i="6" s="1"/>
  <c r="S5" i="6" l="1"/>
  <c r="S8" i="6"/>
</calcChain>
</file>

<file path=xl/comments1.xml><?xml version="1.0" encoding="utf-8"?>
<comments xmlns="http://schemas.openxmlformats.org/spreadsheetml/2006/main">
  <authors>
    <author>younous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 shapeId="0">
      <text>
        <r>
          <rPr>
            <b/>
            <sz val="9"/>
            <color indexed="81"/>
            <rFont val="Tahoma"/>
            <family val="2"/>
          </rPr>
          <t>Peuplement parcellaire
1=pas de déficience
9= très déficient (plot exclu)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T1" authorId="0" shapeId="0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U1" authorId="0" shapeId="0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V1" authorId="0" shapeId="0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W1" authorId="0" shapeId="0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X1" authorId="0" shapeId="0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</rPr>
          <t>Teneur en huile des grains
@9%</t>
        </r>
      </text>
    </comment>
    <comment ref="Z1" authorId="0" shapeId="0">
      <text>
        <r>
          <rPr>
            <b/>
            <sz val="9"/>
            <color indexed="81"/>
            <rFont val="Tahoma"/>
            <family val="2"/>
          </rPr>
          <t>Teneur en protéines des grains
@9%</t>
        </r>
      </text>
    </comment>
    <comment ref="AA1" authorId="0" shapeId="0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B1" authorId="0" shapeId="0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C1" authorId="0" shapeId="0">
      <text>
        <r>
          <rPr>
            <sz val="9"/>
            <color indexed="81"/>
            <rFont val="Tahoma"/>
            <family val="2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<sst xmlns="http://schemas.openxmlformats.org/spreadsheetml/2006/main" count="1194" uniqueCount="261">
  <si>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</si>
  <si>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</si>
  <si>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</si>
  <si>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</si>
  <si>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</si>
  <si>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</si>
  <si>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</si>
  <si>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</si>
  <si>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</si>
  <si>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</si>
  <si>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</si>
  <si>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</si>
  <si>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</si>
  <si>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</si>
  <si>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</si>
  <si>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</si>
  <si>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</si>
  <si>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</si>
  <si>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</si>
  <si>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</si>
  <si>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</si>
  <si>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</si>
  <si>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</si>
  <si>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</si>
  <si>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</si>
  <si>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</si>
  <si>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</si>
  <si>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</si>
  <si>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</si>
  <si>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</si>
  <si>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</si>
  <si>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</si>
  <si>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</si>
  <si>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</si>
  <si>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</si>
  <si>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</si>
  <si>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JOINDRE LE PLAN PARCELLAIRE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</si>
  <si>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</si>
  <si>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</si>
  <si>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</si>
  <si>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</si>
  <si>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</si>
  <si>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</si>
  <si>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</si>
  <si>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</si>
  <si>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</si>
  <si>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</si>
  <si>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</si>
  <si>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</si>
  <si>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</si>
  <si>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</si>
  <si>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</si>
  <si>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</si>
  <si>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</si>
  <si>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</si>
  <si>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</si>
  <si>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</si>
  <si>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</si>
  <si>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</si>
  <si>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</si>
  <si>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</si>
  <si>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</si>
  <si>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</si>
  <si>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</si>
  <si>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</si>
  <si>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</si>
  <si>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</si>
  <si>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</si>
  <si>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</si>
  <si>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</si>
  <si>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</si>
  <si>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</si>
  <si>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</si>
  <si>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</si>
  <si>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</si>
  <si>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</si>
  <si>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</si>
  <si>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</si>
  <si>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</si>
  <si>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</si>
  <si>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</si>
  <si>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</si>
  <si>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</si>
  <si>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</si>
  <si>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</si>
  <si>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</si>
  <si>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</si>
  <si>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</si>
  <si>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</si>
  <si>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</si>
  <si>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</si>
  <si>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</si>
  <si>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</si>
  <si>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</si>
  <si>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</si>
  <si>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</si>
  <si>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</si>
  <si>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</si>
  <si>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</si>
  <si>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</si>
  <si>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</si>
  <si>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</si>
  <si>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</si>
  <si>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</si>
  <si>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</si>
  <si>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</si>
  <si>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</si>
  <si>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</si>
  <si>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</si>
  <si>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</si>
  <si>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</si>
  <si>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</si>
  <si>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</si>
  <si>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</si>
  <si>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</si>
  <si>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</si>
  <si>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</si>
  <si>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</si>
  <si>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</si>
  <si>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</si>
  <si>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VIGH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</si>
  <si>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</si>
  <si>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</si>
  <si>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</si>
  <si>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</si>
  <si>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</si>
  <si>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</si>
  <si>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</si>
  <si>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</si>
  <si>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</si>
  <si>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</si>
  <si>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</si>
  <si>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</si>
  <si>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</si>
  <si>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</si>
  <si>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</si>
  <si>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</si>
  <si>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</si>
  <si>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</si>
  <si>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</si>
  <si>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Julien Moreau</t>
  </si>
  <si>
    <t>julien.moreau@syngenta.com</t>
  </si>
  <si>
    <t>CHR</t>
  </si>
  <si>
    <t>19/07/2018</t>
  </si>
  <si>
    <t>0678154047</t>
  </si>
  <si>
    <t>1.304195°</t>
  </si>
  <si>
    <t xml:space="preserve">48.336453°   </t>
  </si>
  <si>
    <t>RCB</t>
  </si>
  <si>
    <t>28/08/2017</t>
  </si>
  <si>
    <t>b</t>
  </si>
  <si>
    <t>PO1-50</t>
  </si>
  <si>
    <t>PO1-51</t>
  </si>
  <si>
    <t>PO1-14</t>
  </si>
  <si>
    <t>PO1-24</t>
  </si>
  <si>
    <t>PO1-38</t>
  </si>
  <si>
    <t>PO1-4</t>
  </si>
  <si>
    <t>PO1-9</t>
  </si>
  <si>
    <t>PO1-48</t>
  </si>
  <si>
    <t>PO1-55</t>
  </si>
  <si>
    <t>PO1-66</t>
  </si>
  <si>
    <t>PO1-44</t>
  </si>
  <si>
    <t>PO1-26</t>
  </si>
  <si>
    <t>PO1-47</t>
  </si>
  <si>
    <t>PO1-31</t>
  </si>
  <si>
    <t>PO1-8</t>
  </si>
  <si>
    <t>PO1-25</t>
  </si>
  <si>
    <t>PO1-56</t>
  </si>
  <si>
    <t>PO1-2</t>
  </si>
  <si>
    <t>PO1-27</t>
  </si>
  <si>
    <t>PO1-34</t>
  </si>
  <si>
    <t>PO1-12</t>
  </si>
  <si>
    <t>PO1-30</t>
  </si>
  <si>
    <t>PO1-7</t>
  </si>
  <si>
    <t>PO1-60</t>
  </si>
  <si>
    <t>PO1-6</t>
  </si>
  <si>
    <t>PO1-52</t>
  </si>
  <si>
    <t>PO1-28</t>
  </si>
  <si>
    <t>PO1-35</t>
  </si>
  <si>
    <t>PO1-5</t>
  </si>
  <si>
    <t>PO1-18</t>
  </si>
  <si>
    <t>PO1-23</t>
  </si>
  <si>
    <t>PO1-20</t>
  </si>
  <si>
    <t>PO1-17</t>
  </si>
  <si>
    <t>PO1-63</t>
  </si>
  <si>
    <t>PO1-32</t>
  </si>
  <si>
    <t>PO1-59</t>
  </si>
  <si>
    <t>PO1-57</t>
  </si>
  <si>
    <t>PO1-43</t>
  </si>
  <si>
    <t>PO1-54</t>
  </si>
  <si>
    <t>PO1-22</t>
  </si>
  <si>
    <t>PO1-33</t>
  </si>
  <si>
    <t>PO1-42</t>
  </si>
  <si>
    <t>PO1-10</t>
  </si>
  <si>
    <t>PO1-19</t>
  </si>
  <si>
    <t>PO1-15</t>
  </si>
  <si>
    <t>PO1-68</t>
  </si>
  <si>
    <t>PO1-49</t>
  </si>
  <si>
    <t>PO1-62</t>
  </si>
  <si>
    <t>PO1-3</t>
  </si>
  <si>
    <t>PO1-16</t>
  </si>
  <si>
    <t>PO1-71</t>
  </si>
  <si>
    <t>PO1-36</t>
  </si>
  <si>
    <t>PO1-13</t>
  </si>
  <si>
    <t>PO1-41</t>
  </si>
  <si>
    <t>PO1-1</t>
  </si>
  <si>
    <t>PO1-69</t>
  </si>
  <si>
    <t>PO1-70</t>
  </si>
  <si>
    <t>PO1-11</t>
  </si>
  <si>
    <t>PO1-53</t>
  </si>
  <si>
    <t>PO1-45</t>
  </si>
  <si>
    <t>PO1-40</t>
  </si>
  <si>
    <t>PO1-29</t>
  </si>
  <si>
    <t>PO1-21</t>
  </si>
  <si>
    <t>PO1-64</t>
  </si>
  <si>
    <t>PO1-37</t>
  </si>
  <si>
    <t>PO1-65</t>
  </si>
  <si>
    <t>PO1-72</t>
  </si>
  <si>
    <t>PO1-61</t>
  </si>
  <si>
    <t>PO1-39</t>
  </si>
  <si>
    <t>PO1-67</t>
  </si>
  <si>
    <t>PO1-58</t>
  </si>
  <si>
    <t>PO1-46</t>
  </si>
  <si>
    <t>AVISO</t>
  </si>
  <si>
    <t>MONTEGO</t>
  </si>
  <si>
    <t>RAPSO_305</t>
  </si>
  <si>
    <t>RAPSO_312</t>
  </si>
  <si>
    <t>RAPSO_472</t>
  </si>
  <si>
    <t>RAPSO_315</t>
  </si>
  <si>
    <t>RAPSO_316</t>
  </si>
  <si>
    <t>RAPSO_318</t>
  </si>
  <si>
    <t>RAPSO_330</t>
  </si>
  <si>
    <t>RAPSO_325</t>
  </si>
  <si>
    <t>RAPSO_294</t>
  </si>
  <si>
    <t>RAPSO_302</t>
  </si>
  <si>
    <t>2m</t>
  </si>
  <si>
    <t>&gt;200mm</t>
  </si>
  <si>
    <t>limon battant profond, humide</t>
  </si>
  <si>
    <t>BBCH60</t>
  </si>
  <si>
    <t>CH2</t>
  </si>
  <si>
    <t>PUI</t>
  </si>
  <si>
    <t>prelevé sur 2m20</t>
  </si>
  <si>
    <t xml:space="preserve">prelevé sur 2M06 </t>
  </si>
  <si>
    <t>PUI01</t>
  </si>
  <si>
    <t>prelevé sur 2M</t>
  </si>
  <si>
    <t>SYNGENTA</t>
  </si>
  <si>
    <t>Montego</t>
  </si>
  <si>
    <t>T</t>
  </si>
  <si>
    <t>G</t>
  </si>
  <si>
    <t>20/07/2018</t>
  </si>
  <si>
    <t xml:space="preserve"> 48.325964°</t>
  </si>
  <si>
    <t xml:space="preserve">  1.328558°</t>
  </si>
  <si>
    <t>2018_Matrice_Essai_WP4_DATA_CHR-CH2-PUI_SYNGENTA</t>
  </si>
  <si>
    <t>SYNGENTA2018</t>
  </si>
  <si>
    <t>21/08/2017</t>
  </si>
  <si>
    <t>14/07/2018</t>
  </si>
  <si>
    <t xml:space="preserve"> 47.810968°</t>
  </si>
  <si>
    <t xml:space="preserve">  2.985825°</t>
  </si>
  <si>
    <t>B</t>
  </si>
  <si>
    <t>limon battant profond</t>
  </si>
  <si>
    <t>argile à silex, humide</t>
  </si>
  <si>
    <t>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</si>
</sst>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.0000"/>
    <numFmt numFmtId="165" formatCode="_(\$* #,##0.00_);_(\$* \(#,##0.00\);_(\$* \-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medium">
        <color indexed="64"/>
      </bottom>
      <diagonal/>
    </border>
  </borders>
  <cellStyleXfs count="159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38" applyNumberFormat="0" applyAlignment="0" applyProtection="0"/>
    <xf numFmtId="0" fontId="33" fillId="62" borderId="38" applyNumberFormat="0" applyAlignment="0" applyProtection="0"/>
    <xf numFmtId="0" fontId="28" fillId="0" borderId="0" applyNumberFormat="0" applyFill="0" applyBorder="0" applyAlignment="0" applyProtection="0"/>
    <xf numFmtId="0" fontId="34" fillId="62" borderId="39" applyNumberFormat="0" applyAlignment="0" applyProtection="0"/>
    <xf numFmtId="0" fontId="34" fillId="62" borderId="39" applyNumberFormat="0" applyAlignment="0" applyProtection="0"/>
    <xf numFmtId="0" fontId="25" fillId="16" borderId="32" applyNumberFormat="0" applyAlignment="0" applyProtection="0"/>
    <xf numFmtId="0" fontId="26" fillId="0" borderId="34" applyNumberFormat="0" applyFill="0" applyAlignment="0" applyProtection="0"/>
    <xf numFmtId="0" fontId="31" fillId="18" borderId="36" applyNumberFormat="0" applyFont="0" applyAlignment="0" applyProtection="0"/>
    <xf numFmtId="165" fontId="31" fillId="0" borderId="0" applyFill="0" applyBorder="0" applyAlignment="0" applyProtection="0"/>
    <xf numFmtId="0" fontId="35" fillId="49" borderId="39" applyNumberFormat="0" applyAlignment="0" applyProtection="0"/>
    <xf numFmtId="0" fontId="35" fillId="49" borderId="39" applyNumberFormat="0" applyAlignment="0" applyProtection="0"/>
    <xf numFmtId="0" fontId="33" fillId="62" borderId="38" applyNumberFormat="0" applyAlignment="0" applyProtection="0"/>
    <xf numFmtId="0" fontId="33" fillId="62" borderId="38" applyNumberFormat="0" applyAlignment="0" applyProtection="0"/>
    <xf numFmtId="0" fontId="36" fillId="46" borderId="0" applyNumberFormat="0" applyBorder="0" applyAlignment="0" applyProtection="0"/>
    <xf numFmtId="0" fontId="35" fillId="49" borderId="39" applyNumberFormat="0" applyAlignment="0" applyProtection="0"/>
    <xf numFmtId="0" fontId="35" fillId="49" borderId="39" applyNumberFormat="0" applyAlignment="0" applyProtection="0"/>
    <xf numFmtId="0" fontId="23" fillId="15" borderId="32" applyNumberFormat="0" applyAlignment="0" applyProtection="0"/>
    <xf numFmtId="0" fontId="37" fillId="0" borderId="40" applyNumberFormat="0" applyFill="0" applyAlignment="0" applyProtection="0"/>
    <xf numFmtId="0" fontId="37" fillId="0" borderId="40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41" applyNumberFormat="0" applyFill="0" applyAlignment="0" applyProtection="0"/>
    <xf numFmtId="0" fontId="40" fillId="63" borderId="42" applyNumberFormat="0" applyAlignment="0" applyProtection="0"/>
    <xf numFmtId="0" fontId="11" fillId="0" borderId="0"/>
    <xf numFmtId="0" fontId="11" fillId="0" borderId="0"/>
    <xf numFmtId="0" fontId="41" fillId="0" borderId="43" applyNumberFormat="0" applyFill="0" applyAlignment="0" applyProtection="0"/>
    <xf numFmtId="0" fontId="42" fillId="0" borderId="44" applyNumberFormat="0" applyFill="0" applyAlignment="0" applyProtection="0"/>
    <xf numFmtId="0" fontId="43" fillId="0" borderId="45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46" applyNumberFormat="0" applyFont="0" applyAlignment="0" applyProtection="0"/>
    <xf numFmtId="0" fontId="31" fillId="65" borderId="46" applyNumberFormat="0" applyFont="0" applyAlignment="0" applyProtection="0"/>
    <xf numFmtId="0" fontId="34" fillId="62" borderId="39" applyNumberFormat="0" applyAlignment="0" applyProtection="0"/>
    <xf numFmtId="0" fontId="34" fillId="62" borderId="39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33" applyNumberFormat="0" applyAlignment="0" applyProtection="0"/>
    <xf numFmtId="0" fontId="37" fillId="0" borderId="40" applyNumberFormat="0" applyFill="0" applyAlignment="0" applyProtection="0"/>
    <xf numFmtId="0" fontId="37" fillId="0" borderId="40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0" borderId="30" applyNumberFormat="0" applyFill="0" applyAlignment="0" applyProtection="0"/>
    <xf numFmtId="0" fontId="19" fillId="0" borderId="31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37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43" applyNumberFormat="0" applyFill="0" applyAlignment="0" applyProtection="0"/>
    <xf numFmtId="0" fontId="42" fillId="0" borderId="44" applyNumberFormat="0" applyFill="0" applyAlignment="0" applyProtection="0"/>
    <xf numFmtId="0" fontId="43" fillId="0" borderId="45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46" applyNumberFormat="0" applyFont="0" applyAlignment="0" applyProtection="0"/>
    <xf numFmtId="0" fontId="31" fillId="65" borderId="46" applyNumberFormat="0" applyFont="0" applyAlignment="0" applyProtection="0"/>
    <xf numFmtId="0" fontId="27" fillId="17" borderId="35" applyNumberFormat="0" applyAlignment="0" applyProtection="0"/>
    <xf numFmtId="0" fontId="39" fillId="0" borderId="41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42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0" fontId="60" fillId="0" borderId="0" applyNumberForma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15" fillId="0" borderId="17" xfId="0" applyFont="1" applyBorder="1" applyAlignment="1">
      <alignment horizontal="center" vertical="center"/>
    </xf>
    <xf numFmtId="14" fontId="15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1" fillId="0" borderId="19" xfId="2" applyBorder="1" applyAlignment="1">
      <alignment horizontal="center"/>
    </xf>
    <xf numFmtId="0" fontId="11" fillId="0" borderId="21" xfId="2" applyBorder="1" applyAlignment="1">
      <alignment horizontal="center"/>
    </xf>
    <xf numFmtId="164" fontId="13" fillId="0" borderId="19" xfId="3" applyNumberFormat="1" applyBorder="1" applyAlignment="1">
      <alignment horizontal="center"/>
    </xf>
    <xf numFmtId="0" fontId="11" fillId="0" borderId="25" xfId="2" applyBorder="1" applyAlignment="1">
      <alignment horizontal="center"/>
    </xf>
    <xf numFmtId="0" fontId="11" fillId="0" borderId="26" xfId="2" applyBorder="1" applyAlignment="1">
      <alignment horizontal="center"/>
    </xf>
    <xf numFmtId="2" fontId="11" fillId="0" borderId="22" xfId="2" applyNumberFormat="1" applyBorder="1" applyAlignment="1">
      <alignment horizontal="center"/>
    </xf>
    <xf numFmtId="164" fontId="13" fillId="0" borderId="25" xfId="3" applyNumberFormat="1" applyBorder="1" applyAlignment="1">
      <alignment horizontal="center"/>
    </xf>
    <xf numFmtId="0" fontId="15" fillId="0" borderId="19" xfId="0" applyFont="1" applyFill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15" fillId="0" borderId="6" xfId="0" applyFont="1" applyBorder="1" applyAlignment="1">
      <alignment horizontal="center" vertical="center"/>
    </xf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60" fillId="11" borderId="1" xfId="158" applyFill="1" applyBorder="1"/>
    <xf numFmtId="0" fontId="0" fillId="9" borderId="4" xfId="0" quotePrefix="1" applyFill="1" applyBorder="1"/>
    <xf numFmtId="0" fontId="60" fillId="9" borderId="4" xfId="158" applyFill="1" applyBorder="1"/>
    <xf numFmtId="0" fontId="0" fillId="9" borderId="4" xfId="0" applyFill="1" applyBorder="1" applyAlignment="1">
      <alignment horizontal="center" vertical="center"/>
    </xf>
    <xf numFmtId="14" fontId="0" fillId="9" borderId="4" xfId="0" applyNumberFormat="1" applyFill="1" applyBorder="1" applyAlignment="1">
      <alignment horizontal="center" vertical="center"/>
    </xf>
    <xf numFmtId="0" fontId="61" fillId="43" borderId="0" xfId="0" applyFont="1" applyFill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10" fontId="11" fillId="0" borderId="19" xfId="2" applyNumberFormat="1" applyBorder="1" applyAlignment="1">
      <alignment horizontal="center"/>
    </xf>
    <xf numFmtId="0" fontId="7" fillId="6" borderId="61" xfId="2" applyFont="1" applyFill="1" applyBorder="1" applyAlignment="1">
      <alignment horizontal="center"/>
    </xf>
    <xf numFmtId="0" fontId="7" fillId="6" borderId="62" xfId="2" applyFont="1" applyFill="1" applyBorder="1" applyAlignment="1">
      <alignment horizontal="center"/>
    </xf>
    <xf numFmtId="0" fontId="7" fillId="7" borderId="28" xfId="0" applyFont="1" applyFill="1" applyBorder="1" applyAlignment="1">
      <alignment horizontal="center" vertical="center"/>
    </xf>
    <xf numFmtId="0" fontId="7" fillId="7" borderId="63" xfId="0" applyFont="1" applyFill="1" applyBorder="1" applyAlignment="1">
      <alignment horizontal="center" vertical="center"/>
    </xf>
    <xf numFmtId="0" fontId="7" fillId="7" borderId="64" xfId="0" applyFont="1" applyFill="1" applyBorder="1" applyAlignment="1">
      <alignment horizontal="center" vertical="center"/>
    </xf>
    <xf numFmtId="0" fontId="7" fillId="7" borderId="65" xfId="0" applyFont="1" applyFill="1" applyBorder="1" applyAlignment="1">
      <alignment horizontal="center" vertical="center"/>
    </xf>
    <xf numFmtId="0" fontId="7" fillId="6" borderId="28" xfId="2" applyFont="1" applyFill="1" applyBorder="1" applyAlignment="1">
      <alignment horizontal="center"/>
    </xf>
    <xf numFmtId="0" fontId="7" fillId="6" borderId="66" xfId="2" applyFont="1" applyFill="1" applyBorder="1" applyAlignment="1">
      <alignment horizontal="center"/>
    </xf>
    <xf numFmtId="0" fontId="7" fillId="6" borderId="67" xfId="2" applyFont="1" applyFill="1" applyBorder="1" applyAlignment="1">
      <alignment horizontal="center"/>
    </xf>
    <xf numFmtId="0" fontId="7" fillId="6" borderId="64" xfId="2" applyFont="1" applyFill="1" applyBorder="1" applyAlignment="1">
      <alignment horizontal="center"/>
    </xf>
    <xf numFmtId="0" fontId="7" fillId="6" borderId="68" xfId="2" applyFont="1" applyFill="1" applyBorder="1" applyAlignment="1">
      <alignment horizontal="center"/>
    </xf>
    <xf numFmtId="0" fontId="7" fillId="6" borderId="63" xfId="2" applyFont="1" applyFill="1" applyBorder="1" applyAlignment="1">
      <alignment horizontal="center"/>
    </xf>
    <xf numFmtId="0" fontId="7" fillId="8" borderId="28" xfId="2" applyFont="1" applyFill="1" applyBorder="1" applyAlignment="1">
      <alignment horizontal="center"/>
    </xf>
    <xf numFmtId="0" fontId="15" fillId="0" borderId="69" xfId="0" applyFont="1" applyBorder="1" applyAlignment="1">
      <alignment horizontal="center" vertical="center"/>
    </xf>
    <xf numFmtId="14" fontId="15" fillId="0" borderId="70" xfId="0" applyNumberFormat="1" applyFont="1" applyBorder="1" applyAlignment="1">
      <alignment horizontal="center" vertical="center"/>
    </xf>
    <xf numFmtId="49" fontId="15" fillId="0" borderId="70" xfId="0" applyNumberFormat="1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15" fillId="0" borderId="73" xfId="0" applyFont="1" applyBorder="1" applyAlignment="1">
      <alignment horizontal="center" vertical="center"/>
    </xf>
    <xf numFmtId="10" fontId="11" fillId="0" borderId="71" xfId="2" applyNumberFormat="1" applyBorder="1" applyAlignment="1">
      <alignment horizontal="center"/>
    </xf>
    <xf numFmtId="0" fontId="11" fillId="0" borderId="72" xfId="2" applyBorder="1" applyAlignment="1">
      <alignment horizontal="center"/>
    </xf>
    <xf numFmtId="0" fontId="11" fillId="0" borderId="75" xfId="2" applyBorder="1" applyAlignment="1">
      <alignment horizontal="center"/>
    </xf>
    <xf numFmtId="2" fontId="11" fillId="0" borderId="76" xfId="2" applyNumberFormat="1" applyBorder="1" applyAlignment="1">
      <alignment horizontal="center"/>
    </xf>
    <xf numFmtId="164" fontId="13" fillId="0" borderId="72" xfId="3" applyNumberFormat="1" applyBorder="1" applyAlignment="1">
      <alignment horizontal="center"/>
    </xf>
    <xf numFmtId="164" fontId="13" fillId="0" borderId="77" xfId="3" applyNumberFormat="1" applyBorder="1" applyAlignment="1">
      <alignment horizontal="center"/>
    </xf>
    <xf numFmtId="0" fontId="15" fillId="0" borderId="78" xfId="0" applyFont="1" applyBorder="1" applyAlignment="1">
      <alignment horizontal="center" vertical="center"/>
    </xf>
    <xf numFmtId="0" fontId="15" fillId="0" borderId="79" xfId="0" applyFont="1" applyBorder="1" applyAlignment="1">
      <alignment horizontal="center" vertical="center"/>
    </xf>
    <xf numFmtId="14" fontId="15" fillId="0" borderId="80" xfId="0" applyNumberFormat="1" applyFont="1" applyBorder="1" applyAlignment="1">
      <alignment horizontal="center" vertical="center"/>
    </xf>
    <xf numFmtId="49" fontId="15" fillId="0" borderId="80" xfId="0" applyNumberFormat="1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10" fontId="11" fillId="0" borderId="82" xfId="2" applyNumberFormat="1" applyBorder="1" applyAlignment="1">
      <alignment horizontal="center"/>
    </xf>
    <xf numFmtId="0" fontId="11" fillId="0" borderId="82" xfId="2" applyBorder="1" applyAlignment="1">
      <alignment horizontal="center"/>
    </xf>
    <xf numFmtId="0" fontId="11" fillId="0" borderId="87" xfId="2" applyBorder="1" applyAlignment="1">
      <alignment horizontal="center"/>
    </xf>
    <xf numFmtId="2" fontId="11" fillId="0" borderId="88" xfId="2" applyNumberFormat="1" applyBorder="1" applyAlignment="1">
      <alignment horizontal="center"/>
    </xf>
    <xf numFmtId="164" fontId="13" fillId="0" borderId="82" xfId="3" applyNumberFormat="1" applyBorder="1" applyAlignment="1">
      <alignment horizontal="center"/>
    </xf>
    <xf numFmtId="0" fontId="11" fillId="2" borderId="0" xfId="2" applyFill="1"/>
    <xf numFmtId="0" fontId="28" fillId="0" borderId="0" xfId="0" applyFont="1"/>
    <xf numFmtId="0" fontId="0" fillId="2" borderId="0" xfId="0" applyFill="1"/>
    <xf numFmtId="0" fontId="2" fillId="10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15" fillId="0" borderId="84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7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81" xfId="0" applyFont="1" applyBorder="1" applyAlignment="1">
      <alignment horizontal="center" vertical="center"/>
    </xf>
    <xf numFmtId="0" fontId="15" fillId="0" borderId="73" xfId="0" applyFont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</cellXfs>
  <cellStyles count="159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58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lien.moreau@syngent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ulien.moreau@syngenta.com" TargetMode="External"/><Relationship Id="rId2" Type="http://schemas.openxmlformats.org/officeDocument/2006/relationships/hyperlink" Target="mailto:julien.moreau@syngenta.com" TargetMode="External"/><Relationship Id="rId1" Type="http://schemas.openxmlformats.org/officeDocument/2006/relationships/hyperlink" Target="mailto:julien.moreau@syngenta.com" TargetMode="External"/><Relationship Id="rId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baseColWidth="10" defaultColWidth="11.42578125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36" t="s">
        <v>140</v>
      </c>
    </row>
    <row r="4" spans="1:2" ht="15.75" thickBot="1">
      <c r="A4" s="9" t="s">
        <v>10</v>
      </c>
      <c r="B4" s="53" t="s">
        <v>141</v>
      </c>
    </row>
    <row r="5" spans="1:2" ht="15.75" thickBot="1">
      <c r="A5" s="9" t="s">
        <v>2</v>
      </c>
      <c r="B5" s="10" t="s">
        <v>251</v>
      </c>
    </row>
    <row r="6" spans="1:2" ht="15.75" thickBot="1">
      <c r="A6" s="9" t="s">
        <v>3</v>
      </c>
      <c r="B6" s="11">
        <v>43262</v>
      </c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37">
        <v>1</v>
      </c>
    </row>
    <row r="10" spans="1:2" ht="15.75" thickBot="1">
      <c r="A10" s="2"/>
    </row>
    <row r="11" spans="1:2" ht="15.75" thickBot="1">
      <c r="A11" s="6" t="s">
        <v>7</v>
      </c>
      <c r="B11" s="5" t="s">
        <v>252</v>
      </c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73"/>
  <sheetViews>
    <sheetView zoomScale="85" zoomScaleNormal="85" workbookViewId="0">
      <selection activeCell="P16" sqref="P16"/>
    </sheetView>
  </sheetViews>
  <sheetFormatPr baseColWidth="10" defaultColWidth="11.42578125" defaultRowHeight="15"/>
  <cols>
    <col min="1" max="1" width="20.28515625" bestFit="1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115" t="s">
        <v>17</v>
      </c>
      <c r="B1" s="115"/>
      <c r="D1" s="51" t="s">
        <v>137</v>
      </c>
      <c r="E1" s="49" t="s">
        <v>107</v>
      </c>
      <c r="F1" s="49" t="s">
        <v>108</v>
      </c>
      <c r="G1" s="49" t="s">
        <v>109</v>
      </c>
      <c r="H1" s="50" t="s">
        <v>110</v>
      </c>
      <c r="I1" s="50" t="s">
        <v>111</v>
      </c>
      <c r="J1" s="50" t="s">
        <v>112</v>
      </c>
      <c r="K1" s="50" t="s">
        <v>113</v>
      </c>
      <c r="L1" s="50" t="s">
        <v>114</v>
      </c>
      <c r="M1" s="50" t="s">
        <v>115</v>
      </c>
      <c r="N1" s="50" t="s">
        <v>116</v>
      </c>
      <c r="O1" s="50" t="s">
        <v>117</v>
      </c>
      <c r="P1" s="48" t="s">
        <v>118</v>
      </c>
    </row>
    <row r="2" spans="1:16">
      <c r="A2" s="34" t="s">
        <v>13</v>
      </c>
      <c r="B2" s="35" t="s">
        <v>142</v>
      </c>
      <c r="D2" t="s">
        <v>138</v>
      </c>
      <c r="E2" s="13">
        <v>45</v>
      </c>
      <c r="F2" s="13"/>
      <c r="G2" s="13">
        <v>330</v>
      </c>
      <c r="H2" s="13"/>
      <c r="I2" s="13"/>
      <c r="J2" s="13"/>
      <c r="K2" s="13"/>
      <c r="L2" s="13"/>
      <c r="M2" s="13"/>
      <c r="N2" s="13"/>
      <c r="O2" s="13">
        <v>250</v>
      </c>
      <c r="P2" s="13">
        <v>250</v>
      </c>
    </row>
    <row r="3" spans="1:16">
      <c r="A3" s="34" t="s">
        <v>14</v>
      </c>
      <c r="B3" s="35" t="s">
        <v>148</v>
      </c>
      <c r="D3" t="s">
        <v>139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>
        <f>P2-80</f>
        <v>170</v>
      </c>
    </row>
    <row r="4" spans="1:16">
      <c r="A4" s="34" t="s">
        <v>15</v>
      </c>
      <c r="B4" s="35" t="s">
        <v>143</v>
      </c>
    </row>
    <row r="5" spans="1:16">
      <c r="A5" s="34" t="s">
        <v>16</v>
      </c>
      <c r="B5" s="35"/>
    </row>
    <row r="6" spans="1:16">
      <c r="A6" s="34" t="s">
        <v>23</v>
      </c>
      <c r="B6" s="34" t="s">
        <v>140</v>
      </c>
    </row>
    <row r="7" spans="1:16">
      <c r="A7" s="34" t="s">
        <v>24</v>
      </c>
      <c r="B7" s="54" t="s">
        <v>144</v>
      </c>
    </row>
    <row r="8" spans="1:16">
      <c r="A8" s="34" t="s">
        <v>25</v>
      </c>
      <c r="B8" s="55" t="s">
        <v>141</v>
      </c>
    </row>
    <row r="10" spans="1:16">
      <c r="A10" s="115" t="s">
        <v>18</v>
      </c>
      <c r="B10" s="115"/>
    </row>
    <row r="11" spans="1:16">
      <c r="A11" s="34" t="s">
        <v>19</v>
      </c>
      <c r="B11" s="34" t="s">
        <v>142</v>
      </c>
    </row>
    <row r="12" spans="1:16">
      <c r="A12" s="34" t="s">
        <v>20</v>
      </c>
      <c r="B12" s="34" t="s">
        <v>146</v>
      </c>
    </row>
    <row r="13" spans="1:16">
      <c r="A13" s="34" t="s">
        <v>21</v>
      </c>
      <c r="B13" s="34" t="s">
        <v>145</v>
      </c>
    </row>
    <row r="15" spans="1:16">
      <c r="A15" s="115" t="s">
        <v>22</v>
      </c>
      <c r="B15" s="115"/>
    </row>
    <row r="16" spans="1:16">
      <c r="A16" s="34" t="s">
        <v>26</v>
      </c>
      <c r="B16" s="56">
        <v>-80</v>
      </c>
    </row>
    <row r="17" spans="1:16">
      <c r="A17" s="34" t="s">
        <v>27</v>
      </c>
      <c r="B17" s="56" t="s">
        <v>64</v>
      </c>
    </row>
    <row r="18" spans="1:16">
      <c r="A18" s="34" t="s">
        <v>28</v>
      </c>
      <c r="B18" s="56" t="s">
        <v>147</v>
      </c>
    </row>
    <row r="19" spans="1:16">
      <c r="A19" s="34" t="s">
        <v>29</v>
      </c>
      <c r="B19" s="56" t="s">
        <v>148</v>
      </c>
    </row>
    <row r="20" spans="1:16">
      <c r="A20" s="34" t="s">
        <v>30</v>
      </c>
      <c r="B20" s="57">
        <v>43284</v>
      </c>
    </row>
    <row r="21" spans="1:16">
      <c r="A21" s="34" t="s">
        <v>31</v>
      </c>
      <c r="B21" s="56"/>
    </row>
    <row r="22" spans="1:16">
      <c r="A22" s="34" t="s">
        <v>32</v>
      </c>
      <c r="B22" s="56"/>
    </row>
    <row r="23" spans="1:16">
      <c r="A23" s="34" t="s">
        <v>33</v>
      </c>
      <c r="B23" s="35" t="s">
        <v>143</v>
      </c>
    </row>
    <row r="26" spans="1:16" ht="38.25">
      <c r="A26" s="115" t="s">
        <v>17</v>
      </c>
      <c r="B26" s="115"/>
      <c r="D26" s="51" t="s">
        <v>137</v>
      </c>
      <c r="E26" s="49" t="s">
        <v>107</v>
      </c>
      <c r="F26" s="49" t="s">
        <v>108</v>
      </c>
      <c r="G26" s="49" t="s">
        <v>109</v>
      </c>
      <c r="H26" s="50" t="s">
        <v>110</v>
      </c>
      <c r="I26" s="50" t="s">
        <v>111</v>
      </c>
      <c r="J26" s="50" t="s">
        <v>112</v>
      </c>
      <c r="K26" s="50" t="s">
        <v>113</v>
      </c>
      <c r="L26" s="50" t="s">
        <v>114</v>
      </c>
      <c r="M26" s="50" t="s">
        <v>115</v>
      </c>
      <c r="N26" s="50" t="s">
        <v>116</v>
      </c>
      <c r="O26" s="50" t="s">
        <v>117</v>
      </c>
      <c r="P26" s="48" t="s">
        <v>118</v>
      </c>
    </row>
    <row r="27" spans="1:16">
      <c r="A27" s="34" t="s">
        <v>13</v>
      </c>
      <c r="B27" s="35" t="s">
        <v>238</v>
      </c>
      <c r="D27" t="s">
        <v>138</v>
      </c>
      <c r="E27" s="13">
        <v>45</v>
      </c>
      <c r="F27" s="13"/>
      <c r="G27" s="13">
        <v>330</v>
      </c>
      <c r="H27" s="13"/>
      <c r="I27" s="13"/>
      <c r="J27" s="13"/>
      <c r="K27" s="13"/>
      <c r="L27" s="13"/>
      <c r="M27" s="13"/>
      <c r="N27" s="13"/>
      <c r="O27" s="13"/>
      <c r="P27" s="13"/>
    </row>
    <row r="28" spans="1:16">
      <c r="A28" s="34" t="s">
        <v>14</v>
      </c>
      <c r="B28" s="35" t="s">
        <v>148</v>
      </c>
      <c r="D28" t="s">
        <v>139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>
      <c r="A29" s="34" t="s">
        <v>15</v>
      </c>
      <c r="B29" s="35" t="s">
        <v>248</v>
      </c>
    </row>
    <row r="30" spans="1:16">
      <c r="A30" s="34" t="s">
        <v>16</v>
      </c>
      <c r="B30" s="35"/>
    </row>
    <row r="31" spans="1:16">
      <c r="A31" s="34" t="s">
        <v>23</v>
      </c>
      <c r="B31" s="34" t="s">
        <v>140</v>
      </c>
    </row>
    <row r="32" spans="1:16">
      <c r="A32" s="34" t="s">
        <v>24</v>
      </c>
      <c r="B32" s="54" t="s">
        <v>144</v>
      </c>
    </row>
    <row r="33" spans="1:2">
      <c r="A33" s="34" t="s">
        <v>25</v>
      </c>
      <c r="B33" s="55" t="s">
        <v>141</v>
      </c>
    </row>
    <row r="35" spans="1:2">
      <c r="A35" s="115" t="s">
        <v>18</v>
      </c>
      <c r="B35" s="115"/>
    </row>
    <row r="36" spans="1:2">
      <c r="A36" s="34" t="s">
        <v>19</v>
      </c>
      <c r="B36" s="34" t="s">
        <v>238</v>
      </c>
    </row>
    <row r="37" spans="1:2">
      <c r="A37" s="34" t="s">
        <v>20</v>
      </c>
      <c r="B37" s="34" t="s">
        <v>249</v>
      </c>
    </row>
    <row r="38" spans="1:2">
      <c r="A38" s="34" t="s">
        <v>21</v>
      </c>
      <c r="B38" s="34" t="s">
        <v>250</v>
      </c>
    </row>
    <row r="40" spans="1:2">
      <c r="A40" s="115" t="s">
        <v>22</v>
      </c>
      <c r="B40" s="115"/>
    </row>
    <row r="41" spans="1:2">
      <c r="A41" s="34" t="s">
        <v>26</v>
      </c>
      <c r="B41" s="56">
        <v>-80</v>
      </c>
    </row>
    <row r="42" spans="1:2">
      <c r="A42" s="34" t="s">
        <v>27</v>
      </c>
      <c r="B42" s="56" t="s">
        <v>64</v>
      </c>
    </row>
    <row r="43" spans="1:2">
      <c r="A43" s="34" t="s">
        <v>28</v>
      </c>
      <c r="B43" s="56" t="s">
        <v>147</v>
      </c>
    </row>
    <row r="44" spans="1:2">
      <c r="A44" s="34" t="s">
        <v>29</v>
      </c>
      <c r="B44" s="56" t="s">
        <v>148</v>
      </c>
    </row>
    <row r="45" spans="1:2">
      <c r="A45" s="34" t="s">
        <v>30</v>
      </c>
      <c r="B45" s="57"/>
    </row>
    <row r="46" spans="1:2">
      <c r="A46" s="34" t="s">
        <v>31</v>
      </c>
      <c r="B46" s="56"/>
    </row>
    <row r="47" spans="1:2">
      <c r="A47" s="34" t="s">
        <v>32</v>
      </c>
      <c r="B47" s="56"/>
    </row>
    <row r="48" spans="1:2">
      <c r="A48" s="34" t="s">
        <v>33</v>
      </c>
      <c r="B48" s="35" t="s">
        <v>248</v>
      </c>
    </row>
    <row r="51" spans="1:16" ht="38.25">
      <c r="A51" s="115" t="s">
        <v>17</v>
      </c>
      <c r="B51" s="115"/>
      <c r="D51" s="51" t="s">
        <v>137</v>
      </c>
      <c r="E51" s="49" t="s">
        <v>107</v>
      </c>
      <c r="F51" s="49" t="s">
        <v>108</v>
      </c>
      <c r="G51" s="49" t="s">
        <v>109</v>
      </c>
      <c r="H51" s="50" t="s">
        <v>110</v>
      </c>
      <c r="I51" s="50" t="s">
        <v>111</v>
      </c>
      <c r="J51" s="50" t="s">
        <v>112</v>
      </c>
      <c r="K51" s="50" t="s">
        <v>113</v>
      </c>
      <c r="L51" s="50" t="s">
        <v>114</v>
      </c>
      <c r="M51" s="50" t="s">
        <v>115</v>
      </c>
      <c r="N51" s="50" t="s">
        <v>116</v>
      </c>
      <c r="O51" s="50" t="s">
        <v>117</v>
      </c>
      <c r="P51" s="48" t="s">
        <v>118</v>
      </c>
    </row>
    <row r="52" spans="1:16">
      <c r="A52" s="34" t="s">
        <v>13</v>
      </c>
      <c r="B52" s="35" t="s">
        <v>239</v>
      </c>
      <c r="D52" t="s">
        <v>138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>
      <c r="A53" s="34" t="s">
        <v>14</v>
      </c>
      <c r="B53" s="35" t="s">
        <v>253</v>
      </c>
      <c r="D53" t="s">
        <v>139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>
      <c r="A54" s="34" t="s">
        <v>15</v>
      </c>
      <c r="B54" s="35" t="s">
        <v>254</v>
      </c>
    </row>
    <row r="55" spans="1:16">
      <c r="A55" s="34" t="s">
        <v>16</v>
      </c>
      <c r="B55" s="35"/>
    </row>
    <row r="56" spans="1:16">
      <c r="A56" s="34" t="s">
        <v>23</v>
      </c>
      <c r="B56" s="34" t="s">
        <v>140</v>
      </c>
    </row>
    <row r="57" spans="1:16">
      <c r="A57" s="34" t="s">
        <v>24</v>
      </c>
      <c r="B57" s="54" t="s">
        <v>144</v>
      </c>
    </row>
    <row r="58" spans="1:16">
      <c r="A58" s="34" t="s">
        <v>25</v>
      </c>
      <c r="B58" s="55" t="s">
        <v>141</v>
      </c>
    </row>
    <row r="60" spans="1:16">
      <c r="A60" s="115" t="s">
        <v>18</v>
      </c>
      <c r="B60" s="115"/>
    </row>
    <row r="61" spans="1:16">
      <c r="A61" s="34" t="s">
        <v>19</v>
      </c>
      <c r="B61" s="34" t="s">
        <v>239</v>
      </c>
    </row>
    <row r="62" spans="1:16">
      <c r="A62" s="34" t="s">
        <v>20</v>
      </c>
      <c r="B62" s="34" t="s">
        <v>255</v>
      </c>
    </row>
    <row r="63" spans="1:16">
      <c r="A63" s="34" t="s">
        <v>21</v>
      </c>
      <c r="B63" s="34" t="s">
        <v>256</v>
      </c>
    </row>
    <row r="65" spans="1:2">
      <c r="A65" s="115" t="s">
        <v>22</v>
      </c>
      <c r="B65" s="115"/>
    </row>
    <row r="66" spans="1:2">
      <c r="A66" s="34" t="s">
        <v>26</v>
      </c>
      <c r="B66" s="56">
        <v>-80</v>
      </c>
    </row>
    <row r="67" spans="1:2">
      <c r="A67" s="34" t="s">
        <v>27</v>
      </c>
      <c r="B67" s="56" t="s">
        <v>64</v>
      </c>
    </row>
    <row r="68" spans="1:2">
      <c r="A68" s="34" t="s">
        <v>28</v>
      </c>
      <c r="B68" s="56" t="s">
        <v>147</v>
      </c>
    </row>
    <row r="69" spans="1:2">
      <c r="A69" s="34" t="s">
        <v>29</v>
      </c>
      <c r="B69" s="35" t="s">
        <v>253</v>
      </c>
    </row>
    <row r="70" spans="1:2">
      <c r="A70" s="34" t="s">
        <v>30</v>
      </c>
      <c r="B70" s="57">
        <v>43375</v>
      </c>
    </row>
    <row r="71" spans="1:2">
      <c r="A71" s="34" t="s">
        <v>31</v>
      </c>
      <c r="B71" s="57">
        <v>43223</v>
      </c>
    </row>
    <row r="72" spans="1:2">
      <c r="A72" s="34" t="s">
        <v>32</v>
      </c>
      <c r="B72" s="56"/>
    </row>
    <row r="73" spans="1:2">
      <c r="A73" s="34" t="s">
        <v>33</v>
      </c>
      <c r="B73" s="35" t="s">
        <v>254</v>
      </c>
    </row>
  </sheetData>
  <mergeCells count="9">
    <mergeCell ref="A40:B40"/>
    <mergeCell ref="A51:B51"/>
    <mergeCell ref="A60:B60"/>
    <mergeCell ref="A65:B65"/>
    <mergeCell ref="A1:B1"/>
    <mergeCell ref="A10:B10"/>
    <mergeCell ref="A15:B15"/>
    <mergeCell ref="A26:B26"/>
    <mergeCell ref="A35:B35"/>
  </mergeCells>
  <hyperlinks>
    <hyperlink ref="B8" r:id="rId1"/>
    <hyperlink ref="B33" r:id="rId2"/>
    <hyperlink ref="B58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Z36"/>
  <sheetViews>
    <sheetView workbookViewId="0">
      <selection activeCell="J28" sqref="J28"/>
    </sheetView>
  </sheetViews>
  <sheetFormatPr baseColWidth="10" defaultColWidth="11.42578125" defaultRowHeight="15"/>
  <sheetData>
    <row r="2" spans="1:26">
      <c r="A2" s="116" t="s">
        <v>36</v>
      </c>
      <c r="B2" s="116"/>
      <c r="C2" s="116"/>
      <c r="D2" s="116"/>
      <c r="E2" s="116"/>
      <c r="F2" s="116"/>
      <c r="G2" s="116"/>
      <c r="H2" s="116"/>
      <c r="I2" s="116"/>
    </row>
    <row r="3" spans="1:26">
      <c r="A3" s="116"/>
      <c r="B3" s="116"/>
      <c r="C3" s="116"/>
      <c r="D3" s="116"/>
      <c r="E3" s="116"/>
      <c r="F3" s="116"/>
      <c r="G3" s="116"/>
      <c r="H3" s="116"/>
      <c r="I3" s="116"/>
    </row>
    <row r="4" spans="1:26">
      <c r="A4" s="116"/>
      <c r="B4" s="116"/>
      <c r="C4" s="116"/>
      <c r="D4" s="116"/>
      <c r="E4" s="116"/>
      <c r="F4" s="116"/>
      <c r="G4" s="116"/>
      <c r="H4" s="116"/>
      <c r="I4" s="116"/>
    </row>
    <row r="5" spans="1:26">
      <c r="A5" s="116"/>
      <c r="B5" s="116"/>
      <c r="C5" s="116"/>
      <c r="D5" s="116"/>
      <c r="E5" s="116"/>
      <c r="F5" s="116"/>
      <c r="G5" s="116"/>
      <c r="H5" s="116"/>
      <c r="I5" s="116"/>
    </row>
    <row r="6" spans="1:26">
      <c r="A6" s="116"/>
      <c r="B6" s="116"/>
      <c r="C6" s="116"/>
      <c r="D6" s="116"/>
      <c r="E6" s="116"/>
      <c r="F6" s="116"/>
      <c r="G6" s="116"/>
      <c r="H6" s="116"/>
      <c r="I6" s="116"/>
    </row>
    <row r="7" spans="1:26">
      <c r="A7" s="116"/>
      <c r="B7" s="116"/>
      <c r="C7" s="116"/>
      <c r="D7" s="116"/>
      <c r="E7" s="116"/>
      <c r="F7" s="116"/>
      <c r="G7" s="116"/>
      <c r="H7" s="116"/>
      <c r="I7" s="116"/>
    </row>
    <row r="9" spans="1:26">
      <c r="A9" t="s">
        <v>142</v>
      </c>
    </row>
    <row r="10" spans="1:26" ht="15.75" thickBot="1"/>
    <row r="11" spans="1:26" ht="15.75">
      <c r="A11" s="58" t="s">
        <v>149</v>
      </c>
      <c r="B11" s="59" t="s">
        <v>150</v>
      </c>
      <c r="C11" s="60" t="s">
        <v>151</v>
      </c>
      <c r="D11" s="60" t="s">
        <v>152</v>
      </c>
      <c r="E11" s="60" t="s">
        <v>153</v>
      </c>
      <c r="F11" s="60" t="s">
        <v>154</v>
      </c>
      <c r="G11" s="60" t="s">
        <v>155</v>
      </c>
      <c r="H11" s="60" t="s">
        <v>156</v>
      </c>
      <c r="I11" s="60" t="s">
        <v>157</v>
      </c>
      <c r="J11" s="60" t="s">
        <v>158</v>
      </c>
      <c r="K11" s="60" t="s">
        <v>159</v>
      </c>
      <c r="L11" s="60" t="s">
        <v>160</v>
      </c>
      <c r="M11" s="60" t="s">
        <v>161</v>
      </c>
      <c r="N11" s="60" t="s">
        <v>162</v>
      </c>
      <c r="O11" s="60" t="s">
        <v>163</v>
      </c>
      <c r="P11" s="60" t="s">
        <v>164</v>
      </c>
      <c r="Q11" s="60" t="s">
        <v>165</v>
      </c>
      <c r="R11" s="60" t="s">
        <v>166</v>
      </c>
      <c r="S11" s="60" t="s">
        <v>167</v>
      </c>
      <c r="T11" s="60" t="s">
        <v>168</v>
      </c>
      <c r="U11" s="60" t="s">
        <v>169</v>
      </c>
      <c r="V11" s="60" t="s">
        <v>170</v>
      </c>
      <c r="W11" s="60" t="s">
        <v>171</v>
      </c>
      <c r="X11" s="60" t="s">
        <v>172</v>
      </c>
      <c r="Y11" s="61" t="s">
        <v>173</v>
      </c>
      <c r="Z11" s="58" t="s">
        <v>149</v>
      </c>
    </row>
    <row r="12" spans="1:26" ht="15.75">
      <c r="A12" s="58" t="s">
        <v>149</v>
      </c>
      <c r="B12" s="62" t="s">
        <v>174</v>
      </c>
      <c r="C12" s="63" t="s">
        <v>175</v>
      </c>
      <c r="D12" s="63" t="s">
        <v>176</v>
      </c>
      <c r="E12" s="63" t="s">
        <v>177</v>
      </c>
      <c r="F12" s="63" t="s">
        <v>178</v>
      </c>
      <c r="G12" s="63" t="s">
        <v>179</v>
      </c>
      <c r="H12" s="63" t="s">
        <v>180</v>
      </c>
      <c r="I12" s="63" t="s">
        <v>181</v>
      </c>
      <c r="J12" s="63" t="s">
        <v>182</v>
      </c>
      <c r="K12" s="63" t="s">
        <v>183</v>
      </c>
      <c r="L12" s="63" t="s">
        <v>184</v>
      </c>
      <c r="M12" s="63" t="s">
        <v>185</v>
      </c>
      <c r="N12" s="63" t="s">
        <v>186</v>
      </c>
      <c r="O12" s="63" t="s">
        <v>187</v>
      </c>
      <c r="P12" s="63" t="s">
        <v>188</v>
      </c>
      <c r="Q12" s="63" t="s">
        <v>189</v>
      </c>
      <c r="R12" s="63" t="s">
        <v>190</v>
      </c>
      <c r="S12" s="63" t="s">
        <v>191</v>
      </c>
      <c r="T12" s="63" t="s">
        <v>192</v>
      </c>
      <c r="U12" s="63" t="s">
        <v>193</v>
      </c>
      <c r="V12" s="63" t="s">
        <v>194</v>
      </c>
      <c r="W12" s="63" t="s">
        <v>195</v>
      </c>
      <c r="X12" s="63" t="s">
        <v>196</v>
      </c>
      <c r="Y12" s="64" t="s">
        <v>197</v>
      </c>
      <c r="Z12" s="58" t="s">
        <v>149</v>
      </c>
    </row>
    <row r="13" spans="1:26" ht="15.75">
      <c r="A13" s="58" t="s">
        <v>149</v>
      </c>
      <c r="B13" s="65" t="s">
        <v>198</v>
      </c>
      <c r="C13" s="66" t="s">
        <v>199</v>
      </c>
      <c r="D13" s="66" t="s">
        <v>200</v>
      </c>
      <c r="E13" s="66" t="s">
        <v>201</v>
      </c>
      <c r="F13" s="66" t="s">
        <v>202</v>
      </c>
      <c r="G13" s="66" t="s">
        <v>203</v>
      </c>
      <c r="H13" s="66" t="s">
        <v>204</v>
      </c>
      <c r="I13" s="66" t="s">
        <v>205</v>
      </c>
      <c r="J13" s="66" t="s">
        <v>206</v>
      </c>
      <c r="K13" s="66" t="s">
        <v>207</v>
      </c>
      <c r="L13" s="66" t="s">
        <v>208</v>
      </c>
      <c r="M13" s="66" t="s">
        <v>209</v>
      </c>
      <c r="N13" s="66" t="s">
        <v>210</v>
      </c>
      <c r="O13" s="66" t="s">
        <v>211</v>
      </c>
      <c r="P13" s="66" t="s">
        <v>212</v>
      </c>
      <c r="Q13" s="66" t="s">
        <v>213</v>
      </c>
      <c r="R13" s="66" t="s">
        <v>214</v>
      </c>
      <c r="S13" s="66" t="s">
        <v>215</v>
      </c>
      <c r="T13" s="66" t="s">
        <v>216</v>
      </c>
      <c r="U13" s="66" t="s">
        <v>217</v>
      </c>
      <c r="V13" s="66" t="s">
        <v>218</v>
      </c>
      <c r="W13" s="66" t="s">
        <v>219</v>
      </c>
      <c r="X13" s="66" t="s">
        <v>220</v>
      </c>
      <c r="Y13" s="67" t="s">
        <v>221</v>
      </c>
      <c r="Z13" s="58" t="s">
        <v>149</v>
      </c>
    </row>
    <row r="14" spans="1:26" ht="15.75">
      <c r="A14" s="58" t="s">
        <v>149</v>
      </c>
      <c r="B14" s="68" t="s">
        <v>188</v>
      </c>
      <c r="C14" s="69" t="s">
        <v>161</v>
      </c>
      <c r="D14" s="69" t="s">
        <v>163</v>
      </c>
      <c r="E14" s="69" t="s">
        <v>182</v>
      </c>
      <c r="F14" s="69" t="s">
        <v>206</v>
      </c>
      <c r="G14" s="69" t="s">
        <v>201</v>
      </c>
      <c r="H14" s="69" t="s">
        <v>212</v>
      </c>
      <c r="I14" s="69" t="s">
        <v>166</v>
      </c>
      <c r="J14" s="69" t="s">
        <v>221</v>
      </c>
      <c r="K14" s="69" t="s">
        <v>178</v>
      </c>
      <c r="L14" s="69" t="s">
        <v>208</v>
      </c>
      <c r="M14" s="69" t="s">
        <v>194</v>
      </c>
      <c r="N14" s="69" t="s">
        <v>165</v>
      </c>
      <c r="O14" s="69" t="s">
        <v>164</v>
      </c>
      <c r="P14" s="69" t="s">
        <v>192</v>
      </c>
      <c r="Q14" s="69" t="s">
        <v>153</v>
      </c>
      <c r="R14" s="69" t="s">
        <v>181</v>
      </c>
      <c r="S14" s="69" t="s">
        <v>159</v>
      </c>
      <c r="T14" s="69" t="s">
        <v>220</v>
      </c>
      <c r="U14" s="69" t="s">
        <v>167</v>
      </c>
      <c r="V14" s="69" t="s">
        <v>152</v>
      </c>
      <c r="W14" s="69" t="s">
        <v>200</v>
      </c>
      <c r="X14" s="69" t="s">
        <v>151</v>
      </c>
      <c r="Y14" s="70" t="s">
        <v>216</v>
      </c>
      <c r="Z14" s="58" t="s">
        <v>149</v>
      </c>
    </row>
    <row r="15" spans="1:26" ht="15.75">
      <c r="A15" s="58" t="s">
        <v>149</v>
      </c>
      <c r="B15" s="62" t="s">
        <v>191</v>
      </c>
      <c r="C15" s="63" t="s">
        <v>219</v>
      </c>
      <c r="D15" s="63" t="s">
        <v>217</v>
      </c>
      <c r="E15" s="63" t="s">
        <v>183</v>
      </c>
      <c r="F15" s="63" t="s">
        <v>213</v>
      </c>
      <c r="G15" s="63" t="s">
        <v>170</v>
      </c>
      <c r="H15" s="63" t="s">
        <v>157</v>
      </c>
      <c r="I15" s="63" t="s">
        <v>207</v>
      </c>
      <c r="J15" s="63" t="s">
        <v>195</v>
      </c>
      <c r="K15" s="63" t="s">
        <v>209</v>
      </c>
      <c r="L15" s="63" t="s">
        <v>189</v>
      </c>
      <c r="M15" s="63" t="s">
        <v>204</v>
      </c>
      <c r="N15" s="63" t="s">
        <v>150</v>
      </c>
      <c r="O15" s="63" t="s">
        <v>210</v>
      </c>
      <c r="P15" s="63" t="s">
        <v>202</v>
      </c>
      <c r="Q15" s="63" t="s">
        <v>155</v>
      </c>
      <c r="R15" s="63" t="s">
        <v>218</v>
      </c>
      <c r="S15" s="63" t="s">
        <v>175</v>
      </c>
      <c r="T15" s="63" t="s">
        <v>160</v>
      </c>
      <c r="U15" s="63" t="s">
        <v>214</v>
      </c>
      <c r="V15" s="63" t="s">
        <v>158</v>
      </c>
      <c r="W15" s="63" t="s">
        <v>177</v>
      </c>
      <c r="X15" s="63" t="s">
        <v>184</v>
      </c>
      <c r="Y15" s="64" t="s">
        <v>154</v>
      </c>
      <c r="Z15" s="58" t="s">
        <v>149</v>
      </c>
    </row>
    <row r="16" spans="1:26" ht="16.5" thickBot="1">
      <c r="A16" s="58" t="s">
        <v>149</v>
      </c>
      <c r="B16" s="71" t="s">
        <v>215</v>
      </c>
      <c r="C16" s="72" t="s">
        <v>168</v>
      </c>
      <c r="D16" s="72" t="s">
        <v>186</v>
      </c>
      <c r="E16" s="72" t="s">
        <v>199</v>
      </c>
      <c r="F16" s="72" t="s">
        <v>169</v>
      </c>
      <c r="G16" s="72" t="s">
        <v>198</v>
      </c>
      <c r="H16" s="72" t="s">
        <v>211</v>
      </c>
      <c r="I16" s="72" t="s">
        <v>187</v>
      </c>
      <c r="J16" s="72" t="s">
        <v>180</v>
      </c>
      <c r="K16" s="72" t="s">
        <v>171</v>
      </c>
      <c r="L16" s="72" t="s">
        <v>176</v>
      </c>
      <c r="M16" s="72" t="s">
        <v>162</v>
      </c>
      <c r="N16" s="72" t="s">
        <v>156</v>
      </c>
      <c r="O16" s="72" t="s">
        <v>190</v>
      </c>
      <c r="P16" s="72" t="s">
        <v>203</v>
      </c>
      <c r="Q16" s="72" t="s">
        <v>185</v>
      </c>
      <c r="R16" s="72" t="s">
        <v>193</v>
      </c>
      <c r="S16" s="72" t="s">
        <v>205</v>
      </c>
      <c r="T16" s="72" t="s">
        <v>174</v>
      </c>
      <c r="U16" s="72" t="s">
        <v>172</v>
      </c>
      <c r="V16" s="72" t="s">
        <v>179</v>
      </c>
      <c r="W16" s="72" t="s">
        <v>197</v>
      </c>
      <c r="X16" s="72" t="s">
        <v>173</v>
      </c>
      <c r="Y16" s="73" t="s">
        <v>196</v>
      </c>
      <c r="Z16" s="58" t="s">
        <v>149</v>
      </c>
    </row>
    <row r="19" spans="1:26">
      <c r="A19" t="s">
        <v>238</v>
      </c>
    </row>
    <row r="20" spans="1:26" ht="15.75" thickBot="1"/>
    <row r="21" spans="1:26" ht="15.75">
      <c r="A21" s="58" t="s">
        <v>149</v>
      </c>
      <c r="B21" s="59" t="s">
        <v>155</v>
      </c>
      <c r="C21" s="60" t="s">
        <v>213</v>
      </c>
      <c r="D21" s="60" t="s">
        <v>196</v>
      </c>
      <c r="E21" s="60" t="s">
        <v>206</v>
      </c>
      <c r="F21" s="60" t="s">
        <v>191</v>
      </c>
      <c r="G21" s="60" t="s">
        <v>163</v>
      </c>
      <c r="H21" s="60" t="s">
        <v>158</v>
      </c>
      <c r="I21" s="60" t="s">
        <v>190</v>
      </c>
      <c r="J21" s="60" t="s">
        <v>180</v>
      </c>
      <c r="K21" s="60" t="s">
        <v>173</v>
      </c>
      <c r="L21" s="60" t="s">
        <v>182</v>
      </c>
      <c r="M21" s="60" t="s">
        <v>209</v>
      </c>
      <c r="N21" s="60" t="s">
        <v>208</v>
      </c>
      <c r="O21" s="60" t="s">
        <v>181</v>
      </c>
      <c r="P21" s="60" t="s">
        <v>164</v>
      </c>
      <c r="Q21" s="60" t="s">
        <v>218</v>
      </c>
      <c r="R21" s="60" t="s">
        <v>221</v>
      </c>
      <c r="S21" s="60" t="s">
        <v>167</v>
      </c>
      <c r="T21" s="60" t="s">
        <v>189</v>
      </c>
      <c r="U21" s="60" t="s">
        <v>188</v>
      </c>
      <c r="V21" s="60" t="s">
        <v>176</v>
      </c>
      <c r="W21" s="60" t="s">
        <v>199</v>
      </c>
      <c r="X21" s="60" t="s">
        <v>150</v>
      </c>
      <c r="Y21" s="61" t="s">
        <v>165</v>
      </c>
      <c r="Z21" s="58" t="s">
        <v>149</v>
      </c>
    </row>
    <row r="22" spans="1:26" ht="15.75">
      <c r="A22" s="58" t="s">
        <v>149</v>
      </c>
      <c r="B22" s="62" t="s">
        <v>193</v>
      </c>
      <c r="C22" s="63" t="s">
        <v>202</v>
      </c>
      <c r="D22" s="63" t="s">
        <v>157</v>
      </c>
      <c r="E22" s="63" t="s">
        <v>171</v>
      </c>
      <c r="F22" s="63" t="s">
        <v>161</v>
      </c>
      <c r="G22" s="63" t="s">
        <v>203</v>
      </c>
      <c r="H22" s="63" t="s">
        <v>194</v>
      </c>
      <c r="I22" s="63" t="s">
        <v>217</v>
      </c>
      <c r="J22" s="63" t="s">
        <v>162</v>
      </c>
      <c r="K22" s="63" t="s">
        <v>169</v>
      </c>
      <c r="L22" s="63" t="s">
        <v>219</v>
      </c>
      <c r="M22" s="63" t="s">
        <v>159</v>
      </c>
      <c r="N22" s="63" t="s">
        <v>205</v>
      </c>
      <c r="O22" s="63" t="s">
        <v>201</v>
      </c>
      <c r="P22" s="63" t="s">
        <v>160</v>
      </c>
      <c r="Q22" s="63" t="s">
        <v>204</v>
      </c>
      <c r="R22" s="63" t="s">
        <v>214</v>
      </c>
      <c r="S22" s="63" t="s">
        <v>195</v>
      </c>
      <c r="T22" s="63" t="s">
        <v>178</v>
      </c>
      <c r="U22" s="63" t="s">
        <v>177</v>
      </c>
      <c r="V22" s="63" t="s">
        <v>185</v>
      </c>
      <c r="W22" s="63" t="s">
        <v>186</v>
      </c>
      <c r="X22" s="63" t="s">
        <v>184</v>
      </c>
      <c r="Y22" s="64" t="s">
        <v>179</v>
      </c>
      <c r="Z22" s="58" t="s">
        <v>149</v>
      </c>
    </row>
    <row r="23" spans="1:26" ht="15.75">
      <c r="A23" s="58" t="s">
        <v>149</v>
      </c>
      <c r="B23" s="65" t="s">
        <v>200</v>
      </c>
      <c r="C23" s="66" t="s">
        <v>166</v>
      </c>
      <c r="D23" s="66" t="s">
        <v>152</v>
      </c>
      <c r="E23" s="66" t="s">
        <v>210</v>
      </c>
      <c r="F23" s="66" t="s">
        <v>175</v>
      </c>
      <c r="G23" s="66" t="s">
        <v>215</v>
      </c>
      <c r="H23" s="66" t="s">
        <v>151</v>
      </c>
      <c r="I23" s="66" t="s">
        <v>192</v>
      </c>
      <c r="J23" s="66" t="s">
        <v>187</v>
      </c>
      <c r="K23" s="66" t="s">
        <v>153</v>
      </c>
      <c r="L23" s="66" t="s">
        <v>198</v>
      </c>
      <c r="M23" s="66" t="s">
        <v>211</v>
      </c>
      <c r="N23" s="66" t="s">
        <v>172</v>
      </c>
      <c r="O23" s="66" t="s">
        <v>212</v>
      </c>
      <c r="P23" s="66" t="s">
        <v>154</v>
      </c>
      <c r="Q23" s="66" t="s">
        <v>174</v>
      </c>
      <c r="R23" s="66" t="s">
        <v>170</v>
      </c>
      <c r="S23" s="66" t="s">
        <v>207</v>
      </c>
      <c r="T23" s="66" t="s">
        <v>216</v>
      </c>
      <c r="U23" s="66" t="s">
        <v>197</v>
      </c>
      <c r="V23" s="66" t="s">
        <v>156</v>
      </c>
      <c r="W23" s="66" t="s">
        <v>168</v>
      </c>
      <c r="X23" s="66" t="s">
        <v>183</v>
      </c>
      <c r="Y23" s="67" t="s">
        <v>220</v>
      </c>
      <c r="Z23" s="58" t="s">
        <v>149</v>
      </c>
    </row>
    <row r="24" spans="1:26" ht="15.75">
      <c r="A24" s="58" t="s">
        <v>149</v>
      </c>
      <c r="B24" s="68" t="s">
        <v>152</v>
      </c>
      <c r="C24" s="69" t="s">
        <v>182</v>
      </c>
      <c r="D24" s="69" t="s">
        <v>154</v>
      </c>
      <c r="E24" s="69" t="s">
        <v>169</v>
      </c>
      <c r="F24" s="69" t="s">
        <v>156</v>
      </c>
      <c r="G24" s="69" t="s">
        <v>150</v>
      </c>
      <c r="H24" s="69" t="s">
        <v>177</v>
      </c>
      <c r="I24" s="69" t="s">
        <v>165</v>
      </c>
      <c r="J24" s="69" t="s">
        <v>193</v>
      </c>
      <c r="K24" s="69" t="s">
        <v>158</v>
      </c>
      <c r="L24" s="69" t="s">
        <v>170</v>
      </c>
      <c r="M24" s="69" t="s">
        <v>194</v>
      </c>
      <c r="N24" s="69" t="s">
        <v>202</v>
      </c>
      <c r="O24" s="69" t="s">
        <v>211</v>
      </c>
      <c r="P24" s="69" t="s">
        <v>219</v>
      </c>
      <c r="Q24" s="69" t="s">
        <v>188</v>
      </c>
      <c r="R24" s="69" t="s">
        <v>173</v>
      </c>
      <c r="S24" s="69" t="s">
        <v>161</v>
      </c>
      <c r="T24" s="69" t="s">
        <v>181</v>
      </c>
      <c r="U24" s="69" t="s">
        <v>180</v>
      </c>
      <c r="V24" s="69" t="s">
        <v>210</v>
      </c>
      <c r="W24" s="69" t="s">
        <v>203</v>
      </c>
      <c r="X24" s="69" t="s">
        <v>215</v>
      </c>
      <c r="Y24" s="70" t="s">
        <v>151</v>
      </c>
      <c r="Z24" s="58" t="s">
        <v>149</v>
      </c>
    </row>
    <row r="25" spans="1:26" ht="15.75">
      <c r="A25" s="58" t="s">
        <v>149</v>
      </c>
      <c r="B25" s="62" t="s">
        <v>213</v>
      </c>
      <c r="C25" s="63" t="s">
        <v>175</v>
      </c>
      <c r="D25" s="63" t="s">
        <v>168</v>
      </c>
      <c r="E25" s="63" t="s">
        <v>185</v>
      </c>
      <c r="F25" s="63" t="s">
        <v>187</v>
      </c>
      <c r="G25" s="63" t="s">
        <v>167</v>
      </c>
      <c r="H25" s="63" t="s">
        <v>196</v>
      </c>
      <c r="I25" s="63" t="s">
        <v>200</v>
      </c>
      <c r="J25" s="63" t="s">
        <v>153</v>
      </c>
      <c r="K25" s="63" t="s">
        <v>198</v>
      </c>
      <c r="L25" s="63" t="s">
        <v>186</v>
      </c>
      <c r="M25" s="63" t="s">
        <v>155</v>
      </c>
      <c r="N25" s="63" t="s">
        <v>183</v>
      </c>
      <c r="O25" s="63" t="s">
        <v>159</v>
      </c>
      <c r="P25" s="63" t="s">
        <v>171</v>
      </c>
      <c r="Q25" s="63" t="s">
        <v>216</v>
      </c>
      <c r="R25" s="63" t="s">
        <v>189</v>
      </c>
      <c r="S25" s="63" t="s">
        <v>162</v>
      </c>
      <c r="T25" s="63" t="s">
        <v>157</v>
      </c>
      <c r="U25" s="63" t="s">
        <v>195</v>
      </c>
      <c r="V25" s="63" t="s">
        <v>160</v>
      </c>
      <c r="W25" s="63" t="s">
        <v>164</v>
      </c>
      <c r="X25" s="63" t="s">
        <v>190</v>
      </c>
      <c r="Y25" s="64" t="s">
        <v>184</v>
      </c>
      <c r="Z25" s="58" t="s">
        <v>149</v>
      </c>
    </row>
    <row r="26" spans="1:26" ht="16.5" thickBot="1">
      <c r="A26" s="58" t="s">
        <v>149</v>
      </c>
      <c r="B26" s="71" t="s">
        <v>191</v>
      </c>
      <c r="C26" s="72" t="s">
        <v>199</v>
      </c>
      <c r="D26" s="72" t="s">
        <v>205</v>
      </c>
      <c r="E26" s="72" t="s">
        <v>218</v>
      </c>
      <c r="F26" s="72" t="s">
        <v>179</v>
      </c>
      <c r="G26" s="72" t="s">
        <v>176</v>
      </c>
      <c r="H26" s="72" t="s">
        <v>204</v>
      </c>
      <c r="I26" s="72" t="s">
        <v>174</v>
      </c>
      <c r="J26" s="72" t="s">
        <v>217</v>
      </c>
      <c r="K26" s="72" t="s">
        <v>206</v>
      </c>
      <c r="L26" s="72" t="s">
        <v>209</v>
      </c>
      <c r="M26" s="72" t="s">
        <v>214</v>
      </c>
      <c r="N26" s="72" t="s">
        <v>208</v>
      </c>
      <c r="O26" s="72" t="s">
        <v>197</v>
      </c>
      <c r="P26" s="72" t="s">
        <v>192</v>
      </c>
      <c r="Q26" s="72" t="s">
        <v>172</v>
      </c>
      <c r="R26" s="72" t="s">
        <v>220</v>
      </c>
      <c r="S26" s="72" t="s">
        <v>163</v>
      </c>
      <c r="T26" s="72" t="s">
        <v>201</v>
      </c>
      <c r="U26" s="72" t="s">
        <v>166</v>
      </c>
      <c r="V26" s="72" t="s">
        <v>221</v>
      </c>
      <c r="W26" s="72" t="s">
        <v>178</v>
      </c>
      <c r="X26" s="72" t="s">
        <v>212</v>
      </c>
      <c r="Y26" s="73" t="s">
        <v>207</v>
      </c>
      <c r="Z26" s="58" t="s">
        <v>149</v>
      </c>
    </row>
    <row r="29" spans="1:26">
      <c r="A29" t="s">
        <v>239</v>
      </c>
    </row>
    <row r="30" spans="1:26" ht="15.75" thickBot="1"/>
    <row r="31" spans="1:26" ht="15.75">
      <c r="A31" s="58" t="s">
        <v>257</v>
      </c>
      <c r="B31" s="59" t="s">
        <v>213</v>
      </c>
      <c r="C31" s="60" t="s">
        <v>158</v>
      </c>
      <c r="D31" s="60" t="s">
        <v>153</v>
      </c>
      <c r="E31" s="60" t="s">
        <v>201</v>
      </c>
      <c r="F31" s="60" t="s">
        <v>212</v>
      </c>
      <c r="G31" s="60" t="s">
        <v>192</v>
      </c>
      <c r="H31" s="60" t="s">
        <v>204</v>
      </c>
      <c r="I31" s="60" t="s">
        <v>165</v>
      </c>
      <c r="J31" s="60" t="s">
        <v>167</v>
      </c>
      <c r="K31" s="60" t="s">
        <v>174</v>
      </c>
      <c r="L31" s="60" t="s">
        <v>169</v>
      </c>
      <c r="M31" s="60" t="s">
        <v>182</v>
      </c>
      <c r="N31" s="60" t="s">
        <v>162</v>
      </c>
      <c r="O31" s="60" t="s">
        <v>171</v>
      </c>
      <c r="P31" s="60" t="s">
        <v>221</v>
      </c>
      <c r="Q31" s="60" t="s">
        <v>152</v>
      </c>
      <c r="R31" s="60" t="s">
        <v>209</v>
      </c>
      <c r="S31" s="60" t="s">
        <v>207</v>
      </c>
      <c r="T31" s="60" t="s">
        <v>220</v>
      </c>
      <c r="U31" s="60" t="s">
        <v>196</v>
      </c>
      <c r="V31" s="60" t="s">
        <v>151</v>
      </c>
      <c r="W31" s="60" t="s">
        <v>181</v>
      </c>
      <c r="X31" s="60" t="s">
        <v>157</v>
      </c>
      <c r="Y31" s="61" t="s">
        <v>202</v>
      </c>
      <c r="Z31" s="58" t="s">
        <v>257</v>
      </c>
    </row>
    <row r="32" spans="1:26" ht="15.75">
      <c r="A32" s="58" t="s">
        <v>257</v>
      </c>
      <c r="B32" s="62" t="s">
        <v>193</v>
      </c>
      <c r="C32" s="63" t="s">
        <v>155</v>
      </c>
      <c r="D32" s="63" t="s">
        <v>161</v>
      </c>
      <c r="E32" s="63" t="s">
        <v>186</v>
      </c>
      <c r="F32" s="63" t="s">
        <v>154</v>
      </c>
      <c r="G32" s="63" t="s">
        <v>180</v>
      </c>
      <c r="H32" s="63" t="s">
        <v>170</v>
      </c>
      <c r="I32" s="63" t="s">
        <v>191</v>
      </c>
      <c r="J32" s="63" t="s">
        <v>200</v>
      </c>
      <c r="K32" s="63" t="s">
        <v>173</v>
      </c>
      <c r="L32" s="63" t="s">
        <v>190</v>
      </c>
      <c r="M32" s="63" t="s">
        <v>189</v>
      </c>
      <c r="N32" s="63" t="s">
        <v>175</v>
      </c>
      <c r="O32" s="63" t="s">
        <v>156</v>
      </c>
      <c r="P32" s="63" t="s">
        <v>164</v>
      </c>
      <c r="Q32" s="63" t="s">
        <v>198</v>
      </c>
      <c r="R32" s="63" t="s">
        <v>166</v>
      </c>
      <c r="S32" s="63" t="s">
        <v>172</v>
      </c>
      <c r="T32" s="63" t="s">
        <v>194</v>
      </c>
      <c r="U32" s="63" t="s">
        <v>168</v>
      </c>
      <c r="V32" s="63" t="s">
        <v>150</v>
      </c>
      <c r="W32" s="63" t="s">
        <v>214</v>
      </c>
      <c r="X32" s="63" t="s">
        <v>195</v>
      </c>
      <c r="Y32" s="64" t="s">
        <v>197</v>
      </c>
      <c r="Z32" s="58" t="s">
        <v>257</v>
      </c>
    </row>
    <row r="33" spans="1:26" ht="15.75">
      <c r="A33" s="58" t="s">
        <v>257</v>
      </c>
      <c r="B33" s="65" t="s">
        <v>188</v>
      </c>
      <c r="C33" s="66" t="s">
        <v>185</v>
      </c>
      <c r="D33" s="66" t="s">
        <v>178</v>
      </c>
      <c r="E33" s="66" t="s">
        <v>216</v>
      </c>
      <c r="F33" s="66" t="s">
        <v>218</v>
      </c>
      <c r="G33" s="66" t="s">
        <v>183</v>
      </c>
      <c r="H33" s="66" t="s">
        <v>159</v>
      </c>
      <c r="I33" s="66" t="s">
        <v>176</v>
      </c>
      <c r="J33" s="66" t="s">
        <v>177</v>
      </c>
      <c r="K33" s="66" t="s">
        <v>160</v>
      </c>
      <c r="L33" s="66" t="s">
        <v>208</v>
      </c>
      <c r="M33" s="66" t="s">
        <v>211</v>
      </c>
      <c r="N33" s="66" t="s">
        <v>199</v>
      </c>
      <c r="O33" s="66" t="s">
        <v>206</v>
      </c>
      <c r="P33" s="66" t="s">
        <v>163</v>
      </c>
      <c r="Q33" s="66" t="s">
        <v>215</v>
      </c>
      <c r="R33" s="66" t="s">
        <v>187</v>
      </c>
      <c r="S33" s="66" t="s">
        <v>205</v>
      </c>
      <c r="T33" s="66" t="s">
        <v>179</v>
      </c>
      <c r="U33" s="66" t="s">
        <v>217</v>
      </c>
      <c r="V33" s="66" t="s">
        <v>184</v>
      </c>
      <c r="W33" s="66" t="s">
        <v>219</v>
      </c>
      <c r="X33" s="66" t="s">
        <v>210</v>
      </c>
      <c r="Y33" s="67" t="s">
        <v>203</v>
      </c>
      <c r="Z33" s="58" t="s">
        <v>257</v>
      </c>
    </row>
    <row r="34" spans="1:26" ht="15.75">
      <c r="A34" s="58" t="s">
        <v>257</v>
      </c>
      <c r="B34" s="68" t="s">
        <v>194</v>
      </c>
      <c r="C34" s="69" t="s">
        <v>175</v>
      </c>
      <c r="D34" s="69" t="s">
        <v>180</v>
      </c>
      <c r="E34" s="69" t="s">
        <v>215</v>
      </c>
      <c r="F34" s="69" t="s">
        <v>158</v>
      </c>
      <c r="G34" s="69" t="s">
        <v>182</v>
      </c>
      <c r="H34" s="69" t="s">
        <v>165</v>
      </c>
      <c r="I34" s="69" t="s">
        <v>216</v>
      </c>
      <c r="J34" s="69" t="s">
        <v>200</v>
      </c>
      <c r="K34" s="69" t="s">
        <v>167</v>
      </c>
      <c r="L34" s="69" t="s">
        <v>186</v>
      </c>
      <c r="M34" s="69" t="s">
        <v>172</v>
      </c>
      <c r="N34" s="69" t="s">
        <v>157</v>
      </c>
      <c r="O34" s="69" t="s">
        <v>205</v>
      </c>
      <c r="P34" s="69" t="s">
        <v>171</v>
      </c>
      <c r="Q34" s="69" t="s">
        <v>173</v>
      </c>
      <c r="R34" s="69" t="s">
        <v>159</v>
      </c>
      <c r="S34" s="69" t="s">
        <v>185</v>
      </c>
      <c r="T34" s="69" t="s">
        <v>150</v>
      </c>
      <c r="U34" s="69" t="s">
        <v>153</v>
      </c>
      <c r="V34" s="69" t="s">
        <v>210</v>
      </c>
      <c r="W34" s="69" t="s">
        <v>202</v>
      </c>
      <c r="X34" s="69" t="s">
        <v>174</v>
      </c>
      <c r="Y34" s="70" t="s">
        <v>198</v>
      </c>
      <c r="Z34" s="58" t="s">
        <v>257</v>
      </c>
    </row>
    <row r="35" spans="1:26" ht="15.75">
      <c r="A35" s="58" t="s">
        <v>257</v>
      </c>
      <c r="B35" s="62" t="s">
        <v>213</v>
      </c>
      <c r="C35" s="63" t="s">
        <v>221</v>
      </c>
      <c r="D35" s="63" t="s">
        <v>188</v>
      </c>
      <c r="E35" s="63" t="s">
        <v>170</v>
      </c>
      <c r="F35" s="63" t="s">
        <v>191</v>
      </c>
      <c r="G35" s="63" t="s">
        <v>211</v>
      </c>
      <c r="H35" s="63" t="s">
        <v>190</v>
      </c>
      <c r="I35" s="63" t="s">
        <v>195</v>
      </c>
      <c r="J35" s="63" t="s">
        <v>207</v>
      </c>
      <c r="K35" s="63" t="s">
        <v>155</v>
      </c>
      <c r="L35" s="63" t="s">
        <v>218</v>
      </c>
      <c r="M35" s="63" t="s">
        <v>163</v>
      </c>
      <c r="N35" s="63" t="s">
        <v>164</v>
      </c>
      <c r="O35" s="63" t="s">
        <v>212</v>
      </c>
      <c r="P35" s="63" t="s">
        <v>178</v>
      </c>
      <c r="Q35" s="63" t="s">
        <v>209</v>
      </c>
      <c r="R35" s="63" t="s">
        <v>196</v>
      </c>
      <c r="S35" s="63" t="s">
        <v>214</v>
      </c>
      <c r="T35" s="63" t="s">
        <v>208</v>
      </c>
      <c r="U35" s="63" t="s">
        <v>152</v>
      </c>
      <c r="V35" s="63" t="s">
        <v>204</v>
      </c>
      <c r="W35" s="63" t="s">
        <v>168</v>
      </c>
      <c r="X35" s="63" t="s">
        <v>176</v>
      </c>
      <c r="Y35" s="64" t="s">
        <v>162</v>
      </c>
      <c r="Z35" s="58" t="s">
        <v>257</v>
      </c>
    </row>
    <row r="36" spans="1:26" ht="16.5" thickBot="1">
      <c r="A36" s="58" t="s">
        <v>257</v>
      </c>
      <c r="B36" s="71" t="s">
        <v>219</v>
      </c>
      <c r="C36" s="72" t="s">
        <v>151</v>
      </c>
      <c r="D36" s="72" t="s">
        <v>193</v>
      </c>
      <c r="E36" s="72" t="s">
        <v>187</v>
      </c>
      <c r="F36" s="72" t="s">
        <v>161</v>
      </c>
      <c r="G36" s="72" t="s">
        <v>220</v>
      </c>
      <c r="H36" s="72" t="s">
        <v>181</v>
      </c>
      <c r="I36" s="72" t="s">
        <v>177</v>
      </c>
      <c r="J36" s="72" t="s">
        <v>199</v>
      </c>
      <c r="K36" s="72" t="s">
        <v>184</v>
      </c>
      <c r="L36" s="72" t="s">
        <v>206</v>
      </c>
      <c r="M36" s="72" t="s">
        <v>156</v>
      </c>
      <c r="N36" s="72" t="s">
        <v>183</v>
      </c>
      <c r="O36" s="72" t="s">
        <v>160</v>
      </c>
      <c r="P36" s="72" t="s">
        <v>217</v>
      </c>
      <c r="Q36" s="72" t="s">
        <v>201</v>
      </c>
      <c r="R36" s="72" t="s">
        <v>189</v>
      </c>
      <c r="S36" s="72" t="s">
        <v>192</v>
      </c>
      <c r="T36" s="72" t="s">
        <v>166</v>
      </c>
      <c r="U36" s="72" t="s">
        <v>169</v>
      </c>
      <c r="V36" s="72" t="s">
        <v>154</v>
      </c>
      <c r="W36" s="72" t="s">
        <v>197</v>
      </c>
      <c r="X36" s="72" t="s">
        <v>179</v>
      </c>
      <c r="Y36" s="73" t="s">
        <v>203</v>
      </c>
      <c r="Z36" s="58" t="s">
        <v>257</v>
      </c>
    </row>
  </sheetData>
  <mergeCells count="1">
    <mergeCell ref="A2:I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>
      <selection activeCell="G16" sqref="G16"/>
    </sheetView>
  </sheetViews>
  <sheetFormatPr baseColWidth="10" defaultColWidth="11.42578125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  <row r="2" spans="1:2">
      <c r="A2">
        <v>1</v>
      </c>
      <c r="B2" t="s">
        <v>222</v>
      </c>
    </row>
    <row r="3" spans="1:2">
      <c r="A3">
        <v>2</v>
      </c>
      <c r="B3" t="s">
        <v>223</v>
      </c>
    </row>
    <row r="4" spans="1:2">
      <c r="A4">
        <v>3</v>
      </c>
      <c r="B4" t="s">
        <v>224</v>
      </c>
    </row>
    <row r="5" spans="1:2">
      <c r="A5">
        <v>4</v>
      </c>
      <c r="B5" t="s">
        <v>225</v>
      </c>
    </row>
    <row r="6" spans="1:2">
      <c r="A6">
        <v>5</v>
      </c>
      <c r="B6" t="s">
        <v>226</v>
      </c>
    </row>
    <row r="7" spans="1:2">
      <c r="A7">
        <v>6</v>
      </c>
      <c r="B7" t="s">
        <v>227</v>
      </c>
    </row>
    <row r="8" spans="1:2">
      <c r="A8">
        <v>7</v>
      </c>
      <c r="B8" t="s">
        <v>228</v>
      </c>
    </row>
    <row r="9" spans="1:2">
      <c r="A9">
        <v>8</v>
      </c>
      <c r="B9" t="s">
        <v>229</v>
      </c>
    </row>
    <row r="10" spans="1:2">
      <c r="A10">
        <v>9</v>
      </c>
      <c r="B10" t="s">
        <v>230</v>
      </c>
    </row>
    <row r="11" spans="1:2">
      <c r="A11">
        <v>10</v>
      </c>
      <c r="B11" t="s">
        <v>231</v>
      </c>
    </row>
    <row r="12" spans="1:2">
      <c r="A12">
        <v>11</v>
      </c>
      <c r="B12" t="s">
        <v>232</v>
      </c>
    </row>
    <row r="13" spans="1:2">
      <c r="A13">
        <v>12</v>
      </c>
      <c r="B13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36"/>
  <sheetViews>
    <sheetView topLeftCell="A4" workbookViewId="0">
      <selection activeCell="K32" sqref="K32"/>
    </sheetView>
  </sheetViews>
  <sheetFormatPr baseColWidth="10" defaultColWidth="11.42578125" defaultRowHeight="15"/>
  <sheetData>
    <row r="1" spans="1:11">
      <c r="A1" s="125" t="s">
        <v>50</v>
      </c>
      <c r="B1" s="125"/>
      <c r="C1" s="125"/>
      <c r="D1" s="125"/>
      <c r="E1" s="125"/>
      <c r="F1" s="125"/>
    </row>
    <row r="2" spans="1:11">
      <c r="A2" s="125"/>
      <c r="B2" s="125"/>
      <c r="C2" s="125"/>
      <c r="D2" s="125"/>
      <c r="E2" s="125"/>
      <c r="F2" s="125"/>
    </row>
    <row r="3" spans="1:11">
      <c r="A3" s="125"/>
      <c r="B3" s="125"/>
      <c r="C3" s="125"/>
      <c r="D3" s="125"/>
      <c r="E3" s="125"/>
      <c r="F3" s="125"/>
    </row>
    <row r="4" spans="1:11">
      <c r="A4" t="s">
        <v>51</v>
      </c>
    </row>
    <row r="5" spans="1:11" ht="28.5" customHeight="1">
      <c r="A5" s="126" t="s">
        <v>37</v>
      </c>
      <c r="B5" s="126"/>
      <c r="C5" s="126"/>
      <c r="D5" s="127" t="s">
        <v>38</v>
      </c>
      <c r="E5" s="127"/>
      <c r="F5" s="127" t="s">
        <v>39</v>
      </c>
      <c r="G5" s="127"/>
      <c r="H5" s="127" t="s">
        <v>40</v>
      </c>
      <c r="I5" s="127"/>
      <c r="K5" s="114" t="s">
        <v>142</v>
      </c>
    </row>
    <row r="6" spans="1:11" ht="22.5" customHeight="1">
      <c r="A6" s="119" t="s">
        <v>41</v>
      </c>
      <c r="B6" s="119"/>
      <c r="C6" s="119"/>
      <c r="D6" s="120">
        <v>13.6</v>
      </c>
      <c r="E6" s="120"/>
      <c r="F6" s="120"/>
      <c r="G6" s="120"/>
      <c r="H6" s="120"/>
      <c r="I6" s="120"/>
    </row>
    <row r="7" spans="1:11" ht="25.5" customHeight="1">
      <c r="A7" s="124" t="s">
        <v>42</v>
      </c>
      <c r="B7" s="124"/>
      <c r="C7" s="124"/>
      <c r="D7" s="120">
        <v>9.1199999999999992</v>
      </c>
      <c r="E7" s="120"/>
      <c r="F7" s="120"/>
      <c r="G7" s="120"/>
      <c r="H7" s="120"/>
      <c r="I7" s="120"/>
    </row>
    <row r="8" spans="1:11" ht="18.75" customHeight="1">
      <c r="A8" s="119" t="s">
        <v>43</v>
      </c>
      <c r="B8" s="119"/>
      <c r="C8" s="119"/>
      <c r="D8" s="120"/>
      <c r="E8" s="120"/>
      <c r="F8" s="120"/>
      <c r="G8" s="120"/>
      <c r="H8" s="120"/>
      <c r="I8" s="120"/>
    </row>
    <row r="9" spans="1:11">
      <c r="A9" s="119" t="s">
        <v>44</v>
      </c>
      <c r="B9" s="119"/>
      <c r="C9" s="119"/>
      <c r="D9" s="120">
        <v>32.9</v>
      </c>
      <c r="E9" s="120"/>
      <c r="F9" s="120"/>
      <c r="G9" s="120"/>
      <c r="H9" s="120"/>
      <c r="I9" s="120"/>
    </row>
    <row r="10" spans="1:11">
      <c r="A10" s="119" t="s">
        <v>45</v>
      </c>
      <c r="B10" s="119"/>
      <c r="C10" s="119"/>
      <c r="D10" s="120">
        <v>49.1</v>
      </c>
      <c r="E10" s="120"/>
      <c r="F10" s="120"/>
      <c r="G10" s="120"/>
      <c r="H10" s="120"/>
      <c r="I10" s="120"/>
    </row>
    <row r="11" spans="1:11">
      <c r="A11" s="119" t="s">
        <v>46</v>
      </c>
      <c r="B11" s="119"/>
      <c r="C11" s="119"/>
      <c r="D11" s="120">
        <v>1.72</v>
      </c>
      <c r="E11" s="120"/>
      <c r="F11" s="120"/>
      <c r="G11" s="120"/>
      <c r="H11" s="120"/>
      <c r="I11" s="120"/>
    </row>
    <row r="12" spans="1:11">
      <c r="A12" s="119" t="s">
        <v>47</v>
      </c>
      <c r="B12" s="119"/>
      <c r="C12" s="119"/>
      <c r="D12" s="120">
        <v>6.5</v>
      </c>
      <c r="E12" s="120"/>
      <c r="F12" s="120"/>
      <c r="G12" s="120"/>
      <c r="H12" s="120"/>
      <c r="I12" s="120"/>
    </row>
    <row r="13" spans="1:11">
      <c r="A13" s="119" t="s">
        <v>48</v>
      </c>
      <c r="B13" s="119"/>
      <c r="C13" s="119"/>
      <c r="D13" s="120">
        <v>3.2</v>
      </c>
      <c r="E13" s="120"/>
      <c r="F13" s="120"/>
      <c r="G13" s="120"/>
      <c r="H13" s="120"/>
      <c r="I13" s="120"/>
    </row>
    <row r="14" spans="1:11">
      <c r="A14" s="121" t="s">
        <v>49</v>
      </c>
      <c r="B14" s="122"/>
      <c r="C14" s="123"/>
      <c r="D14" s="120">
        <v>1.2</v>
      </c>
      <c r="E14" s="120"/>
      <c r="F14" s="120"/>
      <c r="G14" s="120"/>
      <c r="H14" s="120"/>
      <c r="I14" s="120"/>
    </row>
    <row r="16" spans="1:11">
      <c r="A16" t="s">
        <v>52</v>
      </c>
    </row>
    <row r="18" spans="1:5">
      <c r="A18" s="117" t="s">
        <v>37</v>
      </c>
      <c r="B18" s="117"/>
      <c r="C18" s="12" t="s">
        <v>56</v>
      </c>
    </row>
    <row r="19" spans="1:5">
      <c r="A19" s="118" t="s">
        <v>53</v>
      </c>
      <c r="B19" s="118"/>
      <c r="C19" s="13" t="s">
        <v>234</v>
      </c>
    </row>
    <row r="20" spans="1:5">
      <c r="A20" s="118" t="s">
        <v>54</v>
      </c>
      <c r="B20" s="118"/>
      <c r="C20" s="13" t="s">
        <v>235</v>
      </c>
    </row>
    <row r="21" spans="1:5">
      <c r="A21" s="118" t="s">
        <v>55</v>
      </c>
      <c r="B21" s="118"/>
      <c r="C21" s="13"/>
    </row>
    <row r="22" spans="1:5">
      <c r="A22" s="118" t="s">
        <v>96</v>
      </c>
      <c r="B22" s="118"/>
      <c r="C22" s="13" t="s">
        <v>236</v>
      </c>
    </row>
    <row r="25" spans="1:5">
      <c r="A25" s="117" t="s">
        <v>37</v>
      </c>
      <c r="B25" s="117"/>
      <c r="C25" s="52" t="s">
        <v>56</v>
      </c>
      <c r="E25" s="114" t="s">
        <v>238</v>
      </c>
    </row>
    <row r="26" spans="1:5">
      <c r="A26" s="118" t="s">
        <v>53</v>
      </c>
      <c r="B26" s="118"/>
      <c r="C26" s="13" t="s">
        <v>234</v>
      </c>
    </row>
    <row r="27" spans="1:5">
      <c r="A27" s="118" t="s">
        <v>54</v>
      </c>
      <c r="B27" s="118"/>
      <c r="C27" s="13" t="s">
        <v>235</v>
      </c>
    </row>
    <row r="28" spans="1:5">
      <c r="A28" s="118" t="s">
        <v>55</v>
      </c>
      <c r="B28" s="118"/>
      <c r="C28" s="13"/>
    </row>
    <row r="29" spans="1:5">
      <c r="A29" s="118" t="s">
        <v>96</v>
      </c>
      <c r="B29" s="118"/>
      <c r="C29" s="13" t="s">
        <v>258</v>
      </c>
    </row>
    <row r="32" spans="1:5">
      <c r="A32" s="117" t="s">
        <v>37</v>
      </c>
      <c r="B32" s="117"/>
      <c r="C32" s="52" t="s">
        <v>56</v>
      </c>
      <c r="E32" s="114" t="s">
        <v>239</v>
      </c>
    </row>
    <row r="33" spans="1:3">
      <c r="A33" s="118" t="s">
        <v>53</v>
      </c>
      <c r="B33" s="118"/>
      <c r="C33" s="13" t="s">
        <v>260</v>
      </c>
    </row>
    <row r="34" spans="1:3">
      <c r="A34" s="118" t="s">
        <v>54</v>
      </c>
      <c r="B34" s="118"/>
      <c r="C34" s="13" t="s">
        <v>235</v>
      </c>
    </row>
    <row r="35" spans="1:3">
      <c r="A35" s="118" t="s">
        <v>55</v>
      </c>
      <c r="B35" s="118"/>
      <c r="C35" s="13"/>
    </row>
    <row r="36" spans="1:3">
      <c r="A36" s="118" t="s">
        <v>96</v>
      </c>
      <c r="B36" s="118"/>
      <c r="C36" s="13" t="s">
        <v>259</v>
      </c>
    </row>
  </sheetData>
  <mergeCells count="5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  <mergeCell ref="A25:B25"/>
    <mergeCell ref="A26:B26"/>
    <mergeCell ref="A27:B27"/>
    <mergeCell ref="A28:B28"/>
    <mergeCell ref="A29:B29"/>
    <mergeCell ref="A32:B32"/>
    <mergeCell ref="A33:B33"/>
    <mergeCell ref="A34:B34"/>
    <mergeCell ref="A35:B35"/>
    <mergeCell ref="A36:B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26"/>
  <sheetViews>
    <sheetView tabSelected="1" workbookViewId="0">
      <selection activeCell="K30" sqref="K30"/>
    </sheetView>
  </sheetViews>
  <sheetFormatPr baseColWidth="10" defaultColWidth="11.42578125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38" t="s">
        <v>57</v>
      </c>
      <c r="I1" s="138"/>
      <c r="J1" s="138"/>
      <c r="K1" s="139" t="s">
        <v>58</v>
      </c>
      <c r="L1" s="138"/>
      <c r="M1" s="138"/>
      <c r="N1" s="138"/>
      <c r="O1" s="138"/>
      <c r="P1" s="138"/>
      <c r="Q1" s="138"/>
      <c r="R1" s="138"/>
      <c r="S1" s="140" t="s">
        <v>59</v>
      </c>
      <c r="T1" s="141"/>
      <c r="U1" s="142" t="s">
        <v>60</v>
      </c>
      <c r="V1" s="142"/>
      <c r="W1" s="143"/>
      <c r="X1" s="16"/>
      <c r="Y1" s="17"/>
    </row>
    <row r="2" spans="1:25" ht="16.5" thickTop="1" thickBot="1">
      <c r="A2" s="75" t="s">
        <v>61</v>
      </c>
      <c r="B2" s="76" t="s">
        <v>62</v>
      </c>
      <c r="C2" s="76" t="s">
        <v>63</v>
      </c>
      <c r="D2" s="76" t="s">
        <v>64</v>
      </c>
      <c r="E2" s="76" t="s">
        <v>65</v>
      </c>
      <c r="F2" s="76" t="s">
        <v>66</v>
      </c>
      <c r="G2" s="76" t="s">
        <v>67</v>
      </c>
      <c r="H2" s="77" t="s">
        <v>68</v>
      </c>
      <c r="I2" s="78" t="s">
        <v>69</v>
      </c>
      <c r="J2" s="79" t="s">
        <v>70</v>
      </c>
      <c r="K2" s="80" t="s">
        <v>68</v>
      </c>
      <c r="L2" s="81" t="s">
        <v>71</v>
      </c>
      <c r="M2" s="82" t="s">
        <v>69</v>
      </c>
      <c r="N2" s="83" t="s">
        <v>70</v>
      </c>
      <c r="O2" s="81" t="s">
        <v>72</v>
      </c>
      <c r="P2" s="82" t="s">
        <v>73</v>
      </c>
      <c r="Q2" s="84" t="s">
        <v>74</v>
      </c>
      <c r="R2" s="85" t="s">
        <v>75</v>
      </c>
      <c r="S2" s="81" t="s">
        <v>76</v>
      </c>
      <c r="T2" s="86" t="s">
        <v>77</v>
      </c>
      <c r="U2" s="75" t="s">
        <v>78</v>
      </c>
      <c r="V2" s="83" t="s">
        <v>79</v>
      </c>
      <c r="W2" s="81" t="s">
        <v>80</v>
      </c>
      <c r="X2" s="86" t="s">
        <v>81</v>
      </c>
      <c r="Y2" s="87" t="s">
        <v>82</v>
      </c>
    </row>
    <row r="3" spans="1:25" ht="15.75" thickBot="1">
      <c r="A3" s="88" t="s">
        <v>238</v>
      </c>
      <c r="B3" s="89">
        <v>43194</v>
      </c>
      <c r="C3" s="90"/>
      <c r="D3" s="90"/>
      <c r="E3" s="91">
        <v>2</v>
      </c>
      <c r="F3" s="91" t="s">
        <v>223</v>
      </c>
      <c r="G3" s="144" t="s">
        <v>237</v>
      </c>
      <c r="H3" s="92">
        <v>55</v>
      </c>
      <c r="I3" s="147">
        <v>1.75</v>
      </c>
      <c r="J3" s="148"/>
      <c r="K3" s="93">
        <v>17</v>
      </c>
      <c r="L3" s="94">
        <f>(M3-P3)/M3</f>
        <v>0.84482758620689657</v>
      </c>
      <c r="M3" s="147">
        <v>0.57999999999999996</v>
      </c>
      <c r="N3" s="148"/>
      <c r="O3" s="95">
        <v>0.57999999999999996</v>
      </c>
      <c r="P3" s="147">
        <v>0.09</v>
      </c>
      <c r="Q3" s="148"/>
      <c r="R3" s="96">
        <v>0.09</v>
      </c>
      <c r="S3" s="97">
        <f>R3+I3*(1-L3)</f>
        <v>0.36155172413793102</v>
      </c>
      <c r="T3" s="97">
        <f>4.48*(S3^(-0.25))</f>
        <v>5.7774394790900727</v>
      </c>
      <c r="U3" s="147">
        <v>4.8570000000000002</v>
      </c>
      <c r="V3" s="148"/>
      <c r="W3" s="98"/>
      <c r="X3" s="98"/>
      <c r="Y3" s="99">
        <f>U3/T3</f>
        <v>0.84068383884913689</v>
      </c>
    </row>
    <row r="4" spans="1:25" ht="15.75" thickBot="1">
      <c r="A4" s="100" t="s">
        <v>238</v>
      </c>
      <c r="B4" s="19">
        <v>43194</v>
      </c>
      <c r="C4" s="20"/>
      <c r="D4" s="20"/>
      <c r="E4" s="18">
        <v>1</v>
      </c>
      <c r="F4" s="18" t="s">
        <v>222</v>
      </c>
      <c r="G4" s="145"/>
      <c r="H4" s="21">
        <v>51</v>
      </c>
      <c r="I4" s="128">
        <v>2.71</v>
      </c>
      <c r="J4" s="129"/>
      <c r="K4" s="47">
        <v>12</v>
      </c>
      <c r="L4" s="74">
        <f>(M4-P4)/M4</f>
        <v>0.91935483870967738</v>
      </c>
      <c r="M4" s="128">
        <v>0.62</v>
      </c>
      <c r="N4" s="129"/>
      <c r="O4" s="22">
        <v>0.62</v>
      </c>
      <c r="P4" s="128">
        <v>0.05</v>
      </c>
      <c r="Q4" s="129"/>
      <c r="R4" s="23">
        <v>0.05</v>
      </c>
      <c r="S4" s="27">
        <f>R4+I4*(1-L4)</f>
        <v>0.26854838709677431</v>
      </c>
      <c r="T4" s="97">
        <f t="shared" ref="T4:T8" si="0">4.48*(S4^(-0.25))</f>
        <v>6.2233234985827428</v>
      </c>
      <c r="U4" s="128">
        <v>4.5750000000000002</v>
      </c>
      <c r="V4" s="129"/>
      <c r="W4" s="24"/>
      <c r="X4" s="24"/>
      <c r="Y4" s="99">
        <f t="shared" ref="Y4:Y8" si="1">U4/T4</f>
        <v>0.73513774449325664</v>
      </c>
    </row>
    <row r="5" spans="1:25" ht="15.75" thickBot="1">
      <c r="A5" s="100" t="s">
        <v>142</v>
      </c>
      <c r="B5" s="19">
        <v>43194</v>
      </c>
      <c r="C5" s="20"/>
      <c r="D5" s="20"/>
      <c r="E5" s="18">
        <v>2</v>
      </c>
      <c r="F5" s="18" t="s">
        <v>223</v>
      </c>
      <c r="G5" s="145"/>
      <c r="H5" s="21">
        <v>29</v>
      </c>
      <c r="I5" s="128">
        <v>2.39</v>
      </c>
      <c r="J5" s="129"/>
      <c r="K5" s="47">
        <v>7</v>
      </c>
      <c r="L5" s="74">
        <f t="shared" ref="L5:L8" si="2">(M5-P5)/M5</f>
        <v>0.82608695652173914</v>
      </c>
      <c r="M5" s="136">
        <v>0.69</v>
      </c>
      <c r="N5" s="137"/>
      <c r="O5" s="25">
        <f>M5</f>
        <v>0.69</v>
      </c>
      <c r="P5" s="136">
        <v>0.12</v>
      </c>
      <c r="Q5" s="137"/>
      <c r="R5" s="26">
        <f>P5</f>
        <v>0.12</v>
      </c>
      <c r="S5" s="27">
        <f t="shared" ref="S5:S6" si="3">R5+I5*(1-L5)</f>
        <v>0.53565217391304354</v>
      </c>
      <c r="T5" s="97">
        <f t="shared" si="0"/>
        <v>5.2366951923518581</v>
      </c>
      <c r="U5" s="136">
        <v>3.899</v>
      </c>
      <c r="V5" s="137"/>
      <c r="W5" s="28"/>
      <c r="X5" s="28"/>
      <c r="Y5" s="99">
        <f t="shared" si="1"/>
        <v>0.74455355081472974</v>
      </c>
    </row>
    <row r="6" spans="1:25" ht="15.75" thickBot="1">
      <c r="A6" s="100" t="s">
        <v>142</v>
      </c>
      <c r="B6" s="19">
        <v>43194</v>
      </c>
      <c r="C6" s="20"/>
      <c r="D6" s="20"/>
      <c r="E6" s="18">
        <v>1</v>
      </c>
      <c r="F6" s="18" t="s">
        <v>222</v>
      </c>
      <c r="G6" s="145"/>
      <c r="H6" s="29">
        <v>33</v>
      </c>
      <c r="I6" s="128">
        <v>2.69</v>
      </c>
      <c r="J6" s="129"/>
      <c r="K6" s="47">
        <v>9</v>
      </c>
      <c r="L6" s="74">
        <f t="shared" si="2"/>
        <v>0.87634408602150538</v>
      </c>
      <c r="M6" s="130">
        <v>0.93</v>
      </c>
      <c r="N6" s="131"/>
      <c r="O6" s="25">
        <f>M6</f>
        <v>0.93</v>
      </c>
      <c r="P6" s="130">
        <v>0.115</v>
      </c>
      <c r="Q6" s="131"/>
      <c r="R6" s="26">
        <f>P6</f>
        <v>0.115</v>
      </c>
      <c r="S6" s="27">
        <f t="shared" si="3"/>
        <v>0.44763440860215054</v>
      </c>
      <c r="T6" s="97">
        <f t="shared" si="0"/>
        <v>5.4770555842294408</v>
      </c>
      <c r="U6" s="130">
        <v>4.1210000000000004</v>
      </c>
      <c r="V6" s="131"/>
      <c r="W6" s="24"/>
      <c r="X6" s="24"/>
      <c r="Y6" s="99">
        <f t="shared" si="1"/>
        <v>0.75241157162362049</v>
      </c>
    </row>
    <row r="7" spans="1:25" ht="15.75" thickBot="1">
      <c r="A7" s="100" t="s">
        <v>239</v>
      </c>
      <c r="B7" s="19">
        <v>43194</v>
      </c>
      <c r="C7" s="20"/>
      <c r="D7" s="20"/>
      <c r="E7" s="18">
        <v>2</v>
      </c>
      <c r="F7" s="18" t="s">
        <v>223</v>
      </c>
      <c r="G7" s="145"/>
      <c r="H7" s="21">
        <v>15</v>
      </c>
      <c r="I7" s="128">
        <v>1.77</v>
      </c>
      <c r="J7" s="129"/>
      <c r="K7" s="47">
        <v>8</v>
      </c>
      <c r="L7" s="74">
        <f t="shared" si="2"/>
        <v>0.85263157894736841</v>
      </c>
      <c r="M7" s="130">
        <v>0.47499999999999998</v>
      </c>
      <c r="N7" s="131"/>
      <c r="O7" s="25">
        <f t="shared" ref="O7:O8" si="4">M7</f>
        <v>0.47499999999999998</v>
      </c>
      <c r="P7" s="130">
        <v>7.0000000000000007E-2</v>
      </c>
      <c r="Q7" s="131"/>
      <c r="R7" s="26">
        <f t="shared" ref="R7:R8" si="5">P7</f>
        <v>7.0000000000000007E-2</v>
      </c>
      <c r="S7" s="27">
        <f>R7+I7*(1-L7)</f>
        <v>0.33084210526315794</v>
      </c>
      <c r="T7" s="97">
        <f t="shared" si="0"/>
        <v>5.9070795577812643</v>
      </c>
      <c r="U7" s="130">
        <v>3.4889999999999999</v>
      </c>
      <c r="V7" s="131"/>
      <c r="W7" s="24"/>
      <c r="X7" s="24"/>
      <c r="Y7" s="99">
        <f t="shared" si="1"/>
        <v>0.59064719983397174</v>
      </c>
    </row>
    <row r="8" spans="1:25" ht="15.75" thickBot="1">
      <c r="A8" s="101" t="s">
        <v>239</v>
      </c>
      <c r="B8" s="102">
        <v>43194</v>
      </c>
      <c r="C8" s="103"/>
      <c r="D8" s="103"/>
      <c r="E8" s="104">
        <v>1</v>
      </c>
      <c r="F8" s="104" t="s">
        <v>222</v>
      </c>
      <c r="G8" s="146"/>
      <c r="H8" s="105">
        <v>23</v>
      </c>
      <c r="I8" s="132">
        <v>1.8049999999999999</v>
      </c>
      <c r="J8" s="133"/>
      <c r="K8" s="106">
        <v>15</v>
      </c>
      <c r="L8" s="107">
        <f t="shared" si="2"/>
        <v>0.88020833333333337</v>
      </c>
      <c r="M8" s="134">
        <v>0.96</v>
      </c>
      <c r="N8" s="135"/>
      <c r="O8" s="108">
        <f t="shared" si="4"/>
        <v>0.96</v>
      </c>
      <c r="P8" s="134">
        <v>0.115</v>
      </c>
      <c r="Q8" s="135"/>
      <c r="R8" s="109">
        <f t="shared" si="5"/>
        <v>0.115</v>
      </c>
      <c r="S8" s="110">
        <f>R8+I8*(1-L8)</f>
        <v>0.33122395833333329</v>
      </c>
      <c r="T8" s="97">
        <f t="shared" si="0"/>
        <v>5.9053763202721035</v>
      </c>
      <c r="U8" s="134">
        <v>3.5219999999999998</v>
      </c>
      <c r="V8" s="135"/>
      <c r="W8" s="111"/>
      <c r="X8" s="111"/>
      <c r="Y8" s="99">
        <f t="shared" si="1"/>
        <v>0.59640568339558686</v>
      </c>
    </row>
    <row r="9" spans="1: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1"/>
      <c r="T9" s="31"/>
      <c r="U9" s="30"/>
      <c r="V9" s="30"/>
      <c r="W9" s="31"/>
      <c r="X9" s="31"/>
      <c r="Y9" s="31"/>
    </row>
    <row r="10" spans="1:25">
      <c r="A10" s="30"/>
      <c r="C10" s="30"/>
      <c r="D10" s="30"/>
      <c r="E10" s="30"/>
      <c r="F10" s="30"/>
      <c r="R10" s="30"/>
      <c r="S10" s="31"/>
      <c r="T10" s="31"/>
      <c r="U10" s="30"/>
      <c r="V10" s="30"/>
      <c r="W10" s="31"/>
      <c r="X10" s="31"/>
      <c r="Y10" s="31"/>
    </row>
    <row r="11" spans="1:25">
      <c r="A11" s="32" t="s">
        <v>83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1"/>
      <c r="T11" s="31"/>
      <c r="U11" s="30"/>
      <c r="V11" s="30"/>
      <c r="W11" s="31"/>
      <c r="X11" s="31"/>
      <c r="Y11" s="31"/>
    </row>
    <row r="12" spans="1:25">
      <c r="A12" s="33" t="s">
        <v>84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1"/>
      <c r="T12" s="31"/>
      <c r="U12" s="30"/>
      <c r="V12" s="30"/>
      <c r="W12" s="31"/>
      <c r="X12" s="31"/>
      <c r="Y12" s="31"/>
    </row>
    <row r="13" spans="1:25">
      <c r="A13" s="33" t="s">
        <v>85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1"/>
      <c r="T13" s="31"/>
      <c r="U13" s="30"/>
      <c r="V13" s="30"/>
      <c r="W13" s="31"/>
      <c r="X13" s="31"/>
      <c r="Y13" s="31"/>
    </row>
    <row r="14" spans="1:25">
      <c r="A14" s="33" t="s">
        <v>86</v>
      </c>
      <c r="B14" s="30"/>
      <c r="C14" s="30"/>
      <c r="D14" s="30"/>
      <c r="E14" s="30"/>
      <c r="F14" s="30"/>
      <c r="G14" s="30"/>
      <c r="H14" s="30"/>
      <c r="I14" s="30"/>
      <c r="J14" s="30"/>
      <c r="K14" s="112" t="s">
        <v>238</v>
      </c>
      <c r="L14" s="112" t="s">
        <v>240</v>
      </c>
      <c r="M14" s="30"/>
      <c r="N14" s="30"/>
      <c r="O14" s="30"/>
      <c r="P14" s="30"/>
      <c r="Q14" s="30"/>
      <c r="R14" s="30"/>
      <c r="S14" s="31"/>
      <c r="T14" s="31"/>
      <c r="U14" s="30"/>
      <c r="V14" s="30"/>
      <c r="W14" s="31"/>
      <c r="X14" s="31"/>
      <c r="Y14" s="31"/>
    </row>
    <row r="15" spans="1:25">
      <c r="A15" s="32" t="s">
        <v>87</v>
      </c>
      <c r="B15" s="30"/>
      <c r="C15" s="30"/>
      <c r="D15" s="30"/>
      <c r="E15" s="30"/>
      <c r="F15" s="30"/>
      <c r="G15" s="30"/>
      <c r="H15" s="30"/>
      <c r="I15" s="30"/>
      <c r="J15" s="30"/>
      <c r="K15" s="112" t="s">
        <v>142</v>
      </c>
      <c r="L15" s="112" t="s">
        <v>241</v>
      </c>
      <c r="M15" s="30"/>
      <c r="N15" s="30"/>
      <c r="O15" s="30"/>
      <c r="P15" s="30"/>
      <c r="Q15" s="30"/>
      <c r="R15" s="30"/>
      <c r="S15" s="31"/>
      <c r="T15" s="31"/>
      <c r="U15" s="30"/>
      <c r="V15" s="30"/>
      <c r="W15" s="31"/>
      <c r="X15" s="31"/>
      <c r="Y15" s="31"/>
    </row>
    <row r="16" spans="1:25">
      <c r="A16" s="32" t="s">
        <v>88</v>
      </c>
      <c r="B16" s="30"/>
      <c r="C16" s="30"/>
      <c r="D16" s="30"/>
      <c r="E16" s="30"/>
      <c r="F16" s="30"/>
      <c r="G16" s="30"/>
      <c r="H16" s="30"/>
      <c r="I16" s="30"/>
      <c r="J16" s="30"/>
      <c r="K16" s="112" t="s">
        <v>242</v>
      </c>
      <c r="L16" s="112" t="s">
        <v>243</v>
      </c>
      <c r="M16" s="30"/>
      <c r="N16" s="30"/>
      <c r="O16" s="30"/>
      <c r="P16" s="30"/>
      <c r="Q16" s="30"/>
      <c r="R16" s="30"/>
      <c r="S16" s="31"/>
      <c r="T16" s="31"/>
      <c r="U16" s="30"/>
      <c r="V16" s="30"/>
      <c r="W16" s="31"/>
      <c r="X16" s="31"/>
      <c r="Y16" s="31"/>
    </row>
    <row r="17" spans="1:25">
      <c r="A17" s="32" t="s">
        <v>89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1"/>
      <c r="T17" s="31"/>
      <c r="U17" s="30"/>
      <c r="V17" s="30"/>
      <c r="W17" s="31"/>
      <c r="X17" s="31"/>
      <c r="Y17" s="31"/>
    </row>
    <row r="18" spans="1:25">
      <c r="A18" s="33" t="s">
        <v>90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1"/>
      <c r="T18" s="31"/>
      <c r="U18" s="30"/>
      <c r="V18" s="30"/>
      <c r="W18" s="31"/>
      <c r="X18" s="31"/>
      <c r="Y18" s="31"/>
    </row>
    <row r="19" spans="1:25">
      <c r="A19" s="33" t="s">
        <v>91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1"/>
      <c r="T19" s="31"/>
      <c r="U19" s="30"/>
      <c r="V19" s="30"/>
      <c r="W19" s="31"/>
      <c r="X19" s="31"/>
      <c r="Y19" s="31"/>
    </row>
    <row r="20" spans="1:25">
      <c r="A20" s="33" t="s">
        <v>92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1"/>
      <c r="T20" s="31"/>
      <c r="U20" s="30"/>
      <c r="V20" s="30"/>
      <c r="W20" s="31"/>
      <c r="X20" s="31"/>
      <c r="Y20" s="31"/>
    </row>
    <row r="21" spans="1:25">
      <c r="A21" s="33" t="s">
        <v>93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30"/>
      <c r="Q21" s="30"/>
      <c r="R21" s="30"/>
      <c r="S21" s="31"/>
      <c r="T21" s="31"/>
      <c r="U21" s="30"/>
      <c r="V21" s="30"/>
      <c r="W21" s="31"/>
      <c r="X21" s="31"/>
      <c r="Y21" s="31"/>
    </row>
    <row r="22" spans="1: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30"/>
      <c r="Q22" s="30"/>
      <c r="R22" s="30"/>
      <c r="S22" s="31"/>
      <c r="T22" s="31"/>
      <c r="U22" s="30"/>
      <c r="V22" s="30"/>
      <c r="W22" s="31"/>
      <c r="X22" s="31"/>
      <c r="Y22" s="31"/>
    </row>
    <row r="23" spans="1:25">
      <c r="A23" s="30" t="s">
        <v>94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30"/>
      <c r="Q23" s="30"/>
      <c r="R23" s="30"/>
      <c r="S23" s="31"/>
      <c r="T23" s="31"/>
      <c r="U23" s="30"/>
      <c r="V23" s="30"/>
      <c r="W23" s="31"/>
      <c r="X23" s="31"/>
      <c r="Y23" s="31"/>
    </row>
    <row r="24" spans="1: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30"/>
      <c r="Q24" s="30"/>
      <c r="R24" s="30"/>
      <c r="S24" s="31"/>
      <c r="T24" s="31"/>
      <c r="U24" s="30"/>
      <c r="V24" s="30"/>
      <c r="W24" s="31"/>
      <c r="X24" s="31"/>
      <c r="Y24" s="31"/>
    </row>
    <row r="25" spans="1: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30"/>
      <c r="Q25" s="30"/>
      <c r="R25" s="30"/>
      <c r="S25" s="31"/>
      <c r="T25" s="31"/>
      <c r="U25" s="30"/>
      <c r="V25" s="30"/>
      <c r="W25" s="31"/>
      <c r="X25" s="31"/>
      <c r="Y25" s="31"/>
    </row>
    <row r="26" spans="1: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30"/>
      <c r="Q26" s="30"/>
      <c r="R26" s="30"/>
      <c r="S26" s="31"/>
      <c r="T26" s="31"/>
      <c r="U26" s="30"/>
      <c r="V26" s="30"/>
      <c r="W26" s="31"/>
      <c r="X26" s="31"/>
      <c r="Y26" s="31"/>
    </row>
  </sheetData>
  <mergeCells count="29"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  <mergeCell ref="U5:V5"/>
    <mergeCell ref="I6:J6"/>
    <mergeCell ref="M6:N6"/>
    <mergeCell ref="P6:Q6"/>
    <mergeCell ref="U6:V6"/>
    <mergeCell ref="I7:J7"/>
    <mergeCell ref="M7:N7"/>
    <mergeCell ref="P7:Q7"/>
    <mergeCell ref="U7:V7"/>
    <mergeCell ref="I8:J8"/>
    <mergeCell ref="M8:N8"/>
    <mergeCell ref="P8:Q8"/>
    <mergeCell ref="U8:V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C73"/>
  <sheetViews>
    <sheetView zoomScale="85" zoomScaleNormal="85" workbookViewId="0">
      <pane ySplit="1" topLeftCell="A2" activePane="bottomLeft" state="frozen"/>
      <selection pane="bottomLeft" activeCell="AF22" sqref="AF22"/>
    </sheetView>
  </sheetViews>
  <sheetFormatPr baseColWidth="10" defaultColWidth="11.42578125" defaultRowHeight="15"/>
  <cols>
    <col min="1" max="1" width="6.85546875" bestFit="1" customWidth="1"/>
    <col min="2" max="2" width="10.28515625" bestFit="1" customWidth="1"/>
    <col min="3" max="3" width="4.7109375" bestFit="1" customWidth="1"/>
    <col min="4" max="4" width="10.85546875" bestFit="1" customWidth="1"/>
    <col min="5" max="5" width="10.7109375" bestFit="1" customWidth="1"/>
    <col min="6" max="6" width="12" bestFit="1" customWidth="1"/>
    <col min="7" max="7" width="6.7109375" bestFit="1" customWidth="1"/>
    <col min="8" max="8" width="9.140625" bestFit="1" customWidth="1"/>
    <col min="9" max="9" width="10.42578125" bestFit="1" customWidth="1"/>
    <col min="10" max="10" width="9.42578125" bestFit="1" customWidth="1"/>
    <col min="11" max="11" width="13.85546875" bestFit="1" customWidth="1"/>
    <col min="12" max="12" width="12.5703125" bestFit="1" customWidth="1"/>
    <col min="13" max="13" width="6.28515625" bestFit="1" customWidth="1"/>
    <col min="14" max="14" width="8.7109375" bestFit="1" customWidth="1"/>
    <col min="15" max="15" width="6.28515625" bestFit="1" customWidth="1"/>
    <col min="16" max="16" width="3.140625" bestFit="1" customWidth="1"/>
    <col min="17" max="17" width="6" bestFit="1" customWidth="1"/>
    <col min="18" max="18" width="9.85546875" bestFit="1" customWidth="1"/>
    <col min="19" max="19" width="5.5703125" bestFit="1" customWidth="1"/>
    <col min="20" max="20" width="7.140625" bestFit="1" customWidth="1"/>
    <col min="21" max="21" width="9" bestFit="1" customWidth="1"/>
    <col min="22" max="22" width="11" bestFit="1" customWidth="1"/>
    <col min="23" max="23" width="5.140625" bestFit="1" customWidth="1"/>
    <col min="24" max="24" width="8.28515625" bestFit="1" customWidth="1"/>
    <col min="25" max="25" width="3.85546875" bestFit="1" customWidth="1"/>
    <col min="26" max="26" width="6.85546875" bestFit="1" customWidth="1"/>
    <col min="27" max="27" width="6" bestFit="1" customWidth="1"/>
    <col min="28" max="28" width="6.42578125" bestFit="1" customWidth="1"/>
    <col min="29" max="29" width="5" bestFit="1" customWidth="1"/>
  </cols>
  <sheetData>
    <row r="1" spans="1:29" s="46" customFormat="1" ht="51">
      <c r="A1" s="39" t="s">
        <v>97</v>
      </c>
      <c r="B1" s="39" t="s">
        <v>98</v>
      </c>
      <c r="C1" s="39" t="s">
        <v>99</v>
      </c>
      <c r="D1" s="39" t="s">
        <v>100</v>
      </c>
      <c r="E1" s="39" t="s">
        <v>101</v>
      </c>
      <c r="F1" s="39" t="s">
        <v>102</v>
      </c>
      <c r="G1" s="39" t="s">
        <v>103</v>
      </c>
      <c r="H1" s="39" t="s">
        <v>65</v>
      </c>
      <c r="I1" s="39" t="s">
        <v>127</v>
      </c>
      <c r="J1" s="39" t="s">
        <v>128</v>
      </c>
      <c r="K1" s="39" t="s">
        <v>129</v>
      </c>
      <c r="L1" s="39" t="s">
        <v>104</v>
      </c>
      <c r="M1" s="39" t="s">
        <v>105</v>
      </c>
      <c r="N1" s="40" t="s">
        <v>106</v>
      </c>
      <c r="O1" s="38" t="s">
        <v>130</v>
      </c>
      <c r="P1" s="41" t="s">
        <v>119</v>
      </c>
      <c r="Q1" s="41" t="s">
        <v>136</v>
      </c>
      <c r="R1" s="42" t="s">
        <v>131</v>
      </c>
      <c r="S1" s="42" t="s">
        <v>120</v>
      </c>
      <c r="T1" s="43" t="s">
        <v>132</v>
      </c>
      <c r="U1" s="42" t="s">
        <v>133</v>
      </c>
      <c r="V1" s="43" t="s">
        <v>121</v>
      </c>
      <c r="W1" s="44" t="s">
        <v>134</v>
      </c>
      <c r="X1" s="43" t="s">
        <v>122</v>
      </c>
      <c r="Y1" s="42" t="s">
        <v>135</v>
      </c>
      <c r="Z1" s="43" t="s">
        <v>123</v>
      </c>
      <c r="AA1" s="43" t="s">
        <v>124</v>
      </c>
      <c r="AB1" s="43" t="s">
        <v>125</v>
      </c>
      <c r="AC1" s="45" t="s">
        <v>126</v>
      </c>
    </row>
    <row r="2" spans="1:29">
      <c r="A2">
        <v>2018</v>
      </c>
      <c r="B2" t="s">
        <v>244</v>
      </c>
      <c r="C2" t="s">
        <v>238</v>
      </c>
      <c r="H2" t="s">
        <v>139</v>
      </c>
      <c r="I2">
        <v>1</v>
      </c>
      <c r="J2">
        <v>1</v>
      </c>
      <c r="L2" t="s">
        <v>222</v>
      </c>
      <c r="M2" t="s">
        <v>246</v>
      </c>
      <c r="N2">
        <v>13.5</v>
      </c>
      <c r="Q2">
        <v>30.11</v>
      </c>
      <c r="R2">
        <v>1</v>
      </c>
      <c r="T2">
        <v>100</v>
      </c>
      <c r="U2">
        <v>155</v>
      </c>
      <c r="W2">
        <v>3.91</v>
      </c>
      <c r="X2">
        <v>6.9</v>
      </c>
      <c r="Y2">
        <v>45.4</v>
      </c>
      <c r="Z2">
        <v>15.9</v>
      </c>
      <c r="AB2">
        <v>10.8</v>
      </c>
    </row>
    <row r="3" spans="1:29">
      <c r="A3">
        <v>2018</v>
      </c>
      <c r="B3" t="s">
        <v>244</v>
      </c>
      <c r="C3" t="s">
        <v>238</v>
      </c>
      <c r="H3" t="s">
        <v>139</v>
      </c>
      <c r="I3">
        <v>2</v>
      </c>
      <c r="J3">
        <v>1</v>
      </c>
      <c r="L3" t="s">
        <v>222</v>
      </c>
      <c r="M3" t="s">
        <v>246</v>
      </c>
      <c r="N3">
        <v>13.5</v>
      </c>
      <c r="Q3">
        <v>27.71</v>
      </c>
      <c r="R3">
        <v>1</v>
      </c>
      <c r="T3">
        <v>101</v>
      </c>
      <c r="U3">
        <v>160</v>
      </c>
      <c r="W3">
        <v>3.61</v>
      </c>
      <c r="X3">
        <v>7.1</v>
      </c>
      <c r="Y3">
        <v>44.9</v>
      </c>
      <c r="Z3">
        <v>16.100000000000001</v>
      </c>
      <c r="AB3">
        <v>12.8</v>
      </c>
    </row>
    <row r="4" spans="1:29">
      <c r="A4">
        <v>2018</v>
      </c>
      <c r="B4" t="s">
        <v>244</v>
      </c>
      <c r="C4" t="s">
        <v>238</v>
      </c>
      <c r="H4" t="s">
        <v>139</v>
      </c>
      <c r="I4">
        <v>1</v>
      </c>
      <c r="J4">
        <v>2</v>
      </c>
      <c r="L4" t="s">
        <v>245</v>
      </c>
      <c r="M4" t="s">
        <v>246</v>
      </c>
      <c r="N4">
        <v>13.5</v>
      </c>
      <c r="Q4">
        <v>28.17</v>
      </c>
      <c r="R4">
        <v>1</v>
      </c>
      <c r="T4">
        <v>96</v>
      </c>
      <c r="U4">
        <v>130</v>
      </c>
      <c r="W4">
        <v>3.67</v>
      </c>
      <c r="X4">
        <v>6.9</v>
      </c>
      <c r="Y4">
        <v>45.2</v>
      </c>
      <c r="Z4">
        <v>16.5</v>
      </c>
      <c r="AB4">
        <v>12.4</v>
      </c>
    </row>
    <row r="5" spans="1:29">
      <c r="A5">
        <v>2018</v>
      </c>
      <c r="B5" t="s">
        <v>244</v>
      </c>
      <c r="C5" t="s">
        <v>238</v>
      </c>
      <c r="H5" t="s">
        <v>139</v>
      </c>
      <c r="I5">
        <v>2</v>
      </c>
      <c r="J5">
        <v>2</v>
      </c>
      <c r="L5" t="s">
        <v>245</v>
      </c>
      <c r="M5" t="s">
        <v>246</v>
      </c>
      <c r="N5">
        <v>13.5</v>
      </c>
      <c r="Q5">
        <v>32.26</v>
      </c>
      <c r="R5">
        <v>1</v>
      </c>
      <c r="T5">
        <v>99</v>
      </c>
      <c r="U5">
        <v>135</v>
      </c>
      <c r="W5">
        <v>4.22</v>
      </c>
      <c r="X5">
        <v>7.1</v>
      </c>
      <c r="Y5">
        <v>44.7</v>
      </c>
      <c r="Z5">
        <v>16.7</v>
      </c>
      <c r="AB5">
        <v>12</v>
      </c>
    </row>
    <row r="6" spans="1:29">
      <c r="A6">
        <v>2018</v>
      </c>
      <c r="B6" t="s">
        <v>244</v>
      </c>
      <c r="C6" t="s">
        <v>238</v>
      </c>
      <c r="H6" t="s">
        <v>139</v>
      </c>
      <c r="I6">
        <v>1</v>
      </c>
      <c r="J6">
        <v>3</v>
      </c>
      <c r="L6" t="s">
        <v>224</v>
      </c>
      <c r="M6" t="s">
        <v>247</v>
      </c>
      <c r="N6">
        <v>13.5</v>
      </c>
      <c r="Q6">
        <v>37.42</v>
      </c>
      <c r="R6">
        <v>3</v>
      </c>
      <c r="T6">
        <v>99</v>
      </c>
      <c r="U6">
        <v>165</v>
      </c>
      <c r="W6">
        <v>4.84</v>
      </c>
      <c r="X6">
        <v>7.2</v>
      </c>
      <c r="Y6">
        <v>45.9</v>
      </c>
      <c r="Z6">
        <v>15.7</v>
      </c>
      <c r="AB6">
        <v>12.4</v>
      </c>
    </row>
    <row r="7" spans="1:29">
      <c r="A7">
        <v>2018</v>
      </c>
      <c r="B7" t="s">
        <v>244</v>
      </c>
      <c r="C7" t="s">
        <v>238</v>
      </c>
      <c r="H7" t="s">
        <v>139</v>
      </c>
      <c r="I7">
        <v>2</v>
      </c>
      <c r="J7">
        <v>3</v>
      </c>
      <c r="L7" t="s">
        <v>224</v>
      </c>
      <c r="M7" t="s">
        <v>247</v>
      </c>
      <c r="N7">
        <v>13.5</v>
      </c>
      <c r="Q7">
        <v>34.590000000000003</v>
      </c>
      <c r="R7">
        <v>1</v>
      </c>
      <c r="T7">
        <v>99</v>
      </c>
      <c r="U7">
        <v>160</v>
      </c>
      <c r="W7">
        <v>4.46</v>
      </c>
      <c r="X7">
        <v>6.9</v>
      </c>
      <c r="Y7">
        <v>45.6</v>
      </c>
      <c r="Z7">
        <v>15.8</v>
      </c>
      <c r="AB7">
        <v>15</v>
      </c>
    </row>
    <row r="8" spans="1:29">
      <c r="A8">
        <v>2018</v>
      </c>
      <c r="B8" t="s">
        <v>244</v>
      </c>
      <c r="C8" t="s">
        <v>238</v>
      </c>
      <c r="H8" t="s">
        <v>139</v>
      </c>
      <c r="I8">
        <v>1</v>
      </c>
      <c r="J8">
        <v>4</v>
      </c>
      <c r="L8" t="s">
        <v>225</v>
      </c>
      <c r="M8" t="s">
        <v>247</v>
      </c>
      <c r="N8">
        <v>13.5</v>
      </c>
      <c r="R8" s="113">
        <v>9</v>
      </c>
      <c r="T8">
        <v>100</v>
      </c>
      <c r="U8">
        <v>150</v>
      </c>
      <c r="X8">
        <v>6.8</v>
      </c>
      <c r="Y8">
        <v>45.9</v>
      </c>
      <c r="Z8">
        <v>15.1</v>
      </c>
      <c r="AB8">
        <v>14.9</v>
      </c>
    </row>
    <row r="9" spans="1:29">
      <c r="A9">
        <v>2018</v>
      </c>
      <c r="B9" t="s">
        <v>244</v>
      </c>
      <c r="C9" t="s">
        <v>238</v>
      </c>
      <c r="H9" t="s">
        <v>139</v>
      </c>
      <c r="I9">
        <v>2</v>
      </c>
      <c r="J9">
        <v>4</v>
      </c>
      <c r="L9" t="s">
        <v>225</v>
      </c>
      <c r="M9" t="s">
        <v>247</v>
      </c>
      <c r="N9">
        <v>13.5</v>
      </c>
      <c r="R9" s="113">
        <v>9</v>
      </c>
      <c r="T9">
        <v>103</v>
      </c>
      <c r="U9">
        <v>155</v>
      </c>
      <c r="X9">
        <v>7.1</v>
      </c>
      <c r="Y9">
        <v>44.2</v>
      </c>
      <c r="Z9">
        <v>16.399999999999999</v>
      </c>
      <c r="AB9">
        <v>14.4</v>
      </c>
    </row>
    <row r="10" spans="1:29">
      <c r="A10">
        <v>2018</v>
      </c>
      <c r="B10" t="s">
        <v>244</v>
      </c>
      <c r="C10" t="s">
        <v>238</v>
      </c>
      <c r="H10" t="s">
        <v>139</v>
      </c>
      <c r="I10">
        <v>1</v>
      </c>
      <c r="J10">
        <v>5</v>
      </c>
      <c r="L10" t="s">
        <v>226</v>
      </c>
      <c r="M10" t="s">
        <v>247</v>
      </c>
      <c r="N10">
        <v>13.5</v>
      </c>
      <c r="Q10">
        <v>44.36</v>
      </c>
      <c r="R10">
        <v>1</v>
      </c>
      <c r="T10">
        <v>102</v>
      </c>
      <c r="U10">
        <v>155</v>
      </c>
      <c r="W10">
        <v>5.76</v>
      </c>
      <c r="X10">
        <v>7.1</v>
      </c>
      <c r="Y10">
        <v>44.9</v>
      </c>
      <c r="Z10">
        <v>16.2</v>
      </c>
      <c r="AB10">
        <v>13.5</v>
      </c>
    </row>
    <row r="11" spans="1:29">
      <c r="A11">
        <v>2018</v>
      </c>
      <c r="B11" t="s">
        <v>244</v>
      </c>
      <c r="C11" t="s">
        <v>238</v>
      </c>
      <c r="H11" t="s">
        <v>139</v>
      </c>
      <c r="I11">
        <v>2</v>
      </c>
      <c r="J11">
        <v>5</v>
      </c>
      <c r="L11" t="s">
        <v>226</v>
      </c>
      <c r="M11" t="s">
        <v>247</v>
      </c>
      <c r="N11">
        <v>13.5</v>
      </c>
      <c r="Q11">
        <v>39.99</v>
      </c>
      <c r="R11">
        <v>1</v>
      </c>
      <c r="T11">
        <v>102</v>
      </c>
      <c r="U11">
        <v>160</v>
      </c>
      <c r="W11">
        <v>5.18</v>
      </c>
      <c r="X11">
        <v>7.1</v>
      </c>
      <c r="Y11">
        <v>46.5</v>
      </c>
      <c r="Z11">
        <v>14.9</v>
      </c>
      <c r="AB11">
        <v>12.7</v>
      </c>
    </row>
    <row r="12" spans="1:29">
      <c r="A12">
        <v>2018</v>
      </c>
      <c r="B12" t="s">
        <v>244</v>
      </c>
      <c r="C12" t="s">
        <v>238</v>
      </c>
      <c r="H12" t="s">
        <v>139</v>
      </c>
      <c r="I12">
        <v>1</v>
      </c>
      <c r="J12">
        <v>6</v>
      </c>
      <c r="L12" t="s">
        <v>227</v>
      </c>
      <c r="M12" t="s">
        <v>247</v>
      </c>
      <c r="N12">
        <v>13.5</v>
      </c>
      <c r="Q12">
        <v>39.880000000000003</v>
      </c>
      <c r="R12">
        <v>1</v>
      </c>
      <c r="T12">
        <v>101</v>
      </c>
      <c r="U12">
        <v>160</v>
      </c>
      <c r="W12">
        <v>5.15</v>
      </c>
      <c r="X12">
        <v>6.8</v>
      </c>
      <c r="Y12">
        <v>46.2</v>
      </c>
      <c r="Z12">
        <v>15.3</v>
      </c>
      <c r="AB12">
        <v>11.6</v>
      </c>
    </row>
    <row r="13" spans="1:29">
      <c r="A13">
        <v>2018</v>
      </c>
      <c r="B13" t="s">
        <v>244</v>
      </c>
      <c r="C13" t="s">
        <v>238</v>
      </c>
      <c r="H13" t="s">
        <v>139</v>
      </c>
      <c r="I13">
        <v>2</v>
      </c>
      <c r="J13">
        <v>6</v>
      </c>
      <c r="L13" t="s">
        <v>227</v>
      </c>
      <c r="M13" t="s">
        <v>247</v>
      </c>
      <c r="N13">
        <v>13.5</v>
      </c>
      <c r="Q13">
        <v>38.619999999999997</v>
      </c>
      <c r="R13">
        <v>3</v>
      </c>
      <c r="T13">
        <v>101</v>
      </c>
      <c r="U13">
        <v>150</v>
      </c>
      <c r="W13">
        <v>5</v>
      </c>
      <c r="X13">
        <v>7</v>
      </c>
      <c r="Y13">
        <v>44.6</v>
      </c>
      <c r="Z13">
        <v>16.100000000000001</v>
      </c>
      <c r="AB13">
        <v>11.5</v>
      </c>
    </row>
    <row r="14" spans="1:29">
      <c r="A14">
        <v>2018</v>
      </c>
      <c r="B14" t="s">
        <v>244</v>
      </c>
      <c r="C14" t="s">
        <v>238</v>
      </c>
      <c r="H14" t="s">
        <v>139</v>
      </c>
      <c r="I14">
        <v>1</v>
      </c>
      <c r="J14">
        <v>7</v>
      </c>
      <c r="L14" t="s">
        <v>228</v>
      </c>
      <c r="M14" t="s">
        <v>247</v>
      </c>
      <c r="N14">
        <v>13.5</v>
      </c>
      <c r="Q14">
        <v>21.25</v>
      </c>
      <c r="R14">
        <v>1</v>
      </c>
      <c r="T14">
        <v>96</v>
      </c>
      <c r="U14">
        <v>155</v>
      </c>
      <c r="W14">
        <v>2.74</v>
      </c>
      <c r="X14">
        <v>6.9</v>
      </c>
      <c r="Y14">
        <v>44.9</v>
      </c>
      <c r="Z14">
        <v>15.9</v>
      </c>
      <c r="AB14">
        <v>12.7</v>
      </c>
    </row>
    <row r="15" spans="1:29">
      <c r="A15">
        <v>2018</v>
      </c>
      <c r="B15" t="s">
        <v>244</v>
      </c>
      <c r="C15" t="s">
        <v>238</v>
      </c>
      <c r="H15" t="s">
        <v>139</v>
      </c>
      <c r="I15">
        <v>2</v>
      </c>
      <c r="J15">
        <v>7</v>
      </c>
      <c r="L15" t="s">
        <v>228</v>
      </c>
      <c r="M15" t="s">
        <v>247</v>
      </c>
      <c r="N15">
        <v>13.5</v>
      </c>
      <c r="Q15">
        <v>33.85</v>
      </c>
      <c r="R15">
        <v>1</v>
      </c>
      <c r="T15">
        <v>96</v>
      </c>
      <c r="U15">
        <v>150</v>
      </c>
      <c r="W15">
        <v>4.3600000000000003</v>
      </c>
      <c r="X15">
        <v>6.9</v>
      </c>
      <c r="Y15">
        <v>46.2</v>
      </c>
      <c r="Z15">
        <v>15.5</v>
      </c>
      <c r="AB15">
        <v>13.5</v>
      </c>
    </row>
    <row r="16" spans="1:29">
      <c r="A16">
        <v>2018</v>
      </c>
      <c r="B16" t="s">
        <v>244</v>
      </c>
      <c r="C16" t="s">
        <v>238</v>
      </c>
      <c r="H16" t="s">
        <v>139</v>
      </c>
      <c r="I16">
        <v>1</v>
      </c>
      <c r="J16">
        <v>8</v>
      </c>
      <c r="L16" t="s">
        <v>229</v>
      </c>
      <c r="M16" t="s">
        <v>247</v>
      </c>
      <c r="N16">
        <v>13.5</v>
      </c>
      <c r="Q16">
        <v>42.94</v>
      </c>
      <c r="R16">
        <v>1</v>
      </c>
      <c r="T16">
        <v>103</v>
      </c>
      <c r="U16">
        <v>160</v>
      </c>
      <c r="W16">
        <v>5.54</v>
      </c>
      <c r="X16">
        <v>6.7</v>
      </c>
      <c r="Y16">
        <v>46.7</v>
      </c>
      <c r="Z16">
        <v>15.2</v>
      </c>
      <c r="AB16">
        <v>13.5</v>
      </c>
    </row>
    <row r="17" spans="1:28">
      <c r="A17">
        <v>2018</v>
      </c>
      <c r="B17" t="s">
        <v>244</v>
      </c>
      <c r="C17" t="s">
        <v>238</v>
      </c>
      <c r="H17" t="s">
        <v>139</v>
      </c>
      <c r="I17">
        <v>2</v>
      </c>
      <c r="J17">
        <v>8</v>
      </c>
      <c r="L17" t="s">
        <v>229</v>
      </c>
      <c r="M17" t="s">
        <v>247</v>
      </c>
      <c r="N17">
        <v>13.5</v>
      </c>
      <c r="Q17">
        <v>34.51</v>
      </c>
      <c r="R17">
        <v>1</v>
      </c>
      <c r="T17">
        <v>105</v>
      </c>
      <c r="U17">
        <v>155</v>
      </c>
      <c r="W17">
        <v>4.4800000000000004</v>
      </c>
      <c r="X17">
        <v>7</v>
      </c>
      <c r="Y17">
        <v>44.8</v>
      </c>
      <c r="Z17">
        <v>16</v>
      </c>
      <c r="AB17">
        <v>13.2</v>
      </c>
    </row>
    <row r="18" spans="1:28">
      <c r="A18">
        <v>2018</v>
      </c>
      <c r="B18" t="s">
        <v>244</v>
      </c>
      <c r="C18" t="s">
        <v>238</v>
      </c>
      <c r="H18" t="s">
        <v>139</v>
      </c>
      <c r="I18">
        <v>1</v>
      </c>
      <c r="J18">
        <v>9</v>
      </c>
      <c r="L18" t="s">
        <v>230</v>
      </c>
      <c r="M18" t="s">
        <v>247</v>
      </c>
      <c r="N18">
        <v>13.5</v>
      </c>
      <c r="Q18">
        <v>37.4</v>
      </c>
      <c r="R18">
        <v>1</v>
      </c>
      <c r="T18">
        <v>101</v>
      </c>
      <c r="U18">
        <v>160</v>
      </c>
      <c r="W18">
        <v>4.83</v>
      </c>
      <c r="X18">
        <v>6.4</v>
      </c>
      <c r="Y18">
        <v>47.2</v>
      </c>
      <c r="Z18">
        <v>15.3</v>
      </c>
      <c r="AB18">
        <v>11.3</v>
      </c>
    </row>
    <row r="19" spans="1:28">
      <c r="A19">
        <v>2018</v>
      </c>
      <c r="B19" t="s">
        <v>244</v>
      </c>
      <c r="C19" t="s">
        <v>238</v>
      </c>
      <c r="H19" t="s">
        <v>139</v>
      </c>
      <c r="I19">
        <v>2</v>
      </c>
      <c r="J19">
        <v>9</v>
      </c>
      <c r="L19" t="s">
        <v>230</v>
      </c>
      <c r="M19" t="s">
        <v>247</v>
      </c>
      <c r="N19">
        <v>13.5</v>
      </c>
      <c r="Q19">
        <v>33.79</v>
      </c>
      <c r="R19">
        <v>3</v>
      </c>
      <c r="T19">
        <v>102</v>
      </c>
      <c r="U19">
        <v>150</v>
      </c>
      <c r="W19">
        <v>4.3600000000000003</v>
      </c>
      <c r="X19">
        <v>6.7</v>
      </c>
      <c r="Y19">
        <v>44.5</v>
      </c>
      <c r="Z19">
        <v>16.2</v>
      </c>
      <c r="AB19">
        <v>13.6</v>
      </c>
    </row>
    <row r="20" spans="1:28">
      <c r="A20">
        <v>2018</v>
      </c>
      <c r="B20" t="s">
        <v>244</v>
      </c>
      <c r="C20" t="s">
        <v>238</v>
      </c>
      <c r="H20" t="s">
        <v>139</v>
      </c>
      <c r="I20">
        <v>1</v>
      </c>
      <c r="J20">
        <v>10</v>
      </c>
      <c r="L20" t="s">
        <v>231</v>
      </c>
      <c r="M20" t="s">
        <v>247</v>
      </c>
      <c r="N20">
        <v>13.5</v>
      </c>
      <c r="Q20">
        <v>38.020000000000003</v>
      </c>
      <c r="R20">
        <v>1</v>
      </c>
      <c r="T20">
        <v>96</v>
      </c>
      <c r="U20">
        <v>165</v>
      </c>
      <c r="W20">
        <v>4.9400000000000004</v>
      </c>
      <c r="X20">
        <v>6.7</v>
      </c>
      <c r="Y20">
        <v>46.2</v>
      </c>
      <c r="Z20">
        <v>15.1</v>
      </c>
      <c r="AB20">
        <v>14.5</v>
      </c>
    </row>
    <row r="21" spans="1:28">
      <c r="A21">
        <v>2018</v>
      </c>
      <c r="B21" t="s">
        <v>244</v>
      </c>
      <c r="C21" t="s">
        <v>238</v>
      </c>
      <c r="H21" t="s">
        <v>139</v>
      </c>
      <c r="I21">
        <v>2</v>
      </c>
      <c r="J21">
        <v>10</v>
      </c>
      <c r="L21" t="s">
        <v>231</v>
      </c>
      <c r="M21" t="s">
        <v>247</v>
      </c>
      <c r="N21">
        <v>13.5</v>
      </c>
      <c r="Q21">
        <v>30.61</v>
      </c>
      <c r="R21">
        <v>1</v>
      </c>
      <c r="T21">
        <v>96</v>
      </c>
      <c r="U21">
        <v>155</v>
      </c>
      <c r="W21">
        <v>3.96</v>
      </c>
      <c r="X21">
        <v>6.7</v>
      </c>
      <c r="Y21">
        <v>46.4</v>
      </c>
      <c r="Z21">
        <v>15.1</v>
      </c>
      <c r="AB21">
        <v>14.3</v>
      </c>
    </row>
    <row r="22" spans="1:28">
      <c r="A22">
        <v>2018</v>
      </c>
      <c r="B22" t="s">
        <v>244</v>
      </c>
      <c r="C22" t="s">
        <v>238</v>
      </c>
      <c r="H22" t="s">
        <v>139</v>
      </c>
      <c r="I22">
        <v>1</v>
      </c>
      <c r="J22">
        <v>11</v>
      </c>
      <c r="L22" t="s">
        <v>232</v>
      </c>
      <c r="M22" t="s">
        <v>247</v>
      </c>
      <c r="N22">
        <v>13.5</v>
      </c>
      <c r="Q22">
        <v>38.92</v>
      </c>
      <c r="R22">
        <v>3</v>
      </c>
      <c r="T22">
        <v>101</v>
      </c>
      <c r="U22">
        <v>155</v>
      </c>
      <c r="W22">
        <v>5.03</v>
      </c>
      <c r="X22">
        <v>6.8</v>
      </c>
      <c r="Y22">
        <v>46.7</v>
      </c>
      <c r="Z22">
        <v>14.6</v>
      </c>
      <c r="AB22">
        <v>14.7</v>
      </c>
    </row>
    <row r="23" spans="1:28">
      <c r="A23">
        <v>2018</v>
      </c>
      <c r="B23" t="s">
        <v>244</v>
      </c>
      <c r="C23" t="s">
        <v>238</v>
      </c>
      <c r="H23" t="s">
        <v>139</v>
      </c>
      <c r="I23">
        <v>2</v>
      </c>
      <c r="J23">
        <v>11</v>
      </c>
      <c r="L23" t="s">
        <v>232</v>
      </c>
      <c r="M23" t="s">
        <v>247</v>
      </c>
      <c r="N23">
        <v>13.5</v>
      </c>
      <c r="Q23">
        <v>42.15</v>
      </c>
      <c r="R23">
        <v>1</v>
      </c>
      <c r="T23">
        <v>102</v>
      </c>
      <c r="U23">
        <v>160</v>
      </c>
      <c r="W23">
        <v>5.45</v>
      </c>
      <c r="X23">
        <v>6.9</v>
      </c>
      <c r="Y23">
        <v>45.9</v>
      </c>
      <c r="Z23">
        <v>14.7</v>
      </c>
      <c r="AB23">
        <v>13.4</v>
      </c>
    </row>
    <row r="24" spans="1:28">
      <c r="A24">
        <v>2018</v>
      </c>
      <c r="B24" t="s">
        <v>244</v>
      </c>
      <c r="C24" t="s">
        <v>238</v>
      </c>
      <c r="H24" t="s">
        <v>139</v>
      </c>
      <c r="I24">
        <v>1</v>
      </c>
      <c r="J24">
        <v>12</v>
      </c>
      <c r="L24" t="s">
        <v>233</v>
      </c>
      <c r="M24" t="s">
        <v>247</v>
      </c>
      <c r="N24">
        <v>13.5</v>
      </c>
      <c r="Q24">
        <v>31.51</v>
      </c>
      <c r="R24">
        <v>1</v>
      </c>
      <c r="T24">
        <v>103</v>
      </c>
      <c r="U24">
        <v>150</v>
      </c>
      <c r="W24">
        <v>4.0599999999999996</v>
      </c>
      <c r="X24">
        <v>6.9</v>
      </c>
      <c r="Y24">
        <v>44.4</v>
      </c>
      <c r="Z24">
        <v>16.100000000000001</v>
      </c>
      <c r="AB24">
        <v>16.100000000000001</v>
      </c>
    </row>
    <row r="25" spans="1:28">
      <c r="A25">
        <v>2018</v>
      </c>
      <c r="B25" t="s">
        <v>244</v>
      </c>
      <c r="C25" t="s">
        <v>238</v>
      </c>
      <c r="H25" t="s">
        <v>139</v>
      </c>
      <c r="I25">
        <v>2</v>
      </c>
      <c r="J25">
        <v>12</v>
      </c>
      <c r="L25" t="s">
        <v>233</v>
      </c>
      <c r="M25" t="s">
        <v>247</v>
      </c>
      <c r="N25">
        <v>13.5</v>
      </c>
      <c r="Q25">
        <v>31.76</v>
      </c>
      <c r="R25">
        <v>1</v>
      </c>
      <c r="T25">
        <v>103</v>
      </c>
      <c r="U25">
        <v>140</v>
      </c>
      <c r="W25">
        <v>4.0999999999999996</v>
      </c>
      <c r="X25">
        <v>6.7</v>
      </c>
      <c r="Y25">
        <v>45.8</v>
      </c>
      <c r="Z25">
        <v>15.2</v>
      </c>
      <c r="AB25">
        <v>16.399999999999999</v>
      </c>
    </row>
    <row r="26" spans="1:28">
      <c r="A26">
        <v>2018</v>
      </c>
      <c r="B26" t="s">
        <v>244</v>
      </c>
      <c r="C26" t="s">
        <v>142</v>
      </c>
      <c r="D26" t="s">
        <v>148</v>
      </c>
      <c r="F26" t="s">
        <v>143</v>
      </c>
      <c r="H26" t="s">
        <v>139</v>
      </c>
      <c r="I26">
        <v>1</v>
      </c>
      <c r="J26">
        <v>1</v>
      </c>
      <c r="L26" t="s">
        <v>222</v>
      </c>
      <c r="M26" t="s">
        <v>246</v>
      </c>
      <c r="N26">
        <v>13.5</v>
      </c>
      <c r="Q26">
        <v>43.57</v>
      </c>
      <c r="R26">
        <v>1</v>
      </c>
      <c r="T26">
        <v>100</v>
      </c>
      <c r="U26">
        <v>160</v>
      </c>
      <c r="W26">
        <v>5.7</v>
      </c>
      <c r="X26">
        <v>6.8</v>
      </c>
      <c r="Y26">
        <v>45.7</v>
      </c>
      <c r="Z26">
        <v>15.5</v>
      </c>
      <c r="AB26">
        <v>13.4</v>
      </c>
    </row>
    <row r="27" spans="1:28">
      <c r="A27">
        <v>2018</v>
      </c>
      <c r="B27" t="s">
        <v>244</v>
      </c>
      <c r="C27" t="s">
        <v>142</v>
      </c>
      <c r="D27" t="s">
        <v>148</v>
      </c>
      <c r="F27" t="s">
        <v>143</v>
      </c>
      <c r="H27" t="s">
        <v>139</v>
      </c>
      <c r="I27">
        <v>2</v>
      </c>
      <c r="J27">
        <v>1</v>
      </c>
      <c r="L27" t="s">
        <v>222</v>
      </c>
      <c r="M27" t="s">
        <v>246</v>
      </c>
      <c r="N27">
        <v>13.5</v>
      </c>
      <c r="Q27">
        <v>47.62</v>
      </c>
      <c r="R27">
        <v>1</v>
      </c>
      <c r="T27">
        <v>100</v>
      </c>
      <c r="U27">
        <v>165</v>
      </c>
      <c r="W27">
        <v>6.25</v>
      </c>
      <c r="X27">
        <v>6.8</v>
      </c>
      <c r="Y27">
        <v>43.6</v>
      </c>
      <c r="Z27">
        <v>17.3</v>
      </c>
      <c r="AB27">
        <v>12.6</v>
      </c>
    </row>
    <row r="28" spans="1:28">
      <c r="A28">
        <v>2018</v>
      </c>
      <c r="B28" t="s">
        <v>244</v>
      </c>
      <c r="C28" t="s">
        <v>142</v>
      </c>
      <c r="D28" t="s">
        <v>148</v>
      </c>
      <c r="F28" t="s">
        <v>143</v>
      </c>
      <c r="H28" t="s">
        <v>139</v>
      </c>
      <c r="I28">
        <v>1</v>
      </c>
      <c r="J28">
        <v>2</v>
      </c>
      <c r="L28" t="s">
        <v>245</v>
      </c>
      <c r="M28" t="s">
        <v>246</v>
      </c>
      <c r="N28">
        <v>13.5</v>
      </c>
      <c r="Q28">
        <v>38.28</v>
      </c>
      <c r="R28">
        <v>1</v>
      </c>
      <c r="T28">
        <v>96</v>
      </c>
      <c r="U28">
        <v>150</v>
      </c>
      <c r="W28">
        <v>5.0999999999999996</v>
      </c>
      <c r="X28">
        <v>7.1</v>
      </c>
      <c r="Y28">
        <v>44.1</v>
      </c>
      <c r="Z28">
        <v>17.8</v>
      </c>
      <c r="AB28">
        <v>14.3</v>
      </c>
    </row>
    <row r="29" spans="1:28">
      <c r="A29">
        <v>2018</v>
      </c>
      <c r="B29" t="s">
        <v>244</v>
      </c>
      <c r="C29" t="s">
        <v>142</v>
      </c>
      <c r="D29" t="s">
        <v>148</v>
      </c>
      <c r="F29" t="s">
        <v>143</v>
      </c>
      <c r="H29" t="s">
        <v>139</v>
      </c>
      <c r="I29">
        <v>2</v>
      </c>
      <c r="J29">
        <v>2</v>
      </c>
      <c r="L29" t="s">
        <v>245</v>
      </c>
      <c r="M29" t="s">
        <v>246</v>
      </c>
      <c r="N29">
        <v>13.5</v>
      </c>
      <c r="Q29">
        <v>34.21</v>
      </c>
      <c r="R29">
        <v>1</v>
      </c>
      <c r="T29">
        <v>94</v>
      </c>
      <c r="U29">
        <v>135</v>
      </c>
      <c r="W29">
        <v>4.5</v>
      </c>
      <c r="X29">
        <v>7</v>
      </c>
      <c r="Y29">
        <v>42.9</v>
      </c>
      <c r="Z29">
        <v>18.399999999999999</v>
      </c>
      <c r="AB29">
        <v>12.9</v>
      </c>
    </row>
    <row r="30" spans="1:28">
      <c r="A30">
        <v>2018</v>
      </c>
      <c r="B30" t="s">
        <v>244</v>
      </c>
      <c r="C30" t="s">
        <v>142</v>
      </c>
      <c r="D30" t="s">
        <v>148</v>
      </c>
      <c r="F30" t="s">
        <v>143</v>
      </c>
      <c r="H30" t="s">
        <v>139</v>
      </c>
      <c r="I30">
        <v>1</v>
      </c>
      <c r="J30">
        <v>3</v>
      </c>
      <c r="L30" t="s">
        <v>224</v>
      </c>
      <c r="M30" t="s">
        <v>247</v>
      </c>
      <c r="N30">
        <v>13.5</v>
      </c>
      <c r="Q30">
        <v>39.06</v>
      </c>
      <c r="R30">
        <v>3</v>
      </c>
      <c r="T30">
        <v>101</v>
      </c>
      <c r="U30">
        <v>150</v>
      </c>
      <c r="W30">
        <v>5.0999999999999996</v>
      </c>
      <c r="X30">
        <v>6.7</v>
      </c>
      <c r="Y30">
        <v>46.4</v>
      </c>
      <c r="Z30">
        <v>15.4</v>
      </c>
      <c r="AB30">
        <v>11.3</v>
      </c>
    </row>
    <row r="31" spans="1:28">
      <c r="A31">
        <v>2018</v>
      </c>
      <c r="B31" t="s">
        <v>244</v>
      </c>
      <c r="C31" t="s">
        <v>142</v>
      </c>
      <c r="D31" t="s">
        <v>148</v>
      </c>
      <c r="F31" t="s">
        <v>143</v>
      </c>
      <c r="H31" t="s">
        <v>139</v>
      </c>
      <c r="I31">
        <v>2</v>
      </c>
      <c r="J31">
        <v>3</v>
      </c>
      <c r="L31" t="s">
        <v>224</v>
      </c>
      <c r="M31" t="s">
        <v>247</v>
      </c>
      <c r="N31">
        <v>13.5</v>
      </c>
      <c r="Q31">
        <v>47.67</v>
      </c>
      <c r="R31">
        <v>1</v>
      </c>
      <c r="T31">
        <v>99</v>
      </c>
      <c r="U31">
        <v>165</v>
      </c>
      <c r="W31">
        <v>6.25</v>
      </c>
      <c r="X31">
        <v>6.8</v>
      </c>
      <c r="Y31">
        <v>46</v>
      </c>
      <c r="Z31">
        <v>16.2</v>
      </c>
      <c r="AB31">
        <v>14.7</v>
      </c>
    </row>
    <row r="32" spans="1:28">
      <c r="A32">
        <v>2018</v>
      </c>
      <c r="B32" t="s">
        <v>244</v>
      </c>
      <c r="C32" t="s">
        <v>142</v>
      </c>
      <c r="D32" t="s">
        <v>148</v>
      </c>
      <c r="F32" t="s">
        <v>143</v>
      </c>
      <c r="H32" t="s">
        <v>139</v>
      </c>
      <c r="I32">
        <v>1</v>
      </c>
      <c r="J32">
        <v>4</v>
      </c>
      <c r="L32" t="s">
        <v>225</v>
      </c>
      <c r="M32" t="s">
        <v>247</v>
      </c>
      <c r="N32">
        <v>13.5</v>
      </c>
      <c r="Q32">
        <v>39.15</v>
      </c>
      <c r="R32">
        <v>9</v>
      </c>
      <c r="T32">
        <v>101</v>
      </c>
      <c r="U32">
        <v>165</v>
      </c>
      <c r="W32">
        <v>5.15</v>
      </c>
      <c r="X32">
        <v>6.8</v>
      </c>
      <c r="Y32">
        <v>44.1</v>
      </c>
      <c r="Z32">
        <v>16.600000000000001</v>
      </c>
      <c r="AB32">
        <v>15.2</v>
      </c>
    </row>
    <row r="33" spans="1:28">
      <c r="A33">
        <v>2018</v>
      </c>
      <c r="B33" t="s">
        <v>244</v>
      </c>
      <c r="C33" t="s">
        <v>142</v>
      </c>
      <c r="D33" t="s">
        <v>148</v>
      </c>
      <c r="F33" t="s">
        <v>143</v>
      </c>
      <c r="H33" t="s">
        <v>139</v>
      </c>
      <c r="I33">
        <v>2</v>
      </c>
      <c r="J33">
        <v>4</v>
      </c>
      <c r="L33" t="s">
        <v>225</v>
      </c>
      <c r="M33" t="s">
        <v>247</v>
      </c>
      <c r="N33">
        <v>13.5</v>
      </c>
      <c r="Q33">
        <v>31.62</v>
      </c>
      <c r="R33">
        <v>9</v>
      </c>
      <c r="T33">
        <v>101</v>
      </c>
      <c r="U33">
        <v>160</v>
      </c>
      <c r="W33">
        <v>4.1500000000000004</v>
      </c>
      <c r="X33">
        <v>6.9</v>
      </c>
      <c r="Y33">
        <v>44.6</v>
      </c>
      <c r="Z33">
        <v>16.399999999999999</v>
      </c>
      <c r="AB33">
        <v>15.6</v>
      </c>
    </row>
    <row r="34" spans="1:28">
      <c r="A34">
        <v>2018</v>
      </c>
      <c r="B34" t="s">
        <v>244</v>
      </c>
      <c r="C34" t="s">
        <v>142</v>
      </c>
      <c r="D34" t="s">
        <v>148</v>
      </c>
      <c r="F34" t="s">
        <v>143</v>
      </c>
      <c r="H34" t="s">
        <v>139</v>
      </c>
      <c r="I34">
        <v>1</v>
      </c>
      <c r="J34">
        <v>5</v>
      </c>
      <c r="L34" t="s">
        <v>226</v>
      </c>
      <c r="M34" t="s">
        <v>247</v>
      </c>
      <c r="N34">
        <v>13.5</v>
      </c>
      <c r="Q34">
        <v>59.17</v>
      </c>
      <c r="R34">
        <v>1</v>
      </c>
      <c r="T34">
        <v>100</v>
      </c>
      <c r="U34">
        <v>165</v>
      </c>
      <c r="W34">
        <v>7.75</v>
      </c>
      <c r="X34">
        <v>6.8</v>
      </c>
      <c r="Y34">
        <v>45.2</v>
      </c>
      <c r="Z34">
        <v>15.2</v>
      </c>
      <c r="AB34">
        <v>16.8</v>
      </c>
    </row>
    <row r="35" spans="1:28">
      <c r="A35">
        <v>2018</v>
      </c>
      <c r="B35" t="s">
        <v>244</v>
      </c>
      <c r="C35" t="s">
        <v>142</v>
      </c>
      <c r="D35" t="s">
        <v>148</v>
      </c>
      <c r="F35" t="s">
        <v>143</v>
      </c>
      <c r="H35" t="s">
        <v>139</v>
      </c>
      <c r="I35">
        <v>2</v>
      </c>
      <c r="J35">
        <v>5</v>
      </c>
      <c r="L35" t="s">
        <v>226</v>
      </c>
      <c r="M35" t="s">
        <v>247</v>
      </c>
      <c r="N35">
        <v>13.5</v>
      </c>
      <c r="Q35">
        <v>50.94</v>
      </c>
      <c r="R35">
        <v>3</v>
      </c>
      <c r="T35">
        <v>100</v>
      </c>
      <c r="U35">
        <v>170</v>
      </c>
      <c r="W35">
        <v>6.7</v>
      </c>
      <c r="X35">
        <v>6.9</v>
      </c>
      <c r="Y35">
        <v>45.1</v>
      </c>
      <c r="Z35">
        <v>16</v>
      </c>
      <c r="AB35">
        <v>15.7</v>
      </c>
    </row>
    <row r="36" spans="1:28">
      <c r="A36">
        <v>2018</v>
      </c>
      <c r="B36" t="s">
        <v>244</v>
      </c>
      <c r="C36" t="s">
        <v>142</v>
      </c>
      <c r="D36" t="s">
        <v>148</v>
      </c>
      <c r="F36" t="s">
        <v>143</v>
      </c>
      <c r="H36" t="s">
        <v>139</v>
      </c>
      <c r="I36">
        <v>1</v>
      </c>
      <c r="J36">
        <v>6</v>
      </c>
      <c r="L36" t="s">
        <v>227</v>
      </c>
      <c r="M36" t="s">
        <v>247</v>
      </c>
      <c r="N36">
        <v>13.5</v>
      </c>
      <c r="Q36">
        <v>48.97</v>
      </c>
      <c r="R36">
        <v>1</v>
      </c>
      <c r="T36">
        <v>100</v>
      </c>
      <c r="U36">
        <v>165</v>
      </c>
      <c r="W36">
        <v>6.4</v>
      </c>
      <c r="X36">
        <v>6.6</v>
      </c>
      <c r="Y36">
        <v>46.4</v>
      </c>
      <c r="Z36">
        <v>15.6</v>
      </c>
      <c r="AB36">
        <v>11.8</v>
      </c>
    </row>
    <row r="37" spans="1:28">
      <c r="A37">
        <v>2018</v>
      </c>
      <c r="B37" t="s">
        <v>244</v>
      </c>
      <c r="C37" t="s">
        <v>142</v>
      </c>
      <c r="D37" t="s">
        <v>148</v>
      </c>
      <c r="F37" t="s">
        <v>143</v>
      </c>
      <c r="H37" t="s">
        <v>139</v>
      </c>
      <c r="I37">
        <v>2</v>
      </c>
      <c r="J37">
        <v>6</v>
      </c>
      <c r="L37" t="s">
        <v>227</v>
      </c>
      <c r="M37" t="s">
        <v>247</v>
      </c>
      <c r="N37">
        <v>13.5</v>
      </c>
      <c r="Q37">
        <v>43</v>
      </c>
      <c r="R37">
        <v>1</v>
      </c>
      <c r="T37">
        <v>100</v>
      </c>
      <c r="U37">
        <v>165</v>
      </c>
      <c r="W37">
        <v>5.65</v>
      </c>
      <c r="X37">
        <v>6.9</v>
      </c>
      <c r="Y37">
        <v>43.2</v>
      </c>
      <c r="Z37">
        <v>17.899999999999999</v>
      </c>
      <c r="AB37">
        <v>14.1</v>
      </c>
    </row>
    <row r="38" spans="1:28">
      <c r="A38">
        <v>2018</v>
      </c>
      <c r="B38" t="s">
        <v>244</v>
      </c>
      <c r="C38" t="s">
        <v>142</v>
      </c>
      <c r="D38" t="s">
        <v>148</v>
      </c>
      <c r="F38" t="s">
        <v>143</v>
      </c>
      <c r="H38" t="s">
        <v>139</v>
      </c>
      <c r="I38">
        <v>1</v>
      </c>
      <c r="J38">
        <v>7</v>
      </c>
      <c r="L38" t="s">
        <v>228</v>
      </c>
      <c r="M38" t="s">
        <v>247</v>
      </c>
      <c r="N38">
        <v>13.5</v>
      </c>
      <c r="Q38">
        <v>48.81</v>
      </c>
      <c r="R38">
        <v>1</v>
      </c>
      <c r="T38">
        <v>99</v>
      </c>
      <c r="U38">
        <v>165</v>
      </c>
      <c r="W38">
        <v>6.4</v>
      </c>
      <c r="X38">
        <v>6.5</v>
      </c>
      <c r="Y38">
        <v>46.3</v>
      </c>
      <c r="Z38">
        <v>15.6</v>
      </c>
      <c r="AB38">
        <v>16.899999999999999</v>
      </c>
    </row>
    <row r="39" spans="1:28">
      <c r="A39">
        <v>2018</v>
      </c>
      <c r="B39" t="s">
        <v>244</v>
      </c>
      <c r="C39" t="s">
        <v>142</v>
      </c>
      <c r="D39" t="s">
        <v>148</v>
      </c>
      <c r="F39" t="s">
        <v>143</v>
      </c>
      <c r="H39" t="s">
        <v>139</v>
      </c>
      <c r="I39">
        <v>2</v>
      </c>
      <c r="J39">
        <v>7</v>
      </c>
      <c r="L39" t="s">
        <v>228</v>
      </c>
      <c r="M39" t="s">
        <v>247</v>
      </c>
      <c r="N39">
        <v>13.5</v>
      </c>
      <c r="Q39">
        <v>47.82</v>
      </c>
      <c r="R39">
        <v>1</v>
      </c>
      <c r="T39">
        <v>99</v>
      </c>
      <c r="U39">
        <v>165</v>
      </c>
      <c r="W39">
        <v>6.25</v>
      </c>
      <c r="X39">
        <v>6.5</v>
      </c>
      <c r="Y39">
        <v>46</v>
      </c>
      <c r="Z39">
        <v>15.9</v>
      </c>
      <c r="AB39">
        <v>18.600000000000001</v>
      </c>
    </row>
    <row r="40" spans="1:28">
      <c r="A40">
        <v>2018</v>
      </c>
      <c r="B40" t="s">
        <v>244</v>
      </c>
      <c r="C40" t="s">
        <v>142</v>
      </c>
      <c r="D40" t="s">
        <v>148</v>
      </c>
      <c r="F40" t="s">
        <v>143</v>
      </c>
      <c r="H40" t="s">
        <v>139</v>
      </c>
      <c r="I40">
        <v>1</v>
      </c>
      <c r="J40">
        <v>8</v>
      </c>
      <c r="L40" t="s">
        <v>229</v>
      </c>
      <c r="M40" t="s">
        <v>247</v>
      </c>
      <c r="N40">
        <v>13.5</v>
      </c>
      <c r="Q40">
        <v>42.33</v>
      </c>
      <c r="R40">
        <v>3</v>
      </c>
      <c r="T40">
        <v>94</v>
      </c>
      <c r="U40">
        <v>145</v>
      </c>
      <c r="W40">
        <v>5.55</v>
      </c>
      <c r="X40">
        <v>6.7</v>
      </c>
      <c r="Y40">
        <v>45.4</v>
      </c>
      <c r="Z40">
        <v>15.6</v>
      </c>
      <c r="AB40">
        <v>14.9</v>
      </c>
    </row>
    <row r="41" spans="1:28">
      <c r="A41">
        <v>2018</v>
      </c>
      <c r="B41" t="s">
        <v>244</v>
      </c>
      <c r="C41" t="s">
        <v>142</v>
      </c>
      <c r="D41" t="s">
        <v>148</v>
      </c>
      <c r="F41" t="s">
        <v>143</v>
      </c>
      <c r="H41" t="s">
        <v>139</v>
      </c>
      <c r="I41">
        <v>2</v>
      </c>
      <c r="J41">
        <v>8</v>
      </c>
      <c r="L41" t="s">
        <v>229</v>
      </c>
      <c r="M41" t="s">
        <v>247</v>
      </c>
      <c r="N41">
        <v>13.5</v>
      </c>
      <c r="Q41">
        <v>54.33</v>
      </c>
      <c r="R41">
        <v>1</v>
      </c>
      <c r="T41">
        <v>102</v>
      </c>
      <c r="U41">
        <v>160</v>
      </c>
      <c r="W41">
        <v>7.1</v>
      </c>
      <c r="X41">
        <v>6.6</v>
      </c>
      <c r="Y41">
        <v>45.6</v>
      </c>
      <c r="Z41">
        <v>15.4</v>
      </c>
      <c r="AB41">
        <v>12.5</v>
      </c>
    </row>
    <row r="42" spans="1:28">
      <c r="A42">
        <v>2018</v>
      </c>
      <c r="B42" t="s">
        <v>244</v>
      </c>
      <c r="C42" t="s">
        <v>142</v>
      </c>
      <c r="D42" t="s">
        <v>148</v>
      </c>
      <c r="F42" t="s">
        <v>143</v>
      </c>
      <c r="H42" t="s">
        <v>139</v>
      </c>
      <c r="I42">
        <v>1</v>
      </c>
      <c r="J42">
        <v>9</v>
      </c>
      <c r="L42" t="s">
        <v>230</v>
      </c>
      <c r="M42" t="s">
        <v>247</v>
      </c>
      <c r="N42">
        <v>13.5</v>
      </c>
      <c r="R42">
        <v>3</v>
      </c>
      <c r="T42">
        <v>101</v>
      </c>
      <c r="U42">
        <v>170</v>
      </c>
      <c r="X42">
        <v>6.3</v>
      </c>
      <c r="Y42">
        <v>45.7</v>
      </c>
      <c r="Z42">
        <v>16.3</v>
      </c>
      <c r="AB42">
        <v>15.2</v>
      </c>
    </row>
    <row r="43" spans="1:28">
      <c r="A43">
        <v>2018</v>
      </c>
      <c r="B43" t="s">
        <v>244</v>
      </c>
      <c r="C43" t="s">
        <v>142</v>
      </c>
      <c r="D43" t="s">
        <v>148</v>
      </c>
      <c r="F43" t="s">
        <v>143</v>
      </c>
      <c r="H43" t="s">
        <v>139</v>
      </c>
      <c r="I43">
        <v>2</v>
      </c>
      <c r="J43">
        <v>9</v>
      </c>
      <c r="L43" t="s">
        <v>230</v>
      </c>
      <c r="M43" t="s">
        <v>247</v>
      </c>
      <c r="N43">
        <v>13.5</v>
      </c>
      <c r="Q43">
        <v>39.96</v>
      </c>
      <c r="R43">
        <v>1</v>
      </c>
      <c r="T43">
        <v>101</v>
      </c>
      <c r="U43">
        <v>165</v>
      </c>
      <c r="W43">
        <v>5.25</v>
      </c>
      <c r="X43">
        <v>6.3</v>
      </c>
      <c r="Y43">
        <v>45.1</v>
      </c>
      <c r="Z43">
        <v>16.3</v>
      </c>
      <c r="AB43">
        <v>15.2</v>
      </c>
    </row>
    <row r="44" spans="1:28">
      <c r="A44">
        <v>2018</v>
      </c>
      <c r="B44" t="s">
        <v>244</v>
      </c>
      <c r="C44" t="s">
        <v>142</v>
      </c>
      <c r="D44" t="s">
        <v>148</v>
      </c>
      <c r="F44" t="s">
        <v>143</v>
      </c>
      <c r="H44" t="s">
        <v>139</v>
      </c>
      <c r="I44">
        <v>1</v>
      </c>
      <c r="J44">
        <v>10</v>
      </c>
      <c r="L44" t="s">
        <v>231</v>
      </c>
      <c r="M44" t="s">
        <v>247</v>
      </c>
      <c r="N44">
        <v>13.5</v>
      </c>
      <c r="Q44">
        <v>48.48</v>
      </c>
      <c r="R44">
        <v>3</v>
      </c>
      <c r="T44">
        <v>99</v>
      </c>
      <c r="U44">
        <v>170</v>
      </c>
      <c r="W44">
        <v>6.35</v>
      </c>
      <c r="X44">
        <v>6.7</v>
      </c>
      <c r="Y44">
        <v>45.3</v>
      </c>
      <c r="Z44">
        <v>15.6</v>
      </c>
      <c r="AB44">
        <v>13</v>
      </c>
    </row>
    <row r="45" spans="1:28">
      <c r="A45">
        <v>2018</v>
      </c>
      <c r="B45" t="s">
        <v>244</v>
      </c>
      <c r="C45" t="s">
        <v>142</v>
      </c>
      <c r="D45" t="s">
        <v>148</v>
      </c>
      <c r="F45" t="s">
        <v>143</v>
      </c>
      <c r="H45" t="s">
        <v>139</v>
      </c>
      <c r="I45">
        <v>2</v>
      </c>
      <c r="J45">
        <v>10</v>
      </c>
      <c r="L45" t="s">
        <v>231</v>
      </c>
      <c r="M45" t="s">
        <v>247</v>
      </c>
      <c r="N45">
        <v>13.5</v>
      </c>
      <c r="R45">
        <v>1</v>
      </c>
      <c r="T45">
        <v>99</v>
      </c>
      <c r="U45">
        <v>170</v>
      </c>
      <c r="X45">
        <v>6.4</v>
      </c>
      <c r="Y45">
        <v>44.4</v>
      </c>
      <c r="Z45">
        <v>16.2</v>
      </c>
      <c r="AB45">
        <v>13.8</v>
      </c>
    </row>
    <row r="46" spans="1:28">
      <c r="A46">
        <v>2018</v>
      </c>
      <c r="B46" t="s">
        <v>244</v>
      </c>
      <c r="C46" t="s">
        <v>142</v>
      </c>
      <c r="D46" t="s">
        <v>148</v>
      </c>
      <c r="F46" t="s">
        <v>143</v>
      </c>
      <c r="H46" t="s">
        <v>139</v>
      </c>
      <c r="I46">
        <v>1</v>
      </c>
      <c r="J46">
        <v>11</v>
      </c>
      <c r="L46" t="s">
        <v>232</v>
      </c>
      <c r="M46" t="s">
        <v>247</v>
      </c>
      <c r="N46">
        <v>13.5</v>
      </c>
      <c r="Q46">
        <v>43.9</v>
      </c>
      <c r="R46">
        <v>3</v>
      </c>
      <c r="T46">
        <v>100</v>
      </c>
      <c r="U46">
        <v>175</v>
      </c>
      <c r="W46">
        <v>5.75</v>
      </c>
      <c r="X46">
        <v>6.8</v>
      </c>
      <c r="Y46">
        <v>46.1</v>
      </c>
      <c r="Z46">
        <v>15.1</v>
      </c>
      <c r="AB46">
        <v>15.4</v>
      </c>
    </row>
    <row r="47" spans="1:28">
      <c r="A47">
        <v>2018</v>
      </c>
      <c r="B47" t="s">
        <v>244</v>
      </c>
      <c r="C47" t="s">
        <v>142</v>
      </c>
      <c r="D47" t="s">
        <v>148</v>
      </c>
      <c r="F47" t="s">
        <v>143</v>
      </c>
      <c r="H47" t="s">
        <v>139</v>
      </c>
      <c r="I47">
        <v>2</v>
      </c>
      <c r="J47">
        <v>11</v>
      </c>
      <c r="L47" t="s">
        <v>232</v>
      </c>
      <c r="M47" t="s">
        <v>247</v>
      </c>
      <c r="N47">
        <v>13.5</v>
      </c>
      <c r="Q47">
        <v>51.86</v>
      </c>
      <c r="R47">
        <v>3</v>
      </c>
      <c r="T47">
        <v>101</v>
      </c>
      <c r="U47">
        <v>175</v>
      </c>
      <c r="W47">
        <v>6.8</v>
      </c>
      <c r="X47">
        <v>6.7</v>
      </c>
      <c r="Y47">
        <v>45</v>
      </c>
      <c r="Z47">
        <v>16.399999999999999</v>
      </c>
      <c r="AB47">
        <v>17.899999999999999</v>
      </c>
    </row>
    <row r="48" spans="1:28">
      <c r="A48">
        <v>2018</v>
      </c>
      <c r="B48" t="s">
        <v>244</v>
      </c>
      <c r="C48" t="s">
        <v>142</v>
      </c>
      <c r="D48" t="s">
        <v>148</v>
      </c>
      <c r="F48" t="s">
        <v>143</v>
      </c>
      <c r="H48" t="s">
        <v>139</v>
      </c>
      <c r="I48">
        <v>1</v>
      </c>
      <c r="J48">
        <v>12</v>
      </c>
      <c r="L48" t="s">
        <v>233</v>
      </c>
      <c r="M48" t="s">
        <v>247</v>
      </c>
      <c r="N48">
        <v>13.5</v>
      </c>
      <c r="Q48">
        <v>39.06</v>
      </c>
      <c r="R48">
        <v>3</v>
      </c>
      <c r="T48">
        <v>100</v>
      </c>
      <c r="U48">
        <v>155</v>
      </c>
      <c r="W48">
        <v>5.0999999999999996</v>
      </c>
      <c r="X48">
        <v>6.7</v>
      </c>
      <c r="Y48">
        <v>45.6</v>
      </c>
      <c r="Z48">
        <v>15.8</v>
      </c>
      <c r="AB48">
        <v>15.6</v>
      </c>
    </row>
    <row r="49" spans="1:29">
      <c r="A49">
        <v>2018</v>
      </c>
      <c r="B49" t="s">
        <v>244</v>
      </c>
      <c r="C49" t="s">
        <v>142</v>
      </c>
      <c r="D49" t="s">
        <v>148</v>
      </c>
      <c r="F49" t="s">
        <v>143</v>
      </c>
      <c r="H49" t="s">
        <v>139</v>
      </c>
      <c r="I49">
        <v>2</v>
      </c>
      <c r="J49">
        <v>12</v>
      </c>
      <c r="L49" t="s">
        <v>233</v>
      </c>
      <c r="M49" t="s">
        <v>247</v>
      </c>
      <c r="N49">
        <v>13.5</v>
      </c>
      <c r="Q49">
        <v>40.89</v>
      </c>
      <c r="R49">
        <v>1</v>
      </c>
      <c r="T49">
        <v>101</v>
      </c>
      <c r="U49">
        <v>150</v>
      </c>
      <c r="W49">
        <v>5.35</v>
      </c>
      <c r="X49">
        <v>6.9</v>
      </c>
      <c r="Y49">
        <v>44.4</v>
      </c>
      <c r="Z49">
        <v>16.8</v>
      </c>
      <c r="AB49">
        <v>16.8</v>
      </c>
    </row>
    <row r="50" spans="1:29">
      <c r="A50">
        <v>2018</v>
      </c>
      <c r="B50" t="s">
        <v>244</v>
      </c>
      <c r="C50" t="s">
        <v>239</v>
      </c>
      <c r="H50" t="s">
        <v>139</v>
      </c>
      <c r="I50">
        <v>1</v>
      </c>
      <c r="J50">
        <v>1</v>
      </c>
      <c r="L50" t="s">
        <v>222</v>
      </c>
      <c r="M50" t="s">
        <v>246</v>
      </c>
      <c r="N50">
        <v>13.5</v>
      </c>
      <c r="Q50">
        <v>22.86</v>
      </c>
      <c r="R50">
        <v>1</v>
      </c>
      <c r="U50">
        <v>130</v>
      </c>
      <c r="W50">
        <v>3</v>
      </c>
      <c r="X50">
        <v>6.6</v>
      </c>
      <c r="Y50">
        <v>43.3</v>
      </c>
      <c r="Z50">
        <v>17.8</v>
      </c>
      <c r="AB50">
        <v>13.3</v>
      </c>
      <c r="AC50">
        <v>4.5</v>
      </c>
    </row>
    <row r="51" spans="1:29">
      <c r="A51">
        <v>2018</v>
      </c>
      <c r="B51" t="s">
        <v>244</v>
      </c>
      <c r="C51" t="s">
        <v>239</v>
      </c>
      <c r="H51" t="s">
        <v>139</v>
      </c>
      <c r="I51">
        <v>2</v>
      </c>
      <c r="J51">
        <v>1</v>
      </c>
      <c r="L51" t="s">
        <v>222</v>
      </c>
      <c r="M51" t="s">
        <v>246</v>
      </c>
      <c r="N51">
        <v>13.5</v>
      </c>
      <c r="Q51">
        <v>20.32</v>
      </c>
      <c r="R51">
        <v>1</v>
      </c>
      <c r="U51">
        <v>130</v>
      </c>
      <c r="W51">
        <v>2.65</v>
      </c>
      <c r="X51">
        <v>6.3</v>
      </c>
      <c r="Y51">
        <v>43.7</v>
      </c>
      <c r="Z51">
        <v>17.100000000000001</v>
      </c>
      <c r="AB51">
        <v>16.100000000000001</v>
      </c>
      <c r="AC51">
        <v>4.4000000000000004</v>
      </c>
    </row>
    <row r="52" spans="1:29">
      <c r="A52">
        <v>2018</v>
      </c>
      <c r="B52" t="s">
        <v>244</v>
      </c>
      <c r="C52" t="s">
        <v>239</v>
      </c>
      <c r="H52" t="s">
        <v>139</v>
      </c>
      <c r="I52">
        <v>1</v>
      </c>
      <c r="J52">
        <v>2</v>
      </c>
      <c r="L52" t="s">
        <v>245</v>
      </c>
      <c r="M52" t="s">
        <v>246</v>
      </c>
      <c r="N52">
        <v>13.5</v>
      </c>
      <c r="Q52">
        <v>19.47</v>
      </c>
      <c r="R52">
        <v>3</v>
      </c>
      <c r="U52">
        <v>100</v>
      </c>
      <c r="W52">
        <v>2.5499999999999998</v>
      </c>
      <c r="X52">
        <v>6.4</v>
      </c>
      <c r="Y52">
        <v>44.6</v>
      </c>
      <c r="Z52">
        <v>18.5</v>
      </c>
      <c r="AB52">
        <v>15.6</v>
      </c>
      <c r="AC52">
        <v>4.4000000000000004</v>
      </c>
    </row>
    <row r="53" spans="1:29">
      <c r="A53">
        <v>2018</v>
      </c>
      <c r="B53" t="s">
        <v>244</v>
      </c>
      <c r="C53" t="s">
        <v>239</v>
      </c>
      <c r="H53" t="s">
        <v>139</v>
      </c>
      <c r="I53">
        <v>2</v>
      </c>
      <c r="J53">
        <v>2</v>
      </c>
      <c r="L53" t="s">
        <v>245</v>
      </c>
      <c r="M53" t="s">
        <v>246</v>
      </c>
      <c r="N53">
        <v>13.5</v>
      </c>
      <c r="Q53">
        <v>15.75</v>
      </c>
      <c r="R53">
        <v>3</v>
      </c>
      <c r="U53">
        <v>110</v>
      </c>
      <c r="W53">
        <v>2.0499999999999998</v>
      </c>
      <c r="X53">
        <v>6.6</v>
      </c>
      <c r="Y53">
        <v>44.1</v>
      </c>
      <c r="Z53">
        <v>18.399999999999999</v>
      </c>
      <c r="AB53">
        <v>17.600000000000001</v>
      </c>
      <c r="AC53">
        <v>4.3</v>
      </c>
    </row>
    <row r="54" spans="1:29">
      <c r="A54">
        <v>2018</v>
      </c>
      <c r="B54" t="s">
        <v>244</v>
      </c>
      <c r="C54" t="s">
        <v>239</v>
      </c>
      <c r="H54" t="s">
        <v>139</v>
      </c>
      <c r="I54">
        <v>1</v>
      </c>
      <c r="J54">
        <v>3</v>
      </c>
      <c r="L54" t="s">
        <v>224</v>
      </c>
      <c r="M54" t="s">
        <v>247</v>
      </c>
      <c r="N54">
        <v>13.5</v>
      </c>
      <c r="Q54">
        <v>24.41</v>
      </c>
      <c r="R54">
        <v>3</v>
      </c>
      <c r="U54">
        <v>145</v>
      </c>
      <c r="W54">
        <v>3.2</v>
      </c>
      <c r="X54">
        <v>6.3</v>
      </c>
      <c r="Y54">
        <v>45.5</v>
      </c>
      <c r="Z54">
        <v>16.5</v>
      </c>
      <c r="AB54">
        <v>19.5</v>
      </c>
      <c r="AC54">
        <v>4.2</v>
      </c>
    </row>
    <row r="55" spans="1:29">
      <c r="A55">
        <v>2018</v>
      </c>
      <c r="B55" t="s">
        <v>244</v>
      </c>
      <c r="C55" t="s">
        <v>239</v>
      </c>
      <c r="H55" t="s">
        <v>139</v>
      </c>
      <c r="I55">
        <v>2</v>
      </c>
      <c r="J55">
        <v>3</v>
      </c>
      <c r="L55" t="s">
        <v>224</v>
      </c>
      <c r="M55" t="s">
        <v>247</v>
      </c>
      <c r="N55">
        <v>13.5</v>
      </c>
      <c r="Q55">
        <v>24.56</v>
      </c>
      <c r="R55">
        <v>3</v>
      </c>
      <c r="U55">
        <v>130</v>
      </c>
      <c r="W55">
        <v>3.2</v>
      </c>
      <c r="X55">
        <v>6.4</v>
      </c>
      <c r="Y55">
        <v>46.6</v>
      </c>
      <c r="Z55">
        <v>15.8</v>
      </c>
      <c r="AB55">
        <v>18.5</v>
      </c>
      <c r="AC55">
        <v>4.2</v>
      </c>
    </row>
    <row r="56" spans="1:29">
      <c r="A56">
        <v>2018</v>
      </c>
      <c r="B56" t="s">
        <v>244</v>
      </c>
      <c r="C56" t="s">
        <v>239</v>
      </c>
      <c r="H56" t="s">
        <v>139</v>
      </c>
      <c r="I56">
        <v>1</v>
      </c>
      <c r="J56">
        <v>4</v>
      </c>
      <c r="L56" t="s">
        <v>225</v>
      </c>
      <c r="M56" t="s">
        <v>247</v>
      </c>
      <c r="N56">
        <v>13.5</v>
      </c>
      <c r="Q56">
        <v>11.96</v>
      </c>
      <c r="R56">
        <v>9</v>
      </c>
      <c r="U56">
        <v>120</v>
      </c>
      <c r="W56">
        <v>1.55</v>
      </c>
      <c r="X56">
        <v>6.4</v>
      </c>
      <c r="Y56">
        <v>44.3</v>
      </c>
      <c r="Z56">
        <v>17.100000000000001</v>
      </c>
      <c r="AB56">
        <v>16.899999999999999</v>
      </c>
      <c r="AC56">
        <v>4.7</v>
      </c>
    </row>
    <row r="57" spans="1:29">
      <c r="A57">
        <v>2018</v>
      </c>
      <c r="B57" t="s">
        <v>244</v>
      </c>
      <c r="C57" t="s">
        <v>239</v>
      </c>
      <c r="H57" t="s">
        <v>139</v>
      </c>
      <c r="I57">
        <v>2</v>
      </c>
      <c r="J57">
        <v>4</v>
      </c>
      <c r="L57" t="s">
        <v>225</v>
      </c>
      <c r="M57" t="s">
        <v>247</v>
      </c>
      <c r="N57">
        <v>13.5</v>
      </c>
      <c r="Q57">
        <v>10.81</v>
      </c>
      <c r="R57">
        <v>9</v>
      </c>
      <c r="U57">
        <v>115</v>
      </c>
      <c r="W57">
        <v>1.4</v>
      </c>
      <c r="X57">
        <v>6.3</v>
      </c>
      <c r="Y57">
        <v>44.4</v>
      </c>
      <c r="Z57">
        <v>16.7</v>
      </c>
      <c r="AB57">
        <v>18.5</v>
      </c>
      <c r="AC57">
        <v>4.5999999999999996</v>
      </c>
    </row>
    <row r="58" spans="1:29">
      <c r="A58">
        <v>2018</v>
      </c>
      <c r="B58" t="s">
        <v>244</v>
      </c>
      <c r="C58" t="s">
        <v>239</v>
      </c>
      <c r="H58" t="s">
        <v>139</v>
      </c>
      <c r="I58">
        <v>1</v>
      </c>
      <c r="J58">
        <v>5</v>
      </c>
      <c r="L58" t="s">
        <v>226</v>
      </c>
      <c r="M58" t="s">
        <v>247</v>
      </c>
      <c r="N58">
        <v>13.5</v>
      </c>
      <c r="Q58">
        <v>27.37</v>
      </c>
      <c r="R58">
        <v>1</v>
      </c>
      <c r="U58">
        <v>135</v>
      </c>
      <c r="W58">
        <v>3.6</v>
      </c>
      <c r="X58">
        <v>6.6</v>
      </c>
      <c r="Y58">
        <v>45</v>
      </c>
      <c r="Z58">
        <v>16.5</v>
      </c>
      <c r="AB58">
        <v>16.3</v>
      </c>
      <c r="AC58">
        <v>4.5999999999999996</v>
      </c>
    </row>
    <row r="59" spans="1:29">
      <c r="A59">
        <v>2018</v>
      </c>
      <c r="B59" t="s">
        <v>244</v>
      </c>
      <c r="C59" t="s">
        <v>239</v>
      </c>
      <c r="H59" t="s">
        <v>139</v>
      </c>
      <c r="I59">
        <v>2</v>
      </c>
      <c r="J59">
        <v>5</v>
      </c>
      <c r="L59" t="s">
        <v>226</v>
      </c>
      <c r="M59" t="s">
        <v>247</v>
      </c>
      <c r="N59">
        <v>13.5</v>
      </c>
      <c r="Q59">
        <v>34.97</v>
      </c>
      <c r="R59">
        <v>1</v>
      </c>
      <c r="U59">
        <v>130</v>
      </c>
      <c r="W59">
        <v>4.5999999999999996</v>
      </c>
      <c r="X59">
        <v>6.7</v>
      </c>
      <c r="Y59">
        <v>45.2</v>
      </c>
      <c r="Z59">
        <v>16.3</v>
      </c>
      <c r="AB59">
        <v>16</v>
      </c>
      <c r="AC59">
        <v>4.5</v>
      </c>
    </row>
    <row r="60" spans="1:29">
      <c r="A60">
        <v>2018</v>
      </c>
      <c r="B60" t="s">
        <v>244</v>
      </c>
      <c r="C60" t="s">
        <v>239</v>
      </c>
      <c r="H60" t="s">
        <v>139</v>
      </c>
      <c r="I60">
        <v>1</v>
      </c>
      <c r="J60">
        <v>6</v>
      </c>
      <c r="L60" t="s">
        <v>227</v>
      </c>
      <c r="M60" t="s">
        <v>247</v>
      </c>
      <c r="N60">
        <v>13.5</v>
      </c>
      <c r="Q60">
        <v>28.52</v>
      </c>
      <c r="R60">
        <v>3</v>
      </c>
      <c r="U60">
        <v>140</v>
      </c>
      <c r="W60">
        <v>3.8</v>
      </c>
      <c r="X60">
        <v>6.3</v>
      </c>
      <c r="Y60">
        <v>44.9</v>
      </c>
      <c r="Z60">
        <v>16.7</v>
      </c>
      <c r="AB60">
        <v>15.1</v>
      </c>
      <c r="AC60">
        <v>5.2</v>
      </c>
    </row>
    <row r="61" spans="1:29">
      <c r="A61">
        <v>2018</v>
      </c>
      <c r="B61" t="s">
        <v>244</v>
      </c>
      <c r="C61" t="s">
        <v>239</v>
      </c>
      <c r="H61" t="s">
        <v>139</v>
      </c>
      <c r="I61">
        <v>2</v>
      </c>
      <c r="J61">
        <v>6</v>
      </c>
      <c r="L61" t="s">
        <v>227</v>
      </c>
      <c r="M61" t="s">
        <v>247</v>
      </c>
      <c r="N61">
        <v>13.5</v>
      </c>
      <c r="Q61">
        <v>39.28</v>
      </c>
      <c r="R61">
        <v>5</v>
      </c>
      <c r="U61">
        <v>135</v>
      </c>
      <c r="W61">
        <v>5.15</v>
      </c>
      <c r="X61">
        <v>6.3</v>
      </c>
      <c r="Y61">
        <v>45</v>
      </c>
      <c r="Z61">
        <v>16.3</v>
      </c>
      <c r="AB61">
        <v>15</v>
      </c>
      <c r="AC61">
        <v>5.4</v>
      </c>
    </row>
    <row r="62" spans="1:29">
      <c r="A62">
        <v>2018</v>
      </c>
      <c r="B62" t="s">
        <v>244</v>
      </c>
      <c r="C62" t="s">
        <v>239</v>
      </c>
      <c r="H62" t="s">
        <v>139</v>
      </c>
      <c r="I62">
        <v>1</v>
      </c>
      <c r="J62">
        <v>7</v>
      </c>
      <c r="L62" t="s">
        <v>228</v>
      </c>
      <c r="M62" t="s">
        <v>247</v>
      </c>
      <c r="N62">
        <v>13.5</v>
      </c>
      <c r="Q62">
        <v>27.16</v>
      </c>
      <c r="R62">
        <v>1</v>
      </c>
      <c r="U62">
        <v>125</v>
      </c>
      <c r="W62">
        <v>3.55</v>
      </c>
      <c r="X62">
        <v>5.9</v>
      </c>
      <c r="Y62">
        <v>45.8</v>
      </c>
      <c r="Z62">
        <v>16.100000000000001</v>
      </c>
      <c r="AB62">
        <v>20.9</v>
      </c>
      <c r="AC62">
        <v>4.5999999999999996</v>
      </c>
    </row>
    <row r="63" spans="1:29">
      <c r="A63">
        <v>2018</v>
      </c>
      <c r="B63" t="s">
        <v>244</v>
      </c>
      <c r="C63" t="s">
        <v>239</v>
      </c>
      <c r="H63" t="s">
        <v>139</v>
      </c>
      <c r="I63">
        <v>2</v>
      </c>
      <c r="J63">
        <v>7</v>
      </c>
      <c r="L63" t="s">
        <v>228</v>
      </c>
      <c r="M63" t="s">
        <v>247</v>
      </c>
      <c r="N63">
        <v>13.5</v>
      </c>
      <c r="Q63">
        <v>20.32</v>
      </c>
      <c r="R63">
        <v>3</v>
      </c>
      <c r="U63">
        <v>120</v>
      </c>
      <c r="W63">
        <v>2.65</v>
      </c>
      <c r="X63">
        <v>6.1</v>
      </c>
      <c r="Y63">
        <v>46.1</v>
      </c>
      <c r="Z63">
        <v>16</v>
      </c>
      <c r="AB63">
        <v>22</v>
      </c>
      <c r="AC63">
        <v>4.7</v>
      </c>
    </row>
    <row r="64" spans="1:29">
      <c r="A64">
        <v>2018</v>
      </c>
      <c r="B64" t="s">
        <v>244</v>
      </c>
      <c r="C64" t="s">
        <v>239</v>
      </c>
      <c r="H64" t="s">
        <v>139</v>
      </c>
      <c r="I64">
        <v>1</v>
      </c>
      <c r="J64">
        <v>8</v>
      </c>
      <c r="L64" t="s">
        <v>229</v>
      </c>
      <c r="M64" t="s">
        <v>247</v>
      </c>
      <c r="N64">
        <v>13.5</v>
      </c>
      <c r="Q64">
        <v>29.81</v>
      </c>
      <c r="R64">
        <v>1</v>
      </c>
      <c r="U64">
        <v>140</v>
      </c>
      <c r="W64">
        <v>3.9</v>
      </c>
      <c r="X64">
        <v>6.3</v>
      </c>
      <c r="Y64">
        <v>46.3</v>
      </c>
      <c r="Z64">
        <v>15.4</v>
      </c>
      <c r="AB64">
        <v>14.2</v>
      </c>
      <c r="AC64">
        <v>4.5999999999999996</v>
      </c>
    </row>
    <row r="65" spans="1:29">
      <c r="A65">
        <v>2018</v>
      </c>
      <c r="B65" t="s">
        <v>244</v>
      </c>
      <c r="C65" t="s">
        <v>239</v>
      </c>
      <c r="H65" t="s">
        <v>139</v>
      </c>
      <c r="I65">
        <v>2</v>
      </c>
      <c r="J65">
        <v>8</v>
      </c>
      <c r="L65" t="s">
        <v>229</v>
      </c>
      <c r="M65" t="s">
        <v>247</v>
      </c>
      <c r="N65">
        <v>13.5</v>
      </c>
      <c r="Q65">
        <v>29.43</v>
      </c>
      <c r="R65">
        <v>3</v>
      </c>
      <c r="U65">
        <v>135</v>
      </c>
      <c r="W65">
        <v>3.85</v>
      </c>
      <c r="X65">
        <v>6.3</v>
      </c>
      <c r="Y65">
        <v>46.2</v>
      </c>
      <c r="Z65">
        <v>15.8</v>
      </c>
      <c r="AB65">
        <v>16</v>
      </c>
      <c r="AC65">
        <v>4.4000000000000004</v>
      </c>
    </row>
    <row r="66" spans="1:29">
      <c r="A66">
        <v>2018</v>
      </c>
      <c r="B66" t="s">
        <v>244</v>
      </c>
      <c r="C66" t="s">
        <v>239</v>
      </c>
      <c r="H66" t="s">
        <v>139</v>
      </c>
      <c r="I66">
        <v>1</v>
      </c>
      <c r="J66">
        <v>9</v>
      </c>
      <c r="L66" t="s">
        <v>230</v>
      </c>
      <c r="M66" t="s">
        <v>247</v>
      </c>
      <c r="N66">
        <v>13.5</v>
      </c>
      <c r="Q66">
        <v>18.32</v>
      </c>
      <c r="R66">
        <v>7</v>
      </c>
      <c r="U66">
        <v>145</v>
      </c>
      <c r="W66">
        <v>2.4</v>
      </c>
      <c r="X66">
        <v>5.7</v>
      </c>
      <c r="Y66">
        <v>45</v>
      </c>
      <c r="Z66">
        <v>17.100000000000001</v>
      </c>
      <c r="AB66">
        <v>17.8</v>
      </c>
      <c r="AC66">
        <v>5.2</v>
      </c>
    </row>
    <row r="67" spans="1:29">
      <c r="A67">
        <v>2018</v>
      </c>
      <c r="B67" t="s">
        <v>244</v>
      </c>
      <c r="C67" t="s">
        <v>239</v>
      </c>
      <c r="H67" t="s">
        <v>139</v>
      </c>
      <c r="I67">
        <v>2</v>
      </c>
      <c r="J67">
        <v>9</v>
      </c>
      <c r="L67" t="s">
        <v>230</v>
      </c>
      <c r="M67" t="s">
        <v>247</v>
      </c>
      <c r="N67">
        <v>13.5</v>
      </c>
      <c r="Q67">
        <v>22.19</v>
      </c>
      <c r="R67">
        <v>3</v>
      </c>
      <c r="U67">
        <v>125</v>
      </c>
      <c r="W67">
        <v>2.9</v>
      </c>
      <c r="X67">
        <v>6.1</v>
      </c>
      <c r="Y67">
        <v>47</v>
      </c>
      <c r="Z67">
        <v>15.2</v>
      </c>
      <c r="AB67">
        <v>17.2</v>
      </c>
      <c r="AC67">
        <v>4.8</v>
      </c>
    </row>
    <row r="68" spans="1:29">
      <c r="A68">
        <v>2018</v>
      </c>
      <c r="B68" t="s">
        <v>244</v>
      </c>
      <c r="C68" t="s">
        <v>239</v>
      </c>
      <c r="H68" t="s">
        <v>139</v>
      </c>
      <c r="I68">
        <v>1</v>
      </c>
      <c r="J68">
        <v>10</v>
      </c>
      <c r="L68" t="s">
        <v>231</v>
      </c>
      <c r="M68" t="s">
        <v>247</v>
      </c>
      <c r="N68">
        <v>13.5</v>
      </c>
      <c r="Q68">
        <v>26.75</v>
      </c>
      <c r="R68">
        <v>5</v>
      </c>
      <c r="U68">
        <v>135</v>
      </c>
      <c r="W68">
        <v>3.5</v>
      </c>
      <c r="X68">
        <v>6</v>
      </c>
      <c r="Y68">
        <v>45.9</v>
      </c>
      <c r="Z68">
        <v>15.7</v>
      </c>
      <c r="AB68">
        <v>16.8</v>
      </c>
      <c r="AC68">
        <v>4.9000000000000004</v>
      </c>
    </row>
    <row r="69" spans="1:29">
      <c r="A69">
        <v>2018</v>
      </c>
      <c r="B69" t="s">
        <v>244</v>
      </c>
      <c r="C69" t="s">
        <v>239</v>
      </c>
      <c r="H69" t="s">
        <v>139</v>
      </c>
      <c r="I69">
        <v>2</v>
      </c>
      <c r="J69">
        <v>10</v>
      </c>
      <c r="L69" t="s">
        <v>231</v>
      </c>
      <c r="M69" t="s">
        <v>247</v>
      </c>
      <c r="N69">
        <v>13.5</v>
      </c>
      <c r="Q69">
        <v>26.7</v>
      </c>
      <c r="R69">
        <v>3</v>
      </c>
      <c r="U69">
        <v>140</v>
      </c>
      <c r="W69">
        <v>3.5</v>
      </c>
      <c r="X69">
        <v>6</v>
      </c>
      <c r="Y69">
        <v>45.8</v>
      </c>
      <c r="Z69">
        <v>15.7</v>
      </c>
      <c r="AB69">
        <v>17.2</v>
      </c>
      <c r="AC69">
        <v>4.9000000000000004</v>
      </c>
    </row>
    <row r="70" spans="1:29">
      <c r="A70">
        <v>2018</v>
      </c>
      <c r="B70" t="s">
        <v>244</v>
      </c>
      <c r="C70" t="s">
        <v>239</v>
      </c>
      <c r="H70" t="s">
        <v>139</v>
      </c>
      <c r="I70">
        <v>1</v>
      </c>
      <c r="J70">
        <v>11</v>
      </c>
      <c r="L70" t="s">
        <v>232</v>
      </c>
      <c r="M70" t="s">
        <v>247</v>
      </c>
      <c r="N70">
        <v>13.5</v>
      </c>
      <c r="Q70">
        <v>27.19</v>
      </c>
      <c r="R70">
        <v>7</v>
      </c>
      <c r="U70">
        <v>150</v>
      </c>
      <c r="W70">
        <v>3.55</v>
      </c>
      <c r="X70">
        <v>6.5</v>
      </c>
      <c r="Y70">
        <v>43.7</v>
      </c>
      <c r="Z70">
        <v>17.2</v>
      </c>
      <c r="AB70">
        <v>18.3</v>
      </c>
      <c r="AC70">
        <v>4.3</v>
      </c>
    </row>
    <row r="71" spans="1:29">
      <c r="A71">
        <v>2018</v>
      </c>
      <c r="B71" t="s">
        <v>244</v>
      </c>
      <c r="C71" t="s">
        <v>239</v>
      </c>
      <c r="H71" t="s">
        <v>139</v>
      </c>
      <c r="I71">
        <v>2</v>
      </c>
      <c r="J71">
        <v>11</v>
      </c>
      <c r="L71" t="s">
        <v>232</v>
      </c>
      <c r="M71" t="s">
        <v>247</v>
      </c>
      <c r="N71">
        <v>13.5</v>
      </c>
      <c r="Q71">
        <v>25.3</v>
      </c>
      <c r="R71">
        <v>3</v>
      </c>
      <c r="U71">
        <v>155</v>
      </c>
      <c r="W71">
        <v>3.3</v>
      </c>
      <c r="X71">
        <v>6.4</v>
      </c>
      <c r="Y71">
        <v>45</v>
      </c>
      <c r="Z71">
        <v>15.8</v>
      </c>
      <c r="AB71">
        <v>19.899999999999999</v>
      </c>
      <c r="AC71">
        <v>4.0999999999999996</v>
      </c>
    </row>
    <row r="72" spans="1:29">
      <c r="A72">
        <v>2018</v>
      </c>
      <c r="B72" t="s">
        <v>244</v>
      </c>
      <c r="C72" t="s">
        <v>239</v>
      </c>
      <c r="H72" t="s">
        <v>139</v>
      </c>
      <c r="I72">
        <v>1</v>
      </c>
      <c r="J72">
        <v>12</v>
      </c>
      <c r="L72" t="s">
        <v>233</v>
      </c>
      <c r="M72" t="s">
        <v>247</v>
      </c>
      <c r="N72">
        <v>13.5</v>
      </c>
      <c r="Q72">
        <v>22.21</v>
      </c>
      <c r="R72">
        <v>1</v>
      </c>
      <c r="U72">
        <v>120</v>
      </c>
      <c r="W72">
        <v>2.9</v>
      </c>
      <c r="X72">
        <v>6.4</v>
      </c>
      <c r="Y72">
        <v>45.6</v>
      </c>
      <c r="Z72">
        <v>15.2</v>
      </c>
      <c r="AB72">
        <v>14</v>
      </c>
      <c r="AC72">
        <v>4.5</v>
      </c>
    </row>
    <row r="73" spans="1:29">
      <c r="A73">
        <v>2018</v>
      </c>
      <c r="B73" t="s">
        <v>244</v>
      </c>
      <c r="C73" t="s">
        <v>239</v>
      </c>
      <c r="H73" t="s">
        <v>139</v>
      </c>
      <c r="I73">
        <v>2</v>
      </c>
      <c r="J73">
        <v>12</v>
      </c>
      <c r="L73" t="s">
        <v>233</v>
      </c>
      <c r="M73" t="s">
        <v>247</v>
      </c>
      <c r="N73">
        <v>13.5</v>
      </c>
      <c r="Q73">
        <v>25.33</v>
      </c>
      <c r="R73">
        <v>1</v>
      </c>
      <c r="U73">
        <v>115</v>
      </c>
      <c r="W73">
        <v>3.3</v>
      </c>
      <c r="X73">
        <v>6.3</v>
      </c>
      <c r="Y73">
        <v>44.6</v>
      </c>
      <c r="Z73">
        <v>17.5</v>
      </c>
      <c r="AB73">
        <v>17.7</v>
      </c>
      <c r="AC73">
        <v>4.8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ColWidth="11.42578125" defaultRowHeight="15"/>
  <sheetData>
    <row r="2" spans="1:9">
      <c r="A2" s="116" t="s">
        <v>95</v>
      </c>
      <c r="B2" s="116"/>
      <c r="C2" s="116"/>
      <c r="D2" s="116"/>
      <c r="E2" s="116"/>
      <c r="F2" s="116"/>
      <c r="G2" s="116"/>
      <c r="H2" s="116"/>
      <c r="I2" s="116"/>
    </row>
    <row r="3" spans="1:9">
      <c r="A3" s="116"/>
      <c r="B3" s="116"/>
      <c r="C3" s="116"/>
      <c r="D3" s="116"/>
      <c r="E3" s="116"/>
      <c r="F3" s="116"/>
      <c r="G3" s="116"/>
      <c r="H3" s="116"/>
      <c r="I3" s="116"/>
    </row>
    <row r="4" spans="1:9">
      <c r="A4" s="116"/>
      <c r="B4" s="116"/>
      <c r="C4" s="116"/>
      <c r="D4" s="116"/>
      <c r="E4" s="116"/>
      <c r="F4" s="116"/>
      <c r="G4" s="116"/>
      <c r="H4" s="116"/>
      <c r="I4" s="116"/>
    </row>
    <row r="5" spans="1:9">
      <c r="A5" s="116"/>
      <c r="B5" s="116"/>
      <c r="C5" s="116"/>
      <c r="D5" s="116"/>
      <c r="E5" s="116"/>
      <c r="F5" s="116"/>
      <c r="G5" s="116"/>
      <c r="H5" s="116"/>
      <c r="I5" s="116"/>
    </row>
    <row r="6" spans="1:9">
      <c r="A6" s="116"/>
      <c r="B6" s="116"/>
      <c r="C6" s="116"/>
      <c r="D6" s="116"/>
      <c r="E6" s="116"/>
      <c r="F6" s="116"/>
      <c r="G6" s="116"/>
      <c r="H6" s="116"/>
      <c r="I6" s="116"/>
    </row>
    <row r="7" spans="1:9">
      <c r="A7" s="116"/>
      <c r="B7" s="116"/>
      <c r="C7" s="116"/>
      <c r="D7" s="116"/>
      <c r="E7" s="116"/>
      <c r="F7" s="116"/>
      <c r="G7" s="116"/>
      <c r="H7" s="116"/>
      <c r="I7" s="116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Erwan Corlouer</cp:lastModifiedBy>
  <dcterms:created xsi:type="dcterms:W3CDTF">2018-02-01T08:48:39Z</dcterms:created>
  <dcterms:modified xsi:type="dcterms:W3CDTF">2018-11-28T11:10:28Z</dcterms:modified>
</cp:coreProperties>
</file>