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 xmlns:mc="http://schemas.openxmlformats.org/markup-compatibility/2006">
    <mc:Choice Requires="x15">
      <x15ac:absPath xmlns:x15ac="http://schemas.microsoft.com/office/spreadsheetml/2010/11/ac" url="C:\Users\jeaneric.dheu\Documents\Colza hiver\BIOGEMMA\RAPSODYN\WP4\2018\"/>
    </mc:Choice>
  </mc:AlternateContent>
  <xr:revisionPtr revIDLastSave="0" documentId="8_{75EBBAEB-F7FA-4B56-8544-F8E5EB07DE1E}" xr6:coauthVersionLast="31" xr6:coauthVersionMax="31" xr10:uidLastSave="{00000000-0000-0000-0000-000000000000}"/>
  <bookViews>
    <workbookView xWindow="0" yWindow="0" windowWidth="19200" windowHeight="11450" firstSheet="4" activeTab="6" xr2:uid="{00000000-000D-0000-FFFF-FFFF00000000}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definedNames>
    <definedName name="_xlnm._FilterDatabase" localSheetId="6" hidden="1">PHENO_DATA!$A$1:$AD$24</definedName>
  </definedNames>
  <calcPr calcId="179017"/>
</workbook>
</file>

<file path=xl/calcChain.xml><?xml version="1.0" encoding="utf-8"?>
<calcChain xmlns="http://schemas.openxmlformats.org/spreadsheetml/2006/main">
  <c r="AB3" i="7" l="1"/>
  <c r="AB4" i="7"/>
  <c r="AB5" i="7"/>
  <c r="AB6" i="7"/>
  <c r="AB8" i="7"/>
  <c r="AB9" i="7"/>
  <c r="AB10" i="7"/>
  <c r="AB12" i="7"/>
  <c r="AB13" i="7"/>
  <c r="AB15" i="7"/>
  <c r="AB16" i="7"/>
  <c r="AB17" i="7"/>
  <c r="AB18" i="7"/>
  <c r="AB19" i="7"/>
  <c r="AB21" i="7"/>
  <c r="AB22" i="7"/>
  <c r="AB23" i="7"/>
  <c r="AB2" i="7"/>
  <c r="P3" i="7" l="1"/>
  <c r="P4" i="7"/>
  <c r="P5" i="7"/>
  <c r="P6" i="7"/>
  <c r="P8" i="7"/>
  <c r="P9" i="7"/>
  <c r="P10" i="7"/>
  <c r="P12" i="7"/>
  <c r="P13" i="7"/>
  <c r="P15" i="7"/>
  <c r="P16" i="7"/>
  <c r="P17" i="7"/>
  <c r="P18" i="7"/>
  <c r="P19" i="7"/>
  <c r="P21" i="7"/>
  <c r="P22" i="7"/>
  <c r="P23" i="7"/>
  <c r="P2" i="7"/>
  <c r="T4" i="6" l="1"/>
  <c r="T3" i="6"/>
  <c r="S4" i="6"/>
  <c r="U4" i="6" s="1"/>
  <c r="V4" i="6" s="1"/>
  <c r="AA4" i="6" s="1"/>
  <c r="S3" i="6"/>
  <c r="L4" i="6"/>
  <c r="L3" i="6"/>
  <c r="U3" i="6" l="1"/>
  <c r="V3" i="6" s="1"/>
  <c r="AA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younous</author>
  </authors>
  <commentList>
    <comment ref="H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T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U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V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W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X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Y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Z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AA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B1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C1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D1" authorId="0" shapeId="0" xr:uid="{00000000-0006-0000-0600-000011000000}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<sst xmlns="http://schemas.openxmlformats.org/spreadsheetml/2006/main" count="338" uniqueCount="202">
  <si>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</si>
  <si>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</si>
  <si>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</si>
  <si>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</si>
  <si>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</si>
  <si>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</si>
  <si>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</si>
  <si>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</si>
  <si>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</si>
  <si>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</si>
  <si>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</si>
  <si>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</si>
  <si>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</si>
  <si>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</si>
  <si>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</si>
  <si>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</si>
  <si>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</si>
  <si>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</si>
  <si>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</si>
  <si>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</si>
  <si>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</si>
  <si>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</si>
  <si>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</si>
  <si>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</si>
  <si>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</si>
  <si>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</si>
  <si>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</si>
  <si>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</si>
  <si>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</si>
  <si>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</si>
  <si>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</si>
  <si>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</si>
  <si>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</si>
  <si>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</si>
  <si>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</si>
  <si>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</si>
  <si>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</si>
  <si>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</si>
  <si>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</si>
  <si>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</si>
  <si>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</si>
  <si>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</si>
  <si>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</si>
  <si>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</si>
  <si>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</si>
  <si>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</si>
  <si>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</si>
  <si>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</si>
  <si>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</si>
  <si>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</si>
  <si>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</si>
  <si>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</si>
  <si>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</si>
  <si>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</si>
  <si>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</si>
  <si>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</si>
  <si>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</si>
  <si>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</si>
  <si>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</si>
  <si>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</si>
  <si>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</si>
  <si>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</si>
  <si>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</si>
  <si>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</si>
  <si>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</si>
  <si>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</si>
  <si>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</si>
  <si>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</si>
  <si>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</si>
  <si>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</si>
  <si>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</si>
  <si>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</si>
  <si>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</si>
  <si>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</si>
  <si>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</si>
  <si>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</si>
  <si>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</si>
  <si>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</si>
  <si>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</si>
  <si>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</si>
  <si>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</si>
  <si>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</si>
  <si>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</si>
  <si>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</si>
  <si>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</si>
  <si>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</si>
  <si>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</si>
  <si>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</si>
  <si>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</si>
  <si>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</si>
  <si>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</si>
  <si>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</si>
  <si>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</si>
  <si>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</si>
  <si>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</si>
  <si>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</si>
  <si>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</si>
  <si>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</si>
  <si>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</si>
  <si>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</si>
  <si>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</si>
  <si>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</si>
  <si>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</si>
  <si>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</si>
  <si>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</si>
  <si>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</si>
  <si>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</si>
  <si>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</si>
  <si>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</si>
  <si>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</si>
  <si>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</si>
  <si>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</si>
  <si>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</si>
  <si>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</si>
  <si>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</si>
  <si>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</si>
  <si>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</si>
  <si>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</si>
  <si>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</si>
  <si>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</si>
  <si>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</si>
  <si>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</si>
  <si>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</si>
  <si>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</si>
  <si>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</si>
  <si>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</si>
  <si>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</si>
  <si>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</si>
  <si>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</si>
  <si>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</si>
  <si>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</si>
  <si>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</si>
  <si>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</si>
  <si>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</si>
  <si>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</si>
  <si>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</si>
  <si>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</si>
  <si>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</si>
  <si>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Gen code</t>
  </si>
  <si>
    <t>Génotype</t>
  </si>
  <si>
    <t>RAPSO_318</t>
  </si>
  <si>
    <t>RAPSO_472</t>
  </si>
  <si>
    <t>RAPSO_330</t>
  </si>
  <si>
    <t>RAPSO_305</t>
  </si>
  <si>
    <t>RAPSO_302</t>
  </si>
  <si>
    <t>RAPSO_325</t>
  </si>
  <si>
    <t>RAPSO_312</t>
  </si>
  <si>
    <t>RAPSO_315</t>
  </si>
  <si>
    <t>RAPSO_316</t>
  </si>
  <si>
    <t>RAPSO_294</t>
  </si>
  <si>
    <t>AVISO</t>
  </si>
  <si>
    <t>MONTEGO</t>
  </si>
  <si>
    <t>Modalité N-</t>
  </si>
  <si>
    <t>Rep 1</t>
  </si>
  <si>
    <t>Rep 2</t>
  </si>
  <si>
    <t>IR--</t>
  </si>
  <si>
    <t>Rosenthal</t>
  </si>
  <si>
    <t>Raw column</t>
  </si>
  <si>
    <t>2018_RSRS_WP4_DATA</t>
  </si>
  <si>
    <t>RSRS</t>
  </si>
  <si>
    <t>06031</t>
  </si>
  <si>
    <t>05036</t>
  </si>
  <si>
    <t>04030</t>
  </si>
  <si>
    <t>06044</t>
  </si>
  <si>
    <t>01030</t>
  </si>
  <si>
    <t>03035</t>
  </si>
  <si>
    <t>03023</t>
  </si>
  <si>
    <t>04037</t>
  </si>
  <si>
    <t>04026</t>
  </si>
  <si>
    <t>04035</t>
  </si>
  <si>
    <t>06032</t>
  </si>
  <si>
    <t>02034</t>
  </si>
  <si>
    <t>06034</t>
  </si>
  <si>
    <t>08030</t>
  </si>
  <si>
    <t>04040</t>
  </si>
  <si>
    <t>07022</t>
  </si>
  <si>
    <t>07037</t>
  </si>
  <si>
    <t>04033</t>
  </si>
  <si>
    <t>03036</t>
  </si>
  <si>
    <t>01022</t>
  </si>
  <si>
    <t>06036</t>
  </si>
  <si>
    <t>02028</t>
  </si>
  <si>
    <t>05038</t>
  </si>
  <si>
    <t>+N-</t>
  </si>
  <si>
    <t>Témoin</t>
  </si>
  <si>
    <t>Inbred line</t>
  </si>
  <si>
    <t>INN3</t>
  </si>
  <si>
    <t>Biomasse sèche</t>
  </si>
  <si>
    <t>MF tot</t>
  </si>
  <si>
    <t>Taux MS</t>
  </si>
  <si>
    <t>E</t>
  </si>
  <si>
    <t>Demarquilly</t>
  </si>
  <si>
    <t>0642226958</t>
  </si>
  <si>
    <t>T4</t>
  </si>
  <si>
    <t>Partenaire Limagrain Europe</t>
  </si>
  <si>
    <t>Essai Azote moins</t>
  </si>
  <si>
    <t>DEMARQUILLY Emilie</t>
  </si>
  <si>
    <t>emilie.demarquilly@limagrain.com</t>
  </si>
  <si>
    <t>Essai Azote N- Rosenthal</t>
  </si>
  <si>
    <t>emilie.demarquilly@gmail.com</t>
  </si>
  <si>
    <t>LE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</si>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</sst>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€_-;\-* #,##0.00\ _€_-;_-* &quot;-&quot;??\ _€_-;_-@_-"/>
    <numFmt numFmtId="164" formatCode="0.0000"/>
    <numFmt numFmtId="165" formatCode="_(\$* #,##0.00_);_(\$* \(#,##0.00\);_(\$* \-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</borders>
  <cellStyleXfs count="159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0" applyNumberFormat="0" applyAlignment="0" applyProtection="0"/>
    <xf numFmtId="0" fontId="33" fillId="62" borderId="60" applyNumberFormat="0" applyAlignment="0" applyProtection="0"/>
    <xf numFmtId="0" fontId="28" fillId="0" borderId="0" applyNumberFormat="0" applyFill="0" applyBorder="0" applyAlignment="0" applyProtection="0"/>
    <xf numFmtId="0" fontId="34" fillId="62" borderId="61" applyNumberFormat="0" applyAlignment="0" applyProtection="0"/>
    <xf numFmtId="0" fontId="34" fillId="62" borderId="61" applyNumberFormat="0" applyAlignment="0" applyProtection="0"/>
    <xf numFmtId="0" fontId="25" fillId="16" borderId="54" applyNumberFormat="0" applyAlignment="0" applyProtection="0"/>
    <xf numFmtId="0" fontId="26" fillId="0" borderId="56" applyNumberFormat="0" applyFill="0" applyAlignment="0" applyProtection="0"/>
    <xf numFmtId="0" fontId="31" fillId="18" borderId="58" applyNumberFormat="0" applyFont="0" applyAlignment="0" applyProtection="0"/>
    <xf numFmtId="165" fontId="31" fillId="0" borderId="0" applyFill="0" applyBorder="0" applyAlignment="0" applyProtection="0"/>
    <xf numFmtId="0" fontId="35" fillId="49" borderId="61" applyNumberFormat="0" applyAlignment="0" applyProtection="0"/>
    <xf numFmtId="0" fontId="35" fillId="49" borderId="61" applyNumberFormat="0" applyAlignment="0" applyProtection="0"/>
    <xf numFmtId="0" fontId="33" fillId="62" borderId="60" applyNumberFormat="0" applyAlignment="0" applyProtection="0"/>
    <xf numFmtId="0" fontId="33" fillId="62" borderId="60" applyNumberFormat="0" applyAlignment="0" applyProtection="0"/>
    <xf numFmtId="0" fontId="36" fillId="46" borderId="0" applyNumberFormat="0" applyBorder="0" applyAlignment="0" applyProtection="0"/>
    <xf numFmtId="0" fontId="35" fillId="49" borderId="61" applyNumberFormat="0" applyAlignment="0" applyProtection="0"/>
    <xf numFmtId="0" fontId="35" fillId="49" borderId="61" applyNumberFormat="0" applyAlignment="0" applyProtection="0"/>
    <xf numFmtId="0" fontId="23" fillId="15" borderId="54" applyNumberFormat="0" applyAlignment="0" applyProtection="0"/>
    <xf numFmtId="0" fontId="37" fillId="0" borderId="62" applyNumberFormat="0" applyFill="0" applyAlignment="0" applyProtection="0"/>
    <xf numFmtId="0" fontId="37" fillId="0" borderId="62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3" applyNumberFormat="0" applyFill="0" applyAlignment="0" applyProtection="0"/>
    <xf numFmtId="0" fontId="40" fillId="63" borderId="64" applyNumberFormat="0" applyAlignment="0" applyProtection="0"/>
    <xf numFmtId="0" fontId="11" fillId="0" borderId="0"/>
    <xf numFmtId="0" fontId="11" fillId="0" borderId="0"/>
    <xf numFmtId="0" fontId="41" fillId="0" borderId="65" applyNumberFormat="0" applyFill="0" applyAlignment="0" applyProtection="0"/>
    <xf numFmtId="0" fontId="42" fillId="0" borderId="66" applyNumberFormat="0" applyFill="0" applyAlignment="0" applyProtection="0"/>
    <xf numFmtId="0" fontId="43" fillId="0" borderId="67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68" applyNumberFormat="0" applyFont="0" applyAlignment="0" applyProtection="0"/>
    <xf numFmtId="0" fontId="31" fillId="65" borderId="68" applyNumberFormat="0" applyFont="0" applyAlignment="0" applyProtection="0"/>
    <xf numFmtId="0" fontId="34" fillId="62" borderId="61" applyNumberFormat="0" applyAlignment="0" applyProtection="0"/>
    <xf numFmtId="0" fontId="34" fillId="62" borderId="61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5" applyNumberFormat="0" applyAlignment="0" applyProtection="0"/>
    <xf numFmtId="0" fontId="37" fillId="0" borderId="62" applyNumberFormat="0" applyFill="0" applyAlignment="0" applyProtection="0"/>
    <xf numFmtId="0" fontId="37" fillId="0" borderId="62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1" applyNumberFormat="0" applyFill="0" applyAlignment="0" applyProtection="0"/>
    <xf numFmtId="0" fontId="18" fillId="0" borderId="52" applyNumberFormat="0" applyFill="0" applyAlignment="0" applyProtection="0"/>
    <xf numFmtId="0" fontId="19" fillId="0" borderId="53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9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5" applyNumberFormat="0" applyFill="0" applyAlignment="0" applyProtection="0"/>
    <xf numFmtId="0" fontId="42" fillId="0" borderId="66" applyNumberFormat="0" applyFill="0" applyAlignment="0" applyProtection="0"/>
    <xf numFmtId="0" fontId="43" fillId="0" borderId="67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68" applyNumberFormat="0" applyFont="0" applyAlignment="0" applyProtection="0"/>
    <xf numFmtId="0" fontId="31" fillId="65" borderId="68" applyNumberFormat="0" applyFont="0" applyAlignment="0" applyProtection="0"/>
    <xf numFmtId="0" fontId="27" fillId="17" borderId="57" applyNumberFormat="0" applyAlignment="0" applyProtection="0"/>
    <xf numFmtId="0" fontId="39" fillId="0" borderId="63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4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1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0" fontId="11" fillId="0" borderId="34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5" xfId="2" applyBorder="1" applyAlignment="1">
      <alignment horizontal="center"/>
    </xf>
    <xf numFmtId="164" fontId="13" fillId="0" borderId="35" xfId="3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0" fontId="11" fillId="0" borderId="37" xfId="2" applyBorder="1" applyAlignment="1">
      <alignment horizontal="center"/>
    </xf>
    <xf numFmtId="0" fontId="11" fillId="0" borderId="40" xfId="2" applyBorder="1" applyAlignment="1">
      <alignment horizontal="center"/>
    </xf>
    <xf numFmtId="2" fontId="11" fillId="0" borderId="37" xfId="2" applyNumberFormat="1" applyBorder="1" applyAlignment="1">
      <alignment horizontal="center"/>
    </xf>
    <xf numFmtId="164" fontId="13" fillId="0" borderId="39" xfId="3" applyNumberFormat="1" applyBorder="1" applyAlignment="1">
      <alignment horizontal="center"/>
    </xf>
    <xf numFmtId="0" fontId="11" fillId="0" borderId="36" xfId="2" applyBorder="1" applyAlignment="1">
      <alignment horizontal="center"/>
    </xf>
    <xf numFmtId="2" fontId="11" fillId="0" borderId="35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43" xfId="2" applyBorder="1" applyAlignment="1">
      <alignment horizontal="center"/>
    </xf>
    <xf numFmtId="0" fontId="11" fillId="0" borderId="45" xfId="2" applyBorder="1" applyAlignment="1">
      <alignment horizontal="center"/>
    </xf>
    <xf numFmtId="2" fontId="11" fillId="0" borderId="43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5" xfId="3" applyNumberFormat="1" applyBorder="1" applyAlignment="1">
      <alignment horizontal="center"/>
    </xf>
    <xf numFmtId="0" fontId="11" fillId="0" borderId="30" xfId="2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40" xfId="2" applyNumberFormat="1" applyBorder="1" applyAlignment="1">
      <alignment horizontal="center"/>
    </xf>
    <xf numFmtId="0" fontId="15" fillId="0" borderId="40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69" xfId="0" applyFont="1" applyBorder="1"/>
    <xf numFmtId="0" fontId="2" fillId="0" borderId="70" xfId="0" applyFont="1" applyBorder="1"/>
    <xf numFmtId="0" fontId="2" fillId="2" borderId="71" xfId="0" applyFont="1" applyFill="1" applyBorder="1"/>
    <xf numFmtId="0" fontId="0" fillId="0" borderId="72" xfId="0" applyBorder="1"/>
    <xf numFmtId="0" fontId="2" fillId="2" borderId="73" xfId="0" applyFont="1" applyFill="1" applyBorder="1"/>
    <xf numFmtId="0" fontId="0" fillId="0" borderId="74" xfId="0" applyBorder="1"/>
    <xf numFmtId="0" fontId="0" fillId="0" borderId="0" xfId="0" applyBorder="1"/>
    <xf numFmtId="0" fontId="0" fillId="0" borderId="69" xfId="0" applyBorder="1"/>
    <xf numFmtId="0" fontId="0" fillId="0" borderId="76" xfId="0" applyBorder="1"/>
    <xf numFmtId="0" fontId="2" fillId="2" borderId="76" xfId="0" applyFont="1" applyFill="1" applyBorder="1"/>
    <xf numFmtId="0" fontId="0" fillId="0" borderId="70" xfId="0" applyBorder="1"/>
    <xf numFmtId="0" fontId="0" fillId="0" borderId="71" xfId="0" applyBorder="1"/>
    <xf numFmtId="0" fontId="2" fillId="2" borderId="0" xfId="0" applyFont="1" applyFill="1" applyBorder="1"/>
    <xf numFmtId="0" fontId="2" fillId="2" borderId="72" xfId="0" applyFont="1" applyFill="1" applyBorder="1"/>
    <xf numFmtId="0" fontId="0" fillId="0" borderId="73" xfId="0" applyBorder="1"/>
    <xf numFmtId="0" fontId="0" fillId="0" borderId="75" xfId="0" applyBorder="1"/>
    <xf numFmtId="0" fontId="2" fillId="2" borderId="75" xfId="0" applyFont="1" applyFill="1" applyBorder="1"/>
    <xf numFmtId="14" fontId="0" fillId="9" borderId="4" xfId="0" applyNumberFormat="1" applyFill="1" applyBorder="1"/>
    <xf numFmtId="14" fontId="0" fillId="0" borderId="0" xfId="0" applyNumberFormat="1"/>
    <xf numFmtId="49" fontId="12" fillId="5" borderId="0" xfId="2" applyNumberFormat="1" applyFont="1" applyFill="1" applyBorder="1" applyAlignment="1">
      <alignment horizontal="center"/>
    </xf>
    <xf numFmtId="0" fontId="11" fillId="0" borderId="77" xfId="2" applyBorder="1" applyAlignment="1">
      <alignment horizontal="center"/>
    </xf>
    <xf numFmtId="0" fontId="11" fillId="0" borderId="78" xfId="2" applyBorder="1" applyAlignment="1">
      <alignment horizontal="center"/>
    </xf>
    <xf numFmtId="2" fontId="11" fillId="0" borderId="79" xfId="2" applyNumberFormat="1" applyBorder="1" applyAlignment="1">
      <alignment horizontal="center"/>
    </xf>
    <xf numFmtId="0" fontId="7" fillId="6" borderId="22" xfId="2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/>
    </xf>
    <xf numFmtId="0" fontId="0" fillId="9" borderId="4" xfId="0" quotePrefix="1" applyFill="1" applyBorder="1"/>
    <xf numFmtId="0" fontId="61" fillId="11" borderId="1" xfId="158" applyFill="1" applyBorder="1"/>
    <xf numFmtId="0" fontId="61" fillId="9" borderId="4" xfId="158" applyFill="1" applyBorder="1"/>
    <xf numFmtId="0" fontId="2" fillId="10" borderId="4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0" fillId="0" borderId="75" xfId="0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0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48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59">
    <cellStyle name="20 % - Accent1 2" xfId="5" xr:uid="{00000000-0005-0000-0000-000000000000}"/>
    <cellStyle name="20 % - Accent2 2" xfId="6" xr:uid="{00000000-0005-0000-0000-000001000000}"/>
    <cellStyle name="20 % - Accent3 2" xfId="7" xr:uid="{00000000-0005-0000-0000-000002000000}"/>
    <cellStyle name="20 % - Accent4 2" xfId="8" xr:uid="{00000000-0005-0000-0000-000003000000}"/>
    <cellStyle name="20 % - Accent5 2" xfId="9" xr:uid="{00000000-0005-0000-0000-000004000000}"/>
    <cellStyle name="20 % - Accent6 2" xfId="10" xr:uid="{00000000-0005-0000-0000-000005000000}"/>
    <cellStyle name="20% — akcent 1" xfId="11" xr:uid="{00000000-0005-0000-0000-000006000000}"/>
    <cellStyle name="20% — akcent 2" xfId="12" xr:uid="{00000000-0005-0000-0000-000007000000}"/>
    <cellStyle name="20% — akcent 3" xfId="13" xr:uid="{00000000-0005-0000-0000-000008000000}"/>
    <cellStyle name="20% — akcent 4" xfId="14" xr:uid="{00000000-0005-0000-0000-000009000000}"/>
    <cellStyle name="20% — akcent 5" xfId="15" xr:uid="{00000000-0005-0000-0000-00000A000000}"/>
    <cellStyle name="20% — akcent 6" xfId="16" xr:uid="{00000000-0005-0000-0000-00000B000000}"/>
    <cellStyle name="20% - Akzent1" xfId="17" xr:uid="{00000000-0005-0000-0000-00000C000000}"/>
    <cellStyle name="20% - Akzent2" xfId="18" xr:uid="{00000000-0005-0000-0000-00000D000000}"/>
    <cellStyle name="20% - Akzent3" xfId="19" xr:uid="{00000000-0005-0000-0000-00000E000000}"/>
    <cellStyle name="20% - Akzent4" xfId="20" xr:uid="{00000000-0005-0000-0000-00000F000000}"/>
    <cellStyle name="20% - Akzent5" xfId="21" xr:uid="{00000000-0005-0000-0000-000010000000}"/>
    <cellStyle name="20% - Akzent6" xfId="22" xr:uid="{00000000-0005-0000-0000-000011000000}"/>
    <cellStyle name="40 % - Accent1 2" xfId="23" xr:uid="{00000000-0005-0000-0000-000012000000}"/>
    <cellStyle name="40 % - Accent2 2" xfId="24" xr:uid="{00000000-0005-0000-0000-000013000000}"/>
    <cellStyle name="40 % - Accent3 2" xfId="25" xr:uid="{00000000-0005-0000-0000-000014000000}"/>
    <cellStyle name="40 % - Accent4 2" xfId="26" xr:uid="{00000000-0005-0000-0000-000015000000}"/>
    <cellStyle name="40 % - Accent5 2" xfId="27" xr:uid="{00000000-0005-0000-0000-000016000000}"/>
    <cellStyle name="40 % - Accent6 2" xfId="28" xr:uid="{00000000-0005-0000-0000-000017000000}"/>
    <cellStyle name="40% — akcent 1" xfId="29" xr:uid="{00000000-0005-0000-0000-000018000000}"/>
    <cellStyle name="40% — akcent 2" xfId="30" xr:uid="{00000000-0005-0000-0000-000019000000}"/>
    <cellStyle name="40% — akcent 3" xfId="31" xr:uid="{00000000-0005-0000-0000-00001A000000}"/>
    <cellStyle name="40% — akcent 4" xfId="32" xr:uid="{00000000-0005-0000-0000-00001B000000}"/>
    <cellStyle name="40% — akcent 5" xfId="33" xr:uid="{00000000-0005-0000-0000-00001C000000}"/>
    <cellStyle name="40% — akcent 6" xfId="34" xr:uid="{00000000-0005-0000-0000-00001D000000}"/>
    <cellStyle name="40% - Akzent1" xfId="35" xr:uid="{00000000-0005-0000-0000-00001E000000}"/>
    <cellStyle name="40% - Akzent2" xfId="36" xr:uid="{00000000-0005-0000-0000-00001F000000}"/>
    <cellStyle name="40% - Akzent3" xfId="37" xr:uid="{00000000-0005-0000-0000-000020000000}"/>
    <cellStyle name="40% - Akzent4" xfId="38" xr:uid="{00000000-0005-0000-0000-000021000000}"/>
    <cellStyle name="40% - Akzent5" xfId="39" xr:uid="{00000000-0005-0000-0000-000022000000}"/>
    <cellStyle name="40% - Akzent6" xfId="40" xr:uid="{00000000-0005-0000-0000-000023000000}"/>
    <cellStyle name="60 % - Accent1 2" xfId="41" xr:uid="{00000000-0005-0000-0000-000024000000}"/>
    <cellStyle name="60 % - Accent2 2" xfId="42" xr:uid="{00000000-0005-0000-0000-000025000000}"/>
    <cellStyle name="60 % - Accent3 2" xfId="43" xr:uid="{00000000-0005-0000-0000-000026000000}"/>
    <cellStyle name="60 % - Accent4 2" xfId="44" xr:uid="{00000000-0005-0000-0000-000027000000}"/>
    <cellStyle name="60 % - Accent5 2" xfId="45" xr:uid="{00000000-0005-0000-0000-000028000000}"/>
    <cellStyle name="60 % - Accent6 2" xfId="46" xr:uid="{00000000-0005-0000-0000-000029000000}"/>
    <cellStyle name="60% — akcent 1" xfId="47" xr:uid="{00000000-0005-0000-0000-00002A000000}"/>
    <cellStyle name="60% — akcent 2" xfId="48" xr:uid="{00000000-0005-0000-0000-00002B000000}"/>
    <cellStyle name="60% — akcent 3" xfId="49" xr:uid="{00000000-0005-0000-0000-00002C000000}"/>
    <cellStyle name="60% — akcent 4" xfId="50" xr:uid="{00000000-0005-0000-0000-00002D000000}"/>
    <cellStyle name="60% — akcent 5" xfId="51" xr:uid="{00000000-0005-0000-0000-00002E000000}"/>
    <cellStyle name="60% — akcent 6" xfId="52" xr:uid="{00000000-0005-0000-0000-00002F000000}"/>
    <cellStyle name="60% - Akzent1" xfId="53" xr:uid="{00000000-0005-0000-0000-000030000000}"/>
    <cellStyle name="60% - Akzent2" xfId="54" xr:uid="{00000000-0005-0000-0000-000031000000}"/>
    <cellStyle name="60% - Akzent3" xfId="55" xr:uid="{00000000-0005-0000-0000-000032000000}"/>
    <cellStyle name="60% - Akzent4" xfId="56" xr:uid="{00000000-0005-0000-0000-000033000000}"/>
    <cellStyle name="60% - Akzent5" xfId="57" xr:uid="{00000000-0005-0000-0000-000034000000}"/>
    <cellStyle name="60% - Akzent6" xfId="58" xr:uid="{00000000-0005-0000-0000-000035000000}"/>
    <cellStyle name="Accent1 2" xfId="59" xr:uid="{00000000-0005-0000-0000-000036000000}"/>
    <cellStyle name="Accent2 2" xfId="60" xr:uid="{00000000-0005-0000-0000-000037000000}"/>
    <cellStyle name="Accent3 2" xfId="61" xr:uid="{00000000-0005-0000-0000-000038000000}"/>
    <cellStyle name="Accent4 2" xfId="62" xr:uid="{00000000-0005-0000-0000-000039000000}"/>
    <cellStyle name="Accent5 2" xfId="63" xr:uid="{00000000-0005-0000-0000-00003A000000}"/>
    <cellStyle name="Accent6 2" xfId="64" xr:uid="{00000000-0005-0000-0000-00003B000000}"/>
    <cellStyle name="Akcent 1" xfId="65" xr:uid="{00000000-0005-0000-0000-00003C000000}"/>
    <cellStyle name="Akcent 2" xfId="66" xr:uid="{00000000-0005-0000-0000-00003D000000}"/>
    <cellStyle name="Akcent 3" xfId="67" xr:uid="{00000000-0005-0000-0000-00003E000000}"/>
    <cellStyle name="Akcent 4" xfId="68" xr:uid="{00000000-0005-0000-0000-00003F000000}"/>
    <cellStyle name="Akcent 5" xfId="69" xr:uid="{00000000-0005-0000-0000-000040000000}"/>
    <cellStyle name="Akcent 6" xfId="70" xr:uid="{00000000-0005-0000-0000-000041000000}"/>
    <cellStyle name="Akzent1" xfId="71" xr:uid="{00000000-0005-0000-0000-000042000000}"/>
    <cellStyle name="Akzent2" xfId="72" xr:uid="{00000000-0005-0000-0000-000043000000}"/>
    <cellStyle name="Akzent3" xfId="73" xr:uid="{00000000-0005-0000-0000-000044000000}"/>
    <cellStyle name="Akzent4" xfId="74" xr:uid="{00000000-0005-0000-0000-000045000000}"/>
    <cellStyle name="Akzent5" xfId="75" xr:uid="{00000000-0005-0000-0000-000046000000}"/>
    <cellStyle name="Akzent6" xfId="76" xr:uid="{00000000-0005-0000-0000-000047000000}"/>
    <cellStyle name="Ausgabe" xfId="77" xr:uid="{00000000-0005-0000-0000-000048000000}"/>
    <cellStyle name="Ausgabe 2" xfId="78" xr:uid="{00000000-0005-0000-0000-000049000000}"/>
    <cellStyle name="Avertissement 2" xfId="79" xr:uid="{00000000-0005-0000-0000-00004A000000}"/>
    <cellStyle name="Berechnung" xfId="80" xr:uid="{00000000-0005-0000-0000-00004B000000}"/>
    <cellStyle name="Berechnung 2" xfId="81" xr:uid="{00000000-0005-0000-0000-00004C000000}"/>
    <cellStyle name="Calcul 2" xfId="82" xr:uid="{00000000-0005-0000-0000-00004D000000}"/>
    <cellStyle name="Cellule liée 2" xfId="83" xr:uid="{00000000-0005-0000-0000-00004E000000}"/>
    <cellStyle name="Commentaire 2" xfId="84" xr:uid="{00000000-0005-0000-0000-00004F000000}"/>
    <cellStyle name="Currency 2" xfId="85" xr:uid="{00000000-0005-0000-0000-000050000000}"/>
    <cellStyle name="Dane wejściowe" xfId="86" xr:uid="{00000000-0005-0000-0000-000051000000}"/>
    <cellStyle name="Dane wejściowe 2" xfId="87" xr:uid="{00000000-0005-0000-0000-000052000000}"/>
    <cellStyle name="Dane wyjściowe" xfId="88" xr:uid="{00000000-0005-0000-0000-000053000000}"/>
    <cellStyle name="Dane wyjściowe 2" xfId="89" xr:uid="{00000000-0005-0000-0000-000054000000}"/>
    <cellStyle name="Dobry" xfId="90" xr:uid="{00000000-0005-0000-0000-000055000000}"/>
    <cellStyle name="Eingabe" xfId="91" xr:uid="{00000000-0005-0000-0000-000056000000}"/>
    <cellStyle name="Eingabe 2" xfId="92" xr:uid="{00000000-0005-0000-0000-000057000000}"/>
    <cellStyle name="Entrée 2" xfId="93" xr:uid="{00000000-0005-0000-0000-000058000000}"/>
    <cellStyle name="Ergebnis" xfId="94" xr:uid="{00000000-0005-0000-0000-000059000000}"/>
    <cellStyle name="Ergebnis 2" xfId="95" xr:uid="{00000000-0005-0000-0000-00005A000000}"/>
    <cellStyle name="Erklärender Text" xfId="96" xr:uid="{00000000-0005-0000-0000-00005B000000}"/>
    <cellStyle name="Gut" xfId="97" xr:uid="{00000000-0005-0000-0000-00005C000000}"/>
    <cellStyle name="Insatisfaisant 2" xfId="98" xr:uid="{00000000-0005-0000-0000-00005D000000}"/>
    <cellStyle name="Komórka połączona" xfId="99" xr:uid="{00000000-0005-0000-0000-00005E000000}"/>
    <cellStyle name="Komórka zaznaczona" xfId="100" xr:uid="{00000000-0005-0000-0000-00005F000000}"/>
    <cellStyle name="Lien hypertexte" xfId="158" builtinId="8"/>
    <cellStyle name="Milliers" xfId="4" builtinId="3"/>
    <cellStyle name="N1" xfId="101" xr:uid="{00000000-0005-0000-0000-000061000000}"/>
    <cellStyle name="N1 2" xfId="102" xr:uid="{00000000-0005-0000-0000-000062000000}"/>
    <cellStyle name="N1_TRIAL" xfId="156" xr:uid="{00000000-0005-0000-0000-000063000000}"/>
    <cellStyle name="Nagłówek 1" xfId="103" xr:uid="{00000000-0005-0000-0000-000064000000}"/>
    <cellStyle name="Nagłówek 2" xfId="104" xr:uid="{00000000-0005-0000-0000-000065000000}"/>
    <cellStyle name="Nagłówek 3" xfId="105" xr:uid="{00000000-0005-0000-0000-000066000000}"/>
    <cellStyle name="Nagłówek 4" xfId="106" xr:uid="{00000000-0005-0000-0000-000067000000}"/>
    <cellStyle name="Neutral" xfId="107" xr:uid="{00000000-0005-0000-0000-000068000000}"/>
    <cellStyle name="Neutralny" xfId="108" xr:uid="{00000000-0005-0000-0000-000069000000}"/>
    <cellStyle name="Neutre 2" xfId="109" xr:uid="{00000000-0005-0000-0000-00006A000000}"/>
    <cellStyle name="Normal" xfId="0" builtinId="0"/>
    <cellStyle name="Normal 2" xfId="110" xr:uid="{00000000-0005-0000-0000-00006C000000}"/>
    <cellStyle name="Normal 2 2" xfId="2" xr:uid="{00000000-0005-0000-0000-00006D000000}"/>
    <cellStyle name="Normal 2 3" xfId="111" xr:uid="{00000000-0005-0000-0000-00006E000000}"/>
    <cellStyle name="Normal 2 4" xfId="112" xr:uid="{00000000-0005-0000-0000-00006F000000}"/>
    <cellStyle name="Normal 2 4 2" xfId="113" xr:uid="{00000000-0005-0000-0000-000070000000}"/>
    <cellStyle name="Normal 2 4 3" xfId="114" xr:uid="{00000000-0005-0000-0000-000071000000}"/>
    <cellStyle name="Normal 2 4_TRIAL" xfId="157" xr:uid="{00000000-0005-0000-0000-000072000000}"/>
    <cellStyle name="Normal 2_Bilan N" xfId="115" xr:uid="{00000000-0005-0000-0000-000073000000}"/>
    <cellStyle name="Normal 3" xfId="116" xr:uid="{00000000-0005-0000-0000-000074000000}"/>
    <cellStyle name="Normal 3 2" xfId="117" xr:uid="{00000000-0005-0000-0000-000075000000}"/>
    <cellStyle name="Normal 3 3" xfId="118" xr:uid="{00000000-0005-0000-0000-000076000000}"/>
    <cellStyle name="Normal 3_Bilan N" xfId="119" xr:uid="{00000000-0005-0000-0000-000077000000}"/>
    <cellStyle name="Normal 4" xfId="120" xr:uid="{00000000-0005-0000-0000-000078000000}"/>
    <cellStyle name="Normal 4 2" xfId="121" xr:uid="{00000000-0005-0000-0000-000079000000}"/>
    <cellStyle name="Normal 5" xfId="122" xr:uid="{00000000-0005-0000-0000-00007A000000}"/>
    <cellStyle name="Normal 5 2" xfId="123" xr:uid="{00000000-0005-0000-0000-00007B000000}"/>
    <cellStyle name="Normal 5_Feuil3" xfId="124" xr:uid="{00000000-0005-0000-0000-00007C000000}"/>
    <cellStyle name="Normal 6" xfId="3" xr:uid="{00000000-0005-0000-0000-00007D000000}"/>
    <cellStyle name="Normal 8 2 3" xfId="1" xr:uid="{00000000-0005-0000-0000-00007E000000}"/>
    <cellStyle name="Notiz" xfId="125" xr:uid="{00000000-0005-0000-0000-00007F000000}"/>
    <cellStyle name="Notiz 2" xfId="126" xr:uid="{00000000-0005-0000-0000-000080000000}"/>
    <cellStyle name="Obliczenia" xfId="127" xr:uid="{00000000-0005-0000-0000-000081000000}"/>
    <cellStyle name="Obliczenia 2" xfId="128" xr:uid="{00000000-0005-0000-0000-000082000000}"/>
    <cellStyle name="Satisfaisant 2" xfId="129" xr:uid="{00000000-0005-0000-0000-000083000000}"/>
    <cellStyle name="Schlecht" xfId="130" xr:uid="{00000000-0005-0000-0000-000084000000}"/>
    <cellStyle name="Sortie 2" xfId="131" xr:uid="{00000000-0005-0000-0000-000085000000}"/>
    <cellStyle name="Suma" xfId="132" xr:uid="{00000000-0005-0000-0000-000086000000}"/>
    <cellStyle name="Suma 2" xfId="133" xr:uid="{00000000-0005-0000-0000-000087000000}"/>
    <cellStyle name="Tekst objaśnienia" xfId="134" xr:uid="{00000000-0005-0000-0000-000088000000}"/>
    <cellStyle name="Tekst ostrzeżenia" xfId="135" xr:uid="{00000000-0005-0000-0000-000089000000}"/>
    <cellStyle name="Texte explicatif 2" xfId="136" xr:uid="{00000000-0005-0000-0000-00008A000000}"/>
    <cellStyle name="Titre 2" xfId="137" xr:uid="{00000000-0005-0000-0000-00008B000000}"/>
    <cellStyle name="Titre 1 2" xfId="138" xr:uid="{00000000-0005-0000-0000-00008C000000}"/>
    <cellStyle name="Titre 2 2" xfId="139" xr:uid="{00000000-0005-0000-0000-00008D000000}"/>
    <cellStyle name="Titre 3 2" xfId="140" xr:uid="{00000000-0005-0000-0000-00008E000000}"/>
    <cellStyle name="Titre 4 2" xfId="141" xr:uid="{00000000-0005-0000-0000-00008F000000}"/>
    <cellStyle name="Total 2" xfId="142" xr:uid="{00000000-0005-0000-0000-000090000000}"/>
    <cellStyle name="Tytuł" xfId="143" xr:uid="{00000000-0005-0000-0000-000091000000}"/>
    <cellStyle name="Überschrift" xfId="144" xr:uid="{00000000-0005-0000-0000-000092000000}"/>
    <cellStyle name="Überschrift 1" xfId="145" xr:uid="{00000000-0005-0000-0000-000093000000}"/>
    <cellStyle name="Überschrift 2" xfId="146" xr:uid="{00000000-0005-0000-0000-000094000000}"/>
    <cellStyle name="Überschrift 3" xfId="147" xr:uid="{00000000-0005-0000-0000-000095000000}"/>
    <cellStyle name="Überschrift 4" xfId="148" xr:uid="{00000000-0005-0000-0000-000096000000}"/>
    <cellStyle name="Uwaga" xfId="149" xr:uid="{00000000-0005-0000-0000-000097000000}"/>
    <cellStyle name="Uwaga 2" xfId="150" xr:uid="{00000000-0005-0000-0000-000098000000}"/>
    <cellStyle name="Vérification 2" xfId="151" xr:uid="{00000000-0005-0000-0000-000099000000}"/>
    <cellStyle name="Verknüpfte Zelle" xfId="152" xr:uid="{00000000-0005-0000-0000-00009A000000}"/>
    <cellStyle name="Warnender Text" xfId="153" xr:uid="{00000000-0005-0000-0000-00009B000000}"/>
    <cellStyle name="Zelle überprüfen" xfId="154" xr:uid="{00000000-0005-0000-0000-00009C000000}"/>
    <cellStyle name="Zły" xfId="155" xr:uid="{00000000-0005-0000-0000-00009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ilie.demarquilly@limagrai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ilie.demarquilly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1" sqref="B11:B12"/>
    </sheetView>
  </sheetViews>
  <sheetFormatPr baseColWidth="10" defaultRowHeight="14.5"/>
  <cols>
    <col min="1" max="1" width="17.81640625" bestFit="1" customWidth="1"/>
    <col min="2" max="2" width="91.54296875" customWidth="1"/>
  </cols>
  <sheetData>
    <row r="1" spans="1:2" ht="21">
      <c r="A1" s="1" t="s">
        <v>0</v>
      </c>
    </row>
    <row r="2" spans="1:2" ht="15" thickBot="1"/>
    <row r="3" spans="1:2" ht="15" thickBot="1">
      <c r="A3" s="9" t="s">
        <v>1</v>
      </c>
      <c r="B3" s="73" t="s">
        <v>196</v>
      </c>
    </row>
    <row r="4" spans="1:2" ht="15" thickBot="1">
      <c r="A4" s="9" t="s">
        <v>10</v>
      </c>
      <c r="B4" s="114" t="s">
        <v>197</v>
      </c>
    </row>
    <row r="5" spans="1:2" ht="15" thickBot="1">
      <c r="A5" s="9" t="s">
        <v>2</v>
      </c>
      <c r="B5" s="10" t="s">
        <v>158</v>
      </c>
    </row>
    <row r="6" spans="1:2" ht="15" thickBot="1">
      <c r="A6" s="9" t="s">
        <v>3</v>
      </c>
      <c r="B6" s="11">
        <v>43378</v>
      </c>
    </row>
    <row r="7" spans="1:2" ht="15" thickBot="1">
      <c r="A7" s="9" t="s">
        <v>4</v>
      </c>
      <c r="B7" s="10" t="s">
        <v>5</v>
      </c>
    </row>
    <row r="8" spans="1:2" ht="15" thickBot="1">
      <c r="A8" s="9" t="s">
        <v>11</v>
      </c>
      <c r="B8" s="10" t="s">
        <v>12</v>
      </c>
    </row>
    <row r="9" spans="1:2" ht="15" thickBot="1">
      <c r="A9" s="4" t="s">
        <v>6</v>
      </c>
      <c r="B9" s="74" t="s">
        <v>193</v>
      </c>
    </row>
    <row r="10" spans="1:2" ht="15" thickBot="1">
      <c r="A10" s="2"/>
    </row>
    <row r="11" spans="1:2" ht="15" thickBot="1">
      <c r="A11" s="6" t="s">
        <v>7</v>
      </c>
      <c r="B11" s="5" t="s">
        <v>198</v>
      </c>
    </row>
    <row r="12" spans="1:2" ht="15" thickBot="1">
      <c r="A12" s="6" t="s">
        <v>8</v>
      </c>
      <c r="B12" s="7" t="s">
        <v>194</v>
      </c>
    </row>
    <row r="14" spans="1:2" ht="15" thickBot="1"/>
    <row r="15" spans="1:2" ht="15" thickBot="1">
      <c r="A15" s="8" t="s">
        <v>9</v>
      </c>
      <c r="B15" s="7"/>
    </row>
    <row r="17" spans="2:2">
      <c r="B17" s="3"/>
    </row>
  </sheetData>
  <hyperlinks>
    <hyperlink ref="B4" r:id="rId1" xr:uid="{2CAD9251-DD32-41B1-9B3A-1A5178028B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23"/>
  <sheetViews>
    <sheetView zoomScaleNormal="100" workbookViewId="0">
      <selection activeCell="E8" sqref="E8"/>
    </sheetView>
  </sheetViews>
  <sheetFormatPr baseColWidth="10" defaultRowHeight="14.5"/>
  <cols>
    <col min="1" max="1" width="20.1796875" bestFit="1" customWidth="1"/>
    <col min="2" max="2" width="33.54296875" customWidth="1"/>
    <col min="3" max="3" width="13.7265625" customWidth="1"/>
    <col min="4" max="4" width="16.7265625" customWidth="1"/>
    <col min="5" max="5" width="16.7265625" bestFit="1" customWidth="1"/>
    <col min="6" max="6" width="16.453125" bestFit="1" customWidth="1"/>
    <col min="7" max="7" width="13.1796875" bestFit="1" customWidth="1"/>
    <col min="9" max="9" width="9.453125" bestFit="1" customWidth="1"/>
    <col min="10" max="10" width="12.26953125" bestFit="1" customWidth="1"/>
    <col min="11" max="11" width="12.54296875" bestFit="1" customWidth="1"/>
    <col min="12" max="12" width="9.7265625" bestFit="1" customWidth="1"/>
    <col min="13" max="13" width="10.26953125" bestFit="1" customWidth="1"/>
    <col min="14" max="14" width="11.81640625" bestFit="1" customWidth="1"/>
    <col min="15" max="16" width="9.453125" bestFit="1" customWidth="1"/>
  </cols>
  <sheetData>
    <row r="1" spans="1:16" ht="39">
      <c r="A1" s="116" t="s">
        <v>17</v>
      </c>
      <c r="B1" s="116"/>
      <c r="D1" s="87" t="s">
        <v>135</v>
      </c>
      <c r="E1" s="85" t="s">
        <v>105</v>
      </c>
      <c r="F1" s="85" t="s">
        <v>106</v>
      </c>
      <c r="G1" s="85" t="s">
        <v>107</v>
      </c>
      <c r="H1" s="86" t="s">
        <v>108</v>
      </c>
      <c r="I1" s="86" t="s">
        <v>109</v>
      </c>
      <c r="J1" s="86" t="s">
        <v>110</v>
      </c>
      <c r="K1" s="86" t="s">
        <v>111</v>
      </c>
      <c r="L1" s="86" t="s">
        <v>112</v>
      </c>
      <c r="M1" s="86" t="s">
        <v>113</v>
      </c>
      <c r="N1" s="86" t="s">
        <v>114</v>
      </c>
      <c r="O1" s="86" t="s">
        <v>115</v>
      </c>
      <c r="P1" s="84" t="s">
        <v>116</v>
      </c>
    </row>
    <row r="2" spans="1:16">
      <c r="A2" s="71" t="s">
        <v>13</v>
      </c>
      <c r="B2" s="72" t="s">
        <v>5</v>
      </c>
      <c r="D2" t="s">
        <v>136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>
      <c r="A3" s="71" t="s">
        <v>14</v>
      </c>
      <c r="B3" s="72">
        <v>2017</v>
      </c>
      <c r="D3" t="s">
        <v>137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>
        <v>185</v>
      </c>
      <c r="P3" s="13">
        <v>82</v>
      </c>
    </row>
    <row r="4" spans="1:16">
      <c r="A4" s="71" t="s">
        <v>15</v>
      </c>
      <c r="B4" s="72">
        <v>2018</v>
      </c>
    </row>
    <row r="5" spans="1:16">
      <c r="A5" s="71" t="s">
        <v>16</v>
      </c>
      <c r="B5" s="72" t="s">
        <v>195</v>
      </c>
    </row>
    <row r="6" spans="1:16">
      <c r="A6" s="71" t="s">
        <v>23</v>
      </c>
      <c r="B6" s="71" t="s">
        <v>191</v>
      </c>
    </row>
    <row r="7" spans="1:16">
      <c r="A7" s="71" t="s">
        <v>24</v>
      </c>
      <c r="B7" s="113" t="s">
        <v>192</v>
      </c>
    </row>
    <row r="8" spans="1:16">
      <c r="A8" s="71" t="s">
        <v>25</v>
      </c>
      <c r="B8" s="115" t="s">
        <v>199</v>
      </c>
    </row>
    <row r="10" spans="1:16">
      <c r="A10" s="116" t="s">
        <v>18</v>
      </c>
      <c r="B10" s="116"/>
    </row>
    <row r="11" spans="1:16">
      <c r="A11" s="71" t="s">
        <v>19</v>
      </c>
      <c r="B11" s="71" t="s">
        <v>156</v>
      </c>
    </row>
    <row r="12" spans="1:16">
      <c r="A12" s="71" t="s">
        <v>20</v>
      </c>
      <c r="B12" s="71">
        <v>52.2744</v>
      </c>
    </row>
    <row r="13" spans="1:16">
      <c r="A13" s="71" t="s">
        <v>21</v>
      </c>
      <c r="B13" s="71">
        <v>10.1607</v>
      </c>
    </row>
    <row r="15" spans="1:16">
      <c r="A15" s="116" t="s">
        <v>22</v>
      </c>
      <c r="B15" s="116"/>
    </row>
    <row r="16" spans="1:16">
      <c r="A16" s="71" t="s">
        <v>26</v>
      </c>
      <c r="B16" s="71"/>
    </row>
    <row r="17" spans="1:2">
      <c r="A17" s="71" t="s">
        <v>27</v>
      </c>
      <c r="B17" s="71"/>
    </row>
    <row r="18" spans="1:2">
      <c r="A18" s="71" t="s">
        <v>28</v>
      </c>
      <c r="B18" s="71" t="s">
        <v>157</v>
      </c>
    </row>
    <row r="19" spans="1:2">
      <c r="A19" s="71" t="s">
        <v>29</v>
      </c>
      <c r="B19" s="105">
        <v>42972</v>
      </c>
    </row>
    <row r="20" spans="1:2">
      <c r="A20" s="71" t="s">
        <v>30</v>
      </c>
      <c r="B20" s="105">
        <v>43150</v>
      </c>
    </row>
    <row r="21" spans="1:2">
      <c r="A21" s="71" t="s">
        <v>31</v>
      </c>
      <c r="B21" s="105">
        <v>43193</v>
      </c>
    </row>
    <row r="22" spans="1:2">
      <c r="A22" s="71" t="s">
        <v>32</v>
      </c>
      <c r="B22" s="105"/>
    </row>
    <row r="23" spans="1:2">
      <c r="A23" s="71" t="s">
        <v>33</v>
      </c>
      <c r="B23" s="105">
        <v>43285</v>
      </c>
    </row>
  </sheetData>
  <mergeCells count="3">
    <mergeCell ref="A1:B1"/>
    <mergeCell ref="A10:B10"/>
    <mergeCell ref="A15:B15"/>
  </mergeCells>
  <hyperlinks>
    <hyperlink ref="B8" r:id="rId1" xr:uid="{81E295CF-8FD7-4CC7-9008-AF5FC637FC1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V24"/>
  <sheetViews>
    <sheetView topLeftCell="A13" workbookViewId="0">
      <selection activeCell="S42" sqref="S42"/>
    </sheetView>
  </sheetViews>
  <sheetFormatPr baseColWidth="10" defaultRowHeight="14.5"/>
  <cols>
    <col min="1" max="1" width="4.1796875" bestFit="1" customWidth="1"/>
    <col min="2" max="10" width="2" bestFit="1" customWidth="1"/>
    <col min="11" max="22" width="3" bestFit="1" customWidth="1"/>
    <col min="47" max="47" width="3" bestFit="1" customWidth="1"/>
    <col min="48" max="48" width="4.1796875" bestFit="1" customWidth="1"/>
  </cols>
  <sheetData>
    <row r="1" spans="1:48">
      <c r="W1" s="88" t="s">
        <v>138</v>
      </c>
      <c r="X1" s="89" t="s">
        <v>139</v>
      </c>
    </row>
    <row r="2" spans="1:48">
      <c r="W2" s="90">
        <v>109</v>
      </c>
      <c r="X2" s="91" t="s">
        <v>140</v>
      </c>
    </row>
    <row r="3" spans="1:48">
      <c r="W3" s="90">
        <v>110</v>
      </c>
      <c r="X3" s="91" t="s">
        <v>141</v>
      </c>
    </row>
    <row r="4" spans="1:48">
      <c r="W4" s="90">
        <v>111</v>
      </c>
      <c r="X4" s="91" t="s">
        <v>142</v>
      </c>
    </row>
    <row r="5" spans="1:48">
      <c r="W5" s="90">
        <v>112</v>
      </c>
      <c r="X5" s="91" t="s">
        <v>143</v>
      </c>
    </row>
    <row r="6" spans="1:48">
      <c r="W6" s="90">
        <v>113</v>
      </c>
      <c r="X6" s="91" t="s">
        <v>144</v>
      </c>
    </row>
    <row r="7" spans="1:48">
      <c r="W7" s="90">
        <v>114</v>
      </c>
      <c r="X7" s="91" t="s">
        <v>145</v>
      </c>
    </row>
    <row r="8" spans="1:48">
      <c r="W8" s="90">
        <v>115</v>
      </c>
      <c r="X8" s="91" t="s">
        <v>146</v>
      </c>
    </row>
    <row r="9" spans="1:48">
      <c r="W9" s="90">
        <v>116</v>
      </c>
      <c r="X9" s="91" t="s">
        <v>147</v>
      </c>
    </row>
    <row r="10" spans="1:48">
      <c r="W10" s="90">
        <v>117</v>
      </c>
      <c r="X10" s="91" t="s">
        <v>148</v>
      </c>
    </row>
    <row r="11" spans="1:48">
      <c r="W11" s="90">
        <v>118</v>
      </c>
      <c r="X11" s="91" t="s">
        <v>149</v>
      </c>
    </row>
    <row r="12" spans="1:48">
      <c r="W12" s="90">
        <v>119</v>
      </c>
      <c r="X12" s="91" t="s">
        <v>150</v>
      </c>
    </row>
    <row r="13" spans="1:48" ht="15" thickBot="1">
      <c r="W13" s="92">
        <v>120</v>
      </c>
      <c r="X13" s="93" t="s">
        <v>151</v>
      </c>
    </row>
    <row r="14" spans="1:48">
      <c r="A14" s="117" t="s">
        <v>152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</row>
    <row r="15" spans="1:48" ht="15" thickBot="1">
      <c r="A15" t="s">
        <v>155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  <c r="N15">
        <v>13</v>
      </c>
      <c r="O15">
        <v>14</v>
      </c>
      <c r="P15">
        <v>15</v>
      </c>
      <c r="Q15">
        <v>16</v>
      </c>
      <c r="R15">
        <v>17</v>
      </c>
      <c r="S15">
        <v>18</v>
      </c>
      <c r="T15">
        <v>19</v>
      </c>
      <c r="U15">
        <v>20</v>
      </c>
      <c r="V15">
        <v>21</v>
      </c>
      <c r="W15" s="118" t="s">
        <v>153</v>
      </c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 t="s">
        <v>154</v>
      </c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>
        <v>46</v>
      </c>
      <c r="AV15" t="s">
        <v>155</v>
      </c>
    </row>
    <row r="16" spans="1:48">
      <c r="A16">
        <v>8</v>
      </c>
      <c r="W16" s="95">
        <v>75</v>
      </c>
      <c r="X16" s="96">
        <v>103</v>
      </c>
      <c r="Y16" s="96">
        <v>20</v>
      </c>
      <c r="Z16" s="96">
        <v>125</v>
      </c>
      <c r="AA16" s="96">
        <v>106</v>
      </c>
      <c r="AB16" s="96">
        <v>45</v>
      </c>
      <c r="AC16" s="96">
        <v>105</v>
      </c>
      <c r="AD16" s="96">
        <v>102</v>
      </c>
      <c r="AE16" s="97">
        <v>116</v>
      </c>
      <c r="AF16" s="96">
        <v>86</v>
      </c>
      <c r="AG16" s="96">
        <v>12</v>
      </c>
      <c r="AH16" s="98">
        <v>55</v>
      </c>
      <c r="AI16" s="95">
        <v>107</v>
      </c>
      <c r="AJ16" s="96">
        <v>31</v>
      </c>
      <c r="AK16" s="96">
        <v>8</v>
      </c>
      <c r="AL16" s="96">
        <v>29</v>
      </c>
      <c r="AM16" s="96">
        <v>104</v>
      </c>
      <c r="AN16" s="96">
        <v>76</v>
      </c>
      <c r="AO16" s="96">
        <v>33</v>
      </c>
      <c r="AP16" s="96">
        <v>121</v>
      </c>
      <c r="AQ16" s="96">
        <v>90</v>
      </c>
      <c r="AR16" s="96">
        <v>55</v>
      </c>
      <c r="AS16" s="96">
        <v>35</v>
      </c>
      <c r="AT16" s="98">
        <v>17</v>
      </c>
      <c r="AV16">
        <v>8</v>
      </c>
    </row>
    <row r="17" spans="1:48">
      <c r="A17">
        <v>7</v>
      </c>
      <c r="W17" s="90">
        <v>117</v>
      </c>
      <c r="X17" s="94">
        <v>124</v>
      </c>
      <c r="Y17" s="94">
        <v>92</v>
      </c>
      <c r="Z17" s="94">
        <v>72</v>
      </c>
      <c r="AA17" s="94">
        <v>28</v>
      </c>
      <c r="AB17" s="94">
        <v>121</v>
      </c>
      <c r="AC17" s="94">
        <v>26</v>
      </c>
      <c r="AD17" s="94">
        <v>108</v>
      </c>
      <c r="AE17" s="94">
        <v>52</v>
      </c>
      <c r="AF17" s="94">
        <v>107</v>
      </c>
      <c r="AG17" s="94">
        <v>27</v>
      </c>
      <c r="AH17" s="91">
        <v>44</v>
      </c>
      <c r="AI17" s="99">
        <v>96</v>
      </c>
      <c r="AJ17" s="94">
        <v>21</v>
      </c>
      <c r="AK17" s="94">
        <v>103</v>
      </c>
      <c r="AL17" s="100">
        <v>117</v>
      </c>
      <c r="AM17" s="94">
        <v>85</v>
      </c>
      <c r="AN17" s="94">
        <v>53</v>
      </c>
      <c r="AO17" s="94">
        <v>91</v>
      </c>
      <c r="AP17" s="94">
        <v>16</v>
      </c>
      <c r="AQ17" s="94">
        <v>22</v>
      </c>
      <c r="AR17" s="94">
        <v>73</v>
      </c>
      <c r="AS17" s="94">
        <v>105</v>
      </c>
      <c r="AT17" s="91">
        <v>42</v>
      </c>
      <c r="AV17">
        <v>7</v>
      </c>
    </row>
    <row r="18" spans="1:48">
      <c r="A18">
        <v>6</v>
      </c>
      <c r="W18" s="99">
        <v>77</v>
      </c>
      <c r="X18" s="94">
        <v>47</v>
      </c>
      <c r="Y18" s="94">
        <v>33</v>
      </c>
      <c r="Z18" s="94">
        <v>21</v>
      </c>
      <c r="AA18" s="94">
        <v>90</v>
      </c>
      <c r="AB18" s="94">
        <v>83</v>
      </c>
      <c r="AC18" s="94">
        <v>24</v>
      </c>
      <c r="AD18" s="94">
        <v>40</v>
      </c>
      <c r="AE18" s="94">
        <v>48</v>
      </c>
      <c r="AF18" s="100">
        <v>109</v>
      </c>
      <c r="AG18" s="100">
        <v>114</v>
      </c>
      <c r="AH18" s="91">
        <v>49</v>
      </c>
      <c r="AI18" s="90">
        <v>115</v>
      </c>
      <c r="AJ18" s="94">
        <v>123</v>
      </c>
      <c r="AK18" s="100">
        <v>119</v>
      </c>
      <c r="AL18" s="94">
        <v>24</v>
      </c>
      <c r="AM18" s="94">
        <v>102</v>
      </c>
      <c r="AN18" s="94">
        <v>30</v>
      </c>
      <c r="AO18" s="94">
        <v>46</v>
      </c>
      <c r="AP18" s="94">
        <v>125</v>
      </c>
      <c r="AQ18" s="94">
        <v>41</v>
      </c>
      <c r="AR18" s="94">
        <v>28</v>
      </c>
      <c r="AS18" s="100">
        <v>110</v>
      </c>
      <c r="AT18" s="91">
        <v>89</v>
      </c>
      <c r="AV18">
        <v>6</v>
      </c>
    </row>
    <row r="19" spans="1:48">
      <c r="A19">
        <v>5</v>
      </c>
      <c r="W19" s="99">
        <v>31</v>
      </c>
      <c r="X19" s="94">
        <v>41</v>
      </c>
      <c r="Y19" s="94">
        <v>37</v>
      </c>
      <c r="Z19" s="94">
        <v>56</v>
      </c>
      <c r="AA19" s="94">
        <v>78</v>
      </c>
      <c r="AB19" s="94"/>
      <c r="AC19" s="94">
        <v>39</v>
      </c>
      <c r="AD19" s="94">
        <v>9</v>
      </c>
      <c r="AE19" s="94">
        <v>32</v>
      </c>
      <c r="AF19" s="94">
        <v>13</v>
      </c>
      <c r="AG19" s="94">
        <v>122</v>
      </c>
      <c r="AH19" s="91">
        <v>85</v>
      </c>
      <c r="AI19" s="99">
        <v>74</v>
      </c>
      <c r="AJ19" s="94">
        <v>51</v>
      </c>
      <c r="AK19" s="100">
        <v>109</v>
      </c>
      <c r="AL19" s="94">
        <v>32</v>
      </c>
      <c r="AM19" s="100">
        <v>120</v>
      </c>
      <c r="AN19" s="94">
        <v>12</v>
      </c>
      <c r="AO19" s="94">
        <v>78</v>
      </c>
      <c r="AP19" s="94">
        <v>43</v>
      </c>
      <c r="AQ19" s="94">
        <v>18</v>
      </c>
      <c r="AR19" s="94">
        <v>87</v>
      </c>
      <c r="AS19" s="94">
        <v>77</v>
      </c>
      <c r="AT19" s="91">
        <v>92</v>
      </c>
      <c r="AV19">
        <v>5</v>
      </c>
    </row>
    <row r="20" spans="1:48">
      <c r="A20">
        <v>4</v>
      </c>
      <c r="W20" s="99">
        <v>15</v>
      </c>
      <c r="X20" s="94">
        <v>104</v>
      </c>
      <c r="Y20" s="94">
        <v>30</v>
      </c>
      <c r="Z20" s="94">
        <v>87</v>
      </c>
      <c r="AA20" s="100">
        <v>113</v>
      </c>
      <c r="AB20" s="94">
        <v>11</v>
      </c>
      <c r="AC20" s="94">
        <v>54</v>
      </c>
      <c r="AD20" s="94">
        <v>36</v>
      </c>
      <c r="AE20" s="100">
        <v>110</v>
      </c>
      <c r="AF20" s="94">
        <v>42</v>
      </c>
      <c r="AG20" s="94">
        <v>22</v>
      </c>
      <c r="AH20" s="101">
        <v>118</v>
      </c>
      <c r="AI20" s="99">
        <v>36</v>
      </c>
      <c r="AJ20" s="100">
        <v>113</v>
      </c>
      <c r="AK20" s="94">
        <v>26</v>
      </c>
      <c r="AL20" s="100">
        <v>112</v>
      </c>
      <c r="AM20" s="94">
        <v>83</v>
      </c>
      <c r="AN20" s="94">
        <v>19</v>
      </c>
      <c r="AO20" s="100">
        <v>116</v>
      </c>
      <c r="AP20" s="94">
        <v>49</v>
      </c>
      <c r="AQ20" s="94">
        <v>98</v>
      </c>
      <c r="AR20" s="94">
        <v>122</v>
      </c>
      <c r="AS20" s="94">
        <v>72</v>
      </c>
      <c r="AT20" s="91">
        <v>50</v>
      </c>
      <c r="AV20">
        <v>4</v>
      </c>
    </row>
    <row r="21" spans="1:48">
      <c r="A21">
        <v>3</v>
      </c>
      <c r="W21" s="99">
        <v>97</v>
      </c>
      <c r="X21" s="100">
        <v>112</v>
      </c>
      <c r="Y21" s="94">
        <v>98</v>
      </c>
      <c r="Z21" s="94">
        <v>8</v>
      </c>
      <c r="AA21" s="94">
        <v>16</v>
      </c>
      <c r="AB21" s="94">
        <v>91</v>
      </c>
      <c r="AC21" s="94">
        <v>38</v>
      </c>
      <c r="AD21" s="94">
        <v>51</v>
      </c>
      <c r="AE21" s="94">
        <v>76</v>
      </c>
      <c r="AF21" s="94">
        <v>10</v>
      </c>
      <c r="AG21" s="94">
        <v>89</v>
      </c>
      <c r="AH21" s="91">
        <v>74</v>
      </c>
      <c r="AI21" s="99">
        <v>106</v>
      </c>
      <c r="AJ21" s="100">
        <v>111</v>
      </c>
      <c r="AK21" s="100">
        <v>118</v>
      </c>
      <c r="AL21" s="94">
        <v>11</v>
      </c>
      <c r="AM21" s="94">
        <v>79</v>
      </c>
      <c r="AN21" s="94">
        <v>39</v>
      </c>
      <c r="AO21" s="94">
        <v>124</v>
      </c>
      <c r="AP21" s="94">
        <v>14</v>
      </c>
      <c r="AQ21" s="94">
        <v>75</v>
      </c>
      <c r="AR21" s="94">
        <v>40</v>
      </c>
      <c r="AS21" s="94">
        <v>10</v>
      </c>
      <c r="AT21" s="91">
        <v>56</v>
      </c>
      <c r="AV21">
        <v>3</v>
      </c>
    </row>
    <row r="22" spans="1:48">
      <c r="A22">
        <v>2</v>
      </c>
      <c r="W22" s="99">
        <v>50</v>
      </c>
      <c r="X22" s="94">
        <v>23</v>
      </c>
      <c r="Y22" s="94">
        <v>14</v>
      </c>
      <c r="Z22" s="94">
        <v>99</v>
      </c>
      <c r="AA22" s="94">
        <v>25</v>
      </c>
      <c r="AB22" s="94">
        <v>34</v>
      </c>
      <c r="AC22" s="100">
        <v>120</v>
      </c>
      <c r="AD22" s="94">
        <v>53</v>
      </c>
      <c r="AE22" s="94">
        <v>96</v>
      </c>
      <c r="AF22" s="94">
        <v>46</v>
      </c>
      <c r="AG22" s="94">
        <v>29</v>
      </c>
      <c r="AH22" s="91">
        <v>123</v>
      </c>
      <c r="AI22" s="90">
        <v>114</v>
      </c>
      <c r="AJ22" s="94">
        <v>20</v>
      </c>
      <c r="AK22" s="94">
        <v>9</v>
      </c>
      <c r="AL22" s="94">
        <v>101</v>
      </c>
      <c r="AM22" s="94">
        <v>52</v>
      </c>
      <c r="AN22" s="94">
        <v>44</v>
      </c>
      <c r="AO22" s="94">
        <v>15</v>
      </c>
      <c r="AP22" s="94">
        <v>13</v>
      </c>
      <c r="AQ22" s="94">
        <v>99</v>
      </c>
      <c r="AR22" s="94">
        <v>38</v>
      </c>
      <c r="AS22" s="94">
        <v>23</v>
      </c>
      <c r="AT22" s="91">
        <v>45</v>
      </c>
      <c r="AV22">
        <v>2</v>
      </c>
    </row>
    <row r="23" spans="1:48" ht="15" thickBot="1">
      <c r="A23">
        <v>1</v>
      </c>
      <c r="W23" s="92">
        <v>119</v>
      </c>
      <c r="X23" s="103">
        <v>43</v>
      </c>
      <c r="Y23" s="103">
        <v>73</v>
      </c>
      <c r="Z23" s="103">
        <v>84</v>
      </c>
      <c r="AA23" s="103">
        <v>101</v>
      </c>
      <c r="AB23" s="103">
        <v>18</v>
      </c>
      <c r="AC23" s="103">
        <v>17</v>
      </c>
      <c r="AD23" s="103">
        <v>35</v>
      </c>
      <c r="AE23" s="104">
        <v>111</v>
      </c>
      <c r="AF23" s="103">
        <v>19</v>
      </c>
      <c r="AG23" s="103">
        <v>79</v>
      </c>
      <c r="AH23" s="93">
        <v>7</v>
      </c>
      <c r="AI23" s="102">
        <v>84</v>
      </c>
      <c r="AJ23" s="103">
        <v>27</v>
      </c>
      <c r="AK23" s="103">
        <v>25</v>
      </c>
      <c r="AL23" s="103">
        <v>86</v>
      </c>
      <c r="AM23" s="103">
        <v>97</v>
      </c>
      <c r="AN23" s="103">
        <v>47</v>
      </c>
      <c r="AO23" s="103">
        <v>7</v>
      </c>
      <c r="AP23" s="103">
        <v>54</v>
      </c>
      <c r="AQ23" s="103">
        <v>108</v>
      </c>
      <c r="AR23" s="103">
        <v>34</v>
      </c>
      <c r="AS23" s="103">
        <v>37</v>
      </c>
      <c r="AT23" s="93">
        <v>48</v>
      </c>
      <c r="AV23">
        <v>1</v>
      </c>
    </row>
    <row r="24" spans="1:48">
      <c r="A24" t="s">
        <v>155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  <c r="AL24">
        <v>37</v>
      </c>
      <c r="AM24">
        <v>38</v>
      </c>
      <c r="AN24">
        <v>39</v>
      </c>
      <c r="AO24">
        <v>40</v>
      </c>
      <c r="AP24">
        <v>41</v>
      </c>
      <c r="AQ24">
        <v>42</v>
      </c>
      <c r="AR24">
        <v>43</v>
      </c>
      <c r="AS24">
        <v>44</v>
      </c>
      <c r="AT24">
        <v>45</v>
      </c>
      <c r="AU24">
        <v>46</v>
      </c>
      <c r="AV24" t="s">
        <v>155</v>
      </c>
    </row>
  </sheetData>
  <mergeCells count="3">
    <mergeCell ref="A14:AV14"/>
    <mergeCell ref="W15:AH15"/>
    <mergeCell ref="AI15:AT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B13"/>
  <sheetViews>
    <sheetView workbookViewId="0">
      <selection activeCell="B2" sqref="B2:B13"/>
    </sheetView>
  </sheetViews>
  <sheetFormatPr baseColWidth="10" defaultRowHeight="14.5"/>
  <cols>
    <col min="1" max="1" width="16.1796875" bestFit="1" customWidth="1"/>
    <col min="2" max="2" width="12.81640625" bestFit="1" customWidth="1"/>
  </cols>
  <sheetData>
    <row r="1" spans="1:2">
      <c r="A1" t="s">
        <v>34</v>
      </c>
      <c r="B1" t="s">
        <v>35</v>
      </c>
    </row>
    <row r="2" spans="1:2">
      <c r="A2" s="2">
        <v>109</v>
      </c>
      <c r="B2" t="s">
        <v>140</v>
      </c>
    </row>
    <row r="3" spans="1:2">
      <c r="A3" s="2">
        <v>110</v>
      </c>
      <c r="B3" t="s">
        <v>141</v>
      </c>
    </row>
    <row r="4" spans="1:2">
      <c r="A4" s="2">
        <v>111</v>
      </c>
      <c r="B4" t="s">
        <v>142</v>
      </c>
    </row>
    <row r="5" spans="1:2">
      <c r="A5" s="2">
        <v>112</v>
      </c>
      <c r="B5" t="s">
        <v>143</v>
      </c>
    </row>
    <row r="6" spans="1:2">
      <c r="A6" s="2">
        <v>113</v>
      </c>
      <c r="B6" t="s">
        <v>144</v>
      </c>
    </row>
    <row r="7" spans="1:2">
      <c r="A7" s="2">
        <v>114</v>
      </c>
      <c r="B7" t="s">
        <v>145</v>
      </c>
    </row>
    <row r="8" spans="1:2">
      <c r="A8" s="2">
        <v>115</v>
      </c>
      <c r="B8" t="s">
        <v>146</v>
      </c>
    </row>
    <row r="9" spans="1:2">
      <c r="A9" s="2">
        <v>116</v>
      </c>
      <c r="B9" t="s">
        <v>147</v>
      </c>
    </row>
    <row r="10" spans="1:2">
      <c r="A10" s="2">
        <v>117</v>
      </c>
      <c r="B10" t="s">
        <v>148</v>
      </c>
    </row>
    <row r="11" spans="1:2">
      <c r="A11" s="2">
        <v>118</v>
      </c>
      <c r="B11" t="s">
        <v>149</v>
      </c>
    </row>
    <row r="12" spans="1:2">
      <c r="A12" s="2">
        <v>119</v>
      </c>
      <c r="B12" t="s">
        <v>150</v>
      </c>
    </row>
    <row r="13" spans="1:2">
      <c r="A13" s="2">
        <v>120</v>
      </c>
      <c r="B13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22"/>
  <sheetViews>
    <sheetView workbookViewId="0">
      <selection activeCell="F34" sqref="F34"/>
    </sheetView>
  </sheetViews>
  <sheetFormatPr baseColWidth="10" defaultRowHeight="14.5"/>
  <sheetData>
    <row r="1" spans="1:9">
      <c r="A1" s="127" t="s">
        <v>49</v>
      </c>
      <c r="B1" s="127"/>
      <c r="C1" s="127"/>
      <c r="D1" s="127"/>
      <c r="E1" s="127"/>
      <c r="F1" s="127"/>
    </row>
    <row r="2" spans="1:9">
      <c r="A2" s="127"/>
      <c r="B2" s="127"/>
      <c r="C2" s="127"/>
      <c r="D2" s="127"/>
      <c r="E2" s="127"/>
      <c r="F2" s="127"/>
    </row>
    <row r="3" spans="1:9">
      <c r="A3" s="127"/>
      <c r="B3" s="127"/>
      <c r="C3" s="127"/>
      <c r="D3" s="127"/>
      <c r="E3" s="127"/>
      <c r="F3" s="127"/>
    </row>
    <row r="4" spans="1:9">
      <c r="A4" t="s">
        <v>50</v>
      </c>
    </row>
    <row r="5" spans="1:9" ht="28.5" customHeight="1">
      <c r="A5" s="128" t="s">
        <v>36</v>
      </c>
      <c r="B5" s="128"/>
      <c r="C5" s="128"/>
      <c r="D5" s="129" t="s">
        <v>37</v>
      </c>
      <c r="E5" s="129"/>
      <c r="F5" s="129" t="s">
        <v>38</v>
      </c>
      <c r="G5" s="129"/>
      <c r="H5" s="129" t="s">
        <v>39</v>
      </c>
      <c r="I5" s="129"/>
    </row>
    <row r="6" spans="1:9" ht="22.5" customHeight="1">
      <c r="A6" s="121" t="s">
        <v>40</v>
      </c>
      <c r="B6" s="121"/>
      <c r="C6" s="121"/>
      <c r="D6" s="122"/>
      <c r="E6" s="122"/>
      <c r="F6" s="122"/>
      <c r="G6" s="122"/>
      <c r="H6" s="122"/>
      <c r="I6" s="122"/>
    </row>
    <row r="7" spans="1:9" ht="25.5" customHeight="1">
      <c r="A7" s="126" t="s">
        <v>41</v>
      </c>
      <c r="B7" s="126"/>
      <c r="C7" s="126"/>
      <c r="D7" s="122"/>
      <c r="E7" s="122"/>
      <c r="F7" s="122"/>
      <c r="G7" s="122"/>
      <c r="H7" s="122"/>
      <c r="I7" s="122"/>
    </row>
    <row r="8" spans="1:9" ht="18.75" customHeight="1">
      <c r="A8" s="121" t="s">
        <v>42</v>
      </c>
      <c r="B8" s="121"/>
      <c r="C8" s="121"/>
      <c r="D8" s="122"/>
      <c r="E8" s="122"/>
      <c r="F8" s="122"/>
      <c r="G8" s="122"/>
      <c r="H8" s="122"/>
      <c r="I8" s="122"/>
    </row>
    <row r="9" spans="1:9">
      <c r="A9" s="121" t="s">
        <v>43</v>
      </c>
      <c r="B9" s="121"/>
      <c r="C9" s="121"/>
      <c r="D9" s="122"/>
      <c r="E9" s="122"/>
      <c r="F9" s="122"/>
      <c r="G9" s="122"/>
      <c r="H9" s="122"/>
      <c r="I9" s="122"/>
    </row>
    <row r="10" spans="1:9">
      <c r="A10" s="121" t="s">
        <v>44</v>
      </c>
      <c r="B10" s="121"/>
      <c r="C10" s="121"/>
      <c r="D10" s="122"/>
      <c r="E10" s="122"/>
      <c r="F10" s="122"/>
      <c r="G10" s="122"/>
      <c r="H10" s="122"/>
      <c r="I10" s="122"/>
    </row>
    <row r="11" spans="1:9">
      <c r="A11" s="121" t="s">
        <v>45</v>
      </c>
      <c r="B11" s="121"/>
      <c r="C11" s="121"/>
      <c r="D11" s="122"/>
      <c r="E11" s="122"/>
      <c r="F11" s="122"/>
      <c r="G11" s="122"/>
      <c r="H11" s="122"/>
      <c r="I11" s="122"/>
    </row>
    <row r="12" spans="1:9">
      <c r="A12" s="121" t="s">
        <v>46</v>
      </c>
      <c r="B12" s="121"/>
      <c r="C12" s="121"/>
      <c r="D12" s="122"/>
      <c r="E12" s="122"/>
      <c r="F12" s="122"/>
      <c r="G12" s="122"/>
      <c r="H12" s="122"/>
      <c r="I12" s="122"/>
    </row>
    <row r="13" spans="1:9">
      <c r="A13" s="121" t="s">
        <v>47</v>
      </c>
      <c r="B13" s="121"/>
      <c r="C13" s="121"/>
      <c r="D13" s="122"/>
      <c r="E13" s="122"/>
      <c r="F13" s="122"/>
      <c r="G13" s="122"/>
      <c r="H13" s="122"/>
      <c r="I13" s="122"/>
    </row>
    <row r="14" spans="1:9">
      <c r="A14" s="123" t="s">
        <v>48</v>
      </c>
      <c r="B14" s="124"/>
      <c r="C14" s="125"/>
      <c r="D14" s="122"/>
      <c r="E14" s="122"/>
      <c r="F14" s="122"/>
      <c r="G14" s="122"/>
      <c r="H14" s="122"/>
      <c r="I14" s="122"/>
    </row>
    <row r="16" spans="1:9">
      <c r="A16" t="s">
        <v>51</v>
      </c>
    </row>
    <row r="18" spans="1:3">
      <c r="A18" s="119" t="s">
        <v>36</v>
      </c>
      <c r="B18" s="119"/>
      <c r="C18" s="12" t="s">
        <v>55</v>
      </c>
    </row>
    <row r="19" spans="1:3">
      <c r="A19" s="120" t="s">
        <v>52</v>
      </c>
      <c r="B19" s="120"/>
      <c r="C19" s="13"/>
    </row>
    <row r="20" spans="1:3">
      <c r="A20" s="120" t="s">
        <v>53</v>
      </c>
      <c r="B20" s="120"/>
      <c r="C20" s="13"/>
    </row>
    <row r="21" spans="1:3">
      <c r="A21" s="120" t="s">
        <v>54</v>
      </c>
      <c r="B21" s="120"/>
      <c r="C21" s="13"/>
    </row>
    <row r="22" spans="1:3">
      <c r="A22" s="120" t="s">
        <v>94</v>
      </c>
      <c r="B22" s="120"/>
      <c r="C22" s="13"/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A32"/>
  <sheetViews>
    <sheetView topLeftCell="P1" workbookViewId="0">
      <selection activeCell="AA4" sqref="AA4"/>
    </sheetView>
  </sheetViews>
  <sheetFormatPr baseColWidth="10" defaultRowHeight="14.5"/>
  <cols>
    <col min="3" max="4" width="2.7265625" bestFit="1" customWidth="1"/>
    <col min="9" max="9" width="14.26953125" bestFit="1" customWidth="1"/>
    <col min="10" max="10" width="11.1796875" bestFit="1" customWidth="1"/>
    <col min="13" max="13" width="14.26953125" bestFit="1" customWidth="1"/>
    <col min="14" max="14" width="11.1796875" bestFit="1" customWidth="1"/>
    <col min="16" max="16" width="14.453125" bestFit="1" customWidth="1"/>
    <col min="18" max="18" width="10.453125" bestFit="1" customWidth="1"/>
    <col min="19" max="19" width="10.453125" customWidth="1"/>
    <col min="20" max="20" width="9.81640625" customWidth="1"/>
    <col min="21" max="21" width="15.54296875" customWidth="1"/>
    <col min="26" max="26" width="15.81640625" hidden="1" customWidth="1"/>
  </cols>
  <sheetData>
    <row r="1" spans="1:27" ht="16" thickBot="1">
      <c r="C1" s="14"/>
      <c r="D1" s="14"/>
      <c r="E1" s="14"/>
      <c r="F1" s="14"/>
      <c r="G1" s="15"/>
      <c r="H1" s="138" t="s">
        <v>56</v>
      </c>
      <c r="I1" s="138"/>
      <c r="J1" s="138"/>
      <c r="K1" s="139" t="s">
        <v>57</v>
      </c>
      <c r="L1" s="138"/>
      <c r="M1" s="138"/>
      <c r="N1" s="138"/>
      <c r="O1" s="138"/>
      <c r="P1" s="138"/>
      <c r="Q1" s="138"/>
      <c r="R1" s="138"/>
      <c r="S1" s="107"/>
      <c r="T1" s="140" t="s">
        <v>58</v>
      </c>
      <c r="U1" s="141"/>
      <c r="V1" s="142"/>
      <c r="W1" s="143" t="s">
        <v>59</v>
      </c>
      <c r="X1" s="143"/>
      <c r="Y1" s="144"/>
      <c r="Z1" s="16"/>
      <c r="AA1" s="17"/>
    </row>
    <row r="2" spans="1:27" ht="15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8" t="s">
        <v>189</v>
      </c>
      <c r="T2" s="111" t="s">
        <v>188</v>
      </c>
      <c r="U2" s="112" t="s">
        <v>187</v>
      </c>
      <c r="V2" s="29" t="s">
        <v>75</v>
      </c>
      <c r="W2" s="18" t="s">
        <v>76</v>
      </c>
      <c r="X2" s="26" t="s">
        <v>77</v>
      </c>
      <c r="Y2" s="24" t="s">
        <v>78</v>
      </c>
      <c r="Z2" s="29" t="s">
        <v>79</v>
      </c>
      <c r="AA2" s="30" t="s">
        <v>80</v>
      </c>
    </row>
    <row r="3" spans="1:27" ht="15" thickTop="1">
      <c r="A3" s="31" t="s">
        <v>186</v>
      </c>
      <c r="B3" s="32">
        <v>43207</v>
      </c>
      <c r="C3" s="33"/>
      <c r="D3" s="33"/>
      <c r="E3" s="31" t="s">
        <v>137</v>
      </c>
      <c r="F3" s="31" t="s">
        <v>150</v>
      </c>
      <c r="G3" s="145" t="s">
        <v>190</v>
      </c>
      <c r="H3" s="34">
        <v>32</v>
      </c>
      <c r="I3" s="148">
        <v>3884</v>
      </c>
      <c r="J3" s="149"/>
      <c r="K3" s="35">
        <v>8</v>
      </c>
      <c r="L3" s="36">
        <f>100*(M3-P3)/M3</f>
        <v>89.891659501289766</v>
      </c>
      <c r="M3" s="150">
        <v>1163</v>
      </c>
      <c r="N3" s="151"/>
      <c r="O3" s="37">
        <v>1163</v>
      </c>
      <c r="P3" s="150">
        <v>117.56</v>
      </c>
      <c r="Q3" s="151"/>
      <c r="R3" s="62">
        <v>117.56</v>
      </c>
      <c r="S3" s="108">
        <f>R3/O3</f>
        <v>0.10108340498710232</v>
      </c>
      <c r="T3" s="38">
        <f>O3+I3</f>
        <v>5047</v>
      </c>
      <c r="U3" s="110">
        <f>(S3*T3)/100</f>
        <v>5.1016794496990538</v>
      </c>
      <c r="V3" s="38">
        <f>4.48*U3^(-0.25)</f>
        <v>2.9809158904380051</v>
      </c>
      <c r="W3" s="150">
        <v>4.1269999999999998</v>
      </c>
      <c r="X3" s="151"/>
      <c r="Y3" s="63">
        <v>4.1269999999999998</v>
      </c>
      <c r="Z3" s="63"/>
      <c r="AA3" s="39">
        <f>Y3/V3</f>
        <v>1.3844738166676662</v>
      </c>
    </row>
    <row r="4" spans="1:27">
      <c r="A4" s="31" t="s">
        <v>186</v>
      </c>
      <c r="B4" s="32">
        <v>43207</v>
      </c>
      <c r="C4" s="42"/>
      <c r="D4" s="42"/>
      <c r="E4" s="31" t="s">
        <v>137</v>
      </c>
      <c r="F4" s="40" t="s">
        <v>151</v>
      </c>
      <c r="G4" s="146"/>
      <c r="H4" s="43">
        <v>18</v>
      </c>
      <c r="I4" s="132">
        <v>1742</v>
      </c>
      <c r="J4" s="133"/>
      <c r="K4" s="44">
        <v>6</v>
      </c>
      <c r="L4" s="48">
        <f>100*(M4-P4)/M4</f>
        <v>88.84585987261147</v>
      </c>
      <c r="M4" s="130">
        <v>785</v>
      </c>
      <c r="N4" s="131"/>
      <c r="O4" s="49">
        <v>785</v>
      </c>
      <c r="P4" s="130">
        <v>87.56</v>
      </c>
      <c r="Q4" s="131"/>
      <c r="R4" s="52">
        <v>87.56</v>
      </c>
      <c r="S4" s="109">
        <f>R4/O4</f>
        <v>0.11154140127388536</v>
      </c>
      <c r="T4" s="50">
        <f>O4+I4</f>
        <v>2527</v>
      </c>
      <c r="U4" s="110">
        <f>(S4*T4)/100</f>
        <v>2.8186512101910832</v>
      </c>
      <c r="V4" s="50">
        <f>4.48*U4^(-0.25)</f>
        <v>3.4575437127643385</v>
      </c>
      <c r="W4" s="130">
        <v>3.4049999999999998</v>
      </c>
      <c r="X4" s="131"/>
      <c r="Y4" s="46">
        <v>3.4049999999999998</v>
      </c>
      <c r="Z4" s="46"/>
      <c r="AA4" s="51">
        <f>Y4/V4</f>
        <v>0.98480316747106877</v>
      </c>
    </row>
    <row r="5" spans="1:27">
      <c r="A5" s="40"/>
      <c r="B5" s="32"/>
      <c r="C5" s="42"/>
      <c r="D5" s="42"/>
      <c r="E5" s="31"/>
      <c r="F5" s="40"/>
      <c r="G5" s="146"/>
      <c r="H5" s="43"/>
      <c r="I5" s="132"/>
      <c r="J5" s="133"/>
      <c r="K5" s="44"/>
      <c r="L5" s="45"/>
      <c r="M5" s="130"/>
      <c r="N5" s="131"/>
      <c r="O5" s="45"/>
      <c r="P5" s="130"/>
      <c r="Q5" s="131"/>
      <c r="R5" s="52"/>
      <c r="S5" s="52"/>
      <c r="T5" s="53"/>
      <c r="U5" s="64"/>
      <c r="V5" s="64"/>
      <c r="W5" s="130"/>
      <c r="X5" s="131"/>
      <c r="Y5" s="46"/>
      <c r="Z5" s="46"/>
      <c r="AA5" s="47"/>
    </row>
    <row r="6" spans="1:27">
      <c r="A6" s="40"/>
      <c r="B6" s="32"/>
      <c r="C6" s="42"/>
      <c r="D6" s="42"/>
      <c r="E6" s="31"/>
      <c r="F6" s="40"/>
      <c r="G6" s="146"/>
      <c r="H6" s="43"/>
      <c r="I6" s="132"/>
      <c r="J6" s="133"/>
      <c r="K6" s="44"/>
      <c r="L6" s="45"/>
      <c r="M6" s="130"/>
      <c r="N6" s="131"/>
      <c r="O6" s="45"/>
      <c r="P6" s="130"/>
      <c r="Q6" s="131"/>
      <c r="R6" s="52"/>
      <c r="S6" s="52"/>
      <c r="T6" s="53"/>
      <c r="U6" s="53"/>
      <c r="V6" s="53"/>
      <c r="W6" s="130"/>
      <c r="X6" s="131"/>
      <c r="Y6" s="46"/>
      <c r="Z6" s="46"/>
      <c r="AA6" s="47"/>
    </row>
    <row r="7" spans="1:27">
      <c r="A7" s="40"/>
      <c r="B7" s="41"/>
      <c r="C7" s="42"/>
      <c r="D7" s="42"/>
      <c r="E7" s="40"/>
      <c r="F7" s="40"/>
      <c r="G7" s="146"/>
      <c r="H7" s="43"/>
      <c r="I7" s="132"/>
      <c r="J7" s="133"/>
      <c r="K7" s="44"/>
      <c r="L7" s="45"/>
      <c r="M7" s="130"/>
      <c r="N7" s="131"/>
      <c r="O7" s="45"/>
      <c r="P7" s="130"/>
      <c r="Q7" s="131"/>
      <c r="R7" s="52"/>
      <c r="S7" s="52"/>
      <c r="T7" s="53"/>
      <c r="U7" s="53"/>
      <c r="V7" s="53"/>
      <c r="W7" s="130"/>
      <c r="X7" s="131"/>
      <c r="Y7" s="46"/>
      <c r="Z7" s="46"/>
      <c r="AA7" s="47"/>
    </row>
    <row r="8" spans="1:27" ht="15" thickBot="1">
      <c r="A8" s="54"/>
      <c r="B8" s="55"/>
      <c r="C8" s="56"/>
      <c r="D8" s="56"/>
      <c r="E8" s="54"/>
      <c r="F8" s="54"/>
      <c r="G8" s="147"/>
      <c r="H8" s="65"/>
      <c r="I8" s="134"/>
      <c r="J8" s="135"/>
      <c r="K8" s="66"/>
      <c r="L8" s="57"/>
      <c r="M8" s="136"/>
      <c r="N8" s="137"/>
      <c r="O8" s="57"/>
      <c r="P8" s="136"/>
      <c r="Q8" s="137"/>
      <c r="R8" s="58"/>
      <c r="S8" s="58"/>
      <c r="T8" s="59"/>
      <c r="U8" s="59"/>
      <c r="V8" s="59"/>
      <c r="W8" s="136"/>
      <c r="X8" s="137"/>
      <c r="Y8" s="60"/>
      <c r="Z8" s="60"/>
      <c r="AA8" s="61"/>
    </row>
    <row r="9" spans="1:27" ht="15" thickTop="1"/>
    <row r="15" spans="1:27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8"/>
      <c r="U15" s="68"/>
      <c r="V15" s="68"/>
      <c r="W15" s="67"/>
      <c r="X15" s="67"/>
      <c r="Y15" s="68"/>
      <c r="Z15" s="68"/>
      <c r="AA15" s="68"/>
    </row>
    <row r="16" spans="1:27">
      <c r="A16" s="67"/>
      <c r="C16" s="67"/>
      <c r="D16" s="67"/>
      <c r="E16" s="67"/>
      <c r="F16" s="67"/>
      <c r="R16" s="67"/>
      <c r="S16" s="67"/>
      <c r="T16" s="68"/>
      <c r="U16" s="68"/>
      <c r="V16" s="68"/>
      <c r="W16" s="67"/>
      <c r="X16" s="67"/>
      <c r="Y16" s="68"/>
      <c r="Z16" s="68"/>
      <c r="AA16" s="68"/>
    </row>
    <row r="17" spans="1:27">
      <c r="A17" s="69" t="s">
        <v>81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8"/>
      <c r="U17" s="68"/>
      <c r="V17" s="68"/>
      <c r="W17" s="67"/>
      <c r="X17" s="67"/>
      <c r="Y17" s="68"/>
      <c r="Z17" s="68"/>
      <c r="AA17" s="68"/>
    </row>
    <row r="18" spans="1:27">
      <c r="A18" s="70" t="s">
        <v>82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8"/>
      <c r="U18" s="68"/>
      <c r="V18" s="68"/>
      <c r="W18" s="67"/>
      <c r="X18" s="67"/>
      <c r="Y18" s="68"/>
      <c r="Z18" s="68"/>
      <c r="AA18" s="68"/>
    </row>
    <row r="19" spans="1:27">
      <c r="A19" s="70" t="s">
        <v>83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8"/>
      <c r="U19" s="68"/>
      <c r="V19" s="68"/>
      <c r="W19" s="67"/>
      <c r="X19" s="67"/>
      <c r="Y19" s="68"/>
      <c r="Z19" s="68"/>
      <c r="AA19" s="68"/>
    </row>
    <row r="20" spans="1:27">
      <c r="A20" s="70" t="s">
        <v>84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8"/>
      <c r="U20" s="68"/>
      <c r="V20" s="68"/>
      <c r="W20" s="67"/>
      <c r="X20" s="67"/>
      <c r="Y20" s="68"/>
      <c r="Z20" s="68"/>
      <c r="AA20" s="68"/>
    </row>
    <row r="21" spans="1:27">
      <c r="A21" s="69" t="s">
        <v>85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8"/>
      <c r="U21" s="68"/>
      <c r="V21" s="68"/>
      <c r="W21" s="67"/>
      <c r="X21" s="67"/>
      <c r="Y21" s="68"/>
      <c r="Z21" s="68"/>
      <c r="AA21" s="68"/>
    </row>
    <row r="22" spans="1:27">
      <c r="A22" s="69" t="s">
        <v>86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8"/>
      <c r="U22" s="68"/>
      <c r="V22" s="68"/>
      <c r="W22" s="67"/>
      <c r="X22" s="67"/>
      <c r="Y22" s="68"/>
      <c r="Z22" s="68"/>
      <c r="AA22" s="68"/>
    </row>
    <row r="23" spans="1:27">
      <c r="A23" s="69" t="s">
        <v>87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8"/>
      <c r="U23" s="68"/>
      <c r="V23" s="68"/>
      <c r="W23" s="67"/>
      <c r="X23" s="67"/>
      <c r="Y23" s="68"/>
      <c r="Z23" s="68"/>
      <c r="AA23" s="68"/>
    </row>
    <row r="24" spans="1:27">
      <c r="A24" s="70" t="s">
        <v>88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8"/>
      <c r="U24" s="68"/>
      <c r="V24" s="68"/>
      <c r="W24" s="67"/>
      <c r="X24" s="67"/>
      <c r="Y24" s="68"/>
      <c r="Z24" s="68"/>
      <c r="AA24" s="68"/>
    </row>
    <row r="25" spans="1:27">
      <c r="A25" s="70" t="s">
        <v>89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8"/>
      <c r="U25" s="68"/>
      <c r="V25" s="68"/>
      <c r="W25" s="67"/>
      <c r="X25" s="67"/>
      <c r="Y25" s="68"/>
      <c r="Z25" s="68"/>
      <c r="AA25" s="68"/>
    </row>
    <row r="26" spans="1:27">
      <c r="A26" s="70" t="s">
        <v>90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8"/>
      <c r="U26" s="68"/>
      <c r="V26" s="68"/>
      <c r="W26" s="67"/>
      <c r="X26" s="67"/>
      <c r="Y26" s="68"/>
      <c r="Z26" s="68"/>
      <c r="AA26" s="68"/>
    </row>
    <row r="27" spans="1:27">
      <c r="A27" s="70" t="s">
        <v>91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  <c r="P27" s="67"/>
      <c r="Q27" s="67"/>
      <c r="R27" s="67"/>
      <c r="S27" s="67"/>
      <c r="T27" s="68"/>
      <c r="U27" s="68"/>
      <c r="V27" s="68"/>
      <c r="W27" s="67"/>
      <c r="X27" s="67"/>
      <c r="Y27" s="68"/>
      <c r="Z27" s="68"/>
      <c r="AA27" s="68"/>
    </row>
    <row r="28" spans="1:27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8"/>
      <c r="P28" s="67"/>
      <c r="Q28" s="67"/>
      <c r="R28" s="67"/>
      <c r="S28" s="67"/>
      <c r="T28" s="68"/>
      <c r="U28" s="68"/>
      <c r="V28" s="68"/>
      <c r="W28" s="67"/>
      <c r="X28" s="67"/>
      <c r="Y28" s="68"/>
      <c r="Z28" s="68"/>
      <c r="AA28" s="68"/>
    </row>
    <row r="29" spans="1:27">
      <c r="A29" s="67" t="s">
        <v>92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8"/>
      <c r="P29" s="67"/>
      <c r="Q29" s="67"/>
      <c r="R29" s="67"/>
      <c r="S29" s="67"/>
      <c r="T29" s="68"/>
      <c r="U29" s="68"/>
      <c r="V29" s="68"/>
      <c r="W29" s="67"/>
      <c r="X29" s="67"/>
      <c r="Y29" s="68"/>
      <c r="Z29" s="68"/>
      <c r="AA29" s="68"/>
    </row>
    <row r="30" spans="1:27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8"/>
      <c r="P30" s="67"/>
      <c r="Q30" s="67"/>
      <c r="R30" s="67"/>
      <c r="S30" s="67"/>
      <c r="T30" s="68"/>
      <c r="U30" s="68"/>
      <c r="V30" s="68"/>
      <c r="W30" s="67"/>
      <c r="X30" s="67"/>
      <c r="Y30" s="68"/>
      <c r="Z30" s="68"/>
      <c r="AA30" s="68"/>
    </row>
    <row r="31" spans="1:27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8"/>
      <c r="P31" s="67"/>
      <c r="Q31" s="67"/>
      <c r="R31" s="67"/>
      <c r="S31" s="67"/>
      <c r="T31" s="68"/>
      <c r="U31" s="68"/>
      <c r="V31" s="68"/>
      <c r="W31" s="67"/>
      <c r="X31" s="67"/>
      <c r="Y31" s="68"/>
      <c r="Z31" s="68"/>
      <c r="AA31" s="68"/>
    </row>
    <row r="32" spans="1:27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8"/>
      <c r="P32" s="67"/>
      <c r="Q32" s="67"/>
      <c r="R32" s="67"/>
      <c r="S32" s="67"/>
      <c r="T32" s="68"/>
      <c r="U32" s="68"/>
      <c r="V32" s="68"/>
      <c r="W32" s="67"/>
      <c r="X32" s="67"/>
      <c r="Y32" s="68"/>
      <c r="Z32" s="68"/>
      <c r="AA32" s="68"/>
    </row>
  </sheetData>
  <mergeCells count="29">
    <mergeCell ref="H1:J1"/>
    <mergeCell ref="K1:R1"/>
    <mergeCell ref="T1:V1"/>
    <mergeCell ref="W1:Y1"/>
    <mergeCell ref="G3:G8"/>
    <mergeCell ref="I3:J3"/>
    <mergeCell ref="M3:N3"/>
    <mergeCell ref="P3:Q3"/>
    <mergeCell ref="W3:X3"/>
    <mergeCell ref="I4:J4"/>
    <mergeCell ref="M4:N4"/>
    <mergeCell ref="P4:Q4"/>
    <mergeCell ref="W4:X4"/>
    <mergeCell ref="I5:J5"/>
    <mergeCell ref="M5:N5"/>
    <mergeCell ref="P5:Q5"/>
    <mergeCell ref="W5:X5"/>
    <mergeCell ref="I6:J6"/>
    <mergeCell ref="M6:N6"/>
    <mergeCell ref="P6:Q6"/>
    <mergeCell ref="I8:J8"/>
    <mergeCell ref="M8:N8"/>
    <mergeCell ref="P8:Q8"/>
    <mergeCell ref="W8:X8"/>
    <mergeCell ref="W6:X6"/>
    <mergeCell ref="I7:J7"/>
    <mergeCell ref="M7:N7"/>
    <mergeCell ref="P7:Q7"/>
    <mergeCell ref="W7:X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D24"/>
  <sheetViews>
    <sheetView tabSelected="1" topLeftCell="L1" zoomScale="85" zoomScaleNormal="85" workbookViewId="0">
      <selection activeCell="V35" sqref="V35"/>
    </sheetView>
  </sheetViews>
  <sheetFormatPr baseColWidth="10" defaultRowHeight="14.5"/>
  <cols>
    <col min="1" max="1" width="6.453125" bestFit="1" customWidth="1"/>
    <col min="2" max="2" width="9.453125" bestFit="1" customWidth="1"/>
    <col min="3" max="3" width="5.54296875" bestFit="1" customWidth="1"/>
    <col min="4" max="4" width="10.81640625" bestFit="1" customWidth="1"/>
    <col min="5" max="5" width="10.7265625" bestFit="1" customWidth="1"/>
    <col min="6" max="6" width="12" bestFit="1" customWidth="1"/>
    <col min="7" max="7" width="6.7265625" bestFit="1" customWidth="1"/>
    <col min="8" max="8" width="8.453125" bestFit="1" customWidth="1"/>
    <col min="9" max="9" width="9.54296875" bestFit="1" customWidth="1"/>
    <col min="10" max="10" width="8.54296875" bestFit="1" customWidth="1"/>
    <col min="11" max="11" width="12.54296875" bestFit="1" customWidth="1"/>
    <col min="12" max="12" width="11.26953125" bestFit="1" customWidth="1"/>
    <col min="13" max="13" width="9.7265625" bestFit="1" customWidth="1"/>
    <col min="14" max="14" width="7.7265625" bestFit="1" customWidth="1"/>
    <col min="15" max="15" width="6.26953125" bestFit="1" customWidth="1"/>
    <col min="16" max="16" width="4.81640625" customWidth="1"/>
    <col min="17" max="17" width="6" bestFit="1" customWidth="1"/>
    <col min="18" max="18" width="9.81640625" bestFit="1" customWidth="1"/>
    <col min="19" max="20" width="5.54296875" bestFit="1" customWidth="1"/>
    <col min="21" max="21" width="7.1796875" bestFit="1" customWidth="1"/>
    <col min="22" max="22" width="9" bestFit="1" customWidth="1"/>
    <col min="23" max="23" width="11" bestFit="1" customWidth="1"/>
    <col min="24" max="24" width="5.1796875" bestFit="1" customWidth="1"/>
    <col min="25" max="25" width="8.26953125" bestFit="1" customWidth="1"/>
    <col min="26" max="26" width="3.81640625" bestFit="1" customWidth="1"/>
    <col min="27" max="27" width="6.81640625" bestFit="1" customWidth="1"/>
    <col min="28" max="28" width="6" bestFit="1" customWidth="1"/>
    <col min="29" max="29" width="6.453125" bestFit="1" customWidth="1"/>
    <col min="30" max="30" width="5" bestFit="1" customWidth="1"/>
  </cols>
  <sheetData>
    <row r="1" spans="1:30" s="83" customFormat="1" ht="52">
      <c r="A1" s="76" t="s">
        <v>95</v>
      </c>
      <c r="B1" s="76" t="s">
        <v>96</v>
      </c>
      <c r="C1" s="76" t="s">
        <v>97</v>
      </c>
      <c r="D1" s="76" t="s">
        <v>98</v>
      </c>
      <c r="E1" s="76" t="s">
        <v>99</v>
      </c>
      <c r="F1" s="76" t="s">
        <v>100</v>
      </c>
      <c r="G1" s="76" t="s">
        <v>101</v>
      </c>
      <c r="H1" s="76" t="s">
        <v>64</v>
      </c>
      <c r="I1" s="76" t="s">
        <v>125</v>
      </c>
      <c r="J1" s="76" t="s">
        <v>126</v>
      </c>
      <c r="K1" s="76" t="s">
        <v>127</v>
      </c>
      <c r="L1" s="76" t="s">
        <v>102</v>
      </c>
      <c r="M1" s="76" t="s">
        <v>103</v>
      </c>
      <c r="N1" s="77" t="s">
        <v>104</v>
      </c>
      <c r="O1" s="75" t="s">
        <v>128</v>
      </c>
      <c r="P1" s="78" t="s">
        <v>117</v>
      </c>
      <c r="Q1" s="78" t="s">
        <v>134</v>
      </c>
      <c r="R1" s="79" t="s">
        <v>129</v>
      </c>
      <c r="S1" s="79" t="s">
        <v>201</v>
      </c>
      <c r="T1" s="79" t="s">
        <v>118</v>
      </c>
      <c r="U1" s="80" t="s">
        <v>130</v>
      </c>
      <c r="V1" s="79" t="s">
        <v>131</v>
      </c>
      <c r="W1" s="80" t="s">
        <v>119</v>
      </c>
      <c r="X1" s="81" t="s">
        <v>132</v>
      </c>
      <c r="Y1" s="80" t="s">
        <v>120</v>
      </c>
      <c r="Z1" s="79" t="s">
        <v>133</v>
      </c>
      <c r="AA1" s="80" t="s">
        <v>121</v>
      </c>
      <c r="AB1" s="80" t="s">
        <v>122</v>
      </c>
      <c r="AC1" s="80" t="s">
        <v>123</v>
      </c>
      <c r="AD1" s="82" t="s">
        <v>124</v>
      </c>
    </row>
    <row r="2" spans="1:30">
      <c r="A2">
        <v>2018</v>
      </c>
      <c r="B2" t="s">
        <v>200</v>
      </c>
      <c r="C2" t="s">
        <v>159</v>
      </c>
      <c r="D2" s="106">
        <v>42972</v>
      </c>
      <c r="E2" s="106">
        <v>42980</v>
      </c>
      <c r="F2" s="106">
        <v>43285</v>
      </c>
      <c r="G2" t="s">
        <v>160</v>
      </c>
      <c r="H2" t="s">
        <v>183</v>
      </c>
      <c r="I2">
        <v>1</v>
      </c>
      <c r="J2">
        <v>109</v>
      </c>
      <c r="K2">
        <v>469806031</v>
      </c>
      <c r="L2" t="s">
        <v>140</v>
      </c>
      <c r="M2" s="83" t="s">
        <v>185</v>
      </c>
      <c r="N2">
        <v>17.100000000000001</v>
      </c>
      <c r="P2">
        <f>0.91*Q2</f>
        <v>25.015899999999998</v>
      </c>
      <c r="Q2">
        <v>27.49</v>
      </c>
      <c r="S2">
        <v>5</v>
      </c>
      <c r="U2">
        <v>4</v>
      </c>
      <c r="V2">
        <v>135</v>
      </c>
      <c r="X2">
        <v>4.7</v>
      </c>
      <c r="Y2">
        <v>7.46</v>
      </c>
      <c r="Z2">
        <v>49.32</v>
      </c>
      <c r="AA2">
        <v>18.239999999999998</v>
      </c>
      <c r="AB2">
        <f>AA2*100/(100-Z2)</f>
        <v>35.99052880820836</v>
      </c>
      <c r="AC2">
        <v>15.94</v>
      </c>
    </row>
    <row r="3" spans="1:30">
      <c r="A3">
        <v>2018</v>
      </c>
      <c r="B3" t="s">
        <v>200</v>
      </c>
      <c r="C3" t="s">
        <v>159</v>
      </c>
      <c r="D3" s="106">
        <v>42972</v>
      </c>
      <c r="E3" s="106">
        <v>42980</v>
      </c>
      <c r="F3" s="106">
        <v>43285</v>
      </c>
      <c r="G3" t="s">
        <v>161</v>
      </c>
      <c r="H3" t="s">
        <v>183</v>
      </c>
      <c r="I3">
        <v>2</v>
      </c>
      <c r="J3">
        <v>109</v>
      </c>
      <c r="K3">
        <v>469805036</v>
      </c>
      <c r="L3" t="s">
        <v>140</v>
      </c>
      <c r="M3" s="83" t="s">
        <v>185</v>
      </c>
      <c r="N3">
        <v>17.100000000000001</v>
      </c>
      <c r="P3">
        <f t="shared" ref="P3:P23" si="0">0.91*Q3</f>
        <v>23.523500000000002</v>
      </c>
      <c r="Q3">
        <v>25.85</v>
      </c>
      <c r="S3">
        <v>5</v>
      </c>
      <c r="U3">
        <v>5</v>
      </c>
      <c r="V3">
        <v>135</v>
      </c>
      <c r="X3">
        <v>4.42</v>
      </c>
      <c r="Y3">
        <v>7.43</v>
      </c>
      <c r="Z3">
        <v>48.2</v>
      </c>
      <c r="AA3">
        <v>18.149999999999999</v>
      </c>
      <c r="AB3">
        <f t="shared" ref="AB3:AB23" si="1">AA3*100/(100-Z3)</f>
        <v>35.038610038610038</v>
      </c>
      <c r="AC3">
        <v>16.84</v>
      </c>
    </row>
    <row r="4" spans="1:30">
      <c r="A4">
        <v>2018</v>
      </c>
      <c r="B4" t="s">
        <v>200</v>
      </c>
      <c r="C4" t="s">
        <v>159</v>
      </c>
      <c r="D4" s="106">
        <v>42972</v>
      </c>
      <c r="E4" s="106">
        <v>42980</v>
      </c>
      <c r="F4" s="106">
        <v>43285</v>
      </c>
      <c r="G4" t="s">
        <v>162</v>
      </c>
      <c r="H4" t="s">
        <v>183</v>
      </c>
      <c r="I4">
        <v>1</v>
      </c>
      <c r="J4">
        <v>110</v>
      </c>
      <c r="K4">
        <v>469804030</v>
      </c>
      <c r="L4" t="s">
        <v>141</v>
      </c>
      <c r="M4" s="83" t="s">
        <v>185</v>
      </c>
      <c r="N4">
        <v>17.100000000000001</v>
      </c>
      <c r="P4">
        <f t="shared" si="0"/>
        <v>32.141200000000005</v>
      </c>
      <c r="Q4">
        <v>35.32</v>
      </c>
      <c r="S4">
        <v>3</v>
      </c>
      <c r="U4">
        <v>3</v>
      </c>
      <c r="V4">
        <v>140</v>
      </c>
      <c r="X4">
        <v>6.04</v>
      </c>
      <c r="Y4">
        <v>7.35</v>
      </c>
      <c r="Z4">
        <v>49.5</v>
      </c>
      <c r="AA4">
        <v>18.62</v>
      </c>
      <c r="AB4">
        <f t="shared" si="1"/>
        <v>36.871287128712872</v>
      </c>
      <c r="AC4">
        <v>17.09</v>
      </c>
    </row>
    <row r="5" spans="1:30">
      <c r="A5">
        <v>2018</v>
      </c>
      <c r="B5" t="s">
        <v>200</v>
      </c>
      <c r="C5" t="s">
        <v>159</v>
      </c>
      <c r="D5" s="106">
        <v>42972</v>
      </c>
      <c r="E5" s="106">
        <v>42980</v>
      </c>
      <c r="F5" s="106">
        <v>43285</v>
      </c>
      <c r="G5" t="s">
        <v>163</v>
      </c>
      <c r="H5" t="s">
        <v>183</v>
      </c>
      <c r="I5">
        <v>2</v>
      </c>
      <c r="J5">
        <v>110</v>
      </c>
      <c r="K5">
        <v>469806044</v>
      </c>
      <c r="L5" t="s">
        <v>141</v>
      </c>
      <c r="M5" s="83" t="s">
        <v>185</v>
      </c>
      <c r="N5">
        <v>17.100000000000001</v>
      </c>
      <c r="P5">
        <f t="shared" si="0"/>
        <v>26.289900000000003</v>
      </c>
      <c r="Q5">
        <v>28.89</v>
      </c>
      <c r="S5">
        <v>5</v>
      </c>
      <c r="U5">
        <v>4</v>
      </c>
      <c r="V5">
        <v>130</v>
      </c>
      <c r="X5">
        <v>4.9400000000000004</v>
      </c>
      <c r="Y5">
        <v>7.4</v>
      </c>
      <c r="Z5">
        <v>48.74</v>
      </c>
      <c r="AA5">
        <v>18.75</v>
      </c>
      <c r="AB5">
        <f t="shared" si="1"/>
        <v>36.578228638314478</v>
      </c>
      <c r="AC5">
        <v>15.85</v>
      </c>
    </row>
    <row r="6" spans="1:30">
      <c r="A6">
        <v>2018</v>
      </c>
      <c r="B6" t="s">
        <v>200</v>
      </c>
      <c r="C6" t="s">
        <v>159</v>
      </c>
      <c r="D6" s="106">
        <v>42972</v>
      </c>
      <c r="E6" s="106">
        <v>42980</v>
      </c>
      <c r="F6" s="106">
        <v>43285</v>
      </c>
      <c r="G6" t="s">
        <v>164</v>
      </c>
      <c r="H6" t="s">
        <v>183</v>
      </c>
      <c r="I6">
        <v>1</v>
      </c>
      <c r="J6">
        <v>111</v>
      </c>
      <c r="K6">
        <v>469801030</v>
      </c>
      <c r="L6" t="s">
        <v>142</v>
      </c>
      <c r="M6" s="83" t="s">
        <v>185</v>
      </c>
      <c r="N6">
        <v>17.100000000000001</v>
      </c>
      <c r="P6">
        <f t="shared" si="0"/>
        <v>31.395</v>
      </c>
      <c r="Q6">
        <v>34.5</v>
      </c>
      <c r="S6">
        <v>6</v>
      </c>
      <c r="U6">
        <v>6</v>
      </c>
      <c r="V6">
        <v>145</v>
      </c>
      <c r="X6">
        <v>5.9</v>
      </c>
      <c r="Y6">
        <v>7.99</v>
      </c>
      <c r="Z6">
        <v>48.78</v>
      </c>
      <c r="AA6">
        <v>18.61</v>
      </c>
      <c r="AB6">
        <f t="shared" si="1"/>
        <v>36.333463490823895</v>
      </c>
      <c r="AC6">
        <v>18.2</v>
      </c>
    </row>
    <row r="7" spans="1:30">
      <c r="A7">
        <v>2018</v>
      </c>
      <c r="B7" t="s">
        <v>200</v>
      </c>
      <c r="C7" t="s">
        <v>159</v>
      </c>
      <c r="D7" s="106">
        <v>42972</v>
      </c>
      <c r="E7" s="106">
        <v>42980</v>
      </c>
      <c r="F7" s="106">
        <v>43285</v>
      </c>
      <c r="G7" t="s">
        <v>165</v>
      </c>
      <c r="H7" t="s">
        <v>183</v>
      </c>
      <c r="I7">
        <v>2</v>
      </c>
      <c r="J7">
        <v>111</v>
      </c>
      <c r="K7">
        <v>469803035</v>
      </c>
      <c r="L7" t="s">
        <v>142</v>
      </c>
      <c r="M7" s="83" t="s">
        <v>185</v>
      </c>
      <c r="N7">
        <v>17.100000000000001</v>
      </c>
      <c r="S7">
        <v>7</v>
      </c>
    </row>
    <row r="8" spans="1:30">
      <c r="A8">
        <v>2018</v>
      </c>
      <c r="B8" t="s">
        <v>200</v>
      </c>
      <c r="C8" t="s">
        <v>159</v>
      </c>
      <c r="D8" s="106">
        <v>42972</v>
      </c>
      <c r="E8" s="106">
        <v>42980</v>
      </c>
      <c r="F8" s="106">
        <v>43285</v>
      </c>
      <c r="G8" t="s">
        <v>166</v>
      </c>
      <c r="H8" t="s">
        <v>183</v>
      </c>
      <c r="I8">
        <v>1</v>
      </c>
      <c r="J8">
        <v>112</v>
      </c>
      <c r="K8">
        <v>469803023</v>
      </c>
      <c r="L8" t="s">
        <v>143</v>
      </c>
      <c r="M8" s="83" t="s">
        <v>185</v>
      </c>
      <c r="N8">
        <v>17.100000000000001</v>
      </c>
      <c r="P8">
        <f t="shared" si="0"/>
        <v>27.5639</v>
      </c>
      <c r="Q8">
        <v>30.29</v>
      </c>
      <c r="S8">
        <v>4</v>
      </c>
      <c r="U8">
        <v>6</v>
      </c>
      <c r="V8">
        <v>145</v>
      </c>
      <c r="X8">
        <v>5.18</v>
      </c>
      <c r="Y8">
        <v>7.79</v>
      </c>
      <c r="Z8">
        <v>49.47</v>
      </c>
      <c r="AA8">
        <v>18.61</v>
      </c>
      <c r="AB8">
        <f t="shared" si="1"/>
        <v>36.829606174549774</v>
      </c>
      <c r="AC8">
        <v>17.2</v>
      </c>
    </row>
    <row r="9" spans="1:30">
      <c r="A9">
        <v>2018</v>
      </c>
      <c r="B9" t="s">
        <v>200</v>
      </c>
      <c r="C9" t="s">
        <v>159</v>
      </c>
      <c r="D9" s="106">
        <v>42972</v>
      </c>
      <c r="E9" s="106">
        <v>42980</v>
      </c>
      <c r="F9" s="106">
        <v>43285</v>
      </c>
      <c r="G9" t="s">
        <v>167</v>
      </c>
      <c r="H9" t="s">
        <v>183</v>
      </c>
      <c r="I9">
        <v>2</v>
      </c>
      <c r="J9">
        <v>112</v>
      </c>
      <c r="K9">
        <v>469804037</v>
      </c>
      <c r="L9" t="s">
        <v>143</v>
      </c>
      <c r="M9" s="83" t="s">
        <v>185</v>
      </c>
      <c r="N9">
        <v>17.100000000000001</v>
      </c>
      <c r="P9">
        <f t="shared" si="0"/>
        <v>23.623600000000003</v>
      </c>
      <c r="Q9">
        <v>25.96</v>
      </c>
      <c r="S9">
        <v>6</v>
      </c>
      <c r="U9">
        <v>5</v>
      </c>
      <c r="V9">
        <v>145</v>
      </c>
      <c r="X9">
        <v>4.4400000000000004</v>
      </c>
      <c r="Y9">
        <v>7.76</v>
      </c>
      <c r="Z9">
        <v>49.24</v>
      </c>
      <c r="AA9">
        <v>19.18</v>
      </c>
      <c r="AB9">
        <f t="shared" si="1"/>
        <v>37.785657998423957</v>
      </c>
      <c r="AC9">
        <v>15.93</v>
      </c>
    </row>
    <row r="10" spans="1:30">
      <c r="A10">
        <v>2018</v>
      </c>
      <c r="B10" t="s">
        <v>200</v>
      </c>
      <c r="C10" t="s">
        <v>159</v>
      </c>
      <c r="D10" s="106">
        <v>42972</v>
      </c>
      <c r="E10" s="106">
        <v>42980</v>
      </c>
      <c r="F10" s="106">
        <v>43285</v>
      </c>
      <c r="G10" t="s">
        <v>168</v>
      </c>
      <c r="H10" t="s">
        <v>183</v>
      </c>
      <c r="I10">
        <v>1</v>
      </c>
      <c r="J10">
        <v>113</v>
      </c>
      <c r="K10">
        <v>469804026</v>
      </c>
      <c r="L10" t="s">
        <v>144</v>
      </c>
      <c r="M10" s="83" t="s">
        <v>185</v>
      </c>
      <c r="N10">
        <v>17.100000000000001</v>
      </c>
      <c r="P10">
        <f t="shared" si="0"/>
        <v>24.051300000000001</v>
      </c>
      <c r="Q10">
        <v>26.43</v>
      </c>
      <c r="S10">
        <v>5</v>
      </c>
      <c r="U10">
        <v>5</v>
      </c>
      <c r="V10">
        <v>125</v>
      </c>
      <c r="X10">
        <v>4.5199999999999996</v>
      </c>
      <c r="Y10">
        <v>7.5</v>
      </c>
      <c r="Z10">
        <v>48.26</v>
      </c>
      <c r="AA10">
        <v>19.59</v>
      </c>
      <c r="AB10">
        <f t="shared" si="1"/>
        <v>37.862388867413991</v>
      </c>
      <c r="AC10">
        <v>18.93</v>
      </c>
    </row>
    <row r="11" spans="1:30">
      <c r="A11">
        <v>2018</v>
      </c>
      <c r="B11" t="s">
        <v>200</v>
      </c>
      <c r="C11" t="s">
        <v>159</v>
      </c>
      <c r="D11" s="106">
        <v>42972</v>
      </c>
      <c r="E11" s="106">
        <v>42980</v>
      </c>
      <c r="F11" s="106">
        <v>43285</v>
      </c>
      <c r="G11" t="s">
        <v>169</v>
      </c>
      <c r="H11" t="s">
        <v>183</v>
      </c>
      <c r="I11">
        <v>2</v>
      </c>
      <c r="J11">
        <v>113</v>
      </c>
      <c r="K11">
        <v>469804035</v>
      </c>
      <c r="L11" t="s">
        <v>144</v>
      </c>
      <c r="M11" s="83" t="s">
        <v>185</v>
      </c>
      <c r="N11">
        <v>17.100000000000001</v>
      </c>
      <c r="S11">
        <v>7</v>
      </c>
    </row>
    <row r="12" spans="1:30">
      <c r="A12">
        <v>2018</v>
      </c>
      <c r="B12" t="s">
        <v>200</v>
      </c>
      <c r="C12" t="s">
        <v>159</v>
      </c>
      <c r="D12" s="106">
        <v>42972</v>
      </c>
      <c r="E12" s="106">
        <v>42980</v>
      </c>
      <c r="F12" s="106">
        <v>43285</v>
      </c>
      <c r="G12" t="s">
        <v>170</v>
      </c>
      <c r="H12" t="s">
        <v>183</v>
      </c>
      <c r="I12">
        <v>1</v>
      </c>
      <c r="J12">
        <v>114</v>
      </c>
      <c r="K12">
        <v>469806032</v>
      </c>
      <c r="L12" t="s">
        <v>145</v>
      </c>
      <c r="M12" s="83" t="s">
        <v>185</v>
      </c>
      <c r="N12">
        <v>17.100000000000001</v>
      </c>
      <c r="P12">
        <f t="shared" si="0"/>
        <v>24.269700000000004</v>
      </c>
      <c r="Q12">
        <v>26.67</v>
      </c>
      <c r="S12">
        <v>5</v>
      </c>
      <c r="U12">
        <v>2</v>
      </c>
      <c r="V12">
        <v>135</v>
      </c>
      <c r="X12">
        <v>4.5599999999999996</v>
      </c>
      <c r="Y12">
        <v>7.58</v>
      </c>
      <c r="Z12">
        <v>49.38</v>
      </c>
      <c r="AA12">
        <v>18.41</v>
      </c>
      <c r="AB12">
        <f t="shared" si="1"/>
        <v>36.369024101145797</v>
      </c>
      <c r="AC12">
        <v>15.67</v>
      </c>
    </row>
    <row r="13" spans="1:30">
      <c r="A13">
        <v>2018</v>
      </c>
      <c r="B13" t="s">
        <v>200</v>
      </c>
      <c r="C13" t="s">
        <v>159</v>
      </c>
      <c r="D13" s="106">
        <v>42972</v>
      </c>
      <c r="E13" s="106">
        <v>42980</v>
      </c>
      <c r="F13" s="106">
        <v>43285</v>
      </c>
      <c r="G13" t="s">
        <v>171</v>
      </c>
      <c r="H13" t="s">
        <v>183</v>
      </c>
      <c r="I13">
        <v>2</v>
      </c>
      <c r="J13">
        <v>114</v>
      </c>
      <c r="K13">
        <v>469802034</v>
      </c>
      <c r="L13" t="s">
        <v>145</v>
      </c>
      <c r="M13" s="83" t="s">
        <v>185</v>
      </c>
      <c r="N13">
        <v>17.100000000000001</v>
      </c>
      <c r="P13">
        <f t="shared" si="0"/>
        <v>27.673100000000002</v>
      </c>
      <c r="Q13">
        <v>30.41</v>
      </c>
      <c r="S13">
        <v>4</v>
      </c>
      <c r="U13">
        <v>3</v>
      </c>
      <c r="V13">
        <v>145</v>
      </c>
      <c r="X13">
        <v>5.2</v>
      </c>
      <c r="Y13">
        <v>7.47</v>
      </c>
      <c r="Z13">
        <v>47.95</v>
      </c>
      <c r="AA13">
        <v>18.71</v>
      </c>
      <c r="AB13">
        <f t="shared" si="1"/>
        <v>35.946205571565805</v>
      </c>
      <c r="AC13">
        <v>15.49</v>
      </c>
    </row>
    <row r="14" spans="1:30">
      <c r="A14">
        <v>2018</v>
      </c>
      <c r="B14" t="s">
        <v>200</v>
      </c>
      <c r="C14" t="s">
        <v>159</v>
      </c>
      <c r="D14" s="106">
        <v>42972</v>
      </c>
      <c r="E14" s="106">
        <v>42980</v>
      </c>
      <c r="F14" s="106">
        <v>43285</v>
      </c>
      <c r="G14" t="s">
        <v>172</v>
      </c>
      <c r="H14" t="s">
        <v>183</v>
      </c>
      <c r="I14">
        <v>2</v>
      </c>
      <c r="J14">
        <v>115</v>
      </c>
      <c r="K14">
        <v>469806034</v>
      </c>
      <c r="L14" t="s">
        <v>146</v>
      </c>
      <c r="M14" s="83" t="s">
        <v>185</v>
      </c>
      <c r="N14">
        <v>17.100000000000001</v>
      </c>
      <c r="S14">
        <v>9</v>
      </c>
    </row>
    <row r="15" spans="1:30">
      <c r="A15">
        <v>2018</v>
      </c>
      <c r="B15" t="s">
        <v>200</v>
      </c>
      <c r="C15" t="s">
        <v>159</v>
      </c>
      <c r="D15" s="106">
        <v>42972</v>
      </c>
      <c r="E15" s="106">
        <v>42980</v>
      </c>
      <c r="F15" s="106">
        <v>43285</v>
      </c>
      <c r="G15" t="s">
        <v>173</v>
      </c>
      <c r="H15" t="s">
        <v>183</v>
      </c>
      <c r="I15">
        <v>1</v>
      </c>
      <c r="J15">
        <v>116</v>
      </c>
      <c r="K15">
        <v>469808030</v>
      </c>
      <c r="L15" t="s">
        <v>147</v>
      </c>
      <c r="M15" s="83" t="s">
        <v>185</v>
      </c>
      <c r="N15">
        <v>17.100000000000001</v>
      </c>
      <c r="P15">
        <f t="shared" si="0"/>
        <v>30.757999999999999</v>
      </c>
      <c r="Q15">
        <v>33.799999999999997</v>
      </c>
      <c r="S15">
        <v>2</v>
      </c>
      <c r="U15">
        <v>4</v>
      </c>
      <c r="V15">
        <v>145</v>
      </c>
      <c r="X15">
        <v>5.78</v>
      </c>
      <c r="Y15">
        <v>8.1300000000000008</v>
      </c>
      <c r="Z15">
        <v>48.39</v>
      </c>
      <c r="AA15">
        <v>19.28</v>
      </c>
      <c r="AB15">
        <f t="shared" si="1"/>
        <v>37.357101336950201</v>
      </c>
      <c r="AC15">
        <v>13.7</v>
      </c>
    </row>
    <row r="16" spans="1:30">
      <c r="A16">
        <v>2018</v>
      </c>
      <c r="B16" t="s">
        <v>200</v>
      </c>
      <c r="C16" t="s">
        <v>159</v>
      </c>
      <c r="D16" s="106">
        <v>42972</v>
      </c>
      <c r="E16" s="106">
        <v>42980</v>
      </c>
      <c r="F16" s="106">
        <v>43285</v>
      </c>
      <c r="G16" t="s">
        <v>174</v>
      </c>
      <c r="H16" t="s">
        <v>183</v>
      </c>
      <c r="I16">
        <v>2</v>
      </c>
      <c r="J16">
        <v>116</v>
      </c>
      <c r="K16">
        <v>469804040</v>
      </c>
      <c r="L16" t="s">
        <v>147</v>
      </c>
      <c r="M16" s="83" t="s">
        <v>185</v>
      </c>
      <c r="N16">
        <v>17.100000000000001</v>
      </c>
      <c r="P16">
        <f t="shared" si="0"/>
        <v>26.399100000000001</v>
      </c>
      <c r="Q16">
        <v>29.01</v>
      </c>
      <c r="S16">
        <v>6</v>
      </c>
      <c r="U16">
        <v>3</v>
      </c>
      <c r="V16">
        <v>145</v>
      </c>
      <c r="X16">
        <v>4.96</v>
      </c>
      <c r="Y16">
        <v>7.51</v>
      </c>
      <c r="Z16">
        <v>47.77</v>
      </c>
      <c r="AA16">
        <v>19.48</v>
      </c>
      <c r="AB16">
        <f t="shared" si="1"/>
        <v>37.296572850852002</v>
      </c>
      <c r="AC16">
        <v>13.16</v>
      </c>
    </row>
    <row r="17" spans="1:29">
      <c r="A17">
        <v>2018</v>
      </c>
      <c r="B17" t="s">
        <v>200</v>
      </c>
      <c r="C17" t="s">
        <v>159</v>
      </c>
      <c r="D17" s="106">
        <v>42972</v>
      </c>
      <c r="E17" s="106">
        <v>42980</v>
      </c>
      <c r="F17" s="106">
        <v>43285</v>
      </c>
      <c r="G17" t="s">
        <v>175</v>
      </c>
      <c r="H17" t="s">
        <v>183</v>
      </c>
      <c r="I17">
        <v>1</v>
      </c>
      <c r="J17">
        <v>117</v>
      </c>
      <c r="K17">
        <v>469807022</v>
      </c>
      <c r="L17" t="s">
        <v>148</v>
      </c>
      <c r="M17" s="83" t="s">
        <v>185</v>
      </c>
      <c r="N17">
        <v>17.100000000000001</v>
      </c>
      <c r="P17">
        <f t="shared" si="0"/>
        <v>22.031100000000002</v>
      </c>
      <c r="Q17">
        <v>24.21</v>
      </c>
      <c r="S17">
        <v>4</v>
      </c>
      <c r="U17">
        <v>4</v>
      </c>
      <c r="V17">
        <v>135</v>
      </c>
      <c r="X17">
        <v>4.1399999999999997</v>
      </c>
      <c r="Y17">
        <v>7.66</v>
      </c>
      <c r="Z17">
        <v>48.99</v>
      </c>
      <c r="AA17">
        <v>19.37</v>
      </c>
      <c r="AB17">
        <f t="shared" si="1"/>
        <v>37.97294648108214</v>
      </c>
      <c r="AC17">
        <v>19.55</v>
      </c>
    </row>
    <row r="18" spans="1:29">
      <c r="A18">
        <v>2018</v>
      </c>
      <c r="B18" t="s">
        <v>200</v>
      </c>
      <c r="C18" t="s">
        <v>159</v>
      </c>
      <c r="D18" s="106">
        <v>42972</v>
      </c>
      <c r="E18" s="106">
        <v>42980</v>
      </c>
      <c r="F18" s="106">
        <v>43285</v>
      </c>
      <c r="G18" t="s">
        <v>176</v>
      </c>
      <c r="H18" t="s">
        <v>183</v>
      </c>
      <c r="I18">
        <v>2</v>
      </c>
      <c r="J18">
        <v>117</v>
      </c>
      <c r="K18">
        <v>469807037</v>
      </c>
      <c r="L18" t="s">
        <v>148</v>
      </c>
      <c r="M18" s="83" t="s">
        <v>185</v>
      </c>
      <c r="N18">
        <v>17.100000000000001</v>
      </c>
      <c r="P18">
        <f t="shared" si="0"/>
        <v>22.7773</v>
      </c>
      <c r="Q18">
        <v>25.03</v>
      </c>
      <c r="S18">
        <v>4</v>
      </c>
      <c r="U18">
        <v>4</v>
      </c>
      <c r="V18">
        <v>155</v>
      </c>
      <c r="X18">
        <v>4.28</v>
      </c>
      <c r="Y18">
        <v>7.38</v>
      </c>
      <c r="Z18">
        <v>49.35</v>
      </c>
      <c r="AA18">
        <v>18.28</v>
      </c>
      <c r="AB18">
        <f t="shared" si="1"/>
        <v>36.090819348469893</v>
      </c>
      <c r="AC18">
        <v>16.66</v>
      </c>
    </row>
    <row r="19" spans="1:29">
      <c r="A19">
        <v>2018</v>
      </c>
      <c r="B19" t="s">
        <v>200</v>
      </c>
      <c r="C19" t="s">
        <v>159</v>
      </c>
      <c r="D19" s="106">
        <v>42972</v>
      </c>
      <c r="E19" s="106">
        <v>42980</v>
      </c>
      <c r="F19" s="106">
        <v>43285</v>
      </c>
      <c r="G19" t="s">
        <v>177</v>
      </c>
      <c r="H19" t="s">
        <v>183</v>
      </c>
      <c r="I19">
        <v>1</v>
      </c>
      <c r="J19">
        <v>118</v>
      </c>
      <c r="K19">
        <v>469804033</v>
      </c>
      <c r="L19" t="s">
        <v>149</v>
      </c>
      <c r="M19" s="83" t="s">
        <v>185</v>
      </c>
      <c r="N19">
        <v>17.100000000000001</v>
      </c>
      <c r="P19">
        <f t="shared" si="0"/>
        <v>25.971399999999999</v>
      </c>
      <c r="Q19">
        <v>28.54</v>
      </c>
      <c r="S19">
        <v>6</v>
      </c>
      <c r="U19">
        <v>5</v>
      </c>
      <c r="V19">
        <v>140</v>
      </c>
      <c r="X19">
        <v>4.88</v>
      </c>
      <c r="Y19">
        <v>6.77</v>
      </c>
      <c r="Z19">
        <v>48.87</v>
      </c>
      <c r="AA19">
        <v>18.510000000000002</v>
      </c>
      <c r="AB19">
        <f t="shared" si="1"/>
        <v>36.201838451007241</v>
      </c>
      <c r="AC19">
        <v>16.87</v>
      </c>
    </row>
    <row r="20" spans="1:29">
      <c r="A20">
        <v>2018</v>
      </c>
      <c r="B20" t="s">
        <v>200</v>
      </c>
      <c r="C20" t="s">
        <v>159</v>
      </c>
      <c r="D20" s="106">
        <v>42972</v>
      </c>
      <c r="E20" s="106">
        <v>42980</v>
      </c>
      <c r="F20" s="106">
        <v>43285</v>
      </c>
      <c r="G20" t="s">
        <v>178</v>
      </c>
      <c r="H20" t="s">
        <v>183</v>
      </c>
      <c r="I20">
        <v>2</v>
      </c>
      <c r="J20">
        <v>118</v>
      </c>
      <c r="K20">
        <v>469803036</v>
      </c>
      <c r="L20" t="s">
        <v>149</v>
      </c>
      <c r="M20" s="83" t="s">
        <v>185</v>
      </c>
      <c r="N20">
        <v>17.100000000000001</v>
      </c>
      <c r="S20">
        <v>7</v>
      </c>
    </row>
    <row r="21" spans="1:29">
      <c r="A21">
        <v>2018</v>
      </c>
      <c r="B21" t="s">
        <v>200</v>
      </c>
      <c r="C21" t="s">
        <v>159</v>
      </c>
      <c r="D21" s="106">
        <v>42972</v>
      </c>
      <c r="E21" s="106">
        <v>42980</v>
      </c>
      <c r="F21" s="106">
        <v>43285</v>
      </c>
      <c r="G21" t="s">
        <v>179</v>
      </c>
      <c r="H21" t="s">
        <v>183</v>
      </c>
      <c r="I21">
        <v>1</v>
      </c>
      <c r="J21">
        <v>119</v>
      </c>
      <c r="K21">
        <v>469801022</v>
      </c>
      <c r="L21" t="s">
        <v>150</v>
      </c>
      <c r="M21" s="83" t="s">
        <v>184</v>
      </c>
      <c r="N21">
        <v>17.100000000000001</v>
      </c>
      <c r="O21">
        <v>1.3844738166676662</v>
      </c>
      <c r="P21">
        <f t="shared" si="0"/>
        <v>26.499200000000002</v>
      </c>
      <c r="Q21">
        <v>29.12</v>
      </c>
      <c r="S21">
        <v>3</v>
      </c>
      <c r="U21">
        <v>4</v>
      </c>
      <c r="V21">
        <v>135</v>
      </c>
      <c r="X21">
        <v>4.9800000000000004</v>
      </c>
      <c r="Y21">
        <v>7.76</v>
      </c>
      <c r="Z21">
        <v>47.55</v>
      </c>
      <c r="AA21">
        <v>19.52</v>
      </c>
      <c r="AB21">
        <f t="shared" si="1"/>
        <v>37.21639656816015</v>
      </c>
      <c r="AC21">
        <v>14.78</v>
      </c>
    </row>
    <row r="22" spans="1:29">
      <c r="A22">
        <v>2018</v>
      </c>
      <c r="B22" t="s">
        <v>200</v>
      </c>
      <c r="C22" t="s">
        <v>159</v>
      </c>
      <c r="D22" s="106">
        <v>42972</v>
      </c>
      <c r="E22" s="106">
        <v>42980</v>
      </c>
      <c r="F22" s="106">
        <v>43285</v>
      </c>
      <c r="G22" t="s">
        <v>180</v>
      </c>
      <c r="H22" t="s">
        <v>183</v>
      </c>
      <c r="I22">
        <v>2</v>
      </c>
      <c r="J22">
        <v>119</v>
      </c>
      <c r="K22">
        <v>469806036</v>
      </c>
      <c r="L22" t="s">
        <v>150</v>
      </c>
      <c r="M22" s="83" t="s">
        <v>184</v>
      </c>
      <c r="N22">
        <v>17.100000000000001</v>
      </c>
      <c r="P22">
        <f t="shared" si="0"/>
        <v>23.623600000000003</v>
      </c>
      <c r="Q22">
        <v>25.96</v>
      </c>
      <c r="S22">
        <v>5</v>
      </c>
      <c r="U22">
        <v>5</v>
      </c>
      <c r="V22">
        <v>130</v>
      </c>
      <c r="X22">
        <v>4.4400000000000004</v>
      </c>
      <c r="Y22">
        <v>7.45</v>
      </c>
      <c r="Z22">
        <v>47.81</v>
      </c>
      <c r="AA22">
        <v>19.010000000000002</v>
      </c>
      <c r="AB22">
        <f t="shared" si="1"/>
        <v>36.42460241425561</v>
      </c>
      <c r="AC22">
        <v>14.76</v>
      </c>
    </row>
    <row r="23" spans="1:29">
      <c r="A23">
        <v>2018</v>
      </c>
      <c r="B23" t="s">
        <v>200</v>
      </c>
      <c r="C23" t="s">
        <v>159</v>
      </c>
      <c r="D23" s="106">
        <v>42972</v>
      </c>
      <c r="E23" s="106">
        <v>42980</v>
      </c>
      <c r="F23" s="106">
        <v>43285</v>
      </c>
      <c r="G23" t="s">
        <v>181</v>
      </c>
      <c r="H23" t="s">
        <v>183</v>
      </c>
      <c r="I23">
        <v>1</v>
      </c>
      <c r="J23">
        <v>120</v>
      </c>
      <c r="K23">
        <v>469802028</v>
      </c>
      <c r="L23" t="s">
        <v>151</v>
      </c>
      <c r="M23" s="83" t="s">
        <v>184</v>
      </c>
      <c r="N23">
        <v>17.100000000000001</v>
      </c>
      <c r="O23">
        <v>0.98480316747106877</v>
      </c>
      <c r="P23">
        <f t="shared" si="0"/>
        <v>17.026100000000003</v>
      </c>
      <c r="Q23">
        <v>18.71</v>
      </c>
      <c r="S23">
        <v>6</v>
      </c>
      <c r="U23">
        <v>4</v>
      </c>
      <c r="V23">
        <v>110</v>
      </c>
      <c r="X23">
        <v>3.2</v>
      </c>
      <c r="Y23">
        <v>7.75</v>
      </c>
      <c r="Z23">
        <v>47.93</v>
      </c>
      <c r="AA23">
        <v>19.579999999999998</v>
      </c>
      <c r="AB23">
        <f t="shared" si="1"/>
        <v>37.60322642596504</v>
      </c>
      <c r="AC23">
        <v>13.02</v>
      </c>
    </row>
    <row r="24" spans="1:29">
      <c r="A24">
        <v>2018</v>
      </c>
      <c r="B24" t="s">
        <v>200</v>
      </c>
      <c r="C24" t="s">
        <v>159</v>
      </c>
      <c r="D24" s="106">
        <v>42972</v>
      </c>
      <c r="E24" s="106">
        <v>42980</v>
      </c>
      <c r="F24" s="106">
        <v>43285</v>
      </c>
      <c r="G24" t="s">
        <v>182</v>
      </c>
      <c r="H24" t="s">
        <v>183</v>
      </c>
      <c r="I24">
        <v>2</v>
      </c>
      <c r="J24">
        <v>120</v>
      </c>
      <c r="K24">
        <v>469805038</v>
      </c>
      <c r="L24" t="s">
        <v>151</v>
      </c>
      <c r="M24" s="83" t="s">
        <v>184</v>
      </c>
      <c r="N24">
        <v>17.100000000000001</v>
      </c>
      <c r="S24">
        <v>7</v>
      </c>
    </row>
  </sheetData>
  <autoFilter ref="A1:AD24" xr:uid="{2C328F00-7637-45DD-8C4B-4CBB9CA7A977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2:I7"/>
  <sheetViews>
    <sheetView workbookViewId="0">
      <selection activeCell="H29" sqref="H29"/>
    </sheetView>
  </sheetViews>
  <sheetFormatPr baseColWidth="10" defaultRowHeight="14.5"/>
  <sheetData>
    <row r="2" spans="1:9">
      <c r="A2" s="152" t="s">
        <v>93</v>
      </c>
      <c r="B2" s="152"/>
      <c r="C2" s="152"/>
      <c r="D2" s="152"/>
      <c r="E2" s="152"/>
      <c r="F2" s="152"/>
      <c r="G2" s="152"/>
      <c r="H2" s="152"/>
      <c r="I2" s="152"/>
    </row>
    <row r="3" spans="1:9">
      <c r="A3" s="152"/>
      <c r="B3" s="152"/>
      <c r="C3" s="152"/>
      <c r="D3" s="152"/>
      <c r="E3" s="152"/>
      <c r="F3" s="152"/>
      <c r="G3" s="152"/>
      <c r="H3" s="152"/>
      <c r="I3" s="152"/>
    </row>
    <row r="4" spans="1:9">
      <c r="A4" s="152"/>
      <c r="B4" s="152"/>
      <c r="C4" s="152"/>
      <c r="D4" s="152"/>
      <c r="E4" s="152"/>
      <c r="F4" s="152"/>
      <c r="G4" s="152"/>
      <c r="H4" s="152"/>
      <c r="I4" s="152"/>
    </row>
    <row r="5" spans="1:9">
      <c r="A5" s="152"/>
      <c r="B5" s="152"/>
      <c r="C5" s="152"/>
      <c r="D5" s="152"/>
      <c r="E5" s="152"/>
      <c r="F5" s="152"/>
      <c r="G5" s="152"/>
      <c r="H5" s="152"/>
      <c r="I5" s="152"/>
    </row>
    <row r="6" spans="1:9">
      <c r="A6" s="152"/>
      <c r="B6" s="152"/>
      <c r="C6" s="152"/>
      <c r="D6" s="152"/>
      <c r="E6" s="152"/>
      <c r="F6" s="152"/>
      <c r="G6" s="152"/>
      <c r="H6" s="152"/>
      <c r="I6" s="152"/>
    </row>
    <row r="7" spans="1:9">
      <c r="A7" s="152"/>
      <c r="B7" s="152"/>
      <c r="C7" s="152"/>
      <c r="D7" s="152"/>
      <c r="E7" s="152"/>
      <c r="F7" s="152"/>
      <c r="G7" s="152"/>
      <c r="H7" s="152"/>
      <c r="I7" s="152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Administrator</cp:lastModifiedBy>
  <dcterms:created xsi:type="dcterms:W3CDTF">2018-02-01T08:48:39Z</dcterms:created>
  <dcterms:modified xsi:type="dcterms:W3CDTF">2018-10-15T13:19:48Z</dcterms:modified>
</cp:coreProperties>
</file>