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AD_ME" sheetId="1" state="visible" r:id="rId3"/>
    <sheet name="TRIAL" sheetId="2" state="visible" r:id="rId4"/>
    <sheet name="Parcellaire_Data" sheetId="3" state="visible" r:id="rId5"/>
    <sheet name="Plant_Material" sheetId="4" state="visible" r:id="rId6"/>
    <sheet name="SOIL_DATA" sheetId="5" state="visible" r:id="rId7"/>
    <sheet name="INN_DATA" sheetId="6" state="visible" r:id="rId8"/>
    <sheet name="PHENO_DATA" sheetId="7" state="visible" r:id="rId9"/>
    <sheet name="METEO_DATA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YOUNOUS</author>
    <author>younous</author>
  </authors>
  <commentList>
    <comment ref="H1" authorId="1">
      <text>
        <r>
          <rPr>
            <sz val="10"/>
            <rFont val="Arial"/>
            <family val="2"/>
          </rPr>
          <t xml:space="preserve">N + ou N - </t>
        </r>
      </text>
    </comment>
    <comment ref="M1" authorId="1">
      <text>
        <r>
          <rPr>
            <sz val="10"/>
            <rFont val="Arial"/>
            <family val="2"/>
          </rPr>
          <t xml:space="preserve">Témoin ou génotype</t>
        </r>
      </text>
    </comment>
    <comment ref="N1" authorId="1">
      <text>
        <r>
          <rPr>
            <sz val="10"/>
            <rFont val="Arial"/>
            <family val="2"/>
          </rPr>
          <t xml:space="preserve">taille de la parcelle récoltée
</t>
        </r>
      </text>
    </comment>
    <comment ref="P1" authorId="1">
      <text>
        <r>
          <rPr>
            <sz val="10"/>
            <rFont val="Arial"/>
            <family val="2"/>
          </rPr>
          <t xml:space="preserve">Rendement à 0% d'humidité)
</t>
        </r>
      </text>
    </comment>
    <comment ref="Q1" authorId="1">
      <text>
        <r>
          <rPr>
            <sz val="10"/>
            <rFont val="Arial"/>
            <family val="2"/>
          </rPr>
          <t xml:space="preserve">rendement aux normes (9%)</t>
        </r>
      </text>
    </comment>
    <comment ref="R1" authorId="1">
      <text>
        <r>
          <rPr>
            <sz val="10"/>
            <rFont val="Arial"/>
            <family val="2"/>
          </rPr>
          <t xml:space="preserve">Peuplement parcellaire</t>
        </r>
      </text>
    </comment>
    <comment ref="S1" authorId="1">
      <text>
        <r>
          <rPr>
            <sz val="10"/>
            <rFont val="Arial"/>
            <family val="2"/>
          </rPr>
          <t xml:space="preserve">Mesure de vigeur sortie hiver</t>
        </r>
      </text>
    </comment>
    <comment ref="T1" authorId="1">
      <text>
        <r>
          <rPr>
            <sz val="10"/>
            <rFont val="Arial"/>
            <family val="2"/>
          </rPr>
          <t xml:space="preserve">DTF en nombre de jour</t>
        </r>
      </text>
    </comment>
    <comment ref="U1" authorId="1">
      <text>
        <r>
          <rPr>
            <sz val="10"/>
            <rFont val="Arial"/>
            <family val="2"/>
          </rPr>
          <t xml:space="preserve">Hauteur Plante</t>
        </r>
      </text>
    </comment>
    <comment ref="V1" authorId="1">
      <text>
        <r>
          <rPr>
            <sz val="10"/>
            <rFont val="Arial"/>
            <family val="2"/>
          </rPr>
          <t xml:space="preserve">Fin Floraison</t>
        </r>
      </text>
    </comment>
    <comment ref="W1" authorId="1">
      <text>
        <r>
          <rPr>
            <sz val="10"/>
            <rFont val="Arial"/>
            <family val="2"/>
          </rPr>
          <t xml:space="preserve">Biomasse fraîche des grains récoltés</t>
        </r>
      </text>
    </comment>
    <comment ref="X1" authorId="1">
      <text>
        <r>
          <rPr>
            <sz val="10"/>
            <rFont val="Arial"/>
            <family val="2"/>
          </rPr>
          <t xml:space="preserve">teneur en eau du grain à la récolte</t>
        </r>
      </text>
    </comment>
    <comment ref="Y1" authorId="1">
      <text>
        <r>
          <rPr>
            <sz val="10"/>
            <rFont val="Arial"/>
            <family val="2"/>
          </rPr>
          <t xml:space="preserve">Teneur en huile des grains</t>
        </r>
      </text>
    </comment>
    <comment ref="Z1" authorId="1">
      <text>
        <r>
          <rPr>
            <sz val="10"/>
            <rFont val="Arial"/>
            <family val="2"/>
          </rPr>
          <t xml:space="preserve">Teneur en protéines des grains</t>
        </r>
      </text>
    </comment>
    <comment ref="AA1" authorId="1">
      <text>
        <r>
          <rPr>
            <sz val="10"/>
            <rFont val="Arial"/>
            <family val="2"/>
          </rPr>
          <t xml:space="preserve">Teneur en protéine de la graine deshuilée</t>
        </r>
      </text>
    </comment>
    <comment ref="AB1" authorId="1">
      <text>
        <r>
          <rPr>
            <sz val="10"/>
            <rFont val="Arial"/>
            <family val="2"/>
          </rPr>
          <t xml:space="preserve">Teneur en glucosinolate</t>
        </r>
      </text>
    </comment>
    <comment ref="AC1" authorId="1">
      <text>
        <r>
          <rPr>
            <sz val="10"/>
            <rFont val="Arial"/>
            <family val="2"/>
          </rPr>
          <t xml:space="preserve">Poids de 1000 grains</t>
        </r>
      </text>
    </comment>
    <comment ref="AD1" authorId="0">
      <text>
        <r>
          <rPr>
            <sz val="10"/>
            <rFont val="Arial"/>
            <family val="2"/>
          </rPr>
          <t xml:space="preserve">Additionnel =&gt; Validité estimé de la parcelle sortie hiver. 1=&gt; Valide , 2 douteux, 3 parcelle out
</t>
        </r>
      </text>
    </comment>
  </commentList>
</comments>
</file>

<file path=xl/sharedStrings.xml><?xml version="1.0" encoding="utf-8"?>
<sst xmlns="http://schemas.openxmlformats.org/spreadsheetml/2006/main" count="588" uniqueCount="237">
  <si>
    <t xml:space="preserve">READ ME</t>
  </si>
  <si>
    <t xml:space="preserve">AUTEUR</t>
  </si>
  <si>
    <t xml:space="preserve">Johanna Younous</t>
  </si>
  <si>
    <t xml:space="preserve">CONTACT MAIL</t>
  </si>
  <si>
    <t xml:space="preserve">johanna.younous@euralis.com</t>
  </si>
  <si>
    <t xml:space="preserve">NOM DU FICHIER</t>
  </si>
  <si>
    <t xml:space="preserve">DATE DE CREATION</t>
  </si>
  <si>
    <t xml:space="preserve">PROJET</t>
  </si>
  <si>
    <t xml:space="preserve">RAPSODYN</t>
  </si>
  <si>
    <t xml:space="preserve">WORK_PACKAGE</t>
  </si>
  <si>
    <t xml:space="preserve">WP4</t>
  </si>
  <si>
    <t xml:space="preserve">VERSION</t>
  </si>
  <si>
    <t xml:space="preserve">Description</t>
  </si>
  <si>
    <t xml:space="preserve">Commentaire</t>
  </si>
  <si>
    <t xml:space="preserve">MODIFICATION</t>
  </si>
  <si>
    <t xml:space="preserve">TRIAL_BASIC_INFO</t>
  </si>
  <si>
    <t xml:space="preserve">Bilan</t>
  </si>
  <si>
    <t xml:space="preserve">Objectif rendement</t>
  </si>
  <si>
    <t xml:space="preserve">Relicat post récolte</t>
  </si>
  <si>
    <t xml:space="preserve">besoins culture (7)</t>
  </si>
  <si>
    <t xml:space="preserve">Relicat sortie hiver</t>
  </si>
  <si>
    <t xml:space="preserve">Effet du précédent</t>
  </si>
  <si>
    <t xml:space="preserve">Azote absorbé hiver</t>
  </si>
  <si>
    <t xml:space="preserve">Mineralisation nette sortie hiver</t>
  </si>
  <si>
    <t xml:space="preserve">Utilisation engrais organiques</t>
  </si>
  <si>
    <t xml:space="preserve">Effet Prairie</t>
  </si>
  <si>
    <t xml:space="preserve">Fourniture du sol - Kg/Ha</t>
  </si>
  <si>
    <t xml:space="preserve">Apport necessaire théorique</t>
  </si>
  <si>
    <t xml:space="preserve">quantité N apporté</t>
  </si>
  <si>
    <t xml:space="preserve">TRIAL_NAME</t>
  </si>
  <si>
    <t xml:space="preserve">BLO</t>
  </si>
  <si>
    <t xml:space="preserve">N+</t>
  </si>
  <si>
    <t xml:space="preserve">Date_Begin</t>
  </si>
  <si>
    <t xml:space="preserve">N-</t>
  </si>
  <si>
    <t xml:space="preserve">Date_End</t>
  </si>
  <si>
    <t xml:space="preserve">Trial_Comments</t>
  </si>
  <si>
    <t xml:space="preserve">Contact_Name</t>
  </si>
  <si>
    <t xml:space="preserve">Contact_Phone</t>
  </si>
  <si>
    <t xml:space="preserve">0682239380</t>
  </si>
  <si>
    <t xml:space="preserve">Contact_email</t>
  </si>
  <si>
    <t xml:space="preserve">johanna.younous@gmail.com</t>
  </si>
  <si>
    <t xml:space="preserve">TRIAL_LOCALISATION_INFO</t>
  </si>
  <si>
    <t xml:space="preserve">SITE_NAME</t>
  </si>
  <si>
    <t xml:space="preserve">Latitude</t>
  </si>
  <si>
    <t xml:space="preserve">Longitude</t>
  </si>
  <si>
    <t xml:space="preserve">TRIAL_ITK</t>
  </si>
  <si>
    <t xml:space="preserve">N1_Treatment</t>
  </si>
  <si>
    <t xml:space="preserve">N2_Treatment</t>
  </si>
  <si>
    <t xml:space="preserve">TRIAL_Design</t>
  </si>
  <si>
    <t xml:space="preserve">Sowing Date</t>
  </si>
  <si>
    <t xml:space="preserve">Fertilisation_Date_1</t>
  </si>
  <si>
    <t xml:space="preserve">Fertilisation_Date_2</t>
  </si>
  <si>
    <t xml:space="preserve">Fertilisation_Date_3</t>
  </si>
  <si>
    <t xml:space="preserve">Harvest</t>
  </si>
  <si>
    <t xml:space="preserve">ANNEE : 18</t>
  </si>
  <si>
    <t xml:space="preserve">LIEU : BLO</t>
  </si>
  <si>
    <t xml:space="preserve">X-&gt;</t>
  </si>
  <si>
    <t xml:space="preserve">RAPSO_302</t>
  </si>
  <si>
    <t xml:space="preserve">RAPSO_294</t>
  </si>
  <si>
    <t xml:space="preserve">RAPSO_305</t>
  </si>
  <si>
    <t xml:space="preserve">RAPSO_318</t>
  </si>
  <si>
    <t xml:space="preserve">RAPSO_330</t>
  </si>
  <si>
    <t xml:space="preserve">RAPSO_472</t>
  </si>
  <si>
    <t xml:space="preserve">RAPSO_312</t>
  </si>
  <si>
    <t xml:space="preserve">RAPSO_315</t>
  </si>
  <si>
    <t xml:space="preserve">RAPSO_316</t>
  </si>
  <si>
    <t xml:space="preserve">RAPSO_325</t>
  </si>
  <si>
    <t xml:space="preserve">Aviso</t>
  </si>
  <si>
    <t xml:space="preserve">Montego</t>
  </si>
  <si>
    <t xml:space="preserve">Accession_Name</t>
  </si>
  <si>
    <t xml:space="preserve">CODE_RAPSO</t>
  </si>
  <si>
    <t xml:space="preserve">Infos concernant la nature du sol, sa composition, sa profondeur…</t>
  </si>
  <si>
    <t xml:space="preserve">Préciser Unité</t>
  </si>
  <si>
    <t xml:space="preserve">Intitulé</t>
  </si>
  <si>
    <t xml:space="preserve">Résultat [Sur brut] horizon 0-30cm</t>
  </si>
  <si>
    <t xml:space="preserve">Résultat [Sur brut] horizon 30-60cm</t>
  </si>
  <si>
    <t xml:space="preserve">Résultat [Sur brut] horizon  60-90cm</t>
  </si>
  <si>
    <t xml:space="preserve">Argile (&lt; 2 µm)</t>
  </si>
  <si>
    <t xml:space="preserve">Capacité d'Echange Cationique (méthode Metson) (CEC)</t>
  </si>
  <si>
    <t xml:space="preserve">Carbone organique</t>
  </si>
  <si>
    <t xml:space="preserve">Limons fins (2 à 20 µm)</t>
  </si>
  <si>
    <t xml:space="preserve">Limons grossiers (20 à 50 µm)</t>
  </si>
  <si>
    <t xml:space="preserve">Matières Organiques</t>
  </si>
  <si>
    <t xml:space="preserve">pH eau</t>
  </si>
  <si>
    <t xml:space="preserve">Sables fins (50 à 200 µm)</t>
  </si>
  <si>
    <t xml:space="preserve">Sables grossiers (200 à 2000 µm)</t>
  </si>
  <si>
    <t xml:space="preserve">AUTRES INFORMATIONS</t>
  </si>
  <si>
    <t xml:space="preserve">Data</t>
  </si>
  <si>
    <t xml:space="preserve">Profondeur du sol</t>
  </si>
  <si>
    <t xml:space="preserve">Réserve Utile</t>
  </si>
  <si>
    <t xml:space="preserve">Densité apparente</t>
  </si>
  <si>
    <t xml:space="preserve">Texture</t>
  </si>
  <si>
    <t xml:space="preserve">4/5</t>
  </si>
  <si>
    <t xml:space="preserve">1/5</t>
  </si>
  <si>
    <t xml:space="preserve">Total</t>
  </si>
  <si>
    <t xml:space="preserve">N % DUMAS Spécial Ferti</t>
  </si>
  <si>
    <t xml:space="preserve">Manip</t>
  </si>
  <si>
    <t xml:space="preserve">Date</t>
  </si>
  <si>
    <t xml:space="preserve">Y</t>
  </si>
  <si>
    <t xml:space="preserve">X</t>
  </si>
  <si>
    <t xml:space="preserve">Modalite</t>
  </si>
  <si>
    <t xml:space="preserve">Genotype</t>
  </si>
  <si>
    <t xml:space="preserve">Stade</t>
  </si>
  <si>
    <t xml:space="preserve">Nbr</t>
  </si>
  <si>
    <t xml:space="preserve">MF Feuilles (g)</t>
  </si>
  <si>
    <t xml:space="preserve">MF Tige (g)</t>
  </si>
  <si>
    <t xml:space="preserve">% Humidité</t>
  </si>
  <si>
    <t xml:space="preserve">MF Aér</t>
  </si>
  <si>
    <t xml:space="preserve">MS Feuilles (g)</t>
  </si>
  <si>
    <t xml:space="preserve">MS Tige (g)</t>
  </si>
  <si>
    <t xml:space="preserve">MS Aér (g)</t>
  </si>
  <si>
    <t xml:space="preserve">MS Totale (t)</t>
  </si>
  <si>
    <t xml:space="preserve">%N critique</t>
  </si>
  <si>
    <t xml:space="preserve">Feuilles</t>
  </si>
  <si>
    <t xml:space="preserve">Tiges</t>
  </si>
  <si>
    <t xml:space="preserve">Qté N Total</t>
  </si>
  <si>
    <t xml:space="preserve">% Azote MS (1/5)</t>
  </si>
  <si>
    <t xml:space="preserve">INN</t>
  </si>
  <si>
    <t xml:space="preserve">INN3</t>
  </si>
  <si>
    <t xml:space="preserve">17</t>
  </si>
  <si>
    <t xml:space="preserve">200</t>
  </si>
  <si>
    <t xml:space="preserve">171</t>
  </si>
  <si>
    <t xml:space="preserve">18</t>
  </si>
  <si>
    <t xml:space="preserve">253</t>
  </si>
  <si>
    <t xml:space="preserve">214</t>
  </si>
  <si>
    <t xml:space="preserve">De "Parcelle" à "Genotype" = données générales sur l'essai</t>
  </si>
  <si>
    <r>
      <rPr>
        <b val="true"/>
        <sz val="10"/>
        <rFont val="Arial"/>
        <family val="2"/>
        <charset val="1"/>
      </rPr>
      <t xml:space="preserve">Manip</t>
    </r>
    <r>
      <rPr>
        <sz val="10"/>
        <rFont val="Arial"/>
        <family val="2"/>
        <charset val="1"/>
      </rPr>
      <t xml:space="preserve"> = quelle INN</t>
    </r>
  </si>
  <si>
    <r>
      <rPr>
        <b val="true"/>
        <sz val="10"/>
        <rFont val="Arial"/>
        <family val="2"/>
        <charset val="1"/>
      </rPr>
      <t xml:space="preserve">Date</t>
    </r>
    <r>
      <rPr>
        <sz val="10"/>
        <rFont val="Arial"/>
        <family val="2"/>
        <charset val="1"/>
      </rPr>
      <t xml:space="preserve"> = date de prélèvement</t>
    </r>
  </si>
  <si>
    <r>
      <rPr>
        <b val="true"/>
        <sz val="10"/>
        <rFont val="Arial"/>
        <family val="2"/>
        <charset val="1"/>
      </rPr>
      <t xml:space="preserve">Stade</t>
    </r>
    <r>
      <rPr>
        <sz val="10"/>
        <rFont val="Arial"/>
        <family val="2"/>
        <charset val="1"/>
      </rPr>
      <t xml:space="preserve"> = stade moyen de la parcelle</t>
    </r>
  </si>
  <si>
    <t xml:space="preserve">Deux échantillons différents sont identifiés : 1/5 des plantes et 4/5 des plantes</t>
  </si>
  <si>
    <t xml:space="preserve">A partir des INN3, une distinction est faite entre les feuilles et le tiges pour les pesées </t>
  </si>
  <si>
    <t xml:space="preserve">et les analyses par SAS pour l'échantillon 1/5</t>
  </si>
  <si>
    <r>
      <rPr>
        <b val="true"/>
        <sz val="10"/>
        <rFont val="Arial"/>
        <family val="2"/>
        <charset val="1"/>
      </rPr>
      <t xml:space="preserve">Nbr</t>
    </r>
    <r>
      <rPr>
        <sz val="10"/>
        <rFont val="Arial"/>
        <family val="2"/>
        <charset val="1"/>
      </rPr>
      <t xml:space="preserve"> = nombre de plantes du prélèvement</t>
    </r>
  </si>
  <si>
    <r>
      <rPr>
        <b val="true"/>
        <sz val="10"/>
        <rFont val="Arial"/>
        <family val="2"/>
        <charset val="1"/>
      </rPr>
      <t xml:space="preserve">MF</t>
    </r>
    <r>
      <rPr>
        <sz val="10"/>
        <rFont val="Arial"/>
        <family val="2"/>
        <charset val="1"/>
      </rPr>
      <t xml:space="preserve"> = matière fraiche du prélèvement en grammes</t>
    </r>
  </si>
  <si>
    <r>
      <rPr>
        <b val="true"/>
        <sz val="10"/>
        <rFont val="Arial"/>
        <family val="2"/>
        <charset val="1"/>
      </rPr>
      <t xml:space="preserve">MS</t>
    </r>
    <r>
      <rPr>
        <sz val="10"/>
        <rFont val="Arial"/>
        <family val="2"/>
        <charset val="1"/>
      </rPr>
      <t xml:space="preserve"> = matière séche du prélèvement en grammes</t>
    </r>
  </si>
  <si>
    <r>
      <rPr>
        <b val="true"/>
        <sz val="10"/>
        <rFont val="Arial"/>
        <family val="2"/>
        <charset val="1"/>
      </rPr>
      <t xml:space="preserve">N % DUMAS Spérial Ferti</t>
    </r>
    <r>
      <rPr>
        <sz val="10"/>
        <rFont val="Arial"/>
        <family val="2"/>
        <charset val="1"/>
      </rPr>
      <t xml:space="preserve"> = pourcentage d'azote dans la plante (résultat laboratoire)</t>
    </r>
  </si>
  <si>
    <r>
      <rPr>
        <b val="true"/>
        <sz val="10"/>
        <rFont val="Arial"/>
        <family val="2"/>
        <charset val="1"/>
      </rPr>
      <t xml:space="preserve">INN</t>
    </r>
    <r>
      <rPr>
        <sz val="10"/>
        <rFont val="Arial"/>
        <family val="2"/>
        <charset val="1"/>
      </rPr>
      <t xml:space="preserve"> = (Qté N tot / MS (1/5) (g)) / %Ncritique</t>
    </r>
  </si>
  <si>
    <t xml:space="preserve">Annee</t>
  </si>
  <si>
    <t xml:space="preserve">Partenaire</t>
  </si>
  <si>
    <t xml:space="preserve">Lieu</t>
  </si>
  <si>
    <t xml:space="preserve">Jour_semis</t>
  </si>
  <si>
    <t xml:space="preserve">Jour_levee</t>
  </si>
  <si>
    <t xml:space="preserve">Jour_recolte</t>
  </si>
  <si>
    <t xml:space="preserve">YYXXX</t>
  </si>
  <si>
    <t xml:space="preserve">Répétition</t>
  </si>
  <si>
    <t xml:space="preserve">N° Entrée</t>
  </si>
  <si>
    <t xml:space="preserve">Numéro de lot</t>
  </si>
  <si>
    <t xml:space="preserve">Code_RAPSO</t>
  </si>
  <si>
    <t xml:space="preserve">Statut</t>
  </si>
  <si>
    <t xml:space="preserve">Plot Size </t>
  </si>
  <si>
    <t xml:space="preserve">INN 3</t>
  </si>
  <si>
    <t xml:space="preserve">SY</t>
  </si>
  <si>
    <r>
      <rPr>
        <b val="true"/>
        <sz val="10"/>
        <color rgb="FFFF0000"/>
        <rFont val="Calibri"/>
        <family val="2"/>
        <charset val="1"/>
      </rPr>
      <t xml:space="preserve">SY </t>
    </r>
    <r>
      <rPr>
        <b val="true"/>
        <vertAlign val="subscript"/>
        <sz val="10"/>
        <color rgb="FFFF0000"/>
        <rFont val="Calibri"/>
        <family val="2"/>
        <charset val="1"/>
      </rPr>
      <t xml:space="preserve">9%_ </t>
    </r>
  </si>
  <si>
    <t xml:space="preserve">Plantdens</t>
  </si>
  <si>
    <t xml:space="preserve">VIGH</t>
  </si>
  <si>
    <t xml:space="preserve">F1/FLO</t>
  </si>
  <si>
    <t xml:space="preserve">Plantsize</t>
  </si>
  <si>
    <t xml:space="preserve">End of flowering time (BBCH 69)</t>
  </si>
  <si>
    <t xml:space="preserve">PGF</t>
  </si>
  <si>
    <t xml:space="preserve">SdMoist</t>
  </si>
  <si>
    <t xml:space="preserve">OIL</t>
  </si>
  <si>
    <t xml:space="preserve">SdProt</t>
  </si>
  <si>
    <t xml:space="preserve">PNRD</t>
  </si>
  <si>
    <t xml:space="preserve">SdGLS</t>
  </si>
  <si>
    <t xml:space="preserve">TSW</t>
  </si>
  <si>
    <t xml:space="preserve">VAL1</t>
  </si>
  <si>
    <t xml:space="preserve">Eura</t>
  </si>
  <si>
    <t xml:space="preserve">17171</t>
  </si>
  <si>
    <t xml:space="preserve">R17L0072</t>
  </si>
  <si>
    <t xml:space="preserve">aviso</t>
  </si>
  <si>
    <t xml:space="preserve">T</t>
  </si>
  <si>
    <t xml:space="preserve">1</t>
  </si>
  <si>
    <t xml:space="preserve">17175</t>
  </si>
  <si>
    <t xml:space="preserve">X14T24MB</t>
  </si>
  <si>
    <t xml:space="preserve">17179</t>
  </si>
  <si>
    <t xml:space="preserve">R17L0054</t>
  </si>
  <si>
    <t xml:space="preserve">17192</t>
  </si>
  <si>
    <t xml:space="preserve">R17L0048</t>
  </si>
  <si>
    <t xml:space="preserve">17196</t>
  </si>
  <si>
    <t xml:space="preserve">R17L0050</t>
  </si>
  <si>
    <t xml:space="preserve">17200</t>
  </si>
  <si>
    <t xml:space="preserve">R17L0073</t>
  </si>
  <si>
    <t xml:space="preserve">montego</t>
  </si>
  <si>
    <t xml:space="preserve">17216</t>
  </si>
  <si>
    <t xml:space="preserve">X16T09MB</t>
  </si>
  <si>
    <t xml:space="preserve">3B</t>
  </si>
  <si>
    <t xml:space="preserve">pas d'échantillon</t>
  </si>
  <si>
    <t xml:space="preserve">17220</t>
  </si>
  <si>
    <t xml:space="preserve">17224</t>
  </si>
  <si>
    <t xml:space="preserve">R17L0055</t>
  </si>
  <si>
    <t xml:space="preserve">17228</t>
  </si>
  <si>
    <t xml:space="preserve">17232</t>
  </si>
  <si>
    <t xml:space="preserve">R17L0053</t>
  </si>
  <si>
    <t xml:space="preserve">17239</t>
  </si>
  <si>
    <t xml:space="preserve">R17L0049</t>
  </si>
  <si>
    <t xml:space="preserve">17243</t>
  </si>
  <si>
    <t xml:space="preserve">17245</t>
  </si>
  <si>
    <t xml:space="preserve">18169</t>
  </si>
  <si>
    <t xml:space="preserve">18173</t>
  </si>
  <si>
    <t xml:space="preserve">18177</t>
  </si>
  <si>
    <t xml:space="preserve">18183</t>
  </si>
  <si>
    <t xml:space="preserve">18191</t>
  </si>
  <si>
    <t xml:space="preserve">R17L0051</t>
  </si>
  <si>
    <t xml:space="preserve">2</t>
  </si>
  <si>
    <t xml:space="preserve">18195</t>
  </si>
  <si>
    <t xml:space="preserve">R17L0052</t>
  </si>
  <si>
    <t xml:space="preserve">3</t>
  </si>
  <si>
    <t xml:space="preserve">18214</t>
  </si>
  <si>
    <t xml:space="preserve">18240</t>
  </si>
  <si>
    <t xml:space="preserve">18244</t>
  </si>
  <si>
    <t xml:space="preserve">18253</t>
  </si>
  <si>
    <t xml:space="preserve">Plot mix, no PB nor quality data</t>
  </si>
  <si>
    <t xml:space="preserve">19167</t>
  </si>
  <si>
    <t xml:space="preserve">19171</t>
  </si>
  <si>
    <t xml:space="preserve">19175</t>
  </si>
  <si>
    <t xml:space="preserve">19179</t>
  </si>
  <si>
    <t xml:space="preserve">19190</t>
  </si>
  <si>
    <t xml:space="preserve">19192</t>
  </si>
  <si>
    <t xml:space="preserve">19196</t>
  </si>
  <si>
    <t xml:space="preserve">19198</t>
  </si>
  <si>
    <t xml:space="preserve">19224</t>
  </si>
  <si>
    <t xml:space="preserve">19228</t>
  </si>
  <si>
    <t xml:space="preserve">19232</t>
  </si>
  <si>
    <t xml:space="preserve">19245</t>
  </si>
  <si>
    <t xml:space="preserve">19249</t>
  </si>
  <si>
    <t xml:space="preserve">19253</t>
  </si>
  <si>
    <t xml:space="preserve">20169</t>
  </si>
  <si>
    <t xml:space="preserve">20177</t>
  </si>
  <si>
    <t xml:space="preserve">20183</t>
  </si>
  <si>
    <t xml:space="preserve">20191</t>
  </si>
  <si>
    <t xml:space="preserve">20222</t>
  </si>
  <si>
    <t xml:space="preserve">20226</t>
  </si>
  <si>
    <t xml:space="preserve">20230</t>
  </si>
  <si>
    <t xml:space="preserve">20236</t>
  </si>
  <si>
    <t xml:space="preserve">20244</t>
  </si>
  <si>
    <t xml:space="preserve">20248</t>
  </si>
  <si>
    <t xml:space="preserve">A AJOUTER EN COMPLEMENT D'INFORMATION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</si>
</sst>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_(\$* #,##0.00_);_(\$* \(#,##0.00\);_(\$* \-??_);_(@_)"/>
    <numFmt numFmtId="166" formatCode="dd/mm/yyyy"/>
    <numFmt numFmtId="167" formatCode="00"/>
    <numFmt numFmtId="168" formatCode="000"/>
    <numFmt numFmtId="169" formatCode="@"/>
    <numFmt numFmtId="170" formatCode="0\ %"/>
    <numFmt numFmtId="171" formatCode="0.00"/>
    <numFmt numFmtId="172" formatCode="0.0"/>
    <numFmt numFmtId="173" formatCode="0.0000"/>
    <numFmt numFmtId="174" formatCode="_-* #,##0.00\ _€_-;\-* #,##0.00\ _€_-;_-* \-??\ _€_-;_-@_-"/>
    <numFmt numFmtId="175" formatCode=".0"/>
    <numFmt numFmtId="176" formatCode=".00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rgb="FF333333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1"/>
      <color rgb="FFFF9900"/>
      <name val="Calibri"/>
      <family val="2"/>
      <charset val="1"/>
    </font>
    <font>
      <b val="true"/>
      <sz val="11"/>
      <color rgb="FFFA7D00"/>
      <name val="Calibri"/>
      <family val="2"/>
      <charset val="1"/>
    </font>
    <font>
      <sz val="11"/>
      <color rgb="FFFA7D00"/>
      <name val="Calibri"/>
      <family val="2"/>
      <charset val="1"/>
    </font>
    <font>
      <sz val="11"/>
      <color rgb="FF333399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3F3F76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i val="true"/>
      <sz val="11"/>
      <color rgb="FF80808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FF99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0"/>
      <name val="Arial"/>
      <family val="2"/>
      <charset val="1"/>
    </font>
    <font>
      <b val="true"/>
      <sz val="15"/>
      <color rgb="FF003366"/>
      <name val="Calibri"/>
      <family val="2"/>
      <charset val="1"/>
    </font>
    <font>
      <b val="true"/>
      <sz val="13"/>
      <color rgb="FF003366"/>
      <name val="Calibri"/>
      <family val="2"/>
      <charset val="1"/>
    </font>
    <font>
      <b val="true"/>
      <sz val="11"/>
      <color rgb="FF003366"/>
      <name val="Calibri"/>
      <family val="2"/>
      <charset val="1"/>
    </font>
    <font>
      <sz val="11"/>
      <color rgb="FF993300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sz val="10"/>
      <name val="Tahoma"/>
      <family val="2"/>
      <charset val="1"/>
    </font>
    <font>
      <sz val="9"/>
      <name val="Geneva"/>
      <family val="2"/>
      <charset val="1"/>
    </font>
    <font>
      <sz val="11"/>
      <color rgb="FF006100"/>
      <name val="Calibri"/>
      <family val="2"/>
      <charset val="1"/>
    </font>
    <font>
      <sz val="11"/>
      <color rgb="FF800080"/>
      <name val="Calibri"/>
      <family val="2"/>
      <charset val="1"/>
    </font>
    <font>
      <b val="true"/>
      <sz val="11"/>
      <color rgb="FF3F3F3F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5"/>
      <color theme="3"/>
      <name val="Calibri"/>
      <family val="2"/>
      <charset val="1"/>
    </font>
    <font>
      <b val="true"/>
      <sz val="13"/>
      <color theme="3"/>
      <name val="Calibri"/>
      <family val="2"/>
      <charset val="1"/>
    </font>
    <font>
      <b val="true"/>
      <sz val="11"/>
      <color theme="3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8"/>
      <color rgb="FF003366"/>
      <name val="Cambria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6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8"/>
      <color theme="1"/>
      <name val="Calibri"/>
      <family val="2"/>
      <charset val="1"/>
    </font>
    <font>
      <b val="true"/>
      <sz val="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 val="true"/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color rgb="FF666699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2"/>
      <name val="Arial"/>
      <family val="2"/>
      <charset val="1"/>
    </font>
    <font>
      <b val="true"/>
      <sz val="12"/>
      <name val="Geneva"/>
      <family val="0"/>
      <charset val="1"/>
    </font>
    <font>
      <sz val="9"/>
      <color theme="1"/>
      <name val="Calibri"/>
      <family val="2"/>
      <charset val="1"/>
    </font>
    <font>
      <b val="true"/>
      <sz val="10"/>
      <color rgb="FFFF0000"/>
      <name val="Calibri"/>
      <family val="2"/>
      <charset val="1"/>
    </font>
    <font>
      <b val="true"/>
      <vertAlign val="subscript"/>
      <sz val="10"/>
      <color rgb="FFFF0000"/>
      <name val="Calibri"/>
      <family val="2"/>
      <charset val="1"/>
    </font>
    <font>
      <b val="true"/>
      <i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sz val="10"/>
      <name val="Arial"/>
      <family val="2"/>
    </font>
  </fonts>
  <fills count="57">
    <fill>
      <patternFill patternType="none"/>
    </fill>
    <fill>
      <patternFill patternType="gray125"/>
    </fill>
    <fill>
      <patternFill patternType="solid">
        <fgColor rgb="FFCCCCFF"/>
        <bgColor rgb="FFB8D2EC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6ECC5"/>
      </patternFill>
    </fill>
    <fill>
      <patternFill patternType="solid">
        <fgColor rgb="FFCC99FF"/>
        <bgColor rgb="FFFF99CC"/>
      </patternFill>
    </fill>
    <fill>
      <patternFill patternType="darkGray">
        <fgColor rgb="FFC0FFFF"/>
        <bgColor rgb="FFCCFFCC"/>
      </patternFill>
    </fill>
    <fill>
      <patternFill patternType="solid">
        <fgColor rgb="FFFFCA96"/>
        <bgColor rgb="FFF8CBAD"/>
      </patternFill>
    </fill>
    <fill>
      <patternFill patternType="solid">
        <fgColor theme="4" tint="0.7999"/>
        <bgColor rgb="FFE2F0D9"/>
      </patternFill>
    </fill>
    <fill>
      <patternFill patternType="solid">
        <fgColor theme="5" tint="0.7999"/>
        <bgColor rgb="FFFFF2CC"/>
      </patternFill>
    </fill>
    <fill>
      <patternFill patternType="darkGray">
        <fgColor theme="6" tint="0.7999"/>
        <bgColor rgb="FFDEEBF7"/>
      </patternFill>
    </fill>
    <fill>
      <patternFill patternType="solid">
        <fgColor theme="7" tint="0.7999"/>
        <bgColor rgb="FFFFFFCC"/>
      </patternFill>
    </fill>
    <fill>
      <patternFill patternType="mediumGray">
        <fgColor theme="8" tint="0.7999"/>
        <bgColor rgb="FFDBDBDB"/>
      </patternFill>
    </fill>
    <fill>
      <patternFill patternType="solid">
        <fgColor theme="9" tint="0.7999"/>
        <bgColor rgb="FFDEEBF7"/>
      </patternFill>
    </fill>
    <fill>
      <patternFill patternType="solid">
        <fgColor rgb="FF99CCFF"/>
        <bgColor rgb="FF96BBE4"/>
      </patternFill>
    </fill>
    <fill>
      <patternFill patternType="solid">
        <fgColor rgb="FFFF8080"/>
        <bgColor rgb="FFED7D31"/>
      </patternFill>
    </fill>
    <fill>
      <patternFill patternType="solid">
        <fgColor rgb="FF00FF00"/>
        <bgColor rgb="FF00B050"/>
      </patternFill>
    </fill>
    <fill>
      <patternFill patternType="solid">
        <fgColor rgb="FFFFCC00"/>
        <bgColor rgb="FFFFC000"/>
      </patternFill>
    </fill>
    <fill>
      <patternFill patternType="solid">
        <fgColor theme="4" tint="0.5999"/>
        <bgColor rgb="FFCCCCFF"/>
      </patternFill>
    </fill>
    <fill>
      <patternFill patternType="solid">
        <fgColor theme="5" tint="0.5999"/>
        <bgColor rgb="FFFFCA96"/>
      </patternFill>
    </fill>
    <fill>
      <patternFill patternType="solid">
        <fgColor theme="6" tint="0.5999"/>
        <bgColor rgb="FFDEEBF7"/>
      </patternFill>
    </fill>
    <fill>
      <patternFill patternType="solid">
        <fgColor theme="7" tint="0.5999"/>
        <bgColor rgb="FFFFEB9C"/>
      </patternFill>
    </fill>
    <fill>
      <patternFill patternType="darkGray">
        <fgColor theme="8" tint="0.5999"/>
        <bgColor rgb="FFC2C2C2"/>
      </patternFill>
    </fill>
    <fill>
      <patternFill patternType="darkGray">
        <fgColor theme="9" tint="0.5999"/>
        <bgColor rgb="FFDBDBDB"/>
      </patternFill>
    </fill>
    <fill>
      <patternFill patternType="solid">
        <fgColor rgb="FF0065CB"/>
        <bgColor rgb="FF4472C4"/>
      </patternFill>
    </fill>
    <fill>
      <patternFill patternType="solid">
        <fgColor rgb="FF83005A"/>
        <bgColor rgb="FF343495"/>
      </patternFill>
    </fill>
    <fill>
      <patternFill patternType="solid">
        <fgColor rgb="FF33CCCC"/>
        <bgColor rgb="FF5B9BD5"/>
      </patternFill>
    </fill>
    <fill>
      <patternFill patternType="solid">
        <fgColor rgb="FFFF9900"/>
        <bgColor rgb="FFFB7D00"/>
      </patternFill>
    </fill>
    <fill>
      <patternFill patternType="mediumGray">
        <fgColor theme="4" tint="0.3999"/>
        <bgColor rgb="FF99CCFF"/>
      </patternFill>
    </fill>
    <fill>
      <patternFill patternType="solid">
        <fgColor theme="5" tint="0.3999"/>
        <bgColor rgb="FFF8CBAD"/>
      </patternFill>
    </fill>
    <fill>
      <patternFill patternType="darkGray">
        <fgColor theme="6" tint="0.3999"/>
        <bgColor rgb="FFB8D2EC"/>
      </patternFill>
    </fill>
    <fill>
      <patternFill patternType="solid">
        <fgColor theme="7" tint="0.3999"/>
        <bgColor rgb="FFFFE699"/>
      </patternFill>
    </fill>
    <fill>
      <patternFill patternType="darkGray">
        <fgColor theme="8" tint="0.3999"/>
        <bgColor rgb="FFA7A7A7"/>
      </patternFill>
    </fill>
    <fill>
      <patternFill patternType="darkGray">
        <fgColor theme="9" tint="0.3999"/>
        <bgColor rgb="FFC2C2C2"/>
      </patternFill>
    </fill>
    <fill>
      <patternFill patternType="solid">
        <fgColor theme="4"/>
        <bgColor rgb="FF4472C4"/>
      </patternFill>
    </fill>
    <fill>
      <patternFill patternType="solid">
        <fgColor theme="5"/>
        <bgColor rgb="FFFB7D00"/>
      </patternFill>
    </fill>
    <fill>
      <patternFill patternType="solid">
        <fgColor theme="6"/>
        <bgColor rgb="FF969696"/>
      </patternFill>
    </fill>
    <fill>
      <patternFill patternType="solid">
        <fgColor theme="7"/>
        <bgColor rgb="FFFFCC00"/>
      </patternFill>
    </fill>
    <fill>
      <patternFill patternType="solid">
        <fgColor theme="8"/>
        <bgColor rgb="FF5B9BD5"/>
      </patternFill>
    </fill>
    <fill>
      <patternFill patternType="solid">
        <fgColor theme="9"/>
        <bgColor rgb="FF969696"/>
      </patternFill>
    </fill>
    <fill>
      <patternFill patternType="solid">
        <fgColor rgb="FF343495"/>
        <bgColor rgb="FF44546A"/>
      </patternFill>
    </fill>
    <fill>
      <patternFill patternType="solid">
        <fgColor rgb="FFFF0000"/>
        <bgColor rgb="FF83005A"/>
      </patternFill>
    </fill>
    <fill>
      <patternFill patternType="solid">
        <fgColor rgb="FF339966"/>
        <bgColor rgb="FF00B050"/>
      </patternFill>
    </fill>
    <fill>
      <patternFill patternType="solid">
        <fgColor rgb="FFFF6600"/>
        <bgColor rgb="FFFB7D00"/>
      </patternFill>
    </fill>
    <fill>
      <patternFill patternType="solid">
        <fgColor rgb="FFC2C2C2"/>
        <bgColor rgb="FFB8D2EC"/>
      </patternFill>
    </fill>
    <fill>
      <patternFill patternType="solid">
        <fgColor rgb="FFF1F1F1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969696"/>
        <bgColor rgb="FFA7A7A7"/>
      </patternFill>
    </fill>
    <fill>
      <patternFill patternType="solid">
        <fgColor rgb="FFFFFF99"/>
        <bgColor rgb="FFFFEB9C"/>
      </patternFill>
    </fill>
    <fill>
      <patternFill patternType="solid">
        <fgColor rgb="FFFFEB9C"/>
        <bgColor rgb="FFFFE699"/>
      </patternFill>
    </fill>
    <fill>
      <patternFill patternType="darkGray">
        <fgColor rgb="FFC6ECC5"/>
        <bgColor rgb="FFCCFFCC"/>
      </patternFill>
    </fill>
    <fill>
      <patternFill patternType="solid">
        <fgColor rgb="FFFFFF00"/>
        <bgColor rgb="FFFFCC00"/>
      </patternFill>
    </fill>
    <fill>
      <patternFill patternType="solid">
        <fgColor rgb="FF00B050"/>
        <bgColor rgb="FF339966"/>
      </patternFill>
    </fill>
    <fill>
      <patternFill patternType="solid">
        <fgColor theme="0" tint="-0.15"/>
        <bgColor rgb="FFDEEBF7"/>
      </patternFill>
    </fill>
    <fill>
      <patternFill patternType="darkGray">
        <fgColor rgb="FFA1D179"/>
        <bgColor rgb="FF70AD47"/>
      </patternFill>
    </fill>
    <fill>
      <patternFill patternType="solid">
        <fgColor theme="0"/>
        <bgColor rgb="FFF1F1F1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787886"/>
      </left>
      <right style="thin">
        <color rgb="FF787886"/>
      </right>
      <top style="thin">
        <color rgb="FF787886"/>
      </top>
      <bottom style="thin">
        <color rgb="FF787886"/>
      </bottom>
      <diagonal/>
    </border>
    <border diagonalUp="false" diagonalDown="false">
      <left/>
      <right/>
      <top/>
      <bottom style="double">
        <color rgb="FFFB7D00"/>
      </bottom>
      <diagonal/>
    </border>
    <border diagonalUp="false" diagonalDown="false">
      <left style="thin">
        <color rgb="FFA7A7A7"/>
      </left>
      <right style="thin">
        <color rgb="FFA7A7A7"/>
      </right>
      <top style="thin">
        <color rgb="FFA7A7A7"/>
      </top>
      <bottom style="thin">
        <color rgb="FFA7A7A7"/>
      </bottom>
      <diagonal/>
    </border>
    <border diagonalUp="false" diagonalDown="false">
      <left/>
      <right/>
      <top style="thin">
        <color rgb="FF343495"/>
      </top>
      <bottom style="double">
        <color rgb="FF343495"/>
      </bottom>
      <diagonal/>
    </border>
    <border diagonalUp="false" diagonalDown="false">
      <left/>
      <right/>
      <top/>
      <bottom style="double">
        <color rgb="FFFF9900"/>
      </bottom>
      <diagonal/>
    </border>
    <border diagonalUp="false" diagonalDown="false"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 diagonalUp="false" diagonalDown="false">
      <left/>
      <right/>
      <top/>
      <bottom style="thick">
        <color rgb="FF343495"/>
      </bottom>
      <diagonal/>
    </border>
    <border diagonalUp="false" diagonalDown="false">
      <left/>
      <right/>
      <top/>
      <bottom style="thick">
        <color rgb="FFC2C2C2"/>
      </bottom>
      <diagonal/>
    </border>
    <border diagonalUp="false" diagonalDown="false">
      <left/>
      <right/>
      <top/>
      <bottom style="medium">
        <color rgb="FF0065CB"/>
      </bottom>
      <diagonal/>
    </border>
    <border diagonalUp="false" diagonalDown="false">
      <left style="thin">
        <color rgb="FFC2C2C2"/>
      </left>
      <right style="thin">
        <color rgb="FFC2C2C2"/>
      </right>
      <top style="thin">
        <color rgb="FFC2C2C2"/>
      </top>
      <bottom style="thin">
        <color rgb="FFC2C2C2"/>
      </bottom>
      <diagonal/>
    </border>
    <border diagonalUp="false" diagonalDown="false">
      <left style="thin">
        <color rgb="FF59400F"/>
      </left>
      <right style="thin">
        <color rgb="FF59400F"/>
      </right>
      <top style="thin">
        <color rgb="FF59400F"/>
      </top>
      <bottom style="thin">
        <color rgb="FF59400F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double">
        <color rgb="FF59400F"/>
      </left>
      <right style="double">
        <color rgb="FF59400F"/>
      </right>
      <top style="double">
        <color rgb="FF59400F"/>
      </top>
      <bottom style="double">
        <color rgb="FF59400F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hair"/>
      <diagonal/>
    </border>
    <border diagonalUp="false" diagonalDown="false">
      <left/>
      <right style="thin"/>
      <top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 style="thin"/>
      <top style="hair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ck"/>
      <right style="thin"/>
      <top/>
      <bottom style="thick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 style="thick"/>
      <right style="thin"/>
      <top style="thick"/>
      <bottom style="thick"/>
      <diagonal/>
    </border>
    <border diagonalUp="false" diagonalDown="false">
      <left style="thin"/>
      <right style="thin"/>
      <top style="thick"/>
      <bottom style="thick"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 style="thin"/>
      <right style="thick"/>
      <top style="thick"/>
      <bottom style="thick"/>
      <diagonal/>
    </border>
    <border diagonalUp="false" diagonalDown="false">
      <left style="thick"/>
      <right/>
      <top style="thick"/>
      <bottom style="thick"/>
      <diagonal/>
    </border>
    <border diagonalUp="false" diagonalDown="false">
      <left/>
      <right style="thin"/>
      <top style="thick"/>
      <bottom style="thick"/>
      <diagonal/>
    </border>
    <border diagonalUp="false" diagonalDown="false">
      <left style="thin"/>
      <right/>
      <top style="thick"/>
      <bottom style="thick"/>
      <diagonal/>
    </border>
    <border diagonalUp="false" diagonalDown="false">
      <left/>
      <right style="thick"/>
      <top style="thick"/>
      <bottom style="thick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ck"/>
      <right style="thick"/>
      <top/>
      <bottom style="thick"/>
      <diagonal/>
    </border>
    <border diagonalUp="false" diagonalDown="false">
      <left style="thick"/>
      <right style="thick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thick"/>
      <top style="thick"/>
      <bottom style="thin"/>
      <diagonal/>
    </border>
    <border diagonalUp="false" diagonalDown="false">
      <left/>
      <right style="thick"/>
      <top style="thick"/>
      <bottom style="thin"/>
      <diagonal/>
    </border>
    <border diagonalUp="false" diagonalDown="false">
      <left style="thin"/>
      <right style="thick"/>
      <top style="thick"/>
      <bottom style="thin"/>
      <diagonal/>
    </border>
    <border diagonalUp="false" diagonalDown="false">
      <left style="thick"/>
      <right style="thick"/>
      <top style="thin"/>
      <bottom style="thin"/>
      <diagonal/>
    </border>
    <border diagonalUp="false" diagonalDown="false">
      <left/>
      <right style="thick"/>
      <top style="thin"/>
      <bottom style="thin"/>
      <diagonal/>
    </border>
    <border diagonalUp="false" diagonalDown="false">
      <left style="thin"/>
      <right style="thick"/>
      <top style="thin"/>
      <bottom style="thin"/>
      <diagonal/>
    </border>
    <border diagonalUp="false" diagonalDown="false">
      <left style="thick"/>
      <right style="thick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n"/>
      <right style="thick"/>
      <top style="thin"/>
      <bottom/>
      <diagonal/>
    </border>
    <border diagonalUp="false" diagonalDown="false">
      <left style="thick"/>
      <right style="thick"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/>
      <right/>
      <top style="thin"/>
      <bottom style="thick"/>
      <diagonal/>
    </border>
  </borders>
  <cellStyleXfs count="17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74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0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0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0" applyFont="true" applyBorder="false" applyAlignment="true" applyProtection="false">
      <alignment horizontal="general" vertical="bottom" textRotation="0" wrapText="false" indent="0" shrinkToFit="false"/>
    </xf>
    <xf numFmtId="164" fontId="0" fillId="10" borderId="0" applyFont="true" applyBorder="false" applyAlignment="true" applyProtection="false">
      <alignment horizontal="general" vertical="bottom" textRotation="0" wrapText="false" indent="0" shrinkToFit="false"/>
    </xf>
    <xf numFmtId="164" fontId="0" fillId="11" borderId="0" applyFont="true" applyBorder="false" applyAlignment="true" applyProtection="false">
      <alignment horizontal="general" vertical="bottom" textRotation="0" wrapText="false" indent="0" shrinkToFit="false"/>
    </xf>
    <xf numFmtId="164" fontId="0" fillId="12" borderId="0" applyFont="true" applyBorder="false" applyAlignment="true" applyProtection="false">
      <alignment horizontal="general" vertical="bottom" textRotation="0" wrapText="false" indent="0" shrinkToFit="false"/>
    </xf>
    <xf numFmtId="164" fontId="0" fillId="13" borderId="0" applyFont="true" applyBorder="false" applyAlignment="true" applyProtection="false">
      <alignment horizontal="general" vertical="bottom" textRotation="0" wrapText="false" indent="0" shrinkToFit="false"/>
    </xf>
    <xf numFmtId="164" fontId="4" fillId="14" borderId="0" applyFont="true" applyBorder="false" applyAlignment="true" applyProtection="false">
      <alignment horizontal="general" vertical="bottom" textRotation="0" wrapText="false" indent="0" shrinkToFit="false"/>
    </xf>
    <xf numFmtId="164" fontId="4" fillId="15" borderId="0" applyFont="true" applyBorder="false" applyAlignment="true" applyProtection="false">
      <alignment horizontal="general" vertical="bottom" textRotation="0" wrapText="false" indent="0" shrinkToFit="false"/>
    </xf>
    <xf numFmtId="164" fontId="4" fillId="16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14" borderId="0" applyFont="true" applyBorder="false" applyAlignment="true" applyProtection="false">
      <alignment horizontal="general" vertical="bottom" textRotation="0" wrapText="false" indent="0" shrinkToFit="false"/>
    </xf>
    <xf numFmtId="164" fontId="4" fillId="17" borderId="0" applyFont="true" applyBorder="false" applyAlignment="true" applyProtection="false">
      <alignment horizontal="general" vertical="bottom" textRotation="0" wrapText="false" indent="0" shrinkToFit="false"/>
    </xf>
    <xf numFmtId="164" fontId="4" fillId="14" borderId="0" applyFont="true" applyBorder="false" applyAlignment="true" applyProtection="false">
      <alignment horizontal="general" vertical="bottom" textRotation="0" wrapText="false" indent="0" shrinkToFit="false"/>
    </xf>
    <xf numFmtId="164" fontId="4" fillId="15" borderId="0" applyFont="true" applyBorder="false" applyAlignment="true" applyProtection="false">
      <alignment horizontal="general" vertical="bottom" textRotation="0" wrapText="false" indent="0" shrinkToFit="false"/>
    </xf>
    <xf numFmtId="164" fontId="4" fillId="16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14" borderId="0" applyFont="true" applyBorder="false" applyAlignment="true" applyProtection="false">
      <alignment horizontal="general" vertical="bottom" textRotation="0" wrapText="false" indent="0" shrinkToFit="false"/>
    </xf>
    <xf numFmtId="164" fontId="4" fillId="17" borderId="0" applyFont="true" applyBorder="false" applyAlignment="true" applyProtection="false">
      <alignment horizontal="general" vertical="bottom" textRotation="0" wrapText="false" indent="0" shrinkToFit="false"/>
    </xf>
    <xf numFmtId="164" fontId="0" fillId="18" borderId="0" applyFont="true" applyBorder="false" applyAlignment="true" applyProtection="false">
      <alignment horizontal="general" vertical="bottom" textRotation="0" wrapText="false" indent="0" shrinkToFit="false"/>
    </xf>
    <xf numFmtId="164" fontId="0" fillId="19" borderId="0" applyFont="true" applyBorder="false" applyAlignment="true" applyProtection="false">
      <alignment horizontal="general" vertical="bottom" textRotation="0" wrapText="false" indent="0" shrinkToFit="false"/>
    </xf>
    <xf numFmtId="164" fontId="0" fillId="20" borderId="0" applyFont="true" applyBorder="false" applyAlignment="true" applyProtection="false">
      <alignment horizontal="general" vertical="bottom" textRotation="0" wrapText="false" indent="0" shrinkToFit="false"/>
    </xf>
    <xf numFmtId="164" fontId="0" fillId="21" borderId="0" applyFont="true" applyBorder="false" applyAlignment="true" applyProtection="false">
      <alignment horizontal="general" vertical="bottom" textRotation="0" wrapText="false" indent="0" shrinkToFit="false"/>
    </xf>
    <xf numFmtId="164" fontId="0" fillId="22" borderId="0" applyFont="true" applyBorder="false" applyAlignment="true" applyProtection="false">
      <alignment horizontal="general" vertical="bottom" textRotation="0" wrapText="false" indent="0" shrinkToFit="false"/>
    </xf>
    <xf numFmtId="164" fontId="0" fillId="23" borderId="0" applyFont="true" applyBorder="false" applyAlignment="true" applyProtection="false">
      <alignment horizontal="general" vertical="bottom" textRotation="0" wrapText="false" indent="0" shrinkToFit="false"/>
    </xf>
    <xf numFmtId="164" fontId="5" fillId="2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5" fillId="26" borderId="0" applyFont="true" applyBorder="false" applyAlignment="true" applyProtection="false">
      <alignment horizontal="general" vertical="bottom" textRotation="0" wrapText="false" indent="0" shrinkToFit="false"/>
    </xf>
    <xf numFmtId="164" fontId="5" fillId="27" borderId="0" applyFont="true" applyBorder="false" applyAlignment="true" applyProtection="false">
      <alignment horizontal="general" vertical="bottom" textRotation="0" wrapText="false" indent="0" shrinkToFit="false"/>
    </xf>
    <xf numFmtId="164" fontId="5" fillId="24" borderId="0" applyFont="true" applyBorder="false" applyAlignment="true" applyProtection="false">
      <alignment horizontal="general" vertical="bottom" textRotation="0" wrapText="false" indent="0" shrinkToFit="false"/>
    </xf>
    <xf numFmtId="164" fontId="5" fillId="15" borderId="0" applyFont="true" applyBorder="false" applyAlignment="true" applyProtection="false">
      <alignment horizontal="general" vertical="bottom" textRotation="0" wrapText="false" indent="0" shrinkToFit="false"/>
    </xf>
    <xf numFmtId="164" fontId="5" fillId="16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5" fillId="26" borderId="0" applyFont="true" applyBorder="false" applyAlignment="true" applyProtection="false">
      <alignment horizontal="general" vertical="bottom" textRotation="0" wrapText="false" indent="0" shrinkToFit="false"/>
    </xf>
    <xf numFmtId="164" fontId="5" fillId="27" borderId="0" applyFont="true" applyBorder="false" applyAlignment="true" applyProtection="false">
      <alignment horizontal="general" vertical="bottom" textRotation="0" wrapText="false" indent="0" shrinkToFit="false"/>
    </xf>
    <xf numFmtId="164" fontId="6" fillId="28" borderId="0" applyFont="true" applyBorder="false" applyAlignment="true" applyProtection="false">
      <alignment horizontal="general" vertical="bottom" textRotation="0" wrapText="false" indent="0" shrinkToFit="false"/>
    </xf>
    <xf numFmtId="164" fontId="6" fillId="29" borderId="0" applyFont="true" applyBorder="false" applyAlignment="true" applyProtection="false">
      <alignment horizontal="general" vertical="bottom" textRotation="0" wrapText="false" indent="0" shrinkToFit="false"/>
    </xf>
    <xf numFmtId="164" fontId="6" fillId="30" borderId="0" applyFont="true" applyBorder="false" applyAlignment="true" applyProtection="false">
      <alignment horizontal="general" vertical="bottom" textRotation="0" wrapText="false" indent="0" shrinkToFit="false"/>
    </xf>
    <xf numFmtId="164" fontId="6" fillId="31" borderId="0" applyFont="true" applyBorder="false" applyAlignment="true" applyProtection="false">
      <alignment horizontal="general" vertical="bottom" textRotation="0" wrapText="false" indent="0" shrinkToFit="false"/>
    </xf>
    <xf numFmtId="164" fontId="6" fillId="32" borderId="0" applyFont="true" applyBorder="false" applyAlignment="true" applyProtection="false">
      <alignment horizontal="general" vertical="bottom" textRotation="0" wrapText="false" indent="0" shrinkToFit="false"/>
    </xf>
    <xf numFmtId="164" fontId="6" fillId="33" borderId="0" applyFont="true" applyBorder="false" applyAlignment="true" applyProtection="false">
      <alignment horizontal="general" vertical="bottom" textRotation="0" wrapText="false" indent="0" shrinkToFit="false"/>
    </xf>
    <xf numFmtId="164" fontId="6" fillId="34" borderId="0" applyFont="true" applyBorder="false" applyAlignment="true" applyProtection="false">
      <alignment horizontal="general" vertical="bottom" textRotation="0" wrapText="false" indent="0" shrinkToFit="false"/>
    </xf>
    <xf numFmtId="164" fontId="6" fillId="35" borderId="0" applyFont="true" applyBorder="false" applyAlignment="true" applyProtection="false">
      <alignment horizontal="general" vertical="bottom" textRotation="0" wrapText="false" indent="0" shrinkToFit="false"/>
    </xf>
    <xf numFmtId="164" fontId="6" fillId="36" borderId="0" applyFont="true" applyBorder="false" applyAlignment="true" applyProtection="false">
      <alignment horizontal="general" vertical="bottom" textRotation="0" wrapText="false" indent="0" shrinkToFit="false"/>
    </xf>
    <xf numFmtId="164" fontId="6" fillId="37" borderId="0" applyFont="true" applyBorder="false" applyAlignment="true" applyProtection="false">
      <alignment horizontal="general" vertical="bottom" textRotation="0" wrapText="false" indent="0" shrinkToFit="false"/>
    </xf>
    <xf numFmtId="164" fontId="6" fillId="38" borderId="0" applyFont="true" applyBorder="false" applyAlignment="true" applyProtection="false">
      <alignment horizontal="general" vertical="bottom" textRotation="0" wrapText="false" indent="0" shrinkToFit="false"/>
    </xf>
    <xf numFmtId="164" fontId="6" fillId="39" borderId="0" applyFont="true" applyBorder="false" applyAlignment="true" applyProtection="false">
      <alignment horizontal="general" vertical="bottom" textRotation="0" wrapText="false" indent="0" shrinkToFit="false"/>
    </xf>
    <xf numFmtId="164" fontId="5" fillId="40" borderId="0" applyFont="true" applyBorder="false" applyAlignment="true" applyProtection="false">
      <alignment horizontal="general" vertical="bottom" textRotation="0" wrapText="false" indent="0" shrinkToFit="false"/>
    </xf>
    <xf numFmtId="164" fontId="5" fillId="41" borderId="0" applyFont="true" applyBorder="false" applyAlignment="true" applyProtection="false">
      <alignment horizontal="general" vertical="bottom" textRotation="0" wrapText="false" indent="0" shrinkToFit="false"/>
    </xf>
    <xf numFmtId="164" fontId="5" fillId="42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5" fillId="26" borderId="0" applyFont="true" applyBorder="false" applyAlignment="true" applyProtection="false">
      <alignment horizontal="general" vertical="bottom" textRotation="0" wrapText="false" indent="0" shrinkToFit="false"/>
    </xf>
    <xf numFmtId="164" fontId="5" fillId="43" borderId="0" applyFont="true" applyBorder="false" applyAlignment="true" applyProtection="false">
      <alignment horizontal="general" vertical="bottom" textRotation="0" wrapText="false" indent="0" shrinkToFit="false"/>
    </xf>
    <xf numFmtId="164" fontId="5" fillId="40" borderId="0" applyFont="true" applyBorder="false" applyAlignment="true" applyProtection="false">
      <alignment horizontal="general" vertical="bottom" textRotation="0" wrapText="false" indent="0" shrinkToFit="false"/>
    </xf>
    <xf numFmtId="164" fontId="5" fillId="41" borderId="0" applyFont="true" applyBorder="false" applyAlignment="true" applyProtection="false">
      <alignment horizontal="general" vertical="bottom" textRotation="0" wrapText="false" indent="0" shrinkToFit="false"/>
    </xf>
    <xf numFmtId="164" fontId="5" fillId="42" borderId="0" applyFont="true" applyBorder="false" applyAlignment="true" applyProtection="false">
      <alignment horizontal="general" vertical="bottom" textRotation="0" wrapText="false" indent="0" shrinkToFit="false"/>
    </xf>
    <xf numFmtId="164" fontId="5" fillId="25" borderId="0" applyFont="true" applyBorder="false" applyAlignment="true" applyProtection="false">
      <alignment horizontal="general" vertical="bottom" textRotation="0" wrapText="false" indent="0" shrinkToFit="false"/>
    </xf>
    <xf numFmtId="164" fontId="5" fillId="26" borderId="0" applyFont="true" applyBorder="false" applyAlignment="true" applyProtection="false">
      <alignment horizontal="general" vertical="bottom" textRotation="0" wrapText="false" indent="0" shrinkToFit="false"/>
    </xf>
    <xf numFmtId="164" fontId="5" fillId="43" borderId="0" applyFont="true" applyBorder="false" applyAlignment="true" applyProtection="false">
      <alignment horizontal="general" vertical="bottom" textRotation="0" wrapText="false" indent="0" shrinkToFit="false"/>
    </xf>
    <xf numFmtId="164" fontId="7" fillId="44" borderId="1" applyFont="true" applyBorder="true" applyAlignment="true" applyProtection="false">
      <alignment horizontal="general" vertical="bottom" textRotation="0" wrapText="false" indent="0" shrinkToFit="false"/>
    </xf>
    <xf numFmtId="164" fontId="7" fillId="44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44" borderId="2" applyFont="true" applyBorder="true" applyAlignment="true" applyProtection="false">
      <alignment horizontal="general" vertical="bottom" textRotation="0" wrapText="false" indent="0" shrinkToFit="false"/>
    </xf>
    <xf numFmtId="164" fontId="9" fillId="44" borderId="2" applyFont="true" applyBorder="true" applyAlignment="true" applyProtection="false">
      <alignment horizontal="general" vertical="bottom" textRotation="0" wrapText="false" indent="0" shrinkToFit="false"/>
    </xf>
    <xf numFmtId="164" fontId="10" fillId="45" borderId="3" applyFont="true" applyBorder="true" applyAlignment="true" applyProtection="false">
      <alignment horizontal="general" vertical="bottom" textRotation="0" wrapText="false" indent="0" shrinkToFit="false"/>
    </xf>
    <xf numFmtId="164" fontId="11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46" borderId="5" applyFont="true" applyBorder="true" applyAlignment="true" applyProtection="false">
      <alignment horizontal="general" vertical="bottom" textRotation="0" wrapText="false" indent="0" shrinkToFit="false"/>
    </xf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7" borderId="2" applyFont="true" applyBorder="true" applyAlignment="true" applyProtection="false">
      <alignment horizontal="general" vertical="bottom" textRotation="0" wrapText="false" indent="0" shrinkToFit="false"/>
    </xf>
    <xf numFmtId="164" fontId="12" fillId="7" borderId="2" applyFont="true" applyBorder="true" applyAlignment="true" applyProtection="false">
      <alignment horizontal="general" vertical="bottom" textRotation="0" wrapText="false" indent="0" shrinkToFit="false"/>
    </xf>
    <xf numFmtId="164" fontId="7" fillId="44" borderId="1" applyFont="true" applyBorder="true" applyAlignment="true" applyProtection="false">
      <alignment horizontal="general" vertical="bottom" textRotation="0" wrapText="false" indent="0" shrinkToFit="false"/>
    </xf>
    <xf numFmtId="164" fontId="7" fillId="44" borderId="1" applyFont="true" applyBorder="true" applyAlignment="true" applyProtection="false">
      <alignment horizontal="general" vertical="bottom" textRotation="0" wrapText="false" indent="0" shrinkToFit="false"/>
    </xf>
    <xf numFmtId="164" fontId="13" fillId="4" borderId="0" applyFont="true" applyBorder="false" applyAlignment="true" applyProtection="false">
      <alignment horizontal="general" vertical="bottom" textRotation="0" wrapText="false" indent="0" shrinkToFit="false"/>
    </xf>
    <xf numFmtId="164" fontId="12" fillId="7" borderId="2" applyFont="true" applyBorder="true" applyAlignment="true" applyProtection="false">
      <alignment horizontal="general" vertical="bottom" textRotation="0" wrapText="false" indent="0" shrinkToFit="false"/>
    </xf>
    <xf numFmtId="164" fontId="12" fillId="7" borderId="2" applyFont="true" applyBorder="true" applyAlignment="true" applyProtection="false">
      <alignment horizontal="general" vertical="bottom" textRotation="0" wrapText="false" indent="0" shrinkToFit="false"/>
    </xf>
    <xf numFmtId="164" fontId="14" fillId="7" borderId="3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4" borderId="0" applyFont="true" applyBorder="false" applyAlignment="true" applyProtection="false">
      <alignment horizontal="general" vertical="bottom" textRotation="0" wrapText="false" indent="0" shrinkToFit="false"/>
    </xf>
    <xf numFmtId="164" fontId="17" fillId="47" borderId="0" applyFont="true" applyBorder="false" applyAlignment="true" applyProtection="false">
      <alignment horizontal="general" vertical="bottom" textRotation="0" wrapText="false" indent="0" shrinkToFit="false"/>
    </xf>
    <xf numFmtId="164" fontId="18" fillId="0" borderId="7" applyFont="true" applyBorder="true" applyAlignment="true" applyProtection="false">
      <alignment horizontal="general" vertical="bottom" textRotation="0" wrapText="false" indent="0" shrinkToFit="false"/>
    </xf>
    <xf numFmtId="164" fontId="19" fillId="48" borderId="8" applyFont="true" applyBorder="true" applyAlignment="true" applyProtection="false">
      <alignment horizontal="general" vertical="bottom" textRotation="0" wrapText="false" indent="0" shrinkToFit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9" applyFont="true" applyBorder="true" applyAlignment="true" applyProtection="false">
      <alignment horizontal="general" vertical="bottom" textRotation="0" wrapText="false" indent="0" shrinkToFit="false"/>
    </xf>
    <xf numFmtId="164" fontId="22" fillId="0" borderId="10" applyFont="true" applyBorder="true" applyAlignment="true" applyProtection="false">
      <alignment horizontal="general" vertical="bottom" textRotation="0" wrapText="false" indent="0" shrinkToFit="false"/>
    </xf>
    <xf numFmtId="164" fontId="23" fillId="0" borderId="11" applyFont="true" applyBorder="tru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  <xf numFmtId="164" fontId="24" fillId="49" borderId="0" applyFont="true" applyBorder="false" applyAlignment="true" applyProtection="false">
      <alignment horizontal="general" vertical="bottom" textRotation="0" wrapText="false" indent="0" shrinkToFit="false"/>
    </xf>
    <xf numFmtId="164" fontId="24" fillId="49" borderId="0" applyFont="true" applyBorder="false" applyAlignment="true" applyProtection="false">
      <alignment horizontal="general" vertical="bottom" textRotation="0" wrapText="false" indent="0" shrinkToFit="false"/>
    </xf>
    <xf numFmtId="164" fontId="25" fillId="5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6" borderId="12" applyFont="true" applyBorder="true" applyAlignment="true" applyProtection="false">
      <alignment horizontal="general" vertical="bottom" textRotation="0" wrapText="false" indent="0" shrinkToFit="false"/>
    </xf>
    <xf numFmtId="164" fontId="0" fillId="46" borderId="12" applyFont="true" applyBorder="true" applyAlignment="true" applyProtection="false">
      <alignment horizontal="general" vertical="bottom" textRotation="0" wrapText="false" indent="0" shrinkToFit="false"/>
    </xf>
    <xf numFmtId="164" fontId="9" fillId="44" borderId="2" applyFont="true" applyBorder="true" applyAlignment="true" applyProtection="false">
      <alignment horizontal="general" vertical="bottom" textRotation="0" wrapText="false" indent="0" shrinkToFit="false"/>
    </xf>
    <xf numFmtId="164" fontId="9" fillId="44" borderId="2" applyFont="true" applyBorder="true" applyAlignment="true" applyProtection="false">
      <alignment horizontal="general" vertical="bottom" textRotation="0" wrapText="false" indent="0" shrinkToFit="false"/>
    </xf>
    <xf numFmtId="164" fontId="29" fillId="51" borderId="0" applyFont="true" applyBorder="false" applyAlignment="true" applyProtection="false">
      <alignment horizontal="general" vertical="bottom" textRotation="0" wrapText="false" indent="0" shrinkToFit="false"/>
    </xf>
    <xf numFmtId="164" fontId="30" fillId="3" borderId="0" applyFont="true" applyBorder="false" applyAlignment="true" applyProtection="false">
      <alignment horizontal="general" vertical="bottom" textRotation="0" wrapText="false" indent="0" shrinkToFit="false"/>
    </xf>
    <xf numFmtId="164" fontId="31" fillId="45" borderId="13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5" fillId="0" borderId="6" applyFont="true" applyBorder="true" applyAlignment="true" applyProtection="false">
      <alignment horizontal="general" vertical="bottom" textRotation="0" wrapText="false" indent="0" shrinkToFit="false"/>
    </xf>
    <xf numFmtId="164" fontId="16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32" fillId="0" borderId="0" applyFont="true" applyBorder="false" applyAlignment="true" applyProtection="false">
      <alignment horizontal="general" vertical="bottom" textRotation="0" wrapText="false" indent="0" shrinkToFit="false"/>
    </xf>
    <xf numFmtId="164" fontId="33" fillId="0" borderId="14" applyFont="true" applyBorder="true" applyAlignment="true" applyProtection="false">
      <alignment horizontal="general" vertical="bottom" textRotation="0" wrapText="false" indent="0" shrinkToFit="false"/>
    </xf>
    <xf numFmtId="164" fontId="34" fillId="0" borderId="15" applyFont="true" applyBorder="true" applyAlignment="true" applyProtection="false">
      <alignment horizontal="general" vertical="bottom" textRotation="0" wrapText="false" indent="0" shrinkToFit="false"/>
    </xf>
    <xf numFmtId="164" fontId="35" fillId="0" borderId="16" applyFont="true" applyBorder="true" applyAlignment="true" applyProtection="false">
      <alignment horizontal="general" vertical="bottom" textRotation="0" wrapText="false" indent="0" shrinkToFit="false"/>
    </xf>
    <xf numFmtId="164" fontId="35" fillId="0" borderId="0" applyFont="true" applyBorder="false" applyAlignment="true" applyProtection="false">
      <alignment horizontal="general" vertical="bottom" textRotation="0" wrapText="false" indent="0" shrinkToFit="false"/>
    </xf>
    <xf numFmtId="164" fontId="36" fillId="0" borderId="17" applyFont="true" applyBorder="true" applyAlignment="true" applyProtection="false">
      <alignment horizontal="general" vertical="bottom" textRotation="0" wrapText="false" indent="0" shrinkToFit="false"/>
    </xf>
    <xf numFmtId="164" fontId="3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46" borderId="12" applyFont="true" applyBorder="true" applyAlignment="true" applyProtection="false">
      <alignment horizontal="general" vertical="bottom" textRotation="0" wrapText="false" indent="0" shrinkToFit="false"/>
    </xf>
    <xf numFmtId="164" fontId="0" fillId="46" borderId="12" applyFont="true" applyBorder="true" applyAlignment="true" applyProtection="false">
      <alignment horizontal="general" vertical="bottom" textRotation="0" wrapText="false" indent="0" shrinkToFit="false"/>
    </xf>
    <xf numFmtId="164" fontId="18" fillId="0" borderId="7" applyFont="true" applyBorder="true" applyAlignment="true" applyProtection="false">
      <alignment horizontal="general" vertical="bottom" textRotation="0" wrapText="false" indent="0" shrinkToFit="false"/>
    </xf>
    <xf numFmtId="164" fontId="38" fillId="36" borderId="18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19" fillId="48" borderId="8" applyFont="true" applyBorder="true" applyAlignment="true" applyProtection="false">
      <alignment horizontal="general" vertical="bottom" textRotation="0" wrapText="false" indent="0" shrinkToFit="false"/>
    </xf>
    <xf numFmtId="164" fontId="30" fillId="3" borderId="0" applyFont="true" applyBorder="false" applyAlignment="true" applyProtection="false">
      <alignment horizontal="general" vertical="bottom" textRotation="0" wrapText="false" indent="0" shrinkToFit="false"/>
    </xf>
    <xf numFmtId="164" fontId="37" fillId="0" borderId="0" applyFont="true" applyBorder="false" applyAlignment="true" applyProtection="false">
      <alignment horizontal="general" vertical="bottom" textRotation="0" wrapText="false" indent="0" shrinkToFit="false"/>
    </xf>
    <xf numFmtId="164" fontId="21" fillId="0" borderId="9" applyFont="true" applyBorder="true" applyAlignment="true" applyProtection="false">
      <alignment horizontal="general" vertical="bottom" textRotation="0" wrapText="false" indent="0" shrinkToFit="false"/>
    </xf>
    <xf numFmtId="164" fontId="22" fillId="0" borderId="10" applyFont="true" applyBorder="true" applyAlignment="true" applyProtection="false">
      <alignment horizontal="general" vertical="bottom" textRotation="0" wrapText="false" indent="0" shrinkToFit="false"/>
    </xf>
    <xf numFmtId="164" fontId="23" fillId="0" borderId="11" applyFont="true" applyBorder="true" applyAlignment="true" applyProtection="false">
      <alignment horizontal="general" vertical="bottom" textRotation="0" wrapText="false" indent="0" shrinkToFit="false"/>
    </xf>
    <xf numFmtId="164" fontId="23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1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11" borderId="19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1" fillId="0" borderId="19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6" fillId="34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3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3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38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2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2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8" borderId="2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32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44" fillId="0" borderId="33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9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52" borderId="0" xfId="145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6" fillId="35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35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9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8" fillId="19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9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128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3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0" fillId="53" borderId="2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0" fillId="53" borderId="35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1" fillId="53" borderId="36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6" fillId="53" borderId="37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38" xfId="14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37" borderId="40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1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17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7" borderId="4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7" borderId="4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17" borderId="4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6" fillId="37" borderId="42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6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7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8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37" borderId="43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41" borderId="42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2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2" fillId="0" borderId="4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54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5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56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5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0" borderId="54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54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55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5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0" fillId="0" borderId="57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57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59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57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0" borderId="57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57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58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0" fillId="0" borderId="6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2" fillId="0" borderId="6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60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62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60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8" fillId="0" borderId="60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60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61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5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8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58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52" fillId="0" borderId="3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6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6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6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63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64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63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63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64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4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51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52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51" xfId="128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51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8" fillId="0" borderId="52" xfId="14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2" fillId="0" borderId="6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12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144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128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5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45" wrapText="false" indent="0" shrinkToFit="false"/>
      <protection locked="true" hidden="false"/>
    </xf>
    <xf numFmtId="174" fontId="42" fillId="37" borderId="0" xfId="1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3" fillId="5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5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2" fillId="5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5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16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kzent1" xfId="21"/>
    <cellStyle name="20% - Akzent2" xfId="22"/>
    <cellStyle name="20% - Akzent3" xfId="23"/>
    <cellStyle name="20% - Akzent4" xfId="24"/>
    <cellStyle name="20% - Akzent5" xfId="25"/>
    <cellStyle name="20% - Akzent6" xfId="26"/>
    <cellStyle name="20% — akcent 1" xfId="27"/>
    <cellStyle name="20% — akcent 2" xfId="28"/>
    <cellStyle name="20% — akcent 3" xfId="29"/>
    <cellStyle name="20% — akcent 4" xfId="30"/>
    <cellStyle name="20% — akcent 5" xfId="31"/>
    <cellStyle name="20% — akcent 6" xfId="32"/>
    <cellStyle name="20 % - Accent1 2" xfId="33"/>
    <cellStyle name="20 % - Accent2 2" xfId="34"/>
    <cellStyle name="20 % - Accent3 2" xfId="35"/>
    <cellStyle name="20 % - Accent4 2" xfId="36"/>
    <cellStyle name="20 % - Accent5 2" xfId="37"/>
    <cellStyle name="20 % - Accent6 2" xfId="38"/>
    <cellStyle name="40% - Akzent1" xfId="39"/>
    <cellStyle name="40% - Akzent2" xfId="40"/>
    <cellStyle name="40% - Akzent3" xfId="41"/>
    <cellStyle name="40% - Akzent4" xfId="42"/>
    <cellStyle name="40% - Akzent5" xfId="43"/>
    <cellStyle name="40% - Akzent6" xfId="44"/>
    <cellStyle name="40% — akcent 1" xfId="45"/>
    <cellStyle name="40% — akcent 2" xfId="46"/>
    <cellStyle name="40% — akcent 3" xfId="47"/>
    <cellStyle name="40% — akcent 4" xfId="48"/>
    <cellStyle name="40% — akcent 5" xfId="49"/>
    <cellStyle name="40% — akcent 6" xfId="50"/>
    <cellStyle name="40 % - Accent1 2" xfId="51"/>
    <cellStyle name="40 % - Accent2 2" xfId="52"/>
    <cellStyle name="40 % - Accent3 2" xfId="53"/>
    <cellStyle name="40 % - Accent4 2" xfId="54"/>
    <cellStyle name="40 % - Accent5 2" xfId="55"/>
    <cellStyle name="40 % - Accent6 2" xfId="56"/>
    <cellStyle name="60% - Akzent1" xfId="57"/>
    <cellStyle name="60% - Akzent2" xfId="58"/>
    <cellStyle name="60% - Akzent3" xfId="59"/>
    <cellStyle name="60% - Akzent4" xfId="60"/>
    <cellStyle name="60% - Akzent5" xfId="61"/>
    <cellStyle name="60% - Akzent6" xfId="62"/>
    <cellStyle name="60% — akcent 1" xfId="63"/>
    <cellStyle name="60% — akcent 2" xfId="64"/>
    <cellStyle name="60% — akcent 3" xfId="65"/>
    <cellStyle name="60% — akcent 4" xfId="66"/>
    <cellStyle name="60% — akcent 5" xfId="67"/>
    <cellStyle name="60% — akcent 6" xfId="68"/>
    <cellStyle name="60 % - Accent1 2" xfId="69"/>
    <cellStyle name="60 % - Accent2 2" xfId="70"/>
    <cellStyle name="60 % - Accent3 2" xfId="71"/>
    <cellStyle name="60 % - Accent4 2" xfId="72"/>
    <cellStyle name="60 % - Accent5 2" xfId="73"/>
    <cellStyle name="60 % - Accent6 2" xfId="74"/>
    <cellStyle name="Accent1 2" xfId="75"/>
    <cellStyle name="Accent2 2" xfId="76"/>
    <cellStyle name="Accent3 2" xfId="77"/>
    <cellStyle name="Accent4 2" xfId="78"/>
    <cellStyle name="Accent5 2" xfId="79"/>
    <cellStyle name="Accent6 2" xfId="80"/>
    <cellStyle name="Akcent 1" xfId="81"/>
    <cellStyle name="Akcent 2" xfId="82"/>
    <cellStyle name="Akcent 3" xfId="83"/>
    <cellStyle name="Akcent 4" xfId="84"/>
    <cellStyle name="Akcent 5" xfId="85"/>
    <cellStyle name="Akcent 6" xfId="86"/>
    <cellStyle name="Akzent1" xfId="87"/>
    <cellStyle name="Akzent2" xfId="88"/>
    <cellStyle name="Akzent3" xfId="89"/>
    <cellStyle name="Akzent4" xfId="90"/>
    <cellStyle name="Akzent5" xfId="91"/>
    <cellStyle name="Akzent6" xfId="92"/>
    <cellStyle name="Ausgabe" xfId="93"/>
    <cellStyle name="Ausgabe 2" xfId="94"/>
    <cellStyle name="Avertissement 2" xfId="95"/>
    <cellStyle name="Berechnung" xfId="96"/>
    <cellStyle name="Berechnung 2" xfId="97"/>
    <cellStyle name="Calcul 2" xfId="98"/>
    <cellStyle name="Cellule liée 2" xfId="99"/>
    <cellStyle name="Commentaire 2" xfId="100"/>
    <cellStyle name="Currency 2" xfId="101"/>
    <cellStyle name="Dane wejściowe" xfId="102"/>
    <cellStyle name="Dane wejściowe 2" xfId="103"/>
    <cellStyle name="Dane wyjściowe" xfId="104"/>
    <cellStyle name="Dane wyjściowe 2" xfId="105"/>
    <cellStyle name="Dobry" xfId="106"/>
    <cellStyle name="Eingabe" xfId="107"/>
    <cellStyle name="Eingabe 2" xfId="108"/>
    <cellStyle name="Entrée 2" xfId="109"/>
    <cellStyle name="Ergebnis" xfId="110"/>
    <cellStyle name="Ergebnis 2" xfId="111"/>
    <cellStyle name="Erklärender Text" xfId="112"/>
    <cellStyle name="Gut" xfId="113"/>
    <cellStyle name="Insatisfaisant 2" xfId="114"/>
    <cellStyle name="Komórka połączona" xfId="115"/>
    <cellStyle name="Komórka zaznaczona" xfId="116"/>
    <cellStyle name="N1" xfId="117"/>
    <cellStyle name="N1 2" xfId="118"/>
    <cellStyle name="N1_TRIAL" xfId="119"/>
    <cellStyle name="Nagłówek 1" xfId="120"/>
    <cellStyle name="Nagłówek 2" xfId="121"/>
    <cellStyle name="Nagłówek 3" xfId="122"/>
    <cellStyle name="Nagłówek 4" xfId="123"/>
    <cellStyle name="Neutral 1" xfId="124"/>
    <cellStyle name="Neutralny" xfId="125"/>
    <cellStyle name="Neutre 2" xfId="126"/>
    <cellStyle name="Normal 2" xfId="127"/>
    <cellStyle name="Normal 2 2" xfId="128"/>
    <cellStyle name="Normal 2 3" xfId="129"/>
    <cellStyle name="Normal 2 4" xfId="130"/>
    <cellStyle name="Normal 2 4 2" xfId="131"/>
    <cellStyle name="Normal 2 4 3" xfId="132"/>
    <cellStyle name="Normal 2 4_TRIAL" xfId="133"/>
    <cellStyle name="Normal 2_Bilan N" xfId="134"/>
    <cellStyle name="Normal 3" xfId="135"/>
    <cellStyle name="Normal 3 2" xfId="136"/>
    <cellStyle name="Normal 3 3" xfId="137"/>
    <cellStyle name="Normal 3_Bilan N" xfId="138"/>
    <cellStyle name="Normal 4" xfId="139"/>
    <cellStyle name="Normal 4 2" xfId="140"/>
    <cellStyle name="Normal 5" xfId="141"/>
    <cellStyle name="Normal 5 2" xfId="142"/>
    <cellStyle name="Normal 5_Feuil3" xfId="143"/>
    <cellStyle name="Normal 6" xfId="144"/>
    <cellStyle name="Normal 8 2 3" xfId="145"/>
    <cellStyle name="Notiz" xfId="146"/>
    <cellStyle name="Notiz 2" xfId="147"/>
    <cellStyle name="Obliczenia" xfId="148"/>
    <cellStyle name="Obliczenia 2" xfId="149"/>
    <cellStyle name="Satisfaisant 2" xfId="150"/>
    <cellStyle name="Schlecht" xfId="151"/>
    <cellStyle name="Sortie 2" xfId="152"/>
    <cellStyle name="Suma" xfId="153"/>
    <cellStyle name="Suma 2" xfId="154"/>
    <cellStyle name="Tekst objaśnienia" xfId="155"/>
    <cellStyle name="Tekst ostrzeżenia" xfId="156"/>
    <cellStyle name="Texte explicatif 2" xfId="157"/>
    <cellStyle name="Titre 1 2" xfId="158"/>
    <cellStyle name="Titre 2 2" xfId="159"/>
    <cellStyle name="Titre 3 2" xfId="160"/>
    <cellStyle name="Titre 4 2" xfId="161"/>
    <cellStyle name="Total 2" xfId="162"/>
    <cellStyle name="Tytuł" xfId="163"/>
    <cellStyle name="Uwaga" xfId="164"/>
    <cellStyle name="Uwaga 2" xfId="165"/>
    <cellStyle name="Verknüpfte Zelle" xfId="166"/>
    <cellStyle name="Vérification 2" xfId="167"/>
    <cellStyle name="Warnender Text" xfId="168"/>
    <cellStyle name="Zelle überprüfen" xfId="169"/>
    <cellStyle name="Zły" xfId="170"/>
    <cellStyle name="Überschrift" xfId="171"/>
    <cellStyle name="Überschrift 1" xfId="172"/>
    <cellStyle name="Überschrift 2" xfId="173"/>
    <cellStyle name="Überschrift 3" xfId="174"/>
    <cellStyle name="Überschrift 4" xfId="175"/>
    <cellStyle name="*unknown*" xfId="20" builtinId="8"/>
  </cellStyles>
  <dxfs count="2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F00"/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FFFFF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8FFFFF"/>
        </patternFill>
      </fill>
    </dxf>
    <dxf>
      <font>
        <color rgb="FF000000"/>
      </font>
      <fill>
        <patternFill>
          <bgColor rgb="FF0000FF"/>
        </patternFill>
      </fill>
    </dxf>
    <dxf>
      <font>
        <color rgb="FF000000"/>
      </font>
      <fill>
        <patternFill>
          <bgColor rgb="FF008F00"/>
        </patternFill>
      </fill>
    </dxf>
    <dxf>
      <font>
        <color rgb="FF0000FF"/>
      </font>
      <fill>
        <patternFill>
          <bgColor rgb="FF00FF00"/>
        </patternFill>
      </fill>
    </dxf>
    <dxf>
      <font>
        <color rgb="FF0000FF"/>
      </font>
      <fill>
        <patternFill>
          <bgColor rgb="FF008F00"/>
        </patternFill>
      </fill>
    </dxf>
    <dxf>
      <font>
        <color rgb="FF0000FF"/>
      </font>
      <fill>
        <patternFill>
          <bgColor rgb="FFFFFF00"/>
        </patternFill>
      </fill>
    </dxf>
    <dxf>
      <font>
        <color rgb="FF0000FF"/>
      </font>
      <fill>
        <patternFill>
          <bgColor rgb="FFFF00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008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C7CE"/>
      <rgbColor rgb="FFA1D179"/>
      <rgbColor rgb="FFFFEB9C"/>
      <rgbColor rgb="FF008800"/>
      <rgbColor rgb="FFF1F1F1"/>
      <rgbColor rgb="FFED7D31"/>
      <rgbColor rgb="FF83005A"/>
      <rgbColor rgb="FF00B050"/>
      <rgbColor rgb="FFC2C2C2"/>
      <rgbColor rgb="FF808080"/>
      <rgbColor rgb="FF96BBE4"/>
      <rgbColor rgb="FFA7A7A7"/>
      <rgbColor rgb="FFFFFFCC"/>
      <rgbColor rgb="FFC0FFFF"/>
      <rgbColor rgb="FFFFE699"/>
      <rgbColor rgb="FFFF8080"/>
      <rgbColor rgb="FF0065CB"/>
      <rgbColor rgb="FFCCCCFF"/>
      <rgbColor rgb="FFFFF2CC"/>
      <rgbColor rgb="FFF8CBAD"/>
      <rgbColor rgb="FFFFD966"/>
      <rgbColor rgb="FFB8D2EC"/>
      <rgbColor rgb="FFDBDBDB"/>
      <rgbColor rgb="FFFBE5D6"/>
      <rgbColor rgb="FF44546A"/>
      <rgbColor rgb="FFE2F0D9"/>
      <rgbColor rgb="FF5B9BD5"/>
      <rgbColor rgb="FFDEEBF7"/>
      <rgbColor rgb="FFCCFFCC"/>
      <rgbColor rgb="FFFFFF99"/>
      <rgbColor rgb="FF99CCFF"/>
      <rgbColor rgb="FFFF99CC"/>
      <rgbColor rgb="FFCC99FF"/>
      <rgbColor rgb="FFFFCA96"/>
      <rgbColor rgb="FF4472C4"/>
      <rgbColor rgb="FF33CCCC"/>
      <rgbColor rgb="FF70AD47"/>
      <rgbColor rgb="FFFFCC00"/>
      <rgbColor rgb="FFFF9900"/>
      <rgbColor rgb="FFFF6600"/>
      <rgbColor rgb="FF787886"/>
      <rgbColor rgb="FF969696"/>
      <rgbColor rgb="FF003366"/>
      <rgbColor rgb="FF339966"/>
      <rgbColor rgb="FFC6ECC5"/>
      <rgbColor rgb="FF59400F"/>
      <rgbColor rgb="FFFB7D00"/>
      <rgbColor rgb="FFFFC000"/>
      <rgbColor rgb="FF34349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johanna.younous@euralis.com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johanna.younous@gmail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4" sqref="L7 L22 L34 L43 B5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0" width="17.86"/>
    <col collapsed="false" customWidth="true" hidden="false" outlineLevel="0" max="2" min="2" style="0" width="91.57"/>
  </cols>
  <sheetData>
    <row r="1" customFormat="false" ht="19.7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4" t="s">
        <v>4</v>
      </c>
    </row>
    <row r="5" customFormat="false" ht="15" hidden="false" customHeight="false" outlineLevel="0" collapsed="false">
      <c r="A5" s="2" t="s">
        <v>5</v>
      </c>
      <c r="B5" s="5"/>
    </row>
    <row r="6" customFormat="false" ht="15" hidden="false" customHeight="false" outlineLevel="0" collapsed="false">
      <c r="A6" s="2" t="s">
        <v>6</v>
      </c>
      <c r="B6" s="6"/>
    </row>
    <row r="7" customFormat="false" ht="15" hidden="false" customHeight="false" outlineLevel="0" collapsed="false">
      <c r="A7" s="2" t="s">
        <v>7</v>
      </c>
      <c r="B7" s="5" t="s">
        <v>8</v>
      </c>
    </row>
    <row r="8" customFormat="false" ht="15" hidden="false" customHeight="false" outlineLevel="0" collapsed="false">
      <c r="A8" s="2" t="s">
        <v>9</v>
      </c>
      <c r="B8" s="5" t="s">
        <v>10</v>
      </c>
    </row>
    <row r="9" customFormat="false" ht="15" hidden="false" customHeight="false" outlineLevel="0" collapsed="false">
      <c r="A9" s="7" t="s">
        <v>11</v>
      </c>
      <c r="B9" s="8"/>
    </row>
    <row r="10" customFormat="false" ht="15" hidden="false" customHeight="false" outlineLevel="0" collapsed="false">
      <c r="A10" s="9"/>
    </row>
    <row r="11" customFormat="false" ht="15" hidden="false" customHeight="false" outlineLevel="0" collapsed="false">
      <c r="A11" s="10" t="s">
        <v>12</v>
      </c>
      <c r="B11" s="11"/>
    </row>
    <row r="12" customFormat="false" ht="15" hidden="false" customHeight="false" outlineLevel="0" collapsed="false">
      <c r="A12" s="10" t="s">
        <v>13</v>
      </c>
      <c r="B12" s="12"/>
    </row>
    <row r="15" customFormat="false" ht="15" hidden="false" customHeight="false" outlineLevel="0" collapsed="false">
      <c r="A15" s="13" t="s">
        <v>14</v>
      </c>
      <c r="B15" s="12"/>
    </row>
    <row r="17" customFormat="false" ht="15" hidden="false" customHeight="false" outlineLevel="0" collapsed="false">
      <c r="B17" s="14"/>
    </row>
  </sheetData>
  <hyperlinks>
    <hyperlink ref="B4" r:id="rId1" display="johanna.younous@euralis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3" activeCellId="4" sqref="L7 L22 L34 L43 P3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33.57"/>
    <col collapsed="false" customWidth="true" hidden="false" outlineLevel="0" max="3" min="3" style="0" width="13.71"/>
    <col collapsed="false" customWidth="true" hidden="false" outlineLevel="0" max="5" min="4" style="0" width="16.71"/>
    <col collapsed="false" customWidth="true" hidden="false" outlineLevel="0" max="6" min="6" style="0" width="16.43"/>
    <col collapsed="false" customWidth="true" hidden="false" outlineLevel="0" max="7" min="7" style="0" width="13.15"/>
    <col collapsed="false" customWidth="true" hidden="false" outlineLevel="0" max="9" min="9" style="0" width="9.42"/>
    <col collapsed="false" customWidth="true" hidden="false" outlineLevel="0" max="10" min="10" style="0" width="12.29"/>
    <col collapsed="false" customWidth="true" hidden="false" outlineLevel="0" max="11" min="11" style="0" width="12.57"/>
    <col collapsed="false" customWidth="true" hidden="false" outlineLevel="0" max="12" min="12" style="0" width="9.71"/>
    <col collapsed="false" customWidth="true" hidden="false" outlineLevel="0" max="13" min="13" style="0" width="10.29"/>
    <col collapsed="false" customWidth="true" hidden="false" outlineLevel="0" max="14" min="14" style="0" width="11.85"/>
    <col collapsed="false" customWidth="true" hidden="false" outlineLevel="0" max="16" min="15" style="0" width="9.42"/>
  </cols>
  <sheetData>
    <row r="1" customFormat="false" ht="31.9" hidden="false" customHeight="false" outlineLevel="0" collapsed="false">
      <c r="A1" s="15" t="s">
        <v>15</v>
      </c>
      <c r="B1" s="15"/>
      <c r="D1" s="16" t="s">
        <v>16</v>
      </c>
      <c r="E1" s="17" t="s">
        <v>17</v>
      </c>
      <c r="F1" s="17" t="s">
        <v>18</v>
      </c>
      <c r="G1" s="17" t="s">
        <v>19</v>
      </c>
      <c r="H1" s="18" t="s">
        <v>20</v>
      </c>
      <c r="I1" s="18" t="s">
        <v>21</v>
      </c>
      <c r="J1" s="18" t="s">
        <v>22</v>
      </c>
      <c r="K1" s="18" t="s">
        <v>23</v>
      </c>
      <c r="L1" s="18" t="s">
        <v>24</v>
      </c>
      <c r="M1" s="18" t="s">
        <v>25</v>
      </c>
      <c r="N1" s="18" t="s">
        <v>26</v>
      </c>
      <c r="O1" s="18" t="s">
        <v>27</v>
      </c>
      <c r="P1" s="19" t="s">
        <v>28</v>
      </c>
    </row>
    <row r="2" customFormat="false" ht="15" hidden="false" customHeight="false" outlineLevel="0" collapsed="false">
      <c r="A2" s="20" t="s">
        <v>29</v>
      </c>
      <c r="B2" s="21" t="s">
        <v>30</v>
      </c>
      <c r="D2" s="0" t="s">
        <v>31</v>
      </c>
      <c r="E2" s="22" t="n">
        <v>42.4</v>
      </c>
      <c r="F2" s="22" t="n">
        <v>30</v>
      </c>
      <c r="G2" s="22" t="n">
        <f aca="false">7*E2</f>
        <v>296.8</v>
      </c>
      <c r="H2" s="22" t="n">
        <v>18</v>
      </c>
      <c r="I2" s="22" t="n">
        <v>-20</v>
      </c>
      <c r="J2" s="22" t="n">
        <v>79.7</v>
      </c>
      <c r="K2" s="22" t="n">
        <v>30</v>
      </c>
      <c r="L2" s="22" t="n">
        <v>0</v>
      </c>
      <c r="M2" s="22" t="n">
        <v>0</v>
      </c>
      <c r="N2" s="22" t="n">
        <f aca="false">SUM(H2:M2)</f>
        <v>107.7</v>
      </c>
      <c r="O2" s="22" t="n">
        <f aca="false">G2-N2</f>
        <v>189.1</v>
      </c>
      <c r="P2" s="22" t="n">
        <v>160</v>
      </c>
    </row>
    <row r="3" customFormat="false" ht="15" hidden="false" customHeight="false" outlineLevel="0" collapsed="false">
      <c r="A3" s="20" t="s">
        <v>32</v>
      </c>
      <c r="B3" s="23" t="n">
        <v>42978</v>
      </c>
      <c r="D3" s="0" t="s">
        <v>33</v>
      </c>
      <c r="E3" s="22" t="n">
        <v>42.4</v>
      </c>
      <c r="F3" s="22" t="n">
        <v>30</v>
      </c>
      <c r="G3" s="22" t="n">
        <f aca="false">7*E3</f>
        <v>296.8</v>
      </c>
      <c r="H3" s="22" t="n">
        <v>18</v>
      </c>
      <c r="I3" s="22" t="n">
        <v>-20</v>
      </c>
      <c r="J3" s="22" t="n">
        <v>79.7</v>
      </c>
      <c r="K3" s="22" t="n">
        <v>30</v>
      </c>
      <c r="L3" s="22" t="n">
        <v>0</v>
      </c>
      <c r="M3" s="22" t="n">
        <v>0</v>
      </c>
      <c r="N3" s="22" t="n">
        <f aca="false">SUM(H3:M3)</f>
        <v>107.7</v>
      </c>
      <c r="O3" s="22" t="n">
        <f aca="false">G3-N3</f>
        <v>189.1</v>
      </c>
      <c r="P3" s="22" t="n">
        <v>0</v>
      </c>
    </row>
    <row r="4" customFormat="false" ht="15" hidden="false" customHeight="false" outlineLevel="0" collapsed="false">
      <c r="A4" s="20" t="s">
        <v>34</v>
      </c>
      <c r="B4" s="23" t="n">
        <v>43288</v>
      </c>
    </row>
    <row r="5" customFormat="false" ht="15" hidden="false" customHeight="false" outlineLevel="0" collapsed="false">
      <c r="A5" s="20" t="s">
        <v>35</v>
      </c>
      <c r="B5" s="21"/>
    </row>
    <row r="6" customFormat="false" ht="15" hidden="false" customHeight="false" outlineLevel="0" collapsed="false">
      <c r="A6" s="20" t="s">
        <v>36</v>
      </c>
      <c r="B6" s="20" t="s">
        <v>2</v>
      </c>
    </row>
    <row r="7" customFormat="false" ht="15" hidden="false" customHeight="false" outlineLevel="0" collapsed="false">
      <c r="A7" s="20" t="s">
        <v>37</v>
      </c>
      <c r="B7" s="20" t="s">
        <v>38</v>
      </c>
    </row>
    <row r="8" customFormat="false" ht="15" hidden="false" customHeight="false" outlineLevel="0" collapsed="false">
      <c r="A8" s="20" t="s">
        <v>39</v>
      </c>
      <c r="B8" s="24" t="s">
        <v>40</v>
      </c>
    </row>
    <row r="10" customFormat="false" ht="15" hidden="false" customHeight="false" outlineLevel="0" collapsed="false">
      <c r="A10" s="15" t="s">
        <v>41</v>
      </c>
      <c r="B10" s="15"/>
    </row>
    <row r="11" customFormat="false" ht="15" hidden="false" customHeight="false" outlineLevel="0" collapsed="false">
      <c r="A11" s="20" t="s">
        <v>42</v>
      </c>
      <c r="B11" s="20"/>
    </row>
    <row r="12" customFormat="false" ht="15" hidden="false" customHeight="false" outlineLevel="0" collapsed="false">
      <c r="A12" s="20" t="s">
        <v>43</v>
      </c>
      <c r="B12" s="20" t="n">
        <v>47.749049</v>
      </c>
    </row>
    <row r="13" customFormat="false" ht="15" hidden="false" customHeight="false" outlineLevel="0" collapsed="false">
      <c r="A13" s="20" t="s">
        <v>44</v>
      </c>
      <c r="B13" s="20" t="n">
        <v>1.225634</v>
      </c>
    </row>
    <row r="15" customFormat="false" ht="15" hidden="false" customHeight="false" outlineLevel="0" collapsed="false">
      <c r="A15" s="15" t="s">
        <v>45</v>
      </c>
      <c r="B15" s="15"/>
    </row>
    <row r="16" customFormat="false" ht="15" hidden="false" customHeight="false" outlineLevel="0" collapsed="false">
      <c r="A16" s="20" t="s">
        <v>46</v>
      </c>
      <c r="B16" s="20"/>
    </row>
    <row r="17" customFormat="false" ht="15" hidden="false" customHeight="false" outlineLevel="0" collapsed="false">
      <c r="A17" s="20" t="s">
        <v>47</v>
      </c>
      <c r="B17" s="20"/>
    </row>
    <row r="18" customFormat="false" ht="15" hidden="false" customHeight="false" outlineLevel="0" collapsed="false">
      <c r="A18" s="20" t="s">
        <v>48</v>
      </c>
      <c r="B18" s="20"/>
    </row>
    <row r="19" customFormat="false" ht="15" hidden="false" customHeight="false" outlineLevel="0" collapsed="false">
      <c r="A19" s="20" t="s">
        <v>49</v>
      </c>
      <c r="B19" s="23" t="n">
        <v>42978</v>
      </c>
    </row>
    <row r="20" customFormat="false" ht="15" hidden="false" customHeight="false" outlineLevel="0" collapsed="false">
      <c r="A20" s="20" t="s">
        <v>50</v>
      </c>
      <c r="B20" s="20"/>
    </row>
    <row r="21" customFormat="false" ht="15" hidden="false" customHeight="false" outlineLevel="0" collapsed="false">
      <c r="A21" s="20" t="s">
        <v>51</v>
      </c>
      <c r="B21" s="20"/>
    </row>
    <row r="22" customFormat="false" ht="15" hidden="false" customHeight="false" outlineLevel="0" collapsed="false">
      <c r="A22" s="20" t="s">
        <v>52</v>
      </c>
      <c r="B22" s="20"/>
    </row>
    <row r="23" customFormat="false" ht="15" hidden="false" customHeight="false" outlineLevel="0" collapsed="false">
      <c r="A23" s="20" t="s">
        <v>53</v>
      </c>
      <c r="B23" s="23" t="n">
        <v>43288</v>
      </c>
    </row>
  </sheetData>
  <mergeCells count="3">
    <mergeCell ref="A1:B1"/>
    <mergeCell ref="A10:B10"/>
    <mergeCell ref="A15:B15"/>
  </mergeCells>
  <hyperlinks>
    <hyperlink ref="B8" r:id="rId1" display="johanna.younous@gmail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CD22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T11" activeCellId="4" sqref="L7 L22 L34 L43 T11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0" width="3.57"/>
    <col collapsed="false" customWidth="true" hidden="false" outlineLevel="0" max="82" min="2" style="25" width="2.29"/>
  </cols>
  <sheetData>
    <row r="1" customFormat="false" ht="15" hidden="false" customHeight="false" outlineLevel="0" collapsed="false">
      <c r="A1" s="26" t="s">
        <v>54</v>
      </c>
    </row>
    <row r="2" customFormat="false" ht="15" hidden="false" customHeight="false" outlineLevel="0" collapsed="false">
      <c r="A2" s="26" t="s">
        <v>55</v>
      </c>
    </row>
    <row r="3" customFormat="false" ht="15" hidden="false" customHeight="false" outlineLevel="0" collapsed="false">
      <c r="A3" s="26"/>
    </row>
    <row r="4" customFormat="false" ht="15" hidden="false" customHeight="false" outlineLevel="0" collapsed="false">
      <c r="A4" s="26" t="s">
        <v>31</v>
      </c>
      <c r="AQ4" s="26" t="s">
        <v>33</v>
      </c>
    </row>
    <row r="5" customFormat="false" ht="15" hidden="false" customHeight="false" outlineLevel="0" collapsed="false">
      <c r="A5" s="27" t="n">
        <v>20</v>
      </c>
      <c r="B5" s="28"/>
      <c r="C5" s="28"/>
      <c r="D5" s="28"/>
      <c r="E5" s="28"/>
      <c r="F5" s="28"/>
      <c r="G5" s="28"/>
      <c r="H5" s="28"/>
      <c r="I5" s="28"/>
      <c r="J5" s="28" t="n">
        <v>2</v>
      </c>
      <c r="K5" s="28"/>
      <c r="L5" s="28"/>
      <c r="M5" s="28"/>
      <c r="N5" s="28"/>
      <c r="O5" s="28"/>
      <c r="P5" s="28"/>
      <c r="Q5" s="28"/>
      <c r="R5" s="28" t="n">
        <v>8</v>
      </c>
      <c r="S5" s="28"/>
      <c r="T5" s="28"/>
      <c r="U5" s="28"/>
      <c r="V5" s="28"/>
      <c r="W5" s="28"/>
      <c r="X5" s="28" t="n">
        <v>6</v>
      </c>
      <c r="Y5" s="28"/>
      <c r="Z5" s="28"/>
      <c r="AA5" s="28"/>
      <c r="AB5" s="28"/>
      <c r="AC5" s="28"/>
      <c r="AD5" s="28"/>
      <c r="AE5" s="28"/>
      <c r="AF5" s="28" t="n">
        <v>12</v>
      </c>
      <c r="AG5" s="28"/>
      <c r="AH5" s="28"/>
      <c r="AI5" s="28"/>
      <c r="AJ5" s="28"/>
      <c r="AK5" s="28"/>
      <c r="AL5" s="28"/>
      <c r="AM5" s="28"/>
      <c r="AN5" s="28"/>
      <c r="AO5" s="29"/>
      <c r="AQ5" s="28"/>
      <c r="AR5" s="28"/>
      <c r="AS5" s="28"/>
      <c r="AT5" s="28"/>
      <c r="AU5" s="28"/>
      <c r="AV5" s="28"/>
      <c r="AW5" s="28"/>
      <c r="AX5" s="28"/>
      <c r="AY5" s="28" t="n">
        <v>1</v>
      </c>
      <c r="AZ5" s="28"/>
      <c r="BA5" s="28"/>
      <c r="BB5" s="28"/>
      <c r="BC5" s="28" t="n">
        <v>10</v>
      </c>
      <c r="BD5" s="28"/>
      <c r="BE5" s="28"/>
      <c r="BF5" s="28"/>
      <c r="BG5" s="28" t="n">
        <v>8</v>
      </c>
      <c r="BH5" s="28"/>
      <c r="BI5" s="28"/>
      <c r="BJ5" s="28"/>
      <c r="BK5" s="28"/>
      <c r="BL5" s="28"/>
      <c r="BM5" s="28" t="n">
        <v>4</v>
      </c>
      <c r="BN5" s="28"/>
      <c r="BO5" s="28"/>
      <c r="BP5" s="28"/>
      <c r="BQ5" s="28"/>
      <c r="BR5" s="28"/>
      <c r="BS5" s="28"/>
      <c r="BT5" s="28"/>
      <c r="BU5" s="28" t="n">
        <v>6</v>
      </c>
      <c r="BV5" s="28"/>
      <c r="BW5" s="28"/>
      <c r="BX5" s="28"/>
      <c r="BY5" s="28" t="n">
        <v>7</v>
      </c>
      <c r="BZ5" s="28"/>
      <c r="CA5" s="28"/>
      <c r="CB5" s="28"/>
      <c r="CC5" s="28"/>
      <c r="CD5" s="29"/>
    </row>
    <row r="6" customFormat="false" ht="15" hidden="false" customHeight="false" outlineLevel="0" collapsed="false">
      <c r="A6" s="30" t="n">
        <v>19</v>
      </c>
      <c r="B6" s="31"/>
      <c r="C6" s="31"/>
      <c r="D6" s="31"/>
      <c r="E6" s="31"/>
      <c r="F6" s="31"/>
      <c r="G6" s="31"/>
      <c r="H6" s="31" t="n">
        <v>11</v>
      </c>
      <c r="I6" s="31"/>
      <c r="J6" s="31"/>
      <c r="K6" s="31"/>
      <c r="L6" s="31" t="n">
        <v>1</v>
      </c>
      <c r="M6" s="31"/>
      <c r="N6" s="31"/>
      <c r="O6" s="31"/>
      <c r="P6" s="31" t="n">
        <v>10</v>
      </c>
      <c r="Q6" s="31"/>
      <c r="R6" s="31"/>
      <c r="S6" s="31"/>
      <c r="T6" s="31" t="n">
        <v>9</v>
      </c>
      <c r="U6" s="31"/>
      <c r="V6" s="31"/>
      <c r="W6" s="31"/>
      <c r="X6" s="31"/>
      <c r="Y6" s="31"/>
      <c r="Z6" s="31"/>
      <c r="AA6" s="31"/>
      <c r="AB6" s="31"/>
      <c r="AC6" s="31"/>
      <c r="AD6" s="31"/>
      <c r="AE6" s="31" t="n">
        <v>4</v>
      </c>
      <c r="AF6" s="31"/>
      <c r="AG6" s="31" t="n">
        <v>3</v>
      </c>
      <c r="AH6" s="31"/>
      <c r="AI6" s="31"/>
      <c r="AJ6" s="31"/>
      <c r="AK6" s="31" t="n">
        <v>7</v>
      </c>
      <c r="AL6" s="31"/>
      <c r="AM6" s="31" t="n">
        <v>5</v>
      </c>
      <c r="AN6" s="31"/>
      <c r="AO6" s="32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 t="n">
        <v>11</v>
      </c>
      <c r="BB6" s="31"/>
      <c r="BC6" s="31"/>
      <c r="BD6" s="31"/>
      <c r="BE6" s="31" t="n">
        <v>2</v>
      </c>
      <c r="BF6" s="31"/>
      <c r="BG6" s="31"/>
      <c r="BH6" s="31"/>
      <c r="BI6" s="31" t="n">
        <v>9</v>
      </c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 t="n">
        <v>3</v>
      </c>
      <c r="BW6" s="31"/>
      <c r="BX6" s="31"/>
      <c r="BY6" s="31"/>
      <c r="BZ6" s="31" t="n">
        <v>5</v>
      </c>
      <c r="CA6" s="31"/>
      <c r="CB6" s="31"/>
      <c r="CC6" s="31"/>
      <c r="CD6" s="32" t="n">
        <v>12</v>
      </c>
    </row>
    <row r="7" customFormat="false" ht="15" hidden="false" customHeight="false" outlineLevel="0" collapsed="false">
      <c r="A7" s="30" t="n">
        <v>18</v>
      </c>
      <c r="B7" s="33"/>
      <c r="C7" s="33"/>
      <c r="D7" s="33"/>
      <c r="E7" s="33"/>
      <c r="F7" s="33"/>
      <c r="G7" s="33"/>
      <c r="H7" s="33"/>
      <c r="I7" s="33"/>
      <c r="J7" s="33" t="n">
        <v>1</v>
      </c>
      <c r="K7" s="33"/>
      <c r="L7" s="33"/>
      <c r="M7" s="33"/>
      <c r="N7" s="33" t="n">
        <v>10</v>
      </c>
      <c r="O7" s="33"/>
      <c r="P7" s="33"/>
      <c r="Q7" s="33"/>
      <c r="R7" s="33" t="n">
        <v>8</v>
      </c>
      <c r="S7" s="33"/>
      <c r="T7" s="33"/>
      <c r="U7" s="33"/>
      <c r="V7" s="33"/>
      <c r="W7" s="33"/>
      <c r="X7" s="33" t="n">
        <v>4</v>
      </c>
      <c r="Y7" s="33"/>
      <c r="Z7" s="33"/>
      <c r="AA7" s="33"/>
      <c r="AB7" s="33"/>
      <c r="AC7" s="33"/>
      <c r="AD7" s="33"/>
      <c r="AE7" s="33"/>
      <c r="AF7" s="33" t="n">
        <v>6</v>
      </c>
      <c r="AG7" s="33"/>
      <c r="AH7" s="33"/>
      <c r="AI7" s="33"/>
      <c r="AJ7" s="33" t="n">
        <v>7</v>
      </c>
      <c r="AK7" s="33"/>
      <c r="AL7" s="33"/>
      <c r="AM7" s="33"/>
      <c r="AN7" s="33"/>
      <c r="AO7" s="34"/>
      <c r="AQ7" s="33" t="n">
        <v>11</v>
      </c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 t="n">
        <v>6</v>
      </c>
      <c r="BR7" s="33"/>
      <c r="BS7" s="33"/>
      <c r="BT7" s="33"/>
      <c r="BU7" s="33" t="n">
        <v>7</v>
      </c>
      <c r="BV7" s="33"/>
      <c r="BW7" s="33"/>
      <c r="BX7" s="33"/>
      <c r="BY7" s="33"/>
      <c r="BZ7" s="33"/>
      <c r="CA7" s="33"/>
      <c r="CB7" s="33"/>
      <c r="CC7" s="33"/>
      <c r="CD7" s="34" t="n">
        <v>12</v>
      </c>
    </row>
    <row r="8" customFormat="false" ht="15" hidden="false" customHeight="false" outlineLevel="0" collapsed="false">
      <c r="A8" s="30" t="n">
        <v>17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 t="n">
        <v>11</v>
      </c>
      <c r="M8" s="35"/>
      <c r="N8" s="35"/>
      <c r="O8" s="35"/>
      <c r="P8" s="35" t="n">
        <v>2</v>
      </c>
      <c r="Q8" s="35"/>
      <c r="R8" s="35"/>
      <c r="S8" s="35"/>
      <c r="T8" s="35" t="n">
        <v>9</v>
      </c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 t="n">
        <v>3</v>
      </c>
      <c r="AH8" s="35"/>
      <c r="AI8" s="35"/>
      <c r="AJ8" s="35"/>
      <c r="AK8" s="35" t="n">
        <v>5</v>
      </c>
      <c r="AL8" s="35"/>
      <c r="AM8" s="35"/>
      <c r="AN8" s="35"/>
      <c r="AO8" s="36" t="n">
        <v>12</v>
      </c>
      <c r="AQ8" s="35"/>
      <c r="AR8" s="35"/>
      <c r="AS8" s="35" t="n">
        <v>1</v>
      </c>
      <c r="AT8" s="35"/>
      <c r="AU8" s="35"/>
      <c r="AV8" s="35"/>
      <c r="AW8" s="35" t="n">
        <v>2</v>
      </c>
      <c r="AX8" s="35"/>
      <c r="AY8" s="35"/>
      <c r="AZ8" s="35"/>
      <c r="BA8" s="35" t="n">
        <v>10</v>
      </c>
      <c r="BB8" s="35"/>
      <c r="BC8" s="35"/>
      <c r="BD8" s="35"/>
      <c r="BE8" s="35" t="n">
        <v>9</v>
      </c>
      <c r="BF8" s="35"/>
      <c r="BG8" s="35"/>
      <c r="BH8" s="35"/>
      <c r="BI8" s="35" t="n">
        <v>8</v>
      </c>
      <c r="BJ8" s="35"/>
      <c r="BK8" s="35"/>
      <c r="BL8" s="35"/>
      <c r="BM8" s="35"/>
      <c r="BN8" s="35"/>
      <c r="BO8" s="35"/>
      <c r="BP8" s="35" t="n">
        <v>4</v>
      </c>
      <c r="BQ8" s="35"/>
      <c r="BR8" s="35"/>
      <c r="BS8" s="35"/>
      <c r="BT8" s="35" t="n">
        <v>5</v>
      </c>
      <c r="BU8" s="35"/>
      <c r="BV8" s="35" t="n">
        <v>3</v>
      </c>
      <c r="BW8" s="35"/>
      <c r="BX8" s="35"/>
      <c r="BY8" s="35"/>
      <c r="BZ8" s="35"/>
      <c r="CA8" s="35"/>
      <c r="CB8" s="35"/>
      <c r="CC8" s="35"/>
      <c r="CD8" s="36"/>
    </row>
    <row r="9" customFormat="false" ht="15" hidden="false" customHeight="false" outlineLevel="0" collapsed="false">
      <c r="A9" s="37" t="s">
        <v>56</v>
      </c>
      <c r="B9" s="38" t="n">
        <v>161</v>
      </c>
      <c r="C9" s="38" t="n">
        <v>162</v>
      </c>
      <c r="D9" s="38" t="n">
        <v>163</v>
      </c>
      <c r="E9" s="38" t="n">
        <v>164</v>
      </c>
      <c r="F9" s="38" t="n">
        <v>165</v>
      </c>
      <c r="G9" s="38" t="n">
        <v>166</v>
      </c>
      <c r="H9" s="38" t="n">
        <v>167</v>
      </c>
      <c r="I9" s="38" t="n">
        <v>168</v>
      </c>
      <c r="J9" s="38" t="n">
        <v>169</v>
      </c>
      <c r="K9" s="38" t="n">
        <v>170</v>
      </c>
      <c r="L9" s="38" t="n">
        <v>171</v>
      </c>
      <c r="M9" s="38" t="n">
        <v>172</v>
      </c>
      <c r="N9" s="38" t="n">
        <v>173</v>
      </c>
      <c r="O9" s="38" t="n">
        <v>174</v>
      </c>
      <c r="P9" s="38" t="n">
        <v>175</v>
      </c>
      <c r="Q9" s="38" t="n">
        <v>176</v>
      </c>
      <c r="R9" s="38" t="n">
        <v>177</v>
      </c>
      <c r="S9" s="38" t="n">
        <v>178</v>
      </c>
      <c r="T9" s="38" t="n">
        <v>179</v>
      </c>
      <c r="U9" s="38" t="n">
        <v>180</v>
      </c>
      <c r="V9" s="38" t="n">
        <v>181</v>
      </c>
      <c r="W9" s="38" t="n">
        <v>182</v>
      </c>
      <c r="X9" s="38" t="n">
        <v>183</v>
      </c>
      <c r="Y9" s="38" t="n">
        <v>184</v>
      </c>
      <c r="Z9" s="38" t="n">
        <v>185</v>
      </c>
      <c r="AA9" s="38" t="n">
        <v>186</v>
      </c>
      <c r="AB9" s="38" t="n">
        <v>187</v>
      </c>
      <c r="AC9" s="38" t="n">
        <v>188</v>
      </c>
      <c r="AD9" s="38" t="n">
        <v>189</v>
      </c>
      <c r="AE9" s="38" t="n">
        <v>190</v>
      </c>
      <c r="AF9" s="38" t="n">
        <v>191</v>
      </c>
      <c r="AG9" s="38" t="n">
        <v>192</v>
      </c>
      <c r="AH9" s="38" t="n">
        <v>193</v>
      </c>
      <c r="AI9" s="38" t="n">
        <v>194</v>
      </c>
      <c r="AJ9" s="38" t="n">
        <v>195</v>
      </c>
      <c r="AK9" s="38" t="n">
        <v>196</v>
      </c>
      <c r="AL9" s="38" t="n">
        <v>197</v>
      </c>
      <c r="AM9" s="38" t="n">
        <v>198</v>
      </c>
      <c r="AN9" s="38" t="n">
        <v>199</v>
      </c>
      <c r="AO9" s="39" t="n">
        <v>200</v>
      </c>
      <c r="AP9" s="40"/>
      <c r="AQ9" s="38" t="n">
        <v>214</v>
      </c>
      <c r="AR9" s="38" t="n">
        <v>215</v>
      </c>
      <c r="AS9" s="38" t="n">
        <v>216</v>
      </c>
      <c r="AT9" s="38" t="n">
        <v>217</v>
      </c>
      <c r="AU9" s="38" t="n">
        <v>218</v>
      </c>
      <c r="AV9" s="38" t="n">
        <v>219</v>
      </c>
      <c r="AW9" s="38" t="n">
        <v>220</v>
      </c>
      <c r="AX9" s="38" t="n">
        <v>221</v>
      </c>
      <c r="AY9" s="38" t="n">
        <v>222</v>
      </c>
      <c r="AZ9" s="38" t="n">
        <v>223</v>
      </c>
      <c r="BA9" s="38" t="n">
        <v>224</v>
      </c>
      <c r="BB9" s="38" t="n">
        <v>225</v>
      </c>
      <c r="BC9" s="38" t="n">
        <v>226</v>
      </c>
      <c r="BD9" s="38" t="n">
        <v>227</v>
      </c>
      <c r="BE9" s="38" t="n">
        <v>228</v>
      </c>
      <c r="BF9" s="38" t="n">
        <v>229</v>
      </c>
      <c r="BG9" s="38" t="n">
        <v>230</v>
      </c>
      <c r="BH9" s="38" t="n">
        <v>231</v>
      </c>
      <c r="BI9" s="38" t="n">
        <v>232</v>
      </c>
      <c r="BJ9" s="38" t="n">
        <v>233</v>
      </c>
      <c r="BK9" s="38" t="n">
        <v>234</v>
      </c>
      <c r="BL9" s="38" t="n">
        <v>235</v>
      </c>
      <c r="BM9" s="38" t="n">
        <v>236</v>
      </c>
      <c r="BN9" s="38" t="n">
        <v>237</v>
      </c>
      <c r="BO9" s="38" t="n">
        <v>238</v>
      </c>
      <c r="BP9" s="38" t="n">
        <v>239</v>
      </c>
      <c r="BQ9" s="38" t="n">
        <v>240</v>
      </c>
      <c r="BR9" s="38" t="n">
        <v>241</v>
      </c>
      <c r="BS9" s="38" t="n">
        <v>242</v>
      </c>
      <c r="BT9" s="38" t="n">
        <v>243</v>
      </c>
      <c r="BU9" s="38" t="n">
        <v>244</v>
      </c>
      <c r="BV9" s="38" t="n">
        <v>245</v>
      </c>
      <c r="BW9" s="38" t="n">
        <v>246</v>
      </c>
      <c r="BX9" s="38" t="n">
        <v>247</v>
      </c>
      <c r="BY9" s="38" t="n">
        <v>248</v>
      </c>
      <c r="BZ9" s="38" t="n">
        <v>249</v>
      </c>
      <c r="CA9" s="38" t="n">
        <v>250</v>
      </c>
      <c r="CB9" s="38" t="n">
        <v>251</v>
      </c>
      <c r="CC9" s="38" t="n">
        <v>252</v>
      </c>
      <c r="CD9" s="39" t="n">
        <v>253</v>
      </c>
    </row>
    <row r="11" customFormat="false" ht="15" hidden="false" customHeight="false" outlineLevel="0" collapsed="false">
      <c r="A11" s="0" t="n">
        <v>1</v>
      </c>
      <c r="B11" s="41" t="s">
        <v>57</v>
      </c>
    </row>
    <row r="12" customFormat="false" ht="15" hidden="false" customHeight="false" outlineLevel="0" collapsed="false">
      <c r="A12" s="0" t="n">
        <v>2</v>
      </c>
      <c r="B12" s="41" t="s">
        <v>58</v>
      </c>
    </row>
    <row r="13" customFormat="false" ht="15" hidden="false" customHeight="false" outlineLevel="0" collapsed="false">
      <c r="A13" s="0" t="n">
        <v>3</v>
      </c>
      <c r="B13" s="41" t="s">
        <v>59</v>
      </c>
    </row>
    <row r="14" customFormat="false" ht="15" hidden="false" customHeight="false" outlineLevel="0" collapsed="false">
      <c r="A14" s="0" t="n">
        <v>4</v>
      </c>
      <c r="B14" s="41" t="s">
        <v>60</v>
      </c>
    </row>
    <row r="15" customFormat="false" ht="15" hidden="false" customHeight="false" outlineLevel="0" collapsed="false">
      <c r="A15" s="0" t="n">
        <v>5</v>
      </c>
      <c r="B15" s="41" t="s">
        <v>61</v>
      </c>
    </row>
    <row r="16" customFormat="false" ht="15" hidden="false" customHeight="false" outlineLevel="0" collapsed="false">
      <c r="A16" s="0" t="n">
        <v>6</v>
      </c>
      <c r="B16" s="41" t="s">
        <v>62</v>
      </c>
    </row>
    <row r="17" customFormat="false" ht="15" hidden="false" customHeight="false" outlineLevel="0" collapsed="false">
      <c r="A17" s="0" t="n">
        <v>7</v>
      </c>
      <c r="B17" s="41" t="s">
        <v>63</v>
      </c>
    </row>
    <row r="18" customFormat="false" ht="15" hidden="false" customHeight="false" outlineLevel="0" collapsed="false">
      <c r="A18" s="0" t="n">
        <v>8</v>
      </c>
      <c r="B18" s="41" t="s">
        <v>64</v>
      </c>
    </row>
    <row r="19" customFormat="false" ht="15" hidden="false" customHeight="false" outlineLevel="0" collapsed="false">
      <c r="A19" s="0" t="n">
        <v>9</v>
      </c>
      <c r="B19" s="41" t="s">
        <v>65</v>
      </c>
    </row>
    <row r="20" customFormat="false" ht="15" hidden="false" customHeight="false" outlineLevel="0" collapsed="false">
      <c r="A20" s="0" t="n">
        <v>10</v>
      </c>
      <c r="B20" s="41" t="s">
        <v>66</v>
      </c>
    </row>
    <row r="21" customFormat="false" ht="15" hidden="false" customHeight="false" outlineLevel="0" collapsed="false">
      <c r="A21" s="0" t="n">
        <v>12</v>
      </c>
      <c r="B21" s="41" t="s">
        <v>67</v>
      </c>
    </row>
    <row r="22" customFormat="false" ht="15" hidden="false" customHeight="false" outlineLevel="0" collapsed="false">
      <c r="A22" s="0" t="n">
        <v>11</v>
      </c>
      <c r="B22" s="41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4" sqref="L7 L22 L34 L43 A2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0" width="16.14"/>
    <col collapsed="false" customWidth="true" hidden="false" outlineLevel="0" max="2" min="2" style="0" width="12.86"/>
  </cols>
  <sheetData>
    <row r="1" customFormat="false" ht="15" hidden="false" customHeight="false" outlineLevel="0" collapsed="false">
      <c r="A1" s="0" t="s">
        <v>69</v>
      </c>
      <c r="B1" s="0" t="s">
        <v>70</v>
      </c>
    </row>
    <row r="2" customFormat="false" ht="15" hidden="false" customHeight="false" outlineLevel="0" collapsed="false">
      <c r="A2" s="0" t="n">
        <v>1</v>
      </c>
      <c r="B2" s="41" t="s">
        <v>57</v>
      </c>
    </row>
    <row r="3" customFormat="false" ht="15" hidden="false" customHeight="false" outlineLevel="0" collapsed="false">
      <c r="A3" s="0" t="n">
        <v>2</v>
      </c>
      <c r="B3" s="41" t="s">
        <v>58</v>
      </c>
    </row>
    <row r="4" customFormat="false" ht="15" hidden="false" customHeight="false" outlineLevel="0" collapsed="false">
      <c r="A4" s="0" t="n">
        <v>3</v>
      </c>
      <c r="B4" s="41" t="s">
        <v>59</v>
      </c>
    </row>
    <row r="5" customFormat="false" ht="15" hidden="false" customHeight="false" outlineLevel="0" collapsed="false">
      <c r="A5" s="0" t="n">
        <v>4</v>
      </c>
      <c r="B5" s="41" t="s">
        <v>60</v>
      </c>
    </row>
    <row r="6" customFormat="false" ht="15" hidden="false" customHeight="false" outlineLevel="0" collapsed="false">
      <c r="A6" s="0" t="n">
        <v>5</v>
      </c>
      <c r="B6" s="41" t="s">
        <v>61</v>
      </c>
    </row>
    <row r="7" customFormat="false" ht="15" hidden="false" customHeight="false" outlineLevel="0" collapsed="false">
      <c r="A7" s="0" t="n">
        <v>6</v>
      </c>
      <c r="B7" s="41" t="s">
        <v>62</v>
      </c>
    </row>
    <row r="8" customFormat="false" ht="15" hidden="false" customHeight="false" outlineLevel="0" collapsed="false">
      <c r="A8" s="0" t="n">
        <v>7</v>
      </c>
      <c r="B8" s="41" t="s">
        <v>63</v>
      </c>
    </row>
    <row r="9" customFormat="false" ht="15" hidden="false" customHeight="false" outlineLevel="0" collapsed="false">
      <c r="A9" s="0" t="n">
        <v>8</v>
      </c>
      <c r="B9" s="41" t="s">
        <v>64</v>
      </c>
    </row>
    <row r="10" customFormat="false" ht="15" hidden="false" customHeight="false" outlineLevel="0" collapsed="false">
      <c r="A10" s="0" t="n">
        <v>9</v>
      </c>
      <c r="B10" s="41" t="s">
        <v>65</v>
      </c>
    </row>
    <row r="11" customFormat="false" ht="15" hidden="false" customHeight="false" outlineLevel="0" collapsed="false">
      <c r="A11" s="0" t="n">
        <v>10</v>
      </c>
      <c r="B11" s="41" t="s">
        <v>66</v>
      </c>
    </row>
    <row r="12" customFormat="false" ht="15" hidden="false" customHeight="false" outlineLevel="0" collapsed="false">
      <c r="A12" s="0" t="n">
        <v>12</v>
      </c>
      <c r="B12" s="41" t="s">
        <v>67</v>
      </c>
    </row>
    <row r="13" customFormat="false" ht="15" hidden="false" customHeight="false" outlineLevel="0" collapsed="false">
      <c r="A13" s="0" t="n">
        <v>11</v>
      </c>
      <c r="B13" s="41" t="s">
        <v>68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5" activeCellId="4" sqref="L7 L22 L34 L43 G15"/>
    </sheetView>
  </sheetViews>
  <sheetFormatPr defaultColWidth="10.54296875" defaultRowHeight="15" customHeight="true" zeroHeight="false" outlineLevelRow="0" outlineLevelCol="0"/>
  <sheetData>
    <row r="1" customFormat="false" ht="15" hidden="false" customHeight="true" outlineLevel="0" collapsed="false">
      <c r="A1" s="42" t="s">
        <v>71</v>
      </c>
      <c r="B1" s="42"/>
      <c r="C1" s="42"/>
      <c r="D1" s="42"/>
      <c r="E1" s="42"/>
      <c r="F1" s="42"/>
    </row>
    <row r="2" customFormat="false" ht="15" hidden="false" customHeight="false" outlineLevel="0" collapsed="false">
      <c r="A2" s="42"/>
      <c r="B2" s="42"/>
      <c r="C2" s="42"/>
      <c r="D2" s="42"/>
      <c r="E2" s="42"/>
      <c r="F2" s="42"/>
    </row>
    <row r="3" customFormat="false" ht="15" hidden="false" customHeight="false" outlineLevel="0" collapsed="false">
      <c r="A3" s="42"/>
      <c r="B3" s="42"/>
      <c r="C3" s="42"/>
      <c r="D3" s="42"/>
      <c r="E3" s="42"/>
      <c r="F3" s="42"/>
    </row>
    <row r="4" customFormat="false" ht="15" hidden="false" customHeight="false" outlineLevel="0" collapsed="false">
      <c r="A4" s="0" t="s">
        <v>72</v>
      </c>
    </row>
    <row r="5" customFormat="false" ht="28.5" hidden="false" customHeight="true" outlineLevel="0" collapsed="false">
      <c r="A5" s="43" t="s">
        <v>73</v>
      </c>
      <c r="B5" s="43"/>
      <c r="C5" s="43"/>
      <c r="D5" s="44" t="s">
        <v>74</v>
      </c>
      <c r="E5" s="44"/>
      <c r="F5" s="44" t="s">
        <v>75</v>
      </c>
      <c r="G5" s="44"/>
      <c r="H5" s="44" t="s">
        <v>76</v>
      </c>
      <c r="I5" s="44"/>
    </row>
    <row r="6" customFormat="false" ht="22.5" hidden="false" customHeight="true" outlineLevel="0" collapsed="false">
      <c r="A6" s="45" t="s">
        <v>77</v>
      </c>
      <c r="B6" s="45"/>
      <c r="C6" s="45"/>
      <c r="D6" s="46" t="n">
        <v>203</v>
      </c>
      <c r="E6" s="46"/>
      <c r="F6" s="46" t="n">
        <v>264</v>
      </c>
      <c r="G6" s="46"/>
      <c r="H6" s="46" t="n">
        <v>465</v>
      </c>
      <c r="I6" s="46"/>
    </row>
    <row r="7" customFormat="false" ht="25.5" hidden="false" customHeight="true" outlineLevel="0" collapsed="false">
      <c r="A7" s="47" t="s">
        <v>78</v>
      </c>
      <c r="B7" s="47"/>
      <c r="C7" s="47"/>
      <c r="D7" s="46" t="n">
        <v>12.38</v>
      </c>
      <c r="E7" s="46"/>
      <c r="F7" s="46" t="n">
        <v>13.68</v>
      </c>
      <c r="G7" s="46"/>
      <c r="H7" s="46" t="n">
        <v>21.8</v>
      </c>
      <c r="I7" s="46"/>
    </row>
    <row r="8" customFormat="false" ht="18.75" hidden="false" customHeight="true" outlineLevel="0" collapsed="false">
      <c r="A8" s="45" t="s">
        <v>79</v>
      </c>
      <c r="B8" s="45"/>
      <c r="C8" s="45"/>
      <c r="D8" s="46" t="n">
        <v>10.49</v>
      </c>
      <c r="E8" s="46"/>
      <c r="F8" s="46" t="n">
        <v>7.19</v>
      </c>
      <c r="G8" s="46"/>
      <c r="H8" s="46" t="n">
        <v>7.96</v>
      </c>
      <c r="I8" s="46"/>
    </row>
    <row r="9" customFormat="false" ht="15" hidden="false" customHeight="false" outlineLevel="0" collapsed="false">
      <c r="A9" s="45" t="s">
        <v>80</v>
      </c>
      <c r="B9" s="45"/>
      <c r="C9" s="45"/>
      <c r="D9" s="46" t="n">
        <v>361</v>
      </c>
      <c r="E9" s="46"/>
      <c r="F9" s="46" t="n">
        <v>365</v>
      </c>
      <c r="G9" s="46"/>
      <c r="H9" s="46" t="n">
        <v>261</v>
      </c>
      <c r="I9" s="46"/>
    </row>
    <row r="10" customFormat="false" ht="15" hidden="false" customHeight="false" outlineLevel="0" collapsed="false">
      <c r="A10" s="45" t="s">
        <v>81</v>
      </c>
      <c r="B10" s="45"/>
      <c r="C10" s="45"/>
      <c r="D10" s="46" t="n">
        <v>370</v>
      </c>
      <c r="E10" s="46"/>
      <c r="F10" s="46" t="n">
        <v>298</v>
      </c>
      <c r="G10" s="46"/>
      <c r="H10" s="46" t="n">
        <v>183</v>
      </c>
      <c r="I10" s="46"/>
    </row>
    <row r="11" customFormat="false" ht="15" hidden="false" customHeight="false" outlineLevel="0" collapsed="false">
      <c r="A11" s="45" t="s">
        <v>82</v>
      </c>
      <c r="B11" s="45"/>
      <c r="C11" s="45"/>
      <c r="D11" s="46" t="n">
        <v>18.15</v>
      </c>
      <c r="E11" s="46"/>
      <c r="F11" s="46" t="n">
        <v>12.44</v>
      </c>
      <c r="G11" s="46"/>
      <c r="H11" s="46" t="n">
        <v>7.96</v>
      </c>
      <c r="I11" s="46"/>
    </row>
    <row r="12" customFormat="false" ht="15" hidden="false" customHeight="false" outlineLevel="0" collapsed="false">
      <c r="A12" s="45" t="s">
        <v>83</v>
      </c>
      <c r="B12" s="45"/>
      <c r="C12" s="45"/>
      <c r="D12" s="46" t="n">
        <v>6.81</v>
      </c>
      <c r="E12" s="46"/>
      <c r="F12" s="46" t="n">
        <v>7.511</v>
      </c>
      <c r="G12" s="46"/>
      <c r="H12" s="46" t="n">
        <v>7.92</v>
      </c>
      <c r="I12" s="46"/>
    </row>
    <row r="13" customFormat="false" ht="15" hidden="false" customHeight="false" outlineLevel="0" collapsed="false">
      <c r="A13" s="45" t="s">
        <v>84</v>
      </c>
      <c r="B13" s="45"/>
      <c r="C13" s="45"/>
      <c r="D13" s="46" t="n">
        <v>32</v>
      </c>
      <c r="E13" s="46"/>
      <c r="F13" s="46" t="n">
        <v>30</v>
      </c>
      <c r="G13" s="46"/>
      <c r="H13" s="46" t="n">
        <v>29</v>
      </c>
      <c r="I13" s="46"/>
    </row>
    <row r="14" customFormat="false" ht="15" hidden="false" customHeight="false" outlineLevel="0" collapsed="false">
      <c r="A14" s="45" t="s">
        <v>85</v>
      </c>
      <c r="B14" s="45"/>
      <c r="C14" s="45"/>
      <c r="D14" s="46" t="n">
        <v>34</v>
      </c>
      <c r="E14" s="46"/>
      <c r="F14" s="46" t="n">
        <v>42</v>
      </c>
      <c r="G14" s="46"/>
      <c r="H14" s="46" t="n">
        <v>62</v>
      </c>
      <c r="I14" s="46"/>
    </row>
    <row r="16" customFormat="false" ht="15" hidden="false" customHeight="false" outlineLevel="0" collapsed="false">
      <c r="A16" s="0" t="s">
        <v>86</v>
      </c>
    </row>
    <row r="18" customFormat="false" ht="15" hidden="false" customHeight="false" outlineLevel="0" collapsed="false">
      <c r="A18" s="48" t="s">
        <v>73</v>
      </c>
      <c r="B18" s="48"/>
      <c r="C18" s="48" t="s">
        <v>87</v>
      </c>
    </row>
    <row r="19" customFormat="false" ht="15" hidden="false" customHeight="false" outlineLevel="0" collapsed="false">
      <c r="A19" s="49" t="s">
        <v>88</v>
      </c>
      <c r="B19" s="49"/>
      <c r="C19" s="22"/>
    </row>
    <row r="20" customFormat="false" ht="15" hidden="false" customHeight="false" outlineLevel="0" collapsed="false">
      <c r="A20" s="49" t="s">
        <v>89</v>
      </c>
      <c r="B20" s="49"/>
      <c r="C20" s="22"/>
    </row>
    <row r="21" customFormat="false" ht="15" hidden="false" customHeight="false" outlineLevel="0" collapsed="false">
      <c r="A21" s="49" t="s">
        <v>90</v>
      </c>
      <c r="B21" s="49"/>
      <c r="C21" s="22"/>
    </row>
    <row r="22" customFormat="false" ht="15" hidden="false" customHeight="false" outlineLevel="0" collapsed="false">
      <c r="A22" s="49" t="s">
        <v>91</v>
      </c>
      <c r="B22" s="49"/>
      <c r="C22" s="22"/>
    </row>
  </sheetData>
  <mergeCells count="46">
    <mergeCell ref="A1:F3"/>
    <mergeCell ref="A5:C5"/>
    <mergeCell ref="D5:E5"/>
    <mergeCell ref="F5:G5"/>
    <mergeCell ref="H5:I5"/>
    <mergeCell ref="A6:C6"/>
    <mergeCell ref="D6:E6"/>
    <mergeCell ref="F6:G6"/>
    <mergeCell ref="H6:I6"/>
    <mergeCell ref="A7:C7"/>
    <mergeCell ref="D7:E7"/>
    <mergeCell ref="F7:G7"/>
    <mergeCell ref="H7:I7"/>
    <mergeCell ref="A8:C8"/>
    <mergeCell ref="D8:E8"/>
    <mergeCell ref="F8:G8"/>
    <mergeCell ref="H8:I8"/>
    <mergeCell ref="A9:C9"/>
    <mergeCell ref="D9:E9"/>
    <mergeCell ref="F9:G9"/>
    <mergeCell ref="H9:I9"/>
    <mergeCell ref="A10:C10"/>
    <mergeCell ref="D10:E10"/>
    <mergeCell ref="F10:G10"/>
    <mergeCell ref="H10:I10"/>
    <mergeCell ref="A11:C11"/>
    <mergeCell ref="D11:E11"/>
    <mergeCell ref="F11:G11"/>
    <mergeCell ref="H11:I11"/>
    <mergeCell ref="A12:C12"/>
    <mergeCell ref="D12:E12"/>
    <mergeCell ref="F12:G12"/>
    <mergeCell ref="H12:I12"/>
    <mergeCell ref="A13:C13"/>
    <mergeCell ref="D13:E13"/>
    <mergeCell ref="F13:G13"/>
    <mergeCell ref="H13:I13"/>
    <mergeCell ref="A14:C14"/>
    <mergeCell ref="D14:E14"/>
    <mergeCell ref="F14:G14"/>
    <mergeCell ref="H14:I14"/>
    <mergeCell ref="A18:B18"/>
    <mergeCell ref="A19:B19"/>
    <mergeCell ref="A20:B20"/>
    <mergeCell ref="A21:B21"/>
    <mergeCell ref="A22:B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Y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4" sqref="L7 L22 L34 L43 B7"/>
    </sheetView>
  </sheetViews>
  <sheetFormatPr defaultColWidth="10.54296875" defaultRowHeight="15" customHeight="true" zeroHeight="false" outlineLevelRow="0" outlineLevelCol="0"/>
  <cols>
    <col collapsed="false" customWidth="true" hidden="false" outlineLevel="0" max="4" min="3" style="0" width="2.71"/>
    <col collapsed="false" customWidth="true" hidden="false" outlineLevel="0" max="9" min="9" style="0" width="14.29"/>
    <col collapsed="false" customWidth="true" hidden="false" outlineLevel="0" max="10" min="10" style="0" width="11.14"/>
    <col collapsed="false" customWidth="true" hidden="false" outlineLevel="0" max="13" min="13" style="0" width="14.29"/>
    <col collapsed="false" customWidth="true" hidden="false" outlineLevel="0" max="14" min="14" style="0" width="11.14"/>
    <col collapsed="false" customWidth="true" hidden="false" outlineLevel="0" max="16" min="16" style="0" width="14.42"/>
    <col collapsed="false" customWidth="true" hidden="false" outlineLevel="0" max="18" min="18" style="0" width="10.42"/>
    <col collapsed="false" customWidth="true" hidden="false" outlineLevel="0" max="19" min="19" style="0" width="12.42"/>
    <col collapsed="false" customWidth="true" hidden="false" outlineLevel="0" max="24" min="24" style="0" width="15.85"/>
  </cols>
  <sheetData>
    <row r="1" customFormat="false" ht="15" hidden="false" customHeight="false" outlineLevel="0" collapsed="false">
      <c r="C1" s="50"/>
      <c r="D1" s="50"/>
      <c r="E1" s="50"/>
      <c r="F1" s="50"/>
      <c r="G1" s="51"/>
      <c r="H1" s="52" t="s">
        <v>92</v>
      </c>
      <c r="I1" s="52"/>
      <c r="J1" s="52"/>
      <c r="K1" s="53" t="s">
        <v>93</v>
      </c>
      <c r="L1" s="53"/>
      <c r="M1" s="53"/>
      <c r="N1" s="53"/>
      <c r="O1" s="53"/>
      <c r="P1" s="53"/>
      <c r="Q1" s="53"/>
      <c r="R1" s="53"/>
      <c r="S1" s="54" t="s">
        <v>94</v>
      </c>
      <c r="T1" s="54"/>
      <c r="U1" s="55" t="s">
        <v>95</v>
      </c>
      <c r="V1" s="55"/>
      <c r="W1" s="55"/>
      <c r="X1" s="56"/>
      <c r="Y1" s="57"/>
    </row>
    <row r="2" customFormat="false" ht="15" hidden="false" customHeight="false" outlineLevel="0" collapsed="false">
      <c r="A2" s="58" t="s">
        <v>96</v>
      </c>
      <c r="B2" s="59" t="s">
        <v>97</v>
      </c>
      <c r="C2" s="59" t="s">
        <v>98</v>
      </c>
      <c r="D2" s="59" t="s">
        <v>99</v>
      </c>
      <c r="E2" s="59" t="s">
        <v>100</v>
      </c>
      <c r="F2" s="59" t="s">
        <v>101</v>
      </c>
      <c r="G2" s="59" t="s">
        <v>102</v>
      </c>
      <c r="H2" s="60" t="s">
        <v>103</v>
      </c>
      <c r="I2" s="61" t="s">
        <v>104</v>
      </c>
      <c r="J2" s="62" t="s">
        <v>105</v>
      </c>
      <c r="K2" s="63" t="s">
        <v>103</v>
      </c>
      <c r="L2" s="64" t="s">
        <v>106</v>
      </c>
      <c r="M2" s="65" t="s">
        <v>104</v>
      </c>
      <c r="N2" s="66" t="s">
        <v>105</v>
      </c>
      <c r="O2" s="64" t="s">
        <v>107</v>
      </c>
      <c r="P2" s="65" t="s">
        <v>108</v>
      </c>
      <c r="Q2" s="67" t="s">
        <v>109</v>
      </c>
      <c r="R2" s="68" t="s">
        <v>110</v>
      </c>
      <c r="S2" s="64" t="s">
        <v>111</v>
      </c>
      <c r="T2" s="69" t="s">
        <v>112</v>
      </c>
      <c r="U2" s="58" t="s">
        <v>113</v>
      </c>
      <c r="V2" s="66" t="s">
        <v>114</v>
      </c>
      <c r="W2" s="64" t="s">
        <v>115</v>
      </c>
      <c r="X2" s="69" t="s">
        <v>116</v>
      </c>
      <c r="Y2" s="70" t="s">
        <v>117</v>
      </c>
    </row>
    <row r="3" customFormat="false" ht="15" hidden="false" customHeight="false" outlineLevel="0" collapsed="false">
      <c r="A3" s="71" t="s">
        <v>118</v>
      </c>
      <c r="B3" s="72"/>
      <c r="C3" s="73" t="s">
        <v>119</v>
      </c>
      <c r="D3" s="73" t="s">
        <v>120</v>
      </c>
      <c r="E3" s="71" t="s">
        <v>31</v>
      </c>
      <c r="F3" s="71" t="s">
        <v>68</v>
      </c>
      <c r="G3" s="74"/>
      <c r="H3" s="75" t="n">
        <v>17</v>
      </c>
      <c r="I3" s="76" t="n">
        <v>2300</v>
      </c>
      <c r="J3" s="76"/>
      <c r="K3" s="77" t="n">
        <v>5</v>
      </c>
      <c r="L3" s="78" t="n">
        <f aca="false">1-(O3-R3)/O3</f>
        <v>0.128888888888889</v>
      </c>
      <c r="M3" s="79"/>
      <c r="N3" s="79"/>
      <c r="O3" s="80" t="n">
        <v>450</v>
      </c>
      <c r="P3" s="79"/>
      <c r="Q3" s="79"/>
      <c r="R3" s="81" t="n">
        <v>58</v>
      </c>
      <c r="S3" s="82" t="n">
        <f aca="false">((I3+O3)*L3)/100</f>
        <v>3.54444444444445</v>
      </c>
      <c r="T3" s="82" t="n">
        <f aca="false">4.48*S3^(-0.25)</f>
        <v>3.26505852755912</v>
      </c>
      <c r="U3" s="79"/>
      <c r="V3" s="79"/>
      <c r="W3" s="83" t="n">
        <v>35</v>
      </c>
      <c r="X3" s="84"/>
      <c r="Y3" s="85" t="n">
        <f aca="false">(W3/10)/T3</f>
        <v>1.07195628208739</v>
      </c>
    </row>
    <row r="4" customFormat="false" ht="15" hidden="false" customHeight="false" outlineLevel="0" collapsed="false">
      <c r="A4" s="71" t="s">
        <v>118</v>
      </c>
      <c r="B4" s="86"/>
      <c r="C4" s="87" t="s">
        <v>119</v>
      </c>
      <c r="D4" s="87" t="s">
        <v>121</v>
      </c>
      <c r="E4" s="88" t="s">
        <v>31</v>
      </c>
      <c r="F4" s="88" t="s">
        <v>67</v>
      </c>
      <c r="G4" s="74"/>
      <c r="H4" s="89" t="n">
        <v>31</v>
      </c>
      <c r="I4" s="90" t="n">
        <v>3500</v>
      </c>
      <c r="J4" s="90"/>
      <c r="K4" s="91" t="n">
        <v>8</v>
      </c>
      <c r="L4" s="92" t="n">
        <f aca="false">1-(O4-R4)/O4</f>
        <v>0.113913043478261</v>
      </c>
      <c r="M4" s="90"/>
      <c r="N4" s="90"/>
      <c r="O4" s="93" t="n">
        <v>1150</v>
      </c>
      <c r="P4" s="90"/>
      <c r="Q4" s="90"/>
      <c r="R4" s="94" t="n">
        <v>131</v>
      </c>
      <c r="S4" s="95" t="n">
        <f aca="false">((I4+O4)*L4)/100</f>
        <v>5.29695652173913</v>
      </c>
      <c r="T4" s="95" t="n">
        <f aca="false">4.48*S4^(-0.25)</f>
        <v>2.95305415868146</v>
      </c>
      <c r="U4" s="90"/>
      <c r="V4" s="90"/>
      <c r="W4" s="96" t="n">
        <v>36.06</v>
      </c>
      <c r="X4" s="97"/>
      <c r="Y4" s="98" t="n">
        <f aca="false">(W4/10)/T4</f>
        <v>1.22110865775996</v>
      </c>
    </row>
    <row r="5" customFormat="false" ht="15" hidden="false" customHeight="false" outlineLevel="0" collapsed="false">
      <c r="A5" s="71" t="s">
        <v>118</v>
      </c>
      <c r="B5" s="86"/>
      <c r="C5" s="87" t="s">
        <v>122</v>
      </c>
      <c r="D5" s="87" t="s">
        <v>123</v>
      </c>
      <c r="E5" s="88" t="s">
        <v>33</v>
      </c>
      <c r="F5" s="88" t="s">
        <v>67</v>
      </c>
      <c r="G5" s="74"/>
      <c r="H5" s="89" t="n">
        <v>30</v>
      </c>
      <c r="I5" s="90" t="n">
        <v>2300</v>
      </c>
      <c r="J5" s="90"/>
      <c r="K5" s="91" t="n">
        <v>8</v>
      </c>
      <c r="L5" s="99" t="n">
        <f aca="false">1-(O5-R5)/O5</f>
        <v>0.1275</v>
      </c>
      <c r="M5" s="100"/>
      <c r="N5" s="100"/>
      <c r="O5" s="101" t="n">
        <v>800</v>
      </c>
      <c r="P5" s="100"/>
      <c r="Q5" s="100"/>
      <c r="R5" s="102" t="n">
        <v>102</v>
      </c>
      <c r="S5" s="103" t="n">
        <f aca="false">((I5+O5)*L5)/100</f>
        <v>3.9525</v>
      </c>
      <c r="T5" s="103" t="n">
        <f aca="false">4.48*S5^(-0.25)</f>
        <v>3.1773133267868</v>
      </c>
      <c r="U5" s="100"/>
      <c r="V5" s="100"/>
      <c r="W5" s="104" t="n">
        <v>21.08</v>
      </c>
      <c r="X5" s="105"/>
      <c r="Y5" s="106" t="n">
        <f aca="false">(W5/10)/T5</f>
        <v>0.663453611020417</v>
      </c>
    </row>
    <row r="6" customFormat="false" ht="15" hidden="false" customHeight="false" outlineLevel="0" collapsed="false">
      <c r="A6" s="71" t="s">
        <v>118</v>
      </c>
      <c r="B6" s="86"/>
      <c r="C6" s="87" t="s">
        <v>122</v>
      </c>
      <c r="D6" s="87" t="s">
        <v>124</v>
      </c>
      <c r="E6" s="88" t="s">
        <v>33</v>
      </c>
      <c r="F6" s="88" t="s">
        <v>68</v>
      </c>
      <c r="G6" s="74"/>
      <c r="H6" s="107" t="n">
        <v>23</v>
      </c>
      <c r="I6" s="90" t="n">
        <v>1200</v>
      </c>
      <c r="J6" s="90"/>
      <c r="K6" s="91" t="n">
        <v>5</v>
      </c>
      <c r="L6" s="92" t="n">
        <f aca="false">1-(O6-R6)/O6</f>
        <v>0.171428571428571</v>
      </c>
      <c r="M6" s="90"/>
      <c r="N6" s="90"/>
      <c r="O6" s="93" t="n">
        <v>420</v>
      </c>
      <c r="P6" s="90"/>
      <c r="Q6" s="90"/>
      <c r="R6" s="108" t="n">
        <v>72</v>
      </c>
      <c r="S6" s="95" t="n">
        <f aca="false">((I6+O6)*L6)/100</f>
        <v>2.77714285714286</v>
      </c>
      <c r="T6" s="95" t="n">
        <f aca="false">4.48*S6^(-0.25)</f>
        <v>3.47039140328214</v>
      </c>
      <c r="U6" s="90"/>
      <c r="V6" s="90"/>
      <c r="W6" s="96" t="n">
        <v>20.89</v>
      </c>
      <c r="X6" s="97"/>
      <c r="Y6" s="98" t="n">
        <f aca="false">(W6/10)/T6</f>
        <v>0.601949393380908</v>
      </c>
    </row>
    <row r="7" customFormat="false" ht="15" hidden="false" customHeight="false" outlineLevel="0" collapsed="false">
      <c r="A7" s="88"/>
      <c r="B7" s="86"/>
      <c r="C7" s="87"/>
      <c r="D7" s="87"/>
      <c r="E7" s="88"/>
      <c r="F7" s="88"/>
      <c r="G7" s="74"/>
      <c r="H7" s="89"/>
      <c r="I7" s="90"/>
      <c r="J7" s="90"/>
      <c r="K7" s="91"/>
      <c r="L7" s="93"/>
      <c r="M7" s="90"/>
      <c r="N7" s="90"/>
      <c r="O7" s="93"/>
      <c r="P7" s="90"/>
      <c r="Q7" s="90"/>
      <c r="R7" s="108"/>
      <c r="S7" s="95"/>
      <c r="T7" s="95"/>
      <c r="U7" s="90"/>
      <c r="V7" s="90"/>
      <c r="W7" s="97"/>
      <c r="X7" s="97"/>
      <c r="Y7" s="109"/>
    </row>
    <row r="8" customFormat="false" ht="15" hidden="false" customHeight="false" outlineLevel="0" collapsed="false">
      <c r="A8" s="110"/>
      <c r="B8" s="111"/>
      <c r="C8" s="112"/>
      <c r="D8" s="112"/>
      <c r="E8" s="110"/>
      <c r="F8" s="110"/>
      <c r="G8" s="74"/>
      <c r="H8" s="113"/>
      <c r="I8" s="114"/>
      <c r="J8" s="114"/>
      <c r="K8" s="115"/>
      <c r="L8" s="116"/>
      <c r="M8" s="114"/>
      <c r="N8" s="114"/>
      <c r="O8" s="116"/>
      <c r="P8" s="114"/>
      <c r="Q8" s="114"/>
      <c r="R8" s="117"/>
      <c r="S8" s="118"/>
      <c r="T8" s="118"/>
      <c r="U8" s="114"/>
      <c r="V8" s="114"/>
      <c r="W8" s="119"/>
      <c r="X8" s="119"/>
      <c r="Y8" s="120"/>
    </row>
    <row r="9" customFormat="false" ht="15" hidden="false" customHeight="false" outlineLevel="0" collapsed="false">
      <c r="A9" s="71"/>
      <c r="B9" s="72"/>
      <c r="C9" s="73"/>
      <c r="D9" s="73"/>
      <c r="E9" s="71"/>
      <c r="F9" s="71"/>
      <c r="G9" s="121"/>
      <c r="H9" s="75"/>
      <c r="I9" s="79"/>
      <c r="J9" s="79"/>
      <c r="K9" s="77"/>
      <c r="L9" s="122"/>
      <c r="M9" s="76"/>
      <c r="N9" s="76"/>
      <c r="O9" s="122"/>
      <c r="P9" s="76"/>
      <c r="Q9" s="76"/>
      <c r="R9" s="123"/>
      <c r="S9" s="124"/>
      <c r="T9" s="124"/>
      <c r="U9" s="76"/>
      <c r="V9" s="76"/>
      <c r="W9" s="125"/>
      <c r="X9" s="125"/>
      <c r="Y9" s="126"/>
    </row>
    <row r="10" customFormat="false" ht="15" hidden="false" customHeight="false" outlineLevel="0" collapsed="false">
      <c r="A10" s="88"/>
      <c r="B10" s="86"/>
      <c r="C10" s="87"/>
      <c r="D10" s="87"/>
      <c r="E10" s="88"/>
      <c r="F10" s="88"/>
      <c r="G10" s="121"/>
      <c r="H10" s="89"/>
      <c r="I10" s="90"/>
      <c r="J10" s="90"/>
      <c r="K10" s="91"/>
      <c r="L10" s="93"/>
      <c r="M10" s="90"/>
      <c r="N10" s="90"/>
      <c r="O10" s="93"/>
      <c r="P10" s="90"/>
      <c r="Q10" s="90"/>
      <c r="R10" s="108"/>
      <c r="S10" s="95"/>
      <c r="T10" s="103"/>
      <c r="U10" s="90"/>
      <c r="V10" s="90"/>
      <c r="W10" s="97"/>
      <c r="X10" s="97"/>
      <c r="Y10" s="109"/>
    </row>
    <row r="11" customFormat="false" ht="15" hidden="false" customHeight="false" outlineLevel="0" collapsed="false">
      <c r="A11" s="88"/>
      <c r="B11" s="86"/>
      <c r="C11" s="87"/>
      <c r="D11" s="87"/>
      <c r="E11" s="88"/>
      <c r="F11" s="88"/>
      <c r="G11" s="121"/>
      <c r="H11" s="89"/>
      <c r="I11" s="90"/>
      <c r="J11" s="90"/>
      <c r="K11" s="91"/>
      <c r="L11" s="93"/>
      <c r="M11" s="90"/>
      <c r="N11" s="90"/>
      <c r="O11" s="93"/>
      <c r="P11" s="90"/>
      <c r="Q11" s="90"/>
      <c r="R11" s="108"/>
      <c r="S11" s="95"/>
      <c r="T11" s="103"/>
      <c r="U11" s="90"/>
      <c r="V11" s="90"/>
      <c r="W11" s="97"/>
      <c r="X11" s="97"/>
      <c r="Y11" s="109"/>
    </row>
    <row r="12" customFormat="false" ht="15" hidden="false" customHeight="false" outlineLevel="0" collapsed="false">
      <c r="A12" s="88"/>
      <c r="B12" s="86"/>
      <c r="C12" s="87"/>
      <c r="D12" s="87"/>
      <c r="E12" s="88"/>
      <c r="F12" s="88"/>
      <c r="G12" s="121"/>
      <c r="H12" s="89"/>
      <c r="I12" s="90"/>
      <c r="J12" s="90"/>
      <c r="K12" s="91"/>
      <c r="L12" s="93"/>
      <c r="M12" s="90"/>
      <c r="N12" s="90"/>
      <c r="O12" s="93"/>
      <c r="P12" s="90"/>
      <c r="Q12" s="90"/>
      <c r="R12" s="108"/>
      <c r="S12" s="95"/>
      <c r="T12" s="95"/>
      <c r="U12" s="90"/>
      <c r="V12" s="90"/>
      <c r="W12" s="97"/>
      <c r="X12" s="97"/>
      <c r="Y12" s="109"/>
    </row>
    <row r="13" customFormat="false" ht="15" hidden="false" customHeight="false" outlineLevel="0" collapsed="false">
      <c r="A13" s="88"/>
      <c r="B13" s="86"/>
      <c r="C13" s="87"/>
      <c r="D13" s="87"/>
      <c r="E13" s="88"/>
      <c r="F13" s="88"/>
      <c r="G13" s="121"/>
      <c r="H13" s="89"/>
      <c r="I13" s="90"/>
      <c r="J13" s="90"/>
      <c r="K13" s="91"/>
      <c r="L13" s="93"/>
      <c r="M13" s="90"/>
      <c r="N13" s="90"/>
      <c r="O13" s="93"/>
      <c r="P13" s="90"/>
      <c r="Q13" s="90"/>
      <c r="R13" s="108"/>
      <c r="S13" s="95"/>
      <c r="T13" s="95"/>
      <c r="U13" s="90"/>
      <c r="V13" s="90"/>
      <c r="W13" s="97"/>
      <c r="X13" s="97"/>
      <c r="Y13" s="109"/>
    </row>
    <row r="14" customFormat="false" ht="15" hidden="false" customHeight="false" outlineLevel="0" collapsed="false">
      <c r="A14" s="110"/>
      <c r="B14" s="111"/>
      <c r="C14" s="112"/>
      <c r="D14" s="112"/>
      <c r="E14" s="110"/>
      <c r="F14" s="110"/>
      <c r="G14" s="121"/>
      <c r="H14" s="127"/>
      <c r="I14" s="114"/>
      <c r="J14" s="114"/>
      <c r="K14" s="128"/>
      <c r="L14" s="116"/>
      <c r="M14" s="114"/>
      <c r="N14" s="114"/>
      <c r="O14" s="116"/>
      <c r="P14" s="114"/>
      <c r="Q14" s="114"/>
      <c r="R14" s="117"/>
      <c r="S14" s="118"/>
      <c r="T14" s="118"/>
      <c r="U14" s="114"/>
      <c r="V14" s="114"/>
      <c r="W14" s="119"/>
      <c r="X14" s="119"/>
      <c r="Y14" s="120"/>
    </row>
    <row r="15" customFormat="false" ht="15" hidden="false" customHeight="false" outlineLevel="0" collapsed="false">
      <c r="A15" s="129"/>
      <c r="B15" s="129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30"/>
      <c r="T15" s="130"/>
      <c r="U15" s="129"/>
      <c r="V15" s="129"/>
      <c r="W15" s="130"/>
      <c r="X15" s="130"/>
      <c r="Y15" s="130"/>
    </row>
    <row r="16" customFormat="false" ht="15" hidden="false" customHeight="false" outlineLevel="0" collapsed="false">
      <c r="A16" s="129"/>
      <c r="C16" s="129"/>
      <c r="D16" s="129"/>
      <c r="E16" s="129"/>
      <c r="F16" s="129"/>
      <c r="R16" s="129"/>
      <c r="S16" s="130"/>
      <c r="T16" s="130"/>
      <c r="U16" s="129"/>
      <c r="V16" s="129"/>
      <c r="W16" s="130"/>
      <c r="X16" s="130"/>
      <c r="Y16" s="130"/>
    </row>
    <row r="17" customFormat="false" ht="15" hidden="false" customHeight="false" outlineLevel="0" collapsed="false">
      <c r="A17" s="131" t="s">
        <v>125</v>
      </c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30"/>
      <c r="T17" s="130"/>
      <c r="U17" s="129"/>
      <c r="V17" s="129"/>
      <c r="W17" s="130"/>
      <c r="X17" s="130"/>
      <c r="Y17" s="130"/>
    </row>
    <row r="18" customFormat="false" ht="15" hidden="false" customHeight="false" outlineLevel="0" collapsed="false">
      <c r="A18" s="131" t="s">
        <v>126</v>
      </c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30"/>
      <c r="T18" s="130"/>
      <c r="U18" s="129"/>
      <c r="V18" s="129"/>
      <c r="W18" s="130"/>
      <c r="X18" s="130"/>
      <c r="Y18" s="130"/>
    </row>
    <row r="19" customFormat="false" ht="15" hidden="false" customHeight="false" outlineLevel="0" collapsed="false">
      <c r="A19" s="131" t="s">
        <v>127</v>
      </c>
      <c r="B19" s="129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30"/>
      <c r="T19" s="130"/>
      <c r="U19" s="129"/>
      <c r="V19" s="129"/>
      <c r="W19" s="130"/>
      <c r="X19" s="130"/>
      <c r="Y19" s="130"/>
    </row>
    <row r="20" customFormat="false" ht="15" hidden="false" customHeight="false" outlineLevel="0" collapsed="false">
      <c r="A20" s="131" t="s">
        <v>128</v>
      </c>
      <c r="B20" s="129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30"/>
      <c r="T20" s="130"/>
      <c r="U20" s="129"/>
      <c r="V20" s="129"/>
      <c r="W20" s="130"/>
      <c r="X20" s="130"/>
      <c r="Y20" s="130"/>
    </row>
    <row r="21" customFormat="false" ht="15" hidden="false" customHeight="false" outlineLevel="0" collapsed="false">
      <c r="A21" s="131" t="s">
        <v>129</v>
      </c>
      <c r="B21" s="129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30"/>
      <c r="T21" s="130"/>
      <c r="U21" s="129"/>
      <c r="V21" s="129"/>
      <c r="W21" s="130"/>
      <c r="X21" s="130"/>
      <c r="Y21" s="130"/>
    </row>
    <row r="22" customFormat="false" ht="15" hidden="false" customHeight="false" outlineLevel="0" collapsed="false">
      <c r="A22" s="131" t="s">
        <v>130</v>
      </c>
      <c r="B22" s="129"/>
      <c r="C22" s="129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30"/>
      <c r="T22" s="130"/>
      <c r="U22" s="129"/>
      <c r="V22" s="129"/>
      <c r="W22" s="130"/>
      <c r="X22" s="130"/>
      <c r="Y22" s="130"/>
    </row>
    <row r="23" customFormat="false" ht="15" hidden="false" customHeight="false" outlineLevel="0" collapsed="false">
      <c r="A23" s="131" t="s">
        <v>131</v>
      </c>
      <c r="B23" s="129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30"/>
      <c r="T23" s="130"/>
      <c r="U23" s="129"/>
      <c r="V23" s="129"/>
      <c r="W23" s="130"/>
      <c r="X23" s="130"/>
      <c r="Y23" s="130"/>
    </row>
    <row r="24" customFormat="false" ht="15" hidden="false" customHeight="false" outlineLevel="0" collapsed="false">
      <c r="A24" s="131" t="s">
        <v>132</v>
      </c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30"/>
      <c r="T24" s="130"/>
      <c r="U24" s="129"/>
      <c r="V24" s="129"/>
      <c r="W24" s="130"/>
      <c r="X24" s="130"/>
      <c r="Y24" s="130"/>
    </row>
    <row r="25" customFormat="false" ht="15" hidden="false" customHeight="false" outlineLevel="0" collapsed="false">
      <c r="A25" s="131" t="s">
        <v>133</v>
      </c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30"/>
      <c r="T25" s="130"/>
      <c r="U25" s="129"/>
      <c r="V25" s="129"/>
      <c r="W25" s="130"/>
      <c r="X25" s="130"/>
      <c r="Y25" s="130"/>
    </row>
    <row r="26" customFormat="false" ht="15" hidden="false" customHeight="false" outlineLevel="0" collapsed="false">
      <c r="A26" s="131" t="s">
        <v>134</v>
      </c>
      <c r="B26" s="129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30"/>
      <c r="T26" s="130"/>
      <c r="U26" s="129"/>
      <c r="V26" s="129"/>
      <c r="W26" s="130"/>
      <c r="X26" s="130"/>
      <c r="Y26" s="130"/>
    </row>
    <row r="27" customFormat="false" ht="15" hidden="false" customHeight="false" outlineLevel="0" collapsed="false">
      <c r="A27" s="131" t="s">
        <v>135</v>
      </c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30"/>
      <c r="P27" s="129"/>
      <c r="Q27" s="129"/>
      <c r="R27" s="129"/>
      <c r="S27" s="130"/>
      <c r="T27" s="130"/>
      <c r="U27" s="129"/>
      <c r="V27" s="129"/>
      <c r="W27" s="130"/>
      <c r="X27" s="130"/>
      <c r="Y27" s="130"/>
    </row>
    <row r="28" customFormat="false" ht="15" hidden="false" customHeight="false" outlineLevel="0" collapsed="false">
      <c r="A28" s="129"/>
      <c r="B28" s="129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30"/>
      <c r="P28" s="129"/>
      <c r="Q28" s="129"/>
      <c r="R28" s="129"/>
      <c r="S28" s="130"/>
      <c r="T28" s="130"/>
      <c r="U28" s="129"/>
      <c r="V28" s="129"/>
      <c r="W28" s="130"/>
      <c r="X28" s="130"/>
      <c r="Y28" s="130"/>
    </row>
    <row r="29" customFormat="false" ht="15" hidden="false" customHeight="false" outlineLevel="0" collapsed="false">
      <c r="A29" s="131" t="s">
        <v>136</v>
      </c>
      <c r="B29" s="129"/>
      <c r="C29" s="129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30"/>
      <c r="P29" s="129"/>
      <c r="Q29" s="129"/>
      <c r="R29" s="129"/>
      <c r="S29" s="130"/>
      <c r="T29" s="130"/>
      <c r="U29" s="129"/>
      <c r="V29" s="129"/>
      <c r="W29" s="130"/>
      <c r="X29" s="130"/>
      <c r="Y29" s="130"/>
    </row>
    <row r="30" customFormat="false" ht="15" hidden="false" customHeight="false" outlineLevel="0" collapsed="false">
      <c r="A30" s="129"/>
      <c r="B30" s="129"/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30"/>
      <c r="P30" s="129"/>
      <c r="Q30" s="129"/>
      <c r="R30" s="129"/>
      <c r="S30" s="130"/>
      <c r="T30" s="130"/>
      <c r="U30" s="129"/>
      <c r="V30" s="129"/>
      <c r="W30" s="130"/>
      <c r="X30" s="130"/>
      <c r="Y30" s="130"/>
    </row>
    <row r="31" customFormat="false" ht="15" hidden="false" customHeight="false" outlineLevel="0" collapsed="false">
      <c r="A31" s="129"/>
      <c r="B31" s="129"/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30"/>
      <c r="P31" s="129"/>
      <c r="Q31" s="129"/>
      <c r="R31" s="129"/>
      <c r="S31" s="130"/>
      <c r="T31" s="130"/>
      <c r="U31" s="129"/>
      <c r="V31" s="129"/>
      <c r="W31" s="130"/>
      <c r="X31" s="130"/>
      <c r="Y31" s="130"/>
    </row>
    <row r="32" customFormat="false" ht="15" hidden="false" customHeight="false" outlineLevel="0" collapsed="false">
      <c r="A32" s="129"/>
      <c r="B32" s="129"/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30"/>
      <c r="P32" s="129"/>
      <c r="Q32" s="129"/>
      <c r="R32" s="129"/>
      <c r="S32" s="130"/>
      <c r="T32" s="130"/>
      <c r="U32" s="129"/>
      <c r="V32" s="129"/>
      <c r="W32" s="130"/>
      <c r="X32" s="130"/>
      <c r="Y32" s="130"/>
    </row>
  </sheetData>
  <mergeCells count="54">
    <mergeCell ref="H1:J1"/>
    <mergeCell ref="K1:R1"/>
    <mergeCell ref="S1:T1"/>
    <mergeCell ref="U1:W1"/>
    <mergeCell ref="G3:G8"/>
    <mergeCell ref="I3:J3"/>
    <mergeCell ref="M3:N3"/>
    <mergeCell ref="P3:Q3"/>
    <mergeCell ref="U3:V3"/>
    <mergeCell ref="I4:J4"/>
    <mergeCell ref="M4:N4"/>
    <mergeCell ref="P4:Q4"/>
    <mergeCell ref="U4:V4"/>
    <mergeCell ref="I5:J5"/>
    <mergeCell ref="M5:N5"/>
    <mergeCell ref="P5:Q5"/>
    <mergeCell ref="U5:V5"/>
    <mergeCell ref="I6:J6"/>
    <mergeCell ref="M6:N6"/>
    <mergeCell ref="P6:Q6"/>
    <mergeCell ref="U6:V6"/>
    <mergeCell ref="I7:J7"/>
    <mergeCell ref="M7:N7"/>
    <mergeCell ref="P7:Q7"/>
    <mergeCell ref="U7:V7"/>
    <mergeCell ref="I8:J8"/>
    <mergeCell ref="M8:N8"/>
    <mergeCell ref="P8:Q8"/>
    <mergeCell ref="U8:V8"/>
    <mergeCell ref="G9:G14"/>
    <mergeCell ref="I9:J9"/>
    <mergeCell ref="M9:N9"/>
    <mergeCell ref="P9:Q9"/>
    <mergeCell ref="U9:V9"/>
    <mergeCell ref="I10:J10"/>
    <mergeCell ref="M10:N10"/>
    <mergeCell ref="P10:Q10"/>
    <mergeCell ref="U10:V10"/>
    <mergeCell ref="I11:J11"/>
    <mergeCell ref="M11:N11"/>
    <mergeCell ref="P11:Q11"/>
    <mergeCell ref="U11:V11"/>
    <mergeCell ref="I12:J12"/>
    <mergeCell ref="M12:N12"/>
    <mergeCell ref="P12:Q12"/>
    <mergeCell ref="U12:V12"/>
    <mergeCell ref="I13:J13"/>
    <mergeCell ref="M13:N13"/>
    <mergeCell ref="P13:Q13"/>
    <mergeCell ref="U13:V13"/>
    <mergeCell ref="I14:J14"/>
    <mergeCell ref="M14:N14"/>
    <mergeCell ref="P14:Q14"/>
    <mergeCell ref="U14:V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E49"/>
  <sheetViews>
    <sheetView showFormulas="false" showGridLines="true" showRowColHeaders="true" showZeros="true" rightToLeft="false" tabSelected="true" showOutlineSymbols="true" defaultGridColor="true" view="normal" topLeftCell="A16" colorId="64" zoomScale="85" zoomScaleNormal="85" zoomScalePageLayoutView="100" workbookViewId="0">
      <selection pane="topLeft" activeCell="AA50" activeCellId="4" sqref="L7 L22 L34 L43 AA50"/>
    </sheetView>
  </sheetViews>
  <sheetFormatPr defaultColWidth="10.54296875" defaultRowHeight="15" customHeight="true" zeroHeight="false" outlineLevelRow="0" outlineLevelCol="0"/>
  <cols>
    <col collapsed="false" customWidth="true" hidden="false" outlineLevel="0" max="1" min="1" style="0" width="6.85"/>
    <col collapsed="false" customWidth="true" hidden="false" outlineLevel="0" max="2" min="2" style="0" width="10.29"/>
    <col collapsed="false" customWidth="true" hidden="false" outlineLevel="0" max="3" min="3" style="0" width="4.71"/>
    <col collapsed="false" customWidth="true" hidden="false" outlineLevel="0" max="4" min="4" style="0" width="10.85"/>
    <col collapsed="false" customWidth="true" hidden="false" outlineLevel="0" max="5" min="5" style="0" width="10.71"/>
    <col collapsed="false" customWidth="true" hidden="false" outlineLevel="0" max="6" min="6" style="0" width="12"/>
    <col collapsed="false" customWidth="true" hidden="false" outlineLevel="0" max="7" min="7" style="0" width="6.71"/>
    <col collapsed="false" customWidth="true" hidden="false" outlineLevel="0" max="8" min="8" style="0" width="9.14"/>
    <col collapsed="false" customWidth="true" hidden="false" outlineLevel="0" max="9" min="9" style="0" width="10.42"/>
    <col collapsed="false" customWidth="true" hidden="false" outlineLevel="0" max="10" min="10" style="0" width="9.42"/>
    <col collapsed="false" customWidth="true" hidden="false" outlineLevel="0" max="11" min="11" style="0" width="13.86"/>
    <col collapsed="false" customWidth="true" hidden="false" outlineLevel="0" max="12" min="12" style="0" width="12.57"/>
    <col collapsed="false" customWidth="true" hidden="false" outlineLevel="0" max="13" min="13" style="0" width="6.29"/>
    <col collapsed="false" customWidth="true" hidden="false" outlineLevel="0" max="14" min="14" style="0" width="8.71"/>
    <col collapsed="false" customWidth="true" hidden="false" outlineLevel="0" max="15" min="15" style="0" width="6.29"/>
    <col collapsed="false" customWidth="true" hidden="false" outlineLevel="0" max="17" min="16" style="0" width="7.29"/>
    <col collapsed="false" customWidth="true" hidden="false" outlineLevel="0" max="18" min="18" style="0" width="9.86"/>
    <col collapsed="false" customWidth="true" hidden="false" outlineLevel="0" max="19" min="19" style="0" width="5.57"/>
    <col collapsed="false" customWidth="true" hidden="false" outlineLevel="0" max="20" min="20" style="0" width="7.15"/>
    <col collapsed="false" customWidth="true" hidden="false" outlineLevel="0" max="21" min="21" style="0" width="9"/>
    <col collapsed="false" customWidth="true" hidden="false" outlineLevel="0" max="22" min="22" style="0" width="11"/>
    <col collapsed="false" customWidth="true" hidden="false" outlineLevel="0" max="23" min="23" style="0" width="5.14"/>
    <col collapsed="false" customWidth="true" hidden="false" outlineLevel="0" max="24" min="24" style="0" width="8.29"/>
    <col collapsed="false" customWidth="true" hidden="false" outlineLevel="0" max="25" min="25" style="0" width="8"/>
    <col collapsed="false" customWidth="true" hidden="false" outlineLevel="0" max="26" min="26" style="0" width="6.85"/>
    <col collapsed="false" customWidth="true" hidden="false" outlineLevel="0" max="27" min="27" style="0" width="6"/>
    <col collapsed="false" customWidth="true" hidden="false" outlineLevel="0" max="28" min="28" style="0" width="6.43"/>
    <col collapsed="false" customWidth="true" hidden="false" outlineLevel="0" max="29" min="29" style="0" width="5"/>
    <col collapsed="false" customWidth="true" hidden="false" outlineLevel="0" max="31" min="31" style="0" width="13.57"/>
  </cols>
  <sheetData>
    <row r="1" s="141" customFormat="true" ht="42.15" hidden="false" customHeight="false" outlineLevel="0" collapsed="false">
      <c r="A1" s="132" t="s">
        <v>137</v>
      </c>
      <c r="B1" s="132" t="s">
        <v>138</v>
      </c>
      <c r="C1" s="132" t="s">
        <v>139</v>
      </c>
      <c r="D1" s="132" t="s">
        <v>140</v>
      </c>
      <c r="E1" s="132" t="s">
        <v>141</v>
      </c>
      <c r="F1" s="132" t="s">
        <v>142</v>
      </c>
      <c r="G1" s="132" t="s">
        <v>143</v>
      </c>
      <c r="H1" s="132" t="s">
        <v>100</v>
      </c>
      <c r="I1" s="132" t="s">
        <v>144</v>
      </c>
      <c r="J1" s="132" t="s">
        <v>145</v>
      </c>
      <c r="K1" s="132" t="s">
        <v>146</v>
      </c>
      <c r="L1" s="132" t="s">
        <v>147</v>
      </c>
      <c r="M1" s="132" t="s">
        <v>148</v>
      </c>
      <c r="N1" s="133" t="s">
        <v>149</v>
      </c>
      <c r="O1" s="134" t="s">
        <v>150</v>
      </c>
      <c r="P1" s="135" t="s">
        <v>151</v>
      </c>
      <c r="Q1" s="135" t="s">
        <v>152</v>
      </c>
      <c r="R1" s="136" t="s">
        <v>153</v>
      </c>
      <c r="S1" s="136" t="s">
        <v>154</v>
      </c>
      <c r="T1" s="137" t="s">
        <v>155</v>
      </c>
      <c r="U1" s="136" t="s">
        <v>156</v>
      </c>
      <c r="V1" s="137" t="s">
        <v>157</v>
      </c>
      <c r="W1" s="138" t="s">
        <v>158</v>
      </c>
      <c r="X1" s="137" t="s">
        <v>159</v>
      </c>
      <c r="Y1" s="136" t="s">
        <v>160</v>
      </c>
      <c r="Z1" s="137" t="s">
        <v>161</v>
      </c>
      <c r="AA1" s="137" t="s">
        <v>162</v>
      </c>
      <c r="AB1" s="137" t="s">
        <v>163</v>
      </c>
      <c r="AC1" s="139" t="s">
        <v>164</v>
      </c>
      <c r="AD1" s="140" t="s">
        <v>165</v>
      </c>
      <c r="AE1" s="140" t="s">
        <v>13</v>
      </c>
    </row>
    <row r="2" customFormat="false" ht="15" hidden="false" customHeight="false" outlineLevel="0" collapsed="false">
      <c r="A2" s="0" t="n">
        <v>18</v>
      </c>
      <c r="B2" s="0" t="s">
        <v>166</v>
      </c>
      <c r="C2" s="0" t="s">
        <v>30</v>
      </c>
      <c r="D2" s="142" t="n">
        <v>42978</v>
      </c>
      <c r="F2" s="142" t="n">
        <v>43288</v>
      </c>
      <c r="G2" s="0" t="s">
        <v>167</v>
      </c>
      <c r="H2" s="0" t="s">
        <v>31</v>
      </c>
      <c r="I2" s="0" t="n">
        <v>1</v>
      </c>
      <c r="J2" s="0" t="n">
        <v>11</v>
      </c>
      <c r="K2" s="0" t="s">
        <v>168</v>
      </c>
      <c r="L2" s="0" t="s">
        <v>169</v>
      </c>
      <c r="M2" s="0" t="s">
        <v>170</v>
      </c>
      <c r="N2" s="0" t="n">
        <v>16.2</v>
      </c>
      <c r="P2" s="143" t="n">
        <f aca="false">IF(W2="","",W2*(100-X2)/N2)</f>
        <v>37.7561728395062</v>
      </c>
      <c r="Q2" s="143" t="n">
        <f aca="false">IF(P2="","",P2*1.09)</f>
        <v>41.1542283950617</v>
      </c>
      <c r="R2" s="144" t="n">
        <v>9</v>
      </c>
      <c r="S2" s="143"/>
      <c r="T2" s="0" t="n">
        <v>97</v>
      </c>
      <c r="U2" s="0" t="n">
        <v>155</v>
      </c>
      <c r="W2" s="145" t="n">
        <v>6.5</v>
      </c>
      <c r="X2" s="144" t="n">
        <v>5.9</v>
      </c>
      <c r="Y2" s="144" t="n">
        <v>46.1</v>
      </c>
      <c r="Z2" s="144" t="n">
        <v>20.5</v>
      </c>
      <c r="AA2" s="144" t="n">
        <f aca="false">(100*Z2)/(100-Y2)</f>
        <v>38.0333951762523</v>
      </c>
      <c r="AB2" s="144" t="n">
        <v>15</v>
      </c>
      <c r="AC2" s="144" t="n">
        <v>5</v>
      </c>
      <c r="AD2" s="146" t="s">
        <v>171</v>
      </c>
      <c r="AE2" s="146"/>
    </row>
    <row r="3" customFormat="false" ht="15" hidden="false" customHeight="false" outlineLevel="0" collapsed="false">
      <c r="A3" s="0" t="n">
        <v>18</v>
      </c>
      <c r="B3" s="0" t="s">
        <v>166</v>
      </c>
      <c r="C3" s="0" t="s">
        <v>30</v>
      </c>
      <c r="D3" s="142" t="n">
        <v>42978</v>
      </c>
      <c r="F3" s="142" t="n">
        <v>43288</v>
      </c>
      <c r="G3" s="0" t="s">
        <v>172</v>
      </c>
      <c r="H3" s="0" t="s">
        <v>31</v>
      </c>
      <c r="I3" s="0" t="n">
        <v>1</v>
      </c>
      <c r="J3" s="0" t="n">
        <v>2</v>
      </c>
      <c r="K3" s="0" t="s">
        <v>173</v>
      </c>
      <c r="L3" s="0" t="s">
        <v>58</v>
      </c>
      <c r="M3" s="0" t="s">
        <v>170</v>
      </c>
      <c r="N3" s="0" t="n">
        <v>16.2</v>
      </c>
      <c r="P3" s="143" t="n">
        <f aca="false">IF(W3="","",W3*(100-X3)/N3)</f>
        <v>40.7037037037037</v>
      </c>
      <c r="Q3" s="143" t="n">
        <f aca="false">IF(P3="","",P3*1.09)</f>
        <v>44.367037037037</v>
      </c>
      <c r="R3" s="144" t="n">
        <v>9</v>
      </c>
      <c r="S3" s="143"/>
      <c r="T3" s="0" t="n">
        <v>96</v>
      </c>
      <c r="U3" s="0" t="n">
        <v>170</v>
      </c>
      <c r="W3" s="145" t="n">
        <v>7</v>
      </c>
      <c r="X3" s="144" t="n">
        <v>5.8</v>
      </c>
      <c r="Y3" s="144" t="n">
        <v>48.8</v>
      </c>
      <c r="Z3" s="144" t="n">
        <v>19.4</v>
      </c>
      <c r="AA3" s="144" t="n">
        <f aca="false">(100*Z3)/(100-Y3)</f>
        <v>37.890625</v>
      </c>
      <c r="AB3" s="144" t="n">
        <v>15.4</v>
      </c>
      <c r="AC3" s="144" t="n">
        <v>4</v>
      </c>
      <c r="AD3" s="146" t="s">
        <v>171</v>
      </c>
      <c r="AE3" s="146"/>
    </row>
    <row r="4" customFormat="false" ht="15" hidden="false" customHeight="false" outlineLevel="0" collapsed="false">
      <c r="A4" s="0" t="n">
        <v>18</v>
      </c>
      <c r="B4" s="0" t="s">
        <v>166</v>
      </c>
      <c r="C4" s="0" t="s">
        <v>30</v>
      </c>
      <c r="D4" s="142" t="n">
        <v>42978</v>
      </c>
      <c r="F4" s="142" t="n">
        <v>43288</v>
      </c>
      <c r="G4" s="0" t="s">
        <v>174</v>
      </c>
      <c r="H4" s="0" t="s">
        <v>31</v>
      </c>
      <c r="I4" s="0" t="n">
        <v>1</v>
      </c>
      <c r="J4" s="0" t="n">
        <v>9</v>
      </c>
      <c r="K4" s="0" t="s">
        <v>175</v>
      </c>
      <c r="L4" s="0" t="s">
        <v>65</v>
      </c>
      <c r="M4" s="0" t="s">
        <v>170</v>
      </c>
      <c r="N4" s="0" t="n">
        <v>16.2</v>
      </c>
      <c r="P4" s="143" t="n">
        <f aca="false">IF(W4="","",W4*(100-X4)/N4)</f>
        <v>37.1358024691358</v>
      </c>
      <c r="Q4" s="143" t="n">
        <f aca="false">IF(P4="","",P4*1.09)</f>
        <v>40.478024691358</v>
      </c>
      <c r="R4" s="144" t="n">
        <v>8</v>
      </c>
      <c r="S4" s="143"/>
      <c r="T4" s="0" t="n">
        <v>94</v>
      </c>
      <c r="U4" s="0" t="n">
        <v>135</v>
      </c>
      <c r="W4" s="145" t="n">
        <v>6.4</v>
      </c>
      <c r="X4" s="144" t="n">
        <v>6</v>
      </c>
      <c r="Y4" s="144" t="n">
        <v>49</v>
      </c>
      <c r="Z4" s="144" t="n">
        <v>20</v>
      </c>
      <c r="AA4" s="144" t="n">
        <f aca="false">(100*Z4)/(100-Y4)</f>
        <v>39.2156862745098</v>
      </c>
      <c r="AB4" s="144" t="n">
        <v>22.5</v>
      </c>
      <c r="AC4" s="144" t="n">
        <v>4</v>
      </c>
      <c r="AD4" s="146" t="s">
        <v>171</v>
      </c>
      <c r="AE4" s="146"/>
    </row>
    <row r="5" customFormat="false" ht="15" hidden="false" customHeight="false" outlineLevel="0" collapsed="false">
      <c r="A5" s="0" t="n">
        <v>18</v>
      </c>
      <c r="B5" s="0" t="s">
        <v>166</v>
      </c>
      <c r="C5" s="0" t="s">
        <v>30</v>
      </c>
      <c r="D5" s="142" t="n">
        <v>42978</v>
      </c>
      <c r="F5" s="142" t="n">
        <v>43288</v>
      </c>
      <c r="G5" s="0" t="s">
        <v>176</v>
      </c>
      <c r="H5" s="0" t="s">
        <v>31</v>
      </c>
      <c r="I5" s="0" t="n">
        <v>1</v>
      </c>
      <c r="J5" s="0" t="n">
        <v>3</v>
      </c>
      <c r="K5" s="0" t="s">
        <v>177</v>
      </c>
      <c r="L5" s="0" t="s">
        <v>59</v>
      </c>
      <c r="M5" s="0" t="s">
        <v>170</v>
      </c>
      <c r="N5" s="0" t="n">
        <v>16.2</v>
      </c>
      <c r="P5" s="143" t="n">
        <f aca="false">IF(W5="","",W5*(100-X5)/N5)</f>
        <v>34.270987654321</v>
      </c>
      <c r="Q5" s="143" t="n">
        <f aca="false">IF(P5="","",P5*1.09)</f>
        <v>37.3553765432099</v>
      </c>
      <c r="R5" s="144" t="n">
        <v>8</v>
      </c>
      <c r="S5" s="143"/>
      <c r="T5" s="0" t="n">
        <v>95</v>
      </c>
      <c r="U5" s="0" t="n">
        <v>165</v>
      </c>
      <c r="W5" s="145" t="n">
        <v>5.9</v>
      </c>
      <c r="X5" s="144" t="n">
        <v>5.9</v>
      </c>
      <c r="Y5" s="144" t="n">
        <v>49.6</v>
      </c>
      <c r="Z5" s="144" t="n">
        <v>19.2</v>
      </c>
      <c r="AA5" s="144" t="n">
        <f aca="false">(100*Z5)/(100-Y5)</f>
        <v>38.0952380952381</v>
      </c>
      <c r="AB5" s="144" t="n">
        <v>13.3</v>
      </c>
      <c r="AC5" s="144" t="n">
        <v>4</v>
      </c>
      <c r="AD5" s="146" t="s">
        <v>171</v>
      </c>
      <c r="AE5" s="146"/>
    </row>
    <row r="6" customFormat="false" ht="15" hidden="false" customHeight="false" outlineLevel="0" collapsed="false">
      <c r="A6" s="0" t="n">
        <v>18</v>
      </c>
      <c r="B6" s="0" t="s">
        <v>166</v>
      </c>
      <c r="C6" s="0" t="s">
        <v>30</v>
      </c>
      <c r="D6" s="142" t="n">
        <v>42978</v>
      </c>
      <c r="F6" s="142" t="n">
        <v>43288</v>
      </c>
      <c r="G6" s="0" t="s">
        <v>178</v>
      </c>
      <c r="H6" s="0" t="s">
        <v>31</v>
      </c>
      <c r="I6" s="0" t="n">
        <v>1</v>
      </c>
      <c r="J6" s="0" t="n">
        <v>5</v>
      </c>
      <c r="K6" s="0" t="s">
        <v>179</v>
      </c>
      <c r="L6" s="0" t="s">
        <v>61</v>
      </c>
      <c r="M6" s="0" t="s">
        <v>170</v>
      </c>
      <c r="N6" s="0" t="n">
        <v>16.2</v>
      </c>
      <c r="P6" s="143" t="n">
        <f aca="false">IF(W6="","",W6*(100-X6)/N6)</f>
        <v>39.1246913580247</v>
      </c>
      <c r="Q6" s="143" t="n">
        <f aca="false">IF(P6="","",P6*1.09)</f>
        <v>42.6459135802469</v>
      </c>
      <c r="R6" s="144" t="n">
        <v>8</v>
      </c>
      <c r="S6" s="143"/>
      <c r="T6" s="0" t="n">
        <v>98</v>
      </c>
      <c r="U6" s="0" t="n">
        <v>155</v>
      </c>
      <c r="W6" s="145" t="n">
        <v>6.7</v>
      </c>
      <c r="X6" s="144" t="n">
        <v>5.4</v>
      </c>
      <c r="Y6" s="144" t="n">
        <v>50.2</v>
      </c>
      <c r="Z6" s="144" t="n">
        <v>17.7</v>
      </c>
      <c r="AA6" s="144" t="n">
        <f aca="false">(100*Z6)/(100-Y6)</f>
        <v>35.5421686746988</v>
      </c>
      <c r="AB6" s="144" t="n">
        <v>10.7</v>
      </c>
      <c r="AC6" s="144" t="n">
        <v>5</v>
      </c>
      <c r="AD6" s="146" t="s">
        <v>171</v>
      </c>
      <c r="AE6" s="146"/>
    </row>
    <row r="7" customFormat="false" ht="15" hidden="false" customHeight="false" outlineLevel="0" collapsed="false">
      <c r="A7" s="0" t="n">
        <v>18</v>
      </c>
      <c r="B7" s="0" t="s">
        <v>166</v>
      </c>
      <c r="C7" s="0" t="s">
        <v>30</v>
      </c>
      <c r="D7" s="142" t="n">
        <v>42978</v>
      </c>
      <c r="F7" s="142" t="n">
        <v>43288</v>
      </c>
      <c r="G7" s="0" t="s">
        <v>180</v>
      </c>
      <c r="H7" s="0" t="s">
        <v>31</v>
      </c>
      <c r="I7" s="0" t="n">
        <v>1</v>
      </c>
      <c r="J7" s="0" t="n">
        <v>12</v>
      </c>
      <c r="K7" s="0" t="s">
        <v>181</v>
      </c>
      <c r="L7" s="0" t="s">
        <v>182</v>
      </c>
      <c r="M7" s="0" t="s">
        <v>170</v>
      </c>
      <c r="N7" s="0" t="n">
        <v>16.2</v>
      </c>
      <c r="P7" s="143" t="n">
        <f aca="false">IF(W7="","",W7*(100-X7)/N7)</f>
        <v>24.9771604938272</v>
      </c>
      <c r="Q7" s="143" t="n">
        <f aca="false">IF(P7="","",P7*1.09)</f>
        <v>27.2251049382716</v>
      </c>
      <c r="R7" s="144" t="n">
        <v>8</v>
      </c>
      <c r="S7" s="143"/>
      <c r="T7" s="0" t="n">
        <v>92</v>
      </c>
      <c r="U7" s="0" t="n">
        <v>115</v>
      </c>
      <c r="W7" s="145" t="n">
        <v>4.3</v>
      </c>
      <c r="X7" s="144" t="n">
        <v>5.9</v>
      </c>
      <c r="Y7" s="144" t="n">
        <v>49</v>
      </c>
      <c r="Z7" s="144" t="n">
        <v>18.6</v>
      </c>
      <c r="AA7" s="144" t="n">
        <f aca="false">(100*Z7)/(100-Y7)</f>
        <v>36.4705882352941</v>
      </c>
      <c r="AB7" s="144" t="n">
        <v>8.7</v>
      </c>
      <c r="AC7" s="144" t="n">
        <v>4</v>
      </c>
      <c r="AD7" s="146" t="s">
        <v>171</v>
      </c>
      <c r="AE7" s="146"/>
    </row>
    <row r="8" customFormat="false" ht="15" hidden="false" customHeight="false" outlineLevel="0" collapsed="false">
      <c r="A8" s="0" t="n">
        <v>18</v>
      </c>
      <c r="B8" s="0" t="s">
        <v>166</v>
      </c>
      <c r="C8" s="0" t="s">
        <v>30</v>
      </c>
      <c r="D8" s="142" t="n">
        <v>42978</v>
      </c>
      <c r="F8" s="142" t="n">
        <v>43288</v>
      </c>
      <c r="G8" s="0" t="s">
        <v>183</v>
      </c>
      <c r="H8" s="0" t="s">
        <v>33</v>
      </c>
      <c r="I8" s="0" t="n">
        <v>1</v>
      </c>
      <c r="J8" s="0" t="n">
        <v>1</v>
      </c>
      <c r="K8" s="0" t="s">
        <v>184</v>
      </c>
      <c r="L8" s="0" t="s">
        <v>57</v>
      </c>
      <c r="M8" s="0" t="s">
        <v>170</v>
      </c>
      <c r="N8" s="0" t="n">
        <v>16.2</v>
      </c>
      <c r="P8" s="143" t="n">
        <f aca="false">IF(W8="","",W8*(100-X8)/N8)</f>
        <v>38.2962962962963</v>
      </c>
      <c r="Q8" s="143" t="n">
        <f aca="false">IF(P8="","",P8*1.09)</f>
        <v>41.742962962963</v>
      </c>
      <c r="R8" s="144" t="n">
        <v>8</v>
      </c>
      <c r="S8" s="143"/>
      <c r="T8" s="0" t="n">
        <v>95</v>
      </c>
      <c r="U8" s="0" t="n">
        <v>145</v>
      </c>
      <c r="W8" s="145" t="n">
        <v>6.6</v>
      </c>
      <c r="X8" s="144" t="n">
        <v>6</v>
      </c>
      <c r="Y8" s="144"/>
      <c r="Z8" s="144"/>
      <c r="AA8" s="144"/>
      <c r="AB8" s="144"/>
      <c r="AC8" s="144"/>
      <c r="AD8" s="146" t="s">
        <v>185</v>
      </c>
      <c r="AE8" s="146" t="s">
        <v>186</v>
      </c>
    </row>
    <row r="9" customFormat="false" ht="15" hidden="false" customHeight="false" outlineLevel="0" collapsed="false">
      <c r="A9" s="0" t="n">
        <v>18</v>
      </c>
      <c r="B9" s="0" t="s">
        <v>166</v>
      </c>
      <c r="C9" s="0" t="s">
        <v>30</v>
      </c>
      <c r="D9" s="142" t="n">
        <v>42978</v>
      </c>
      <c r="F9" s="142" t="n">
        <v>43288</v>
      </c>
      <c r="G9" s="0" t="s">
        <v>187</v>
      </c>
      <c r="H9" s="0" t="s">
        <v>33</v>
      </c>
      <c r="I9" s="0" t="n">
        <v>1</v>
      </c>
      <c r="J9" s="0" t="n">
        <v>2</v>
      </c>
      <c r="K9" s="0" t="s">
        <v>173</v>
      </c>
      <c r="L9" s="0" t="s">
        <v>58</v>
      </c>
      <c r="M9" s="0" t="s">
        <v>170</v>
      </c>
      <c r="N9" s="0" t="n">
        <v>16.2</v>
      </c>
      <c r="P9" s="143" t="n">
        <f aca="false">IF(W9="","",W9*(100-X9)/N9)</f>
        <v>29.1975308641975</v>
      </c>
      <c r="Q9" s="143" t="n">
        <f aca="false">IF(P9="","",P9*1.09)</f>
        <v>31.8253086419753</v>
      </c>
      <c r="R9" s="144" t="n">
        <v>9</v>
      </c>
      <c r="S9" s="143"/>
      <c r="T9" s="0" t="n">
        <v>95</v>
      </c>
      <c r="U9" s="0" t="n">
        <v>160</v>
      </c>
      <c r="W9" s="145" t="n">
        <v>5</v>
      </c>
      <c r="X9" s="144" t="n">
        <v>5.4</v>
      </c>
      <c r="Y9" s="144" t="n">
        <v>50</v>
      </c>
      <c r="Z9" s="144" t="n">
        <v>18.2</v>
      </c>
      <c r="AA9" s="144" t="n">
        <f aca="false">(100*Z9)/(100-Y9)</f>
        <v>36.4</v>
      </c>
      <c r="AB9" s="144" t="n">
        <v>16</v>
      </c>
      <c r="AC9" s="144" t="n">
        <v>4.4</v>
      </c>
      <c r="AD9" s="146" t="s">
        <v>171</v>
      </c>
      <c r="AE9" s="146"/>
    </row>
    <row r="10" customFormat="false" ht="15" hidden="false" customHeight="false" outlineLevel="0" collapsed="false">
      <c r="A10" s="0" t="n">
        <v>18</v>
      </c>
      <c r="B10" s="0" t="s">
        <v>166</v>
      </c>
      <c r="C10" s="0" t="s">
        <v>30</v>
      </c>
      <c r="D10" s="142" t="n">
        <v>42978</v>
      </c>
      <c r="F10" s="142" t="n">
        <v>43288</v>
      </c>
      <c r="G10" s="0" t="s">
        <v>188</v>
      </c>
      <c r="H10" s="0" t="s">
        <v>33</v>
      </c>
      <c r="I10" s="0" t="n">
        <v>1</v>
      </c>
      <c r="J10" s="0" t="n">
        <v>10</v>
      </c>
      <c r="K10" s="0" t="s">
        <v>189</v>
      </c>
      <c r="L10" s="0" t="s">
        <v>66</v>
      </c>
      <c r="M10" s="0" t="s">
        <v>170</v>
      </c>
      <c r="N10" s="0" t="n">
        <v>16.2</v>
      </c>
      <c r="P10" s="143" t="n">
        <f aca="false">IF(W10="","",W10*(100-X10)/N10)</f>
        <v>29.4895061728395</v>
      </c>
      <c r="Q10" s="143" t="n">
        <f aca="false">IF(P10="","",P10*1.09)</f>
        <v>32.1435617283951</v>
      </c>
      <c r="R10" s="144" t="n">
        <v>9</v>
      </c>
      <c r="S10" s="143"/>
      <c r="T10" s="0" t="n">
        <v>92</v>
      </c>
      <c r="U10" s="0" t="n">
        <v>155</v>
      </c>
      <c r="W10" s="145" t="n">
        <v>5.05</v>
      </c>
      <c r="X10" s="144" t="n">
        <v>5.4</v>
      </c>
      <c r="Y10" s="144" t="n">
        <v>50.4</v>
      </c>
      <c r="Z10" s="144" t="n">
        <v>17.4</v>
      </c>
      <c r="AA10" s="144" t="n">
        <f aca="false">(100*Z10)/(100-Y10)</f>
        <v>35.0806451612903</v>
      </c>
      <c r="AB10" s="144" t="n">
        <v>13.4</v>
      </c>
      <c r="AC10" s="144" t="n">
        <v>4.5</v>
      </c>
      <c r="AD10" s="146" t="s">
        <v>171</v>
      </c>
      <c r="AE10" s="146"/>
    </row>
    <row r="11" customFormat="false" ht="15" hidden="false" customHeight="false" outlineLevel="0" collapsed="false">
      <c r="A11" s="0" t="n">
        <v>18</v>
      </c>
      <c r="B11" s="0" t="s">
        <v>166</v>
      </c>
      <c r="C11" s="0" t="s">
        <v>30</v>
      </c>
      <c r="D11" s="142" t="n">
        <v>42978</v>
      </c>
      <c r="F11" s="142" t="n">
        <v>43288</v>
      </c>
      <c r="G11" s="0" t="s">
        <v>190</v>
      </c>
      <c r="H11" s="0" t="s">
        <v>33</v>
      </c>
      <c r="I11" s="0" t="n">
        <v>1</v>
      </c>
      <c r="J11" s="0" t="n">
        <v>9</v>
      </c>
      <c r="K11" s="0" t="s">
        <v>175</v>
      </c>
      <c r="L11" s="0" t="s">
        <v>65</v>
      </c>
      <c r="M11" s="0" t="s">
        <v>170</v>
      </c>
      <c r="N11" s="0" t="n">
        <v>16.2</v>
      </c>
      <c r="P11" s="143" t="n">
        <f aca="false">IF(W11="","",W11*(100-X11)/N11)</f>
        <v>26.2222222222222</v>
      </c>
      <c r="Q11" s="143" t="n">
        <f aca="false">IF(P11="","",P11*1.09)</f>
        <v>28.5822222222222</v>
      </c>
      <c r="R11" s="144" t="n">
        <v>9</v>
      </c>
      <c r="S11" s="143"/>
      <c r="T11" s="0" t="n">
        <v>90</v>
      </c>
      <c r="U11" s="0" t="n">
        <v>150</v>
      </c>
      <c r="W11" s="145" t="n">
        <v>4.5</v>
      </c>
      <c r="X11" s="144" t="n">
        <v>5.6</v>
      </c>
      <c r="Y11" s="144" t="n">
        <v>49.6</v>
      </c>
      <c r="Z11" s="144" t="n">
        <v>18.8</v>
      </c>
      <c r="AA11" s="144" t="n">
        <f aca="false">(100*Z11)/(100-Y11)</f>
        <v>37.3015873015873</v>
      </c>
      <c r="AB11" s="144" t="n">
        <v>24.6</v>
      </c>
      <c r="AC11" s="144" t="n">
        <v>4.5</v>
      </c>
      <c r="AD11" s="146" t="s">
        <v>171</v>
      </c>
      <c r="AE11" s="146"/>
    </row>
    <row r="12" customFormat="false" ht="15" hidden="false" customHeight="false" outlineLevel="0" collapsed="false">
      <c r="A12" s="0" t="n">
        <v>18</v>
      </c>
      <c r="B12" s="0" t="s">
        <v>166</v>
      </c>
      <c r="C12" s="0" t="s">
        <v>30</v>
      </c>
      <c r="D12" s="142" t="n">
        <v>42978</v>
      </c>
      <c r="F12" s="142" t="n">
        <v>43288</v>
      </c>
      <c r="G12" s="0" t="s">
        <v>191</v>
      </c>
      <c r="H12" s="0" t="s">
        <v>33</v>
      </c>
      <c r="I12" s="0" t="n">
        <v>1</v>
      </c>
      <c r="J12" s="0" t="n">
        <v>8</v>
      </c>
      <c r="K12" s="0" t="s">
        <v>192</v>
      </c>
      <c r="L12" s="0" t="s">
        <v>64</v>
      </c>
      <c r="M12" s="0" t="s">
        <v>170</v>
      </c>
      <c r="N12" s="0" t="n">
        <v>16.2</v>
      </c>
      <c r="P12" s="143" t="n">
        <f aca="false">IF(W12="","",W12*(100-X12)/N12)</f>
        <v>31.2083333333333</v>
      </c>
      <c r="Q12" s="143" t="n">
        <f aca="false">IF(P12="","",P12*1.09)</f>
        <v>34.0170833333333</v>
      </c>
      <c r="R12" s="144" t="n">
        <v>9</v>
      </c>
      <c r="S12" s="143"/>
      <c r="T12" s="0" t="n">
        <v>95</v>
      </c>
      <c r="U12" s="0" t="n">
        <v>160</v>
      </c>
      <c r="W12" s="145" t="n">
        <v>5.35</v>
      </c>
      <c r="X12" s="144" t="n">
        <v>5.5</v>
      </c>
      <c r="Y12" s="144" t="n">
        <v>50.1</v>
      </c>
      <c r="Z12" s="144" t="n">
        <v>16.9</v>
      </c>
      <c r="AA12" s="144" t="n">
        <f aca="false">(100*Z12)/(100-Y12)</f>
        <v>33.8677354709419</v>
      </c>
      <c r="AB12" s="144" t="n">
        <v>9.6</v>
      </c>
      <c r="AC12" s="144" t="n">
        <v>5.5</v>
      </c>
      <c r="AD12" s="146" t="s">
        <v>171</v>
      </c>
      <c r="AE12" s="146"/>
    </row>
    <row r="13" customFormat="false" ht="15" hidden="false" customHeight="false" outlineLevel="0" collapsed="false">
      <c r="A13" s="0" t="n">
        <v>18</v>
      </c>
      <c r="B13" s="0" t="s">
        <v>166</v>
      </c>
      <c r="C13" s="0" t="s">
        <v>30</v>
      </c>
      <c r="D13" s="142" t="n">
        <v>42978</v>
      </c>
      <c r="F13" s="142" t="n">
        <v>43288</v>
      </c>
      <c r="G13" s="0" t="s">
        <v>193</v>
      </c>
      <c r="H13" s="0" t="s">
        <v>33</v>
      </c>
      <c r="I13" s="0" t="n">
        <v>1</v>
      </c>
      <c r="J13" s="0" t="n">
        <v>4</v>
      </c>
      <c r="K13" s="0" t="s">
        <v>194</v>
      </c>
      <c r="L13" s="0" t="s">
        <v>60</v>
      </c>
      <c r="M13" s="0" t="s">
        <v>170</v>
      </c>
      <c r="N13" s="0" t="n">
        <v>16.2</v>
      </c>
      <c r="P13" s="143" t="n">
        <f aca="false">IF(W13="","",W13*(100-X13)/N13)</f>
        <v>34.5259259259259</v>
      </c>
      <c r="Q13" s="143" t="n">
        <f aca="false">IF(P13="","",P13*1.09)</f>
        <v>37.6332592592593</v>
      </c>
      <c r="R13" s="144" t="n">
        <v>9</v>
      </c>
      <c r="S13" s="143"/>
      <c r="T13" s="0" t="n">
        <v>96</v>
      </c>
      <c r="U13" s="0" t="n">
        <v>165</v>
      </c>
      <c r="W13" s="145" t="n">
        <v>5.9</v>
      </c>
      <c r="X13" s="144" t="n">
        <v>5.2</v>
      </c>
      <c r="Y13" s="144" t="n">
        <v>50.6</v>
      </c>
      <c r="Z13" s="144" t="n">
        <v>16.7</v>
      </c>
      <c r="AA13" s="144" t="n">
        <f aca="false">(100*Z13)/(100-Y13)</f>
        <v>33.8056680161943</v>
      </c>
      <c r="AB13" s="144" t="n">
        <v>17.3</v>
      </c>
      <c r="AC13" s="144" t="n">
        <v>4.5</v>
      </c>
      <c r="AD13" s="146" t="s">
        <v>171</v>
      </c>
      <c r="AE13" s="146"/>
    </row>
    <row r="14" customFormat="false" ht="15" hidden="false" customHeight="false" outlineLevel="0" collapsed="false">
      <c r="A14" s="0" t="n">
        <v>18</v>
      </c>
      <c r="B14" s="0" t="s">
        <v>166</v>
      </c>
      <c r="C14" s="0" t="s">
        <v>30</v>
      </c>
      <c r="D14" s="142" t="n">
        <v>42978</v>
      </c>
      <c r="F14" s="142" t="n">
        <v>43288</v>
      </c>
      <c r="G14" s="0" t="s">
        <v>195</v>
      </c>
      <c r="H14" s="0" t="s">
        <v>33</v>
      </c>
      <c r="I14" s="0" t="n">
        <v>1</v>
      </c>
      <c r="J14" s="0" t="n">
        <v>5</v>
      </c>
      <c r="K14" s="0" t="s">
        <v>179</v>
      </c>
      <c r="L14" s="0" t="s">
        <v>61</v>
      </c>
      <c r="M14" s="0" t="s">
        <v>170</v>
      </c>
      <c r="N14" s="0" t="n">
        <v>16.2</v>
      </c>
      <c r="P14" s="143" t="n">
        <f aca="false">IF(W14="","",W14*(100-X14)/N14)</f>
        <v>29.2592592592593</v>
      </c>
      <c r="Q14" s="143" t="n">
        <f aca="false">IF(P14="","",P14*1.09)</f>
        <v>31.8925925925926</v>
      </c>
      <c r="R14" s="144" t="n">
        <v>9</v>
      </c>
      <c r="S14" s="143"/>
      <c r="T14" s="0" t="n">
        <v>96</v>
      </c>
      <c r="U14" s="0" t="n">
        <v>155</v>
      </c>
      <c r="W14" s="145" t="n">
        <v>5</v>
      </c>
      <c r="X14" s="144" t="n">
        <v>5.2</v>
      </c>
      <c r="Y14" s="144" t="n">
        <v>50.2</v>
      </c>
      <c r="Z14" s="144" t="n">
        <v>18.5</v>
      </c>
      <c r="AA14" s="144" t="n">
        <f aca="false">(100*Z14)/(100-Y14)</f>
        <v>37.14859437751</v>
      </c>
      <c r="AB14" s="144" t="n">
        <v>14</v>
      </c>
      <c r="AC14" s="144" t="n">
        <v>5.2</v>
      </c>
      <c r="AD14" s="146" t="s">
        <v>171</v>
      </c>
      <c r="AE14" s="146"/>
    </row>
    <row r="15" customFormat="false" ht="15" hidden="false" customHeight="false" outlineLevel="0" collapsed="false">
      <c r="A15" s="0" t="n">
        <v>18</v>
      </c>
      <c r="B15" s="0" t="s">
        <v>166</v>
      </c>
      <c r="C15" s="0" t="s">
        <v>30</v>
      </c>
      <c r="D15" s="142" t="n">
        <v>42978</v>
      </c>
      <c r="F15" s="142" t="n">
        <v>43288</v>
      </c>
      <c r="G15" s="0" t="s">
        <v>196</v>
      </c>
      <c r="H15" s="0" t="s">
        <v>33</v>
      </c>
      <c r="I15" s="0" t="n">
        <v>1</v>
      </c>
      <c r="J15" s="0" t="n">
        <v>3</v>
      </c>
      <c r="K15" s="0" t="s">
        <v>177</v>
      </c>
      <c r="L15" s="0" t="s">
        <v>59</v>
      </c>
      <c r="M15" s="0" t="s">
        <v>170</v>
      </c>
      <c r="N15" s="0" t="n">
        <v>16.2</v>
      </c>
      <c r="P15" s="143" t="n">
        <f aca="false">IF(W15="","",W15*(100-X15)/N15)</f>
        <v>31.0475308641975</v>
      </c>
      <c r="Q15" s="143" t="n">
        <f aca="false">IF(P15="","",P15*1.09)</f>
        <v>33.8418086419753</v>
      </c>
      <c r="R15" s="144" t="n">
        <v>9</v>
      </c>
      <c r="S15" s="143"/>
      <c r="T15" s="0" t="n">
        <v>92</v>
      </c>
      <c r="U15" s="0" t="n">
        <v>160</v>
      </c>
      <c r="W15" s="145" t="n">
        <v>5.3</v>
      </c>
      <c r="X15" s="144" t="n">
        <v>5.1</v>
      </c>
      <c r="Y15" s="144" t="n">
        <v>51.7</v>
      </c>
      <c r="Z15" s="144" t="n">
        <v>17.5</v>
      </c>
      <c r="AA15" s="144" t="n">
        <f aca="false">(100*Z15)/(100-Y15)</f>
        <v>36.231884057971</v>
      </c>
      <c r="AB15" s="144" t="n">
        <v>18.4</v>
      </c>
      <c r="AC15" s="144" t="n">
        <v>4.4</v>
      </c>
      <c r="AD15" s="146" t="s">
        <v>171</v>
      </c>
      <c r="AE15" s="146"/>
    </row>
    <row r="16" customFormat="false" ht="15" hidden="false" customHeight="false" outlineLevel="0" collapsed="false">
      <c r="A16" s="0" t="n">
        <v>18</v>
      </c>
      <c r="B16" s="0" t="s">
        <v>166</v>
      </c>
      <c r="C16" s="0" t="s">
        <v>30</v>
      </c>
      <c r="D16" s="142" t="n">
        <v>42978</v>
      </c>
      <c r="F16" s="142" t="n">
        <v>43288</v>
      </c>
      <c r="G16" s="0" t="s">
        <v>197</v>
      </c>
      <c r="H16" s="0" t="s">
        <v>31</v>
      </c>
      <c r="I16" s="0" t="n">
        <v>1</v>
      </c>
      <c r="J16" s="0" t="n">
        <v>1</v>
      </c>
      <c r="K16" s="0" t="s">
        <v>184</v>
      </c>
      <c r="L16" s="0" t="s">
        <v>57</v>
      </c>
      <c r="M16" s="0" t="s">
        <v>170</v>
      </c>
      <c r="N16" s="0" t="n">
        <v>16.2</v>
      </c>
      <c r="P16" s="143" t="n">
        <f aca="false">IF(W16="","",W16*(100-X16)/N16)</f>
        <v>38.2555555555556</v>
      </c>
      <c r="Q16" s="143" t="n">
        <f aca="false">IF(P16="","",P16*1.09)</f>
        <v>41.6985555555556</v>
      </c>
      <c r="R16" s="144" t="n">
        <v>7</v>
      </c>
      <c r="S16" s="143"/>
      <c r="T16" s="0" t="n">
        <v>97</v>
      </c>
      <c r="U16" s="0" t="n">
        <v>145</v>
      </c>
      <c r="W16" s="145" t="n">
        <v>6.6</v>
      </c>
      <c r="X16" s="144" t="n">
        <v>6.1</v>
      </c>
      <c r="Y16" s="144" t="n">
        <v>49.7</v>
      </c>
      <c r="Z16" s="144" t="n">
        <v>19.2</v>
      </c>
      <c r="AA16" s="144" t="n">
        <f aca="false">(100*Z16)/(100-Y16)</f>
        <v>38.1709741550696</v>
      </c>
      <c r="AB16" s="144" t="n">
        <v>12.5</v>
      </c>
      <c r="AC16" s="144" t="n">
        <v>5</v>
      </c>
      <c r="AD16" s="146" t="s">
        <v>171</v>
      </c>
      <c r="AE16" s="146"/>
    </row>
    <row r="17" customFormat="false" ht="15" hidden="false" customHeight="false" outlineLevel="0" collapsed="false">
      <c r="A17" s="0" t="n">
        <v>18</v>
      </c>
      <c r="B17" s="0" t="s">
        <v>166</v>
      </c>
      <c r="C17" s="0" t="s">
        <v>30</v>
      </c>
      <c r="D17" s="142" t="n">
        <v>42978</v>
      </c>
      <c r="F17" s="142" t="n">
        <v>43288</v>
      </c>
      <c r="G17" s="0" t="s">
        <v>198</v>
      </c>
      <c r="H17" s="0" t="s">
        <v>31</v>
      </c>
      <c r="I17" s="0" t="n">
        <v>1</v>
      </c>
      <c r="J17" s="0" t="n">
        <v>10</v>
      </c>
      <c r="K17" s="0" t="s">
        <v>189</v>
      </c>
      <c r="L17" s="0" t="s">
        <v>66</v>
      </c>
      <c r="M17" s="0" t="s">
        <v>170</v>
      </c>
      <c r="N17" s="0" t="n">
        <v>16.2</v>
      </c>
      <c r="P17" s="143" t="n">
        <f aca="false">IF(W17="","",W17*(100-X17)/N17)</f>
        <v>42.983950617284</v>
      </c>
      <c r="Q17" s="143" t="n">
        <f aca="false">IF(P17="","",P17*1.09)</f>
        <v>46.8525061728395</v>
      </c>
      <c r="R17" s="144" t="n">
        <v>9</v>
      </c>
      <c r="S17" s="143"/>
      <c r="T17" s="0" t="n">
        <v>94</v>
      </c>
      <c r="U17" s="0" t="n">
        <v>160</v>
      </c>
      <c r="W17" s="145" t="n">
        <v>7.4</v>
      </c>
      <c r="X17" s="144" t="n">
        <v>5.9</v>
      </c>
      <c r="Y17" s="144" t="n">
        <v>50.1</v>
      </c>
      <c r="Z17" s="144" t="n">
        <v>19.5</v>
      </c>
      <c r="AA17" s="144" t="n">
        <f aca="false">(100*Z17)/(100-Y17)</f>
        <v>39.0781563126253</v>
      </c>
      <c r="AB17" s="144" t="n">
        <v>17.3</v>
      </c>
      <c r="AC17" s="144" t="n">
        <v>5</v>
      </c>
      <c r="AD17" s="146" t="s">
        <v>171</v>
      </c>
      <c r="AE17" s="146"/>
    </row>
    <row r="18" customFormat="false" ht="15" hidden="false" customHeight="false" outlineLevel="0" collapsed="false">
      <c r="A18" s="0" t="n">
        <v>18</v>
      </c>
      <c r="B18" s="0" t="s">
        <v>166</v>
      </c>
      <c r="C18" s="0" t="s">
        <v>30</v>
      </c>
      <c r="D18" s="142" t="n">
        <v>42978</v>
      </c>
      <c r="F18" s="142" t="n">
        <v>43288</v>
      </c>
      <c r="G18" s="0" t="s">
        <v>199</v>
      </c>
      <c r="H18" s="0" t="s">
        <v>31</v>
      </c>
      <c r="I18" s="0" t="n">
        <v>1</v>
      </c>
      <c r="J18" s="0" t="n">
        <v>8</v>
      </c>
      <c r="K18" s="0" t="s">
        <v>192</v>
      </c>
      <c r="L18" s="0" t="s">
        <v>64</v>
      </c>
      <c r="M18" s="0" t="s">
        <v>170</v>
      </c>
      <c r="N18" s="0" t="n">
        <v>16.2</v>
      </c>
      <c r="P18" s="143" t="n">
        <f aca="false">IF(W18="","",W18*(100-X18)/N18)</f>
        <v>45.8395061728395</v>
      </c>
      <c r="Q18" s="143" t="n">
        <f aca="false">IF(P18="","",P18*1.09)</f>
        <v>49.9650617283951</v>
      </c>
      <c r="R18" s="144" t="n">
        <v>9</v>
      </c>
      <c r="S18" s="143"/>
      <c r="T18" s="0" t="n">
        <v>96</v>
      </c>
      <c r="U18" s="0" t="n">
        <v>160</v>
      </c>
      <c r="W18" s="145" t="n">
        <v>7.9</v>
      </c>
      <c r="X18" s="144" t="n">
        <v>6</v>
      </c>
      <c r="Y18" s="144" t="n">
        <v>48.3</v>
      </c>
      <c r="Z18" s="144" t="n">
        <v>18.2</v>
      </c>
      <c r="AA18" s="144" t="n">
        <f aca="false">(100*Z18)/(100-Y18)</f>
        <v>35.2030947775629</v>
      </c>
      <c r="AB18" s="144" t="n">
        <v>10.8</v>
      </c>
      <c r="AC18" s="144" t="n">
        <v>5</v>
      </c>
      <c r="AD18" s="146" t="s">
        <v>171</v>
      </c>
      <c r="AE18" s="146"/>
    </row>
    <row r="19" customFormat="false" ht="15" hidden="false" customHeight="false" outlineLevel="0" collapsed="false">
      <c r="A19" s="0" t="n">
        <v>18</v>
      </c>
      <c r="B19" s="0" t="s">
        <v>166</v>
      </c>
      <c r="C19" s="0" t="s">
        <v>30</v>
      </c>
      <c r="D19" s="142" t="n">
        <v>42978</v>
      </c>
      <c r="F19" s="142" t="n">
        <v>43288</v>
      </c>
      <c r="G19" s="0" t="s">
        <v>200</v>
      </c>
      <c r="H19" s="0" t="s">
        <v>31</v>
      </c>
      <c r="I19" s="0" t="n">
        <v>1</v>
      </c>
      <c r="J19" s="0" t="n">
        <v>4</v>
      </c>
      <c r="K19" s="0" t="s">
        <v>194</v>
      </c>
      <c r="L19" s="0" t="s">
        <v>60</v>
      </c>
      <c r="M19" s="0" t="s">
        <v>170</v>
      </c>
      <c r="N19" s="0" t="n">
        <v>16.2</v>
      </c>
      <c r="P19" s="143" t="n">
        <f aca="false">IF(W19="","",W19*(100-X19)/N19)</f>
        <v>37.8364197530864</v>
      </c>
      <c r="Q19" s="143" t="n">
        <f aca="false">IF(P19="","",P19*1.09)</f>
        <v>41.2416975308642</v>
      </c>
      <c r="R19" s="144" t="n">
        <v>7</v>
      </c>
      <c r="S19" s="143"/>
      <c r="T19" s="0" t="n">
        <v>98</v>
      </c>
      <c r="U19" s="0" t="n">
        <v>150</v>
      </c>
      <c r="W19" s="145" t="n">
        <v>6.5</v>
      </c>
      <c r="X19" s="144" t="n">
        <v>5.7</v>
      </c>
      <c r="Y19" s="144" t="n">
        <v>50.2</v>
      </c>
      <c r="Z19" s="144" t="n">
        <v>17.8</v>
      </c>
      <c r="AA19" s="144" t="n">
        <f aca="false">(100*Z19)/(100-Y19)</f>
        <v>35.7429718875502</v>
      </c>
      <c r="AB19" s="144" t="n">
        <v>13.9</v>
      </c>
      <c r="AC19" s="144" t="n">
        <v>4</v>
      </c>
      <c r="AD19" s="146" t="s">
        <v>171</v>
      </c>
      <c r="AE19" s="146"/>
    </row>
    <row r="20" customFormat="false" ht="15" hidden="false" customHeight="false" outlineLevel="0" collapsed="false">
      <c r="A20" s="0" t="n">
        <v>18</v>
      </c>
      <c r="B20" s="0" t="s">
        <v>166</v>
      </c>
      <c r="C20" s="0" t="s">
        <v>30</v>
      </c>
      <c r="D20" s="142" t="n">
        <v>42978</v>
      </c>
      <c r="F20" s="142" t="n">
        <v>43288</v>
      </c>
      <c r="G20" s="0" t="s">
        <v>201</v>
      </c>
      <c r="H20" s="0" t="s">
        <v>31</v>
      </c>
      <c r="I20" s="0" t="n">
        <v>1</v>
      </c>
      <c r="J20" s="0" t="n">
        <v>6</v>
      </c>
      <c r="K20" s="0" t="s">
        <v>202</v>
      </c>
      <c r="L20" s="0" t="s">
        <v>62</v>
      </c>
      <c r="M20" s="0" t="s">
        <v>170</v>
      </c>
      <c r="N20" s="0" t="n">
        <v>16.2</v>
      </c>
      <c r="P20" s="143" t="n">
        <f aca="false">IF(W20="","",W20*(100-X20)/N20)</f>
        <v>35.4327160493827</v>
      </c>
      <c r="Q20" s="143" t="n">
        <f aca="false">IF(P20="","",P20*1.09)</f>
        <v>38.6216604938272</v>
      </c>
      <c r="R20" s="144" t="n">
        <v>8</v>
      </c>
      <c r="S20" s="143"/>
      <c r="T20" s="0" t="n">
        <v>98</v>
      </c>
      <c r="U20" s="0" t="n">
        <v>155</v>
      </c>
      <c r="W20" s="145" t="n">
        <v>6.1</v>
      </c>
      <c r="X20" s="144" t="n">
        <v>5.9</v>
      </c>
      <c r="Y20" s="144" t="n">
        <v>48.9</v>
      </c>
      <c r="Z20" s="144" t="n">
        <v>17.8</v>
      </c>
      <c r="AA20" s="144" t="n">
        <f aca="false">(100*Z20)/(100-Y20)</f>
        <v>34.8336594911937</v>
      </c>
      <c r="AB20" s="144" t="n">
        <v>11.8</v>
      </c>
      <c r="AC20" s="144" t="n">
        <v>4</v>
      </c>
      <c r="AD20" s="146" t="s">
        <v>203</v>
      </c>
      <c r="AE20" s="146"/>
    </row>
    <row r="21" customFormat="false" ht="15" hidden="false" customHeight="false" outlineLevel="0" collapsed="false">
      <c r="A21" s="0" t="n">
        <v>18</v>
      </c>
      <c r="B21" s="0" t="s">
        <v>166</v>
      </c>
      <c r="C21" s="0" t="s">
        <v>30</v>
      </c>
      <c r="D21" s="142" t="n">
        <v>42978</v>
      </c>
      <c r="F21" s="142" t="n">
        <v>43288</v>
      </c>
      <c r="G21" s="0" t="s">
        <v>204</v>
      </c>
      <c r="H21" s="0" t="s">
        <v>31</v>
      </c>
      <c r="I21" s="0" t="n">
        <v>1</v>
      </c>
      <c r="J21" s="0" t="n">
        <v>7</v>
      </c>
      <c r="K21" s="0" t="s">
        <v>205</v>
      </c>
      <c r="L21" s="0" t="s">
        <v>63</v>
      </c>
      <c r="M21" s="0" t="s">
        <v>170</v>
      </c>
      <c r="N21" s="0" t="n">
        <v>16.2</v>
      </c>
      <c r="P21" s="143" t="n">
        <f aca="false">IF(W21="","",W21*(100-X21)/N21)</f>
        <v>24.3962962962963</v>
      </c>
      <c r="Q21" s="143" t="n">
        <f aca="false">IF(P21="","",P21*1.09)</f>
        <v>26.591962962963</v>
      </c>
      <c r="R21" s="144" t="n">
        <v>6</v>
      </c>
      <c r="S21" s="143"/>
      <c r="T21" s="0" t="n">
        <v>99</v>
      </c>
      <c r="U21" s="0" t="n">
        <v>135</v>
      </c>
      <c r="W21" s="145" t="n">
        <v>4.2</v>
      </c>
      <c r="X21" s="144" t="n">
        <v>5.9</v>
      </c>
      <c r="Y21" s="144" t="n">
        <v>48.5</v>
      </c>
      <c r="Z21" s="144" t="n">
        <v>17.8</v>
      </c>
      <c r="AA21" s="144" t="n">
        <f aca="false">(100*Z21)/(100-Y21)</f>
        <v>34.5631067961165</v>
      </c>
      <c r="AB21" s="144" t="n">
        <v>7.9</v>
      </c>
      <c r="AC21" s="144" t="n">
        <v>4.5</v>
      </c>
      <c r="AD21" s="146" t="s">
        <v>206</v>
      </c>
      <c r="AE21" s="146"/>
    </row>
    <row r="22" customFormat="false" ht="15" hidden="false" customHeight="false" outlineLevel="0" collapsed="false">
      <c r="A22" s="0" t="n">
        <v>18</v>
      </c>
      <c r="B22" s="0" t="s">
        <v>166</v>
      </c>
      <c r="C22" s="0" t="s">
        <v>30</v>
      </c>
      <c r="D22" s="142" t="n">
        <v>42978</v>
      </c>
      <c r="F22" s="142" t="n">
        <v>43288</v>
      </c>
      <c r="G22" s="0" t="s">
        <v>207</v>
      </c>
      <c r="H22" s="0" t="s">
        <v>33</v>
      </c>
      <c r="I22" s="0" t="n">
        <v>1</v>
      </c>
      <c r="J22" s="0" t="n">
        <v>11</v>
      </c>
      <c r="K22" s="0" t="s">
        <v>181</v>
      </c>
      <c r="L22" s="0" t="s">
        <v>182</v>
      </c>
      <c r="M22" s="0" t="s">
        <v>170</v>
      </c>
      <c r="N22" s="0" t="n">
        <v>16.2</v>
      </c>
      <c r="P22" s="143" t="n">
        <f aca="false">IF(W22="","",W22*(100-X22)/N22)</f>
        <v>14.6703703703704</v>
      </c>
      <c r="Q22" s="143" t="n">
        <f aca="false">IF(P22="","",P22*1.09)</f>
        <v>15.9907037037037</v>
      </c>
      <c r="R22" s="144" t="n">
        <v>8</v>
      </c>
      <c r="S22" s="143"/>
      <c r="T22" s="0" t="n">
        <v>91</v>
      </c>
      <c r="W22" s="145" t="n">
        <v>2.55</v>
      </c>
      <c r="X22" s="144" t="n">
        <v>6.8</v>
      </c>
      <c r="Y22" s="144" t="n">
        <v>50.3</v>
      </c>
      <c r="Z22" s="144" t="n">
        <v>17.6</v>
      </c>
      <c r="AA22" s="144" t="n">
        <f aca="false">(100*Z22)/(100-Y22)</f>
        <v>35.4124748490946</v>
      </c>
      <c r="AB22" s="144" t="n">
        <v>11.8</v>
      </c>
      <c r="AC22" s="144" t="n">
        <v>4.4</v>
      </c>
      <c r="AD22" s="146" t="s">
        <v>171</v>
      </c>
      <c r="AE22" s="146"/>
    </row>
    <row r="23" customFormat="false" ht="15" hidden="false" customHeight="false" outlineLevel="0" collapsed="false">
      <c r="A23" s="0" t="n">
        <v>18</v>
      </c>
      <c r="B23" s="0" t="s">
        <v>166</v>
      </c>
      <c r="C23" s="0" t="s">
        <v>30</v>
      </c>
      <c r="D23" s="142" t="n">
        <v>42978</v>
      </c>
      <c r="F23" s="142" t="n">
        <v>43288</v>
      </c>
      <c r="G23" s="0" t="s">
        <v>208</v>
      </c>
      <c r="H23" s="0" t="s">
        <v>33</v>
      </c>
      <c r="I23" s="0" t="n">
        <v>1</v>
      </c>
      <c r="J23" s="0" t="n">
        <v>6</v>
      </c>
      <c r="K23" s="0" t="s">
        <v>202</v>
      </c>
      <c r="L23" s="0" t="s">
        <v>62</v>
      </c>
      <c r="M23" s="0" t="s">
        <v>170</v>
      </c>
      <c r="N23" s="0" t="n">
        <v>16.2</v>
      </c>
      <c r="P23" s="143" t="n">
        <f aca="false">IF(W23="","",W23*(100-X23)/N23)</f>
        <v>32.5975308641975</v>
      </c>
      <c r="Q23" s="143" t="n">
        <f aca="false">IF(P23="","",P23*1.09)</f>
        <v>35.5313086419753</v>
      </c>
      <c r="R23" s="144" t="n">
        <v>9</v>
      </c>
      <c r="S23" s="143"/>
      <c r="T23" s="0" t="n">
        <v>96</v>
      </c>
      <c r="U23" s="0" t="n">
        <v>165</v>
      </c>
      <c r="W23" s="145" t="n">
        <v>5.6</v>
      </c>
      <c r="X23" s="144" t="n">
        <v>5.7</v>
      </c>
      <c r="Y23" s="144" t="n">
        <v>49.7</v>
      </c>
      <c r="Z23" s="144" t="n">
        <v>18</v>
      </c>
      <c r="AA23" s="144" t="n">
        <f aca="false">(100*Z23)/(100-Y23)</f>
        <v>35.7852882703777</v>
      </c>
      <c r="AB23" s="144" t="n">
        <v>15.8</v>
      </c>
      <c r="AC23" s="144" t="n">
        <v>5</v>
      </c>
      <c r="AD23" s="146" t="s">
        <v>171</v>
      </c>
      <c r="AE23" s="146"/>
    </row>
    <row r="24" customFormat="false" ht="15" hidden="false" customHeight="false" outlineLevel="0" collapsed="false">
      <c r="A24" s="0" t="n">
        <v>18</v>
      </c>
      <c r="B24" s="0" t="s">
        <v>166</v>
      </c>
      <c r="C24" s="0" t="s">
        <v>30</v>
      </c>
      <c r="D24" s="142" t="n">
        <v>42978</v>
      </c>
      <c r="F24" s="142" t="n">
        <v>43288</v>
      </c>
      <c r="G24" s="0" t="s">
        <v>209</v>
      </c>
      <c r="H24" s="0" t="s">
        <v>33</v>
      </c>
      <c r="I24" s="0" t="n">
        <v>1</v>
      </c>
      <c r="J24" s="0" t="n">
        <v>7</v>
      </c>
      <c r="K24" s="0" t="s">
        <v>205</v>
      </c>
      <c r="L24" s="0" t="s">
        <v>63</v>
      </c>
      <c r="M24" s="0" t="s">
        <v>170</v>
      </c>
      <c r="N24" s="0" t="n">
        <v>16.2</v>
      </c>
      <c r="P24" s="143" t="n">
        <f aca="false">IF(W24="","",W24*(100-X24)/N24)</f>
        <v>20.9777777777778</v>
      </c>
      <c r="Q24" s="143" t="n">
        <f aca="false">IF(P24="","",P24*1.09)</f>
        <v>22.8657777777778</v>
      </c>
      <c r="R24" s="144" t="n">
        <v>6</v>
      </c>
      <c r="S24" s="143"/>
      <c r="T24" s="0" t="n">
        <v>96</v>
      </c>
      <c r="U24" s="0" t="n">
        <v>145</v>
      </c>
      <c r="W24" s="145" t="n">
        <v>3.6</v>
      </c>
      <c r="X24" s="144" t="n">
        <v>5.6</v>
      </c>
      <c r="Y24" s="144" t="n">
        <v>48.2</v>
      </c>
      <c r="Z24" s="144" t="n">
        <v>18.7</v>
      </c>
      <c r="AA24" s="144" t="n">
        <f aca="false">(100*Z24)/(100-Y24)</f>
        <v>36.1003861003861</v>
      </c>
      <c r="AB24" s="144" t="n">
        <v>17.6</v>
      </c>
      <c r="AC24" s="144" t="n">
        <v>5</v>
      </c>
      <c r="AD24" s="146" t="s">
        <v>206</v>
      </c>
      <c r="AE24" s="146"/>
    </row>
    <row r="25" customFormat="false" ht="15" hidden="false" customHeight="false" outlineLevel="0" collapsed="false">
      <c r="A25" s="0" t="n">
        <v>18</v>
      </c>
      <c r="B25" s="0" t="s">
        <v>166</v>
      </c>
      <c r="C25" s="0" t="s">
        <v>30</v>
      </c>
      <c r="D25" s="142" t="n">
        <v>42978</v>
      </c>
      <c r="F25" s="142" t="n">
        <v>43288</v>
      </c>
      <c r="G25" s="0" t="s">
        <v>210</v>
      </c>
      <c r="H25" s="0" t="s">
        <v>33</v>
      </c>
      <c r="I25" s="0" t="n">
        <v>1</v>
      </c>
      <c r="J25" s="0" t="n">
        <v>12</v>
      </c>
      <c r="K25" s="0" t="s">
        <v>168</v>
      </c>
      <c r="L25" s="0" t="s">
        <v>169</v>
      </c>
      <c r="M25" s="0" t="s">
        <v>170</v>
      </c>
      <c r="N25" s="0" t="n">
        <v>16.2</v>
      </c>
      <c r="P25" s="143" t="str">
        <f aca="false">IF(W25="","",W25*(100-X25)/N25)</f>
        <v/>
      </c>
      <c r="Q25" s="143" t="str">
        <f aca="false">IF(P25="","",P25*1.09)</f>
        <v/>
      </c>
      <c r="R25" s="144" t="n">
        <v>8</v>
      </c>
      <c r="S25" s="143"/>
      <c r="T25" s="0" t="n">
        <v>95</v>
      </c>
      <c r="U25" s="0" t="n">
        <v>145</v>
      </c>
      <c r="W25" s="145"/>
      <c r="X25" s="144"/>
      <c r="Y25" s="144"/>
      <c r="Z25" s="144"/>
      <c r="AA25" s="144"/>
      <c r="AB25" s="144"/>
      <c r="AC25" s="144"/>
      <c r="AD25" s="146" t="s">
        <v>171</v>
      </c>
      <c r="AE25" s="146" t="s">
        <v>211</v>
      </c>
    </row>
    <row r="26" customFormat="false" ht="15" hidden="false" customHeight="false" outlineLevel="0" collapsed="false">
      <c r="A26" s="0" t="n">
        <v>18</v>
      </c>
      <c r="B26" s="0" t="s">
        <v>166</v>
      </c>
      <c r="C26" s="0" t="s">
        <v>30</v>
      </c>
      <c r="D26" s="142" t="n">
        <v>42978</v>
      </c>
      <c r="F26" s="142" t="n">
        <v>43288</v>
      </c>
      <c r="G26" s="0" t="s">
        <v>212</v>
      </c>
      <c r="H26" s="0" t="s">
        <v>31</v>
      </c>
      <c r="I26" s="0" t="n">
        <v>2</v>
      </c>
      <c r="J26" s="0" t="n">
        <v>11</v>
      </c>
      <c r="K26" s="0" t="s">
        <v>168</v>
      </c>
      <c r="L26" s="0" t="s">
        <v>169</v>
      </c>
      <c r="M26" s="0" t="s">
        <v>170</v>
      </c>
      <c r="N26" s="0" t="n">
        <v>16.2</v>
      </c>
      <c r="P26" s="143" t="n">
        <f aca="false">IF(W26="","",W26*(100-X26)/N26)</f>
        <v>37.7962962962963</v>
      </c>
      <c r="Q26" s="143" t="n">
        <f aca="false">IF(P26="","",P26*1.09)</f>
        <v>41.197962962963</v>
      </c>
      <c r="R26" s="144" t="n">
        <v>7</v>
      </c>
      <c r="S26" s="143"/>
      <c r="T26" s="0" t="n">
        <v>97</v>
      </c>
      <c r="U26" s="0" t="n">
        <v>155</v>
      </c>
      <c r="W26" s="145" t="n">
        <v>6.5</v>
      </c>
      <c r="X26" s="144" t="n">
        <v>5.8</v>
      </c>
      <c r="Y26" s="144" t="n">
        <v>46.2</v>
      </c>
      <c r="Z26" s="144" t="n">
        <v>19.9</v>
      </c>
      <c r="AA26" s="144" t="n">
        <f aca="false">(100*Z26)/(100-Y26)</f>
        <v>36.9888475836431</v>
      </c>
      <c r="AB26" s="144" t="n">
        <v>14.8</v>
      </c>
      <c r="AC26" s="144" t="n">
        <v>4.5</v>
      </c>
      <c r="AD26" s="146" t="s">
        <v>203</v>
      </c>
      <c r="AE26" s="146"/>
    </row>
    <row r="27" customFormat="false" ht="15" hidden="false" customHeight="false" outlineLevel="0" collapsed="false">
      <c r="A27" s="0" t="n">
        <v>18</v>
      </c>
      <c r="B27" s="0" t="s">
        <v>166</v>
      </c>
      <c r="C27" s="0" t="s">
        <v>30</v>
      </c>
      <c r="D27" s="142" t="n">
        <v>42978</v>
      </c>
      <c r="F27" s="142" t="n">
        <v>43288</v>
      </c>
      <c r="G27" s="0" t="s">
        <v>213</v>
      </c>
      <c r="H27" s="0" t="s">
        <v>31</v>
      </c>
      <c r="I27" s="0" t="n">
        <v>2</v>
      </c>
      <c r="J27" s="0" t="n">
        <v>1</v>
      </c>
      <c r="K27" s="0" t="s">
        <v>184</v>
      </c>
      <c r="L27" s="0" t="s">
        <v>57</v>
      </c>
      <c r="M27" s="0" t="s">
        <v>170</v>
      </c>
      <c r="N27" s="0" t="n">
        <v>16.2</v>
      </c>
      <c r="P27" s="143" t="n">
        <f aca="false">IF(W27="","",W27*(100-X27)/N27)</f>
        <v>38.8351851851852</v>
      </c>
      <c r="Q27" s="143" t="n">
        <f aca="false">IF(P27="","",P27*1.09)</f>
        <v>42.3303518518519</v>
      </c>
      <c r="R27" s="144" t="n">
        <v>8</v>
      </c>
      <c r="S27" s="143"/>
      <c r="T27" s="0" t="n">
        <v>97</v>
      </c>
      <c r="U27" s="0" t="n">
        <v>145</v>
      </c>
      <c r="W27" s="145" t="n">
        <v>6.7</v>
      </c>
      <c r="X27" s="144" t="n">
        <v>6.1</v>
      </c>
      <c r="Y27" s="144" t="n">
        <v>47.8</v>
      </c>
      <c r="Z27" s="144" t="n">
        <v>20.1</v>
      </c>
      <c r="AA27" s="144" t="n">
        <f aca="false">(100*Z27)/(100-Y27)</f>
        <v>38.5057471264368</v>
      </c>
      <c r="AB27" s="144" t="n">
        <v>17.6</v>
      </c>
      <c r="AC27" s="144" t="n">
        <v>5</v>
      </c>
      <c r="AD27" s="146" t="s">
        <v>171</v>
      </c>
      <c r="AE27" s="146"/>
    </row>
    <row r="28" customFormat="false" ht="15" hidden="false" customHeight="false" outlineLevel="0" collapsed="false">
      <c r="A28" s="0" t="n">
        <v>18</v>
      </c>
      <c r="B28" s="0" t="s">
        <v>166</v>
      </c>
      <c r="C28" s="0" t="s">
        <v>30</v>
      </c>
      <c r="D28" s="142" t="n">
        <v>42978</v>
      </c>
      <c r="F28" s="142" t="n">
        <v>43288</v>
      </c>
      <c r="G28" s="0" t="s">
        <v>214</v>
      </c>
      <c r="H28" s="0" t="s">
        <v>31</v>
      </c>
      <c r="I28" s="0" t="n">
        <v>2</v>
      </c>
      <c r="J28" s="0" t="n">
        <v>10</v>
      </c>
      <c r="K28" s="0" t="s">
        <v>189</v>
      </c>
      <c r="L28" s="0" t="s">
        <v>66</v>
      </c>
      <c r="M28" s="0" t="s">
        <v>170</v>
      </c>
      <c r="N28" s="0" t="n">
        <v>16.2</v>
      </c>
      <c r="P28" s="143" t="n">
        <f aca="false">IF(W28="","",W28*(100-X28)/N28)</f>
        <v>40.6604938271605</v>
      </c>
      <c r="Q28" s="143" t="n">
        <f aca="false">IF(P28="","",P28*1.09)</f>
        <v>44.3199382716049</v>
      </c>
      <c r="R28" s="144" t="n">
        <v>8</v>
      </c>
      <c r="S28" s="143"/>
      <c r="T28" s="0" t="n">
        <v>94</v>
      </c>
      <c r="U28" s="0" t="n">
        <v>155</v>
      </c>
      <c r="W28" s="145" t="n">
        <v>7</v>
      </c>
      <c r="X28" s="144" t="n">
        <v>5.9</v>
      </c>
      <c r="Y28" s="144" t="n">
        <v>47.6</v>
      </c>
      <c r="Z28" s="144" t="n">
        <v>20</v>
      </c>
      <c r="AA28" s="144" t="n">
        <f aca="false">(100*Z28)/(100-Y28)</f>
        <v>38.1679389312977</v>
      </c>
      <c r="AB28" s="144" t="n">
        <v>14.6</v>
      </c>
      <c r="AC28" s="144" t="n">
        <v>4.5</v>
      </c>
      <c r="AD28" s="146" t="s">
        <v>171</v>
      </c>
      <c r="AE28" s="146"/>
    </row>
    <row r="29" customFormat="false" ht="15" hidden="false" customHeight="false" outlineLevel="0" collapsed="false">
      <c r="A29" s="0" t="n">
        <v>18</v>
      </c>
      <c r="B29" s="0" t="s">
        <v>166</v>
      </c>
      <c r="C29" s="0" t="s">
        <v>30</v>
      </c>
      <c r="D29" s="142" t="n">
        <v>42978</v>
      </c>
      <c r="F29" s="142" t="n">
        <v>43288</v>
      </c>
      <c r="G29" s="0" t="s">
        <v>215</v>
      </c>
      <c r="H29" s="0" t="s">
        <v>31</v>
      </c>
      <c r="I29" s="0" t="n">
        <v>2</v>
      </c>
      <c r="J29" s="0" t="n">
        <v>9</v>
      </c>
      <c r="K29" s="0" t="s">
        <v>175</v>
      </c>
      <c r="L29" s="0" t="s">
        <v>65</v>
      </c>
      <c r="M29" s="0" t="s">
        <v>170</v>
      </c>
      <c r="N29" s="0" t="n">
        <v>16.2</v>
      </c>
      <c r="P29" s="143" t="n">
        <f aca="false">IF(W29="","",W29*(100-X29)/N29)</f>
        <v>33.6901234567901</v>
      </c>
      <c r="Q29" s="143" t="n">
        <f aca="false">IF(P29="","",P29*1.09)</f>
        <v>36.7222345679012</v>
      </c>
      <c r="R29" s="144" t="n">
        <v>8</v>
      </c>
      <c r="S29" s="143"/>
      <c r="T29" s="0" t="n">
        <v>93</v>
      </c>
      <c r="U29" s="0" t="n">
        <v>145</v>
      </c>
      <c r="W29" s="145" t="n">
        <v>5.8</v>
      </c>
      <c r="X29" s="144" t="n">
        <v>5.9</v>
      </c>
      <c r="Y29" s="144" t="n">
        <v>49.7</v>
      </c>
      <c r="Z29" s="144" t="n">
        <v>19.2</v>
      </c>
      <c r="AA29" s="144" t="n">
        <f aca="false">(100*Z29)/(100-Y29)</f>
        <v>38.1709741550696</v>
      </c>
      <c r="AB29" s="144" t="n">
        <v>17.9</v>
      </c>
      <c r="AC29" s="144" t="n">
        <v>4</v>
      </c>
      <c r="AD29" s="146" t="s">
        <v>171</v>
      </c>
      <c r="AE29" s="146"/>
    </row>
    <row r="30" customFormat="false" ht="15" hidden="false" customHeight="false" outlineLevel="0" collapsed="false">
      <c r="A30" s="0" t="n">
        <v>18</v>
      </c>
      <c r="B30" s="0" t="s">
        <v>166</v>
      </c>
      <c r="C30" s="0" t="s">
        <v>30</v>
      </c>
      <c r="D30" s="142" t="n">
        <v>42978</v>
      </c>
      <c r="F30" s="142" t="n">
        <v>43288</v>
      </c>
      <c r="G30" s="0" t="s">
        <v>216</v>
      </c>
      <c r="H30" s="0" t="s">
        <v>31</v>
      </c>
      <c r="I30" s="0" t="n">
        <v>2</v>
      </c>
      <c r="J30" s="0" t="n">
        <v>4</v>
      </c>
      <c r="K30" s="0" t="s">
        <v>194</v>
      </c>
      <c r="L30" s="0" t="s">
        <v>60</v>
      </c>
      <c r="M30" s="0" t="s">
        <v>170</v>
      </c>
      <c r="N30" s="0" t="n">
        <v>16.2</v>
      </c>
      <c r="P30" s="143" t="n">
        <f aca="false">IF(W30="","",W30*(100-X30)/N30)</f>
        <v>37.2938271604938</v>
      </c>
      <c r="Q30" s="143" t="n">
        <f aca="false">IF(P30="","",P30*1.09)</f>
        <v>40.6502716049383</v>
      </c>
      <c r="R30" s="144" t="n">
        <v>7</v>
      </c>
      <c r="S30" s="143"/>
      <c r="T30" s="0" t="n">
        <v>99</v>
      </c>
      <c r="U30" s="0" t="n">
        <v>155</v>
      </c>
      <c r="W30" s="145" t="n">
        <v>6.4</v>
      </c>
      <c r="X30" s="144" t="n">
        <v>5.6</v>
      </c>
      <c r="Y30" s="144" t="n">
        <v>48.2</v>
      </c>
      <c r="Z30" s="144" t="n">
        <v>18.2</v>
      </c>
      <c r="AA30" s="144" t="n">
        <f aca="false">(100*Z30)/(100-Y30)</f>
        <v>35.1351351351351</v>
      </c>
      <c r="AB30" s="144" t="n">
        <v>9.1</v>
      </c>
      <c r="AC30" s="144" t="n">
        <v>4</v>
      </c>
      <c r="AD30" s="146" t="s">
        <v>203</v>
      </c>
      <c r="AE30" s="146"/>
    </row>
    <row r="31" customFormat="false" ht="15" hidden="false" customHeight="false" outlineLevel="0" collapsed="false">
      <c r="A31" s="0" t="n">
        <v>18</v>
      </c>
      <c r="B31" s="0" t="s">
        <v>166</v>
      </c>
      <c r="C31" s="0" t="s">
        <v>30</v>
      </c>
      <c r="D31" s="142" t="n">
        <v>42978</v>
      </c>
      <c r="F31" s="142" t="n">
        <v>43288</v>
      </c>
      <c r="G31" s="0" t="s">
        <v>217</v>
      </c>
      <c r="H31" s="0" t="s">
        <v>31</v>
      </c>
      <c r="I31" s="0" t="n">
        <v>2</v>
      </c>
      <c r="J31" s="0" t="n">
        <v>3</v>
      </c>
      <c r="K31" s="0" t="s">
        <v>177</v>
      </c>
      <c r="L31" s="0" t="s">
        <v>59</v>
      </c>
      <c r="M31" s="0" t="s">
        <v>170</v>
      </c>
      <c r="N31" s="0" t="n">
        <v>16.2</v>
      </c>
      <c r="P31" s="143" t="n">
        <f aca="false">IF(W31="","",W31*(100-X31)/N31)</f>
        <v>36.0901234567901</v>
      </c>
      <c r="Q31" s="143" t="n">
        <f aca="false">IF(P31="","",P31*1.09)</f>
        <v>39.3382345679012</v>
      </c>
      <c r="R31" s="144" t="n">
        <v>7</v>
      </c>
      <c r="S31" s="143"/>
      <c r="T31" s="0" t="n">
        <v>96</v>
      </c>
      <c r="U31" s="0" t="n">
        <v>160</v>
      </c>
      <c r="W31" s="145" t="n">
        <v>6.2</v>
      </c>
      <c r="X31" s="144" t="n">
        <v>5.7</v>
      </c>
      <c r="Y31" s="144" t="n">
        <v>50.2</v>
      </c>
      <c r="Z31" s="144" t="n">
        <v>18.2</v>
      </c>
      <c r="AA31" s="144" t="n">
        <f aca="false">(100*Z31)/(100-Y31)</f>
        <v>36.5461847389558</v>
      </c>
      <c r="AB31" s="144" t="n">
        <v>12.2</v>
      </c>
      <c r="AC31" s="144" t="n">
        <v>4</v>
      </c>
      <c r="AD31" s="146" t="s">
        <v>203</v>
      </c>
      <c r="AE31" s="146"/>
    </row>
    <row r="32" customFormat="false" ht="15" hidden="false" customHeight="false" outlineLevel="0" collapsed="false">
      <c r="A32" s="0" t="n">
        <v>18</v>
      </c>
      <c r="B32" s="0" t="s">
        <v>166</v>
      </c>
      <c r="C32" s="0" t="s">
        <v>30</v>
      </c>
      <c r="D32" s="142" t="n">
        <v>42978</v>
      </c>
      <c r="F32" s="142" t="n">
        <v>43288</v>
      </c>
      <c r="G32" s="0" t="s">
        <v>218</v>
      </c>
      <c r="H32" s="0" t="s">
        <v>31</v>
      </c>
      <c r="I32" s="0" t="n">
        <v>2</v>
      </c>
      <c r="J32" s="0" t="n">
        <v>7</v>
      </c>
      <c r="K32" s="0" t="s">
        <v>205</v>
      </c>
      <c r="L32" s="0" t="s">
        <v>63</v>
      </c>
      <c r="M32" s="0" t="s">
        <v>170</v>
      </c>
      <c r="N32" s="0" t="n">
        <v>16.2</v>
      </c>
      <c r="P32" s="143" t="n">
        <f aca="false">IF(W32="","",W32*(100-X32)/N32)</f>
        <v>26.1944444444444</v>
      </c>
      <c r="Q32" s="143" t="n">
        <f aca="false">IF(P32="","",P32*1.09)</f>
        <v>28.5519444444444</v>
      </c>
      <c r="R32" s="144" t="n">
        <v>5</v>
      </c>
      <c r="S32" s="143"/>
      <c r="T32" s="0" t="n">
        <v>100</v>
      </c>
      <c r="U32" s="0" t="n">
        <v>150</v>
      </c>
      <c r="W32" s="145" t="n">
        <v>4.5</v>
      </c>
      <c r="X32" s="144" t="n">
        <v>5.7</v>
      </c>
      <c r="Y32" s="144" t="n">
        <v>49.4</v>
      </c>
      <c r="Z32" s="144" t="n">
        <v>17.4</v>
      </c>
      <c r="AA32" s="144" t="n">
        <f aca="false">(100*Z32)/(100-Y32)</f>
        <v>34.3873517786561</v>
      </c>
      <c r="AB32" s="144" t="n">
        <v>8.2</v>
      </c>
      <c r="AC32" s="144" t="n">
        <v>4.5</v>
      </c>
      <c r="AD32" s="146" t="s">
        <v>206</v>
      </c>
      <c r="AE32" s="146"/>
    </row>
    <row r="33" customFormat="false" ht="15" hidden="false" customHeight="false" outlineLevel="0" collapsed="false">
      <c r="A33" s="0" t="n">
        <v>18</v>
      </c>
      <c r="B33" s="0" t="s">
        <v>166</v>
      </c>
      <c r="C33" s="0" t="s">
        <v>30</v>
      </c>
      <c r="D33" s="142" t="n">
        <v>42978</v>
      </c>
      <c r="F33" s="142" t="n">
        <v>43288</v>
      </c>
      <c r="G33" s="0" t="s">
        <v>219</v>
      </c>
      <c r="H33" s="0" t="s">
        <v>31</v>
      </c>
      <c r="I33" s="0" t="n">
        <v>2</v>
      </c>
      <c r="J33" s="0" t="n">
        <v>5</v>
      </c>
      <c r="K33" s="0" t="s">
        <v>179</v>
      </c>
      <c r="L33" s="0" t="s">
        <v>61</v>
      </c>
      <c r="M33" s="0" t="s">
        <v>170</v>
      </c>
      <c r="N33" s="0" t="n">
        <v>16.2</v>
      </c>
      <c r="P33" s="143" t="n">
        <f aca="false">IF(W33="","",W33*(100-X33)/N33)</f>
        <v>35.620987654321</v>
      </c>
      <c r="Q33" s="143" t="n">
        <f aca="false">IF(P33="","",P33*1.09)</f>
        <v>38.8268765432099</v>
      </c>
      <c r="R33" s="144" t="n">
        <v>7</v>
      </c>
      <c r="S33" s="143"/>
      <c r="T33" s="0" t="n">
        <v>98</v>
      </c>
      <c r="U33" s="0" t="n">
        <v>165</v>
      </c>
      <c r="W33" s="145" t="n">
        <v>6.1</v>
      </c>
      <c r="X33" s="144" t="n">
        <v>5.4</v>
      </c>
      <c r="Y33" s="144" t="n">
        <v>49.6</v>
      </c>
      <c r="Z33" s="144" t="n">
        <v>18.2</v>
      </c>
      <c r="AA33" s="144" t="n">
        <f aca="false">(100*Z33)/(100-Y33)</f>
        <v>36.1111111111111</v>
      </c>
      <c r="AB33" s="144" t="n">
        <v>10</v>
      </c>
      <c r="AC33" s="144" t="n">
        <v>5</v>
      </c>
      <c r="AD33" s="146" t="s">
        <v>171</v>
      </c>
      <c r="AE33" s="146"/>
    </row>
    <row r="34" customFormat="false" ht="15" hidden="false" customHeight="false" outlineLevel="0" collapsed="false">
      <c r="A34" s="0" t="n">
        <v>18</v>
      </c>
      <c r="B34" s="0" t="s">
        <v>166</v>
      </c>
      <c r="C34" s="0" t="s">
        <v>30</v>
      </c>
      <c r="D34" s="142" t="n">
        <v>42978</v>
      </c>
      <c r="F34" s="142" t="n">
        <v>43288</v>
      </c>
      <c r="G34" s="0" t="s">
        <v>220</v>
      </c>
      <c r="H34" s="0" t="s">
        <v>33</v>
      </c>
      <c r="I34" s="0" t="n">
        <v>2</v>
      </c>
      <c r="J34" s="0" t="n">
        <v>11</v>
      </c>
      <c r="K34" s="0" t="s">
        <v>181</v>
      </c>
      <c r="L34" s="0" t="s">
        <v>182</v>
      </c>
      <c r="M34" s="0" t="s">
        <v>170</v>
      </c>
      <c r="N34" s="0" t="n">
        <v>16.2</v>
      </c>
      <c r="P34" s="143" t="n">
        <f aca="false">IF(W34="","",W34*(100-X34)/N34)</f>
        <v>19.2092592592593</v>
      </c>
      <c r="Q34" s="143" t="n">
        <f aca="false">IF(P34="","",P34*1.09)</f>
        <v>20.9380925925926</v>
      </c>
      <c r="R34" s="144" t="n">
        <v>9</v>
      </c>
      <c r="S34" s="143"/>
      <c r="T34" s="0" t="n">
        <v>90</v>
      </c>
      <c r="U34" s="0" t="n">
        <v>120</v>
      </c>
      <c r="W34" s="145" t="n">
        <v>3.3</v>
      </c>
      <c r="X34" s="144" t="n">
        <v>5.7</v>
      </c>
      <c r="Y34" s="144" t="n">
        <v>49.5</v>
      </c>
      <c r="Z34" s="144" t="n">
        <v>18.9</v>
      </c>
      <c r="AA34" s="144" t="n">
        <f aca="false">(100*Z34)/(100-Y34)</f>
        <v>37.4257425742574</v>
      </c>
      <c r="AB34" s="144" t="n">
        <v>8.1</v>
      </c>
      <c r="AC34" s="144" t="n">
        <v>4.5</v>
      </c>
      <c r="AD34" s="146" t="s">
        <v>171</v>
      </c>
      <c r="AE34" s="146"/>
    </row>
    <row r="35" customFormat="false" ht="15" hidden="false" customHeight="false" outlineLevel="0" collapsed="false">
      <c r="A35" s="0" t="n">
        <v>18</v>
      </c>
      <c r="B35" s="0" t="s">
        <v>166</v>
      </c>
      <c r="C35" s="0" t="s">
        <v>30</v>
      </c>
      <c r="D35" s="142" t="n">
        <v>42978</v>
      </c>
      <c r="F35" s="142" t="n">
        <v>43288</v>
      </c>
      <c r="G35" s="0" t="s">
        <v>221</v>
      </c>
      <c r="H35" s="0" t="s">
        <v>33</v>
      </c>
      <c r="I35" s="0" t="n">
        <v>2</v>
      </c>
      <c r="J35" s="0" t="n">
        <v>2</v>
      </c>
      <c r="K35" s="0" t="s">
        <v>173</v>
      </c>
      <c r="L35" s="0" t="s">
        <v>58</v>
      </c>
      <c r="M35" s="0" t="s">
        <v>170</v>
      </c>
      <c r="N35" s="0" t="n">
        <v>16.2</v>
      </c>
      <c r="P35" s="143" t="n">
        <f aca="false">IF(W35="","",W35*(100-X35)/N35)</f>
        <v>27.1824074074074</v>
      </c>
      <c r="Q35" s="143" t="n">
        <f aca="false">IF(P35="","",P35*1.09)</f>
        <v>29.6288240740741</v>
      </c>
      <c r="R35" s="144" t="n">
        <v>9</v>
      </c>
      <c r="S35" s="143"/>
      <c r="T35" s="0" t="n">
        <v>95</v>
      </c>
      <c r="U35" s="0" t="n">
        <v>165</v>
      </c>
      <c r="W35" s="145" t="n">
        <v>4.65</v>
      </c>
      <c r="X35" s="144" t="n">
        <v>5.3</v>
      </c>
      <c r="Y35" s="144" t="n">
        <v>49.7</v>
      </c>
      <c r="Z35" s="144" t="n">
        <v>17.7</v>
      </c>
      <c r="AA35" s="144" t="n">
        <f aca="false">(100*Z35)/(100-Y35)</f>
        <v>35.1888667992048</v>
      </c>
      <c r="AB35" s="144" t="n">
        <v>17</v>
      </c>
      <c r="AC35" s="144" t="n">
        <v>4</v>
      </c>
      <c r="AD35" s="146" t="s">
        <v>171</v>
      </c>
      <c r="AE35" s="146"/>
    </row>
    <row r="36" customFormat="false" ht="15" hidden="false" customHeight="false" outlineLevel="0" collapsed="false">
      <c r="A36" s="0" t="n">
        <v>18</v>
      </c>
      <c r="B36" s="0" t="s">
        <v>166</v>
      </c>
      <c r="C36" s="0" t="s">
        <v>30</v>
      </c>
      <c r="D36" s="142" t="n">
        <v>42978</v>
      </c>
      <c r="F36" s="142" t="n">
        <v>43288</v>
      </c>
      <c r="G36" s="0" t="s">
        <v>222</v>
      </c>
      <c r="H36" s="0" t="s">
        <v>33</v>
      </c>
      <c r="I36" s="0" t="n">
        <v>2</v>
      </c>
      <c r="J36" s="0" t="n">
        <v>9</v>
      </c>
      <c r="K36" s="0" t="s">
        <v>175</v>
      </c>
      <c r="L36" s="0" t="s">
        <v>65</v>
      </c>
      <c r="M36" s="0" t="s">
        <v>170</v>
      </c>
      <c r="N36" s="0" t="n">
        <v>16.2</v>
      </c>
      <c r="P36" s="143" t="n">
        <f aca="false">IF(W36="","",W36*(100-X36)/N36)</f>
        <v>29.75</v>
      </c>
      <c r="Q36" s="143" t="n">
        <f aca="false">IF(P36="","",P36*1.09)</f>
        <v>32.4275</v>
      </c>
      <c r="R36" s="144" t="n">
        <v>8</v>
      </c>
      <c r="S36" s="143"/>
      <c r="T36" s="0" t="n">
        <v>92</v>
      </c>
      <c r="U36" s="0" t="n">
        <v>150</v>
      </c>
      <c r="W36" s="145" t="n">
        <v>5.1</v>
      </c>
      <c r="X36" s="144" t="n">
        <v>5.5</v>
      </c>
      <c r="Y36" s="144" t="n">
        <v>49.8</v>
      </c>
      <c r="Z36" s="144" t="n">
        <v>18.4</v>
      </c>
      <c r="AA36" s="144" t="n">
        <f aca="false">(100*Z36)/(100-Y36)</f>
        <v>36.6533864541833</v>
      </c>
      <c r="AB36" s="144" t="n">
        <v>20.8</v>
      </c>
      <c r="AC36" s="144" t="n">
        <v>4.5</v>
      </c>
      <c r="AD36" s="146" t="s">
        <v>171</v>
      </c>
      <c r="AE36" s="146"/>
    </row>
    <row r="37" customFormat="false" ht="15" hidden="false" customHeight="false" outlineLevel="0" collapsed="false">
      <c r="A37" s="0" t="n">
        <v>18</v>
      </c>
      <c r="B37" s="0" t="s">
        <v>166</v>
      </c>
      <c r="C37" s="0" t="s">
        <v>30</v>
      </c>
      <c r="D37" s="142" t="n">
        <v>42978</v>
      </c>
      <c r="F37" s="142" t="n">
        <v>43288</v>
      </c>
      <c r="G37" s="0" t="s">
        <v>223</v>
      </c>
      <c r="H37" s="0" t="s">
        <v>33</v>
      </c>
      <c r="I37" s="0" t="n">
        <v>2</v>
      </c>
      <c r="J37" s="0" t="n">
        <v>3</v>
      </c>
      <c r="K37" s="0" t="s">
        <v>177</v>
      </c>
      <c r="L37" s="0" t="s">
        <v>59</v>
      </c>
      <c r="M37" s="0" t="s">
        <v>170</v>
      </c>
      <c r="N37" s="0" t="n">
        <v>16.2</v>
      </c>
      <c r="P37" s="143" t="n">
        <f aca="false">IF(W37="","",W37*(100-X37)/N37)</f>
        <v>29.5518518518519</v>
      </c>
      <c r="Q37" s="143" t="n">
        <f aca="false">IF(P37="","",P37*1.09)</f>
        <v>32.2115185185185</v>
      </c>
      <c r="R37" s="144" t="n">
        <v>9</v>
      </c>
      <c r="S37" s="143"/>
      <c r="T37" s="0" t="n">
        <v>92</v>
      </c>
      <c r="U37" s="0" t="n">
        <v>160</v>
      </c>
      <c r="W37" s="145" t="n">
        <v>5.05</v>
      </c>
      <c r="X37" s="144" t="n">
        <v>5.2</v>
      </c>
      <c r="Y37" s="144" t="n">
        <v>51.9</v>
      </c>
      <c r="Z37" s="144" t="n">
        <v>17.3</v>
      </c>
      <c r="AA37" s="144" t="n">
        <f aca="false">(100*Z37)/(100-Y37)</f>
        <v>35.966735966736</v>
      </c>
      <c r="AB37" s="144" t="n">
        <v>19.8</v>
      </c>
      <c r="AC37" s="144" t="n">
        <v>4</v>
      </c>
      <c r="AD37" s="146" t="s">
        <v>171</v>
      </c>
      <c r="AE37" s="146"/>
    </row>
    <row r="38" customFormat="false" ht="15" hidden="false" customHeight="false" outlineLevel="0" collapsed="false">
      <c r="A38" s="0" t="n">
        <v>18</v>
      </c>
      <c r="B38" s="0" t="s">
        <v>166</v>
      </c>
      <c r="C38" s="0" t="s">
        <v>30</v>
      </c>
      <c r="D38" s="142" t="n">
        <v>42978</v>
      </c>
      <c r="F38" s="142" t="n">
        <v>43288</v>
      </c>
      <c r="G38" s="0" t="s">
        <v>224</v>
      </c>
      <c r="H38" s="0" t="s">
        <v>33</v>
      </c>
      <c r="I38" s="0" t="n">
        <v>2</v>
      </c>
      <c r="J38" s="0" t="n">
        <v>5</v>
      </c>
      <c r="K38" s="0" t="s">
        <v>179</v>
      </c>
      <c r="L38" s="0" t="s">
        <v>61</v>
      </c>
      <c r="M38" s="0" t="s">
        <v>170</v>
      </c>
      <c r="N38" s="0" t="n">
        <v>16.2</v>
      </c>
      <c r="P38" s="143" t="n">
        <f aca="false">IF(W38="","",W38*(100-X38)/N38)</f>
        <v>24.6037037037037</v>
      </c>
      <c r="Q38" s="143" t="n">
        <f aca="false">IF(P38="","",P38*1.09)</f>
        <v>26.818037037037</v>
      </c>
      <c r="R38" s="144" t="n">
        <v>8</v>
      </c>
      <c r="S38" s="143"/>
      <c r="T38" s="0" t="n">
        <v>96</v>
      </c>
      <c r="U38" s="0" t="n">
        <v>165</v>
      </c>
      <c r="W38" s="145" t="n">
        <v>4.2</v>
      </c>
      <c r="X38" s="144" t="n">
        <v>5.1</v>
      </c>
      <c r="Y38" s="144" t="n">
        <v>49.3</v>
      </c>
      <c r="Z38" s="144" t="n">
        <v>18</v>
      </c>
      <c r="AA38" s="144" t="n">
        <f aca="false">(100*Z38)/(100-Y38)</f>
        <v>35.5029585798817</v>
      </c>
      <c r="AB38" s="144" t="n">
        <v>17.6</v>
      </c>
      <c r="AC38" s="144" t="n">
        <v>5</v>
      </c>
      <c r="AD38" s="146" t="s">
        <v>171</v>
      </c>
      <c r="AE38" s="146"/>
    </row>
    <row r="39" customFormat="false" ht="15" hidden="false" customHeight="false" outlineLevel="0" collapsed="false">
      <c r="A39" s="0" t="n">
        <v>18</v>
      </c>
      <c r="B39" s="0" t="s">
        <v>166</v>
      </c>
      <c r="C39" s="0" t="s">
        <v>30</v>
      </c>
      <c r="D39" s="142" t="n">
        <v>42978</v>
      </c>
      <c r="F39" s="142" t="n">
        <v>43288</v>
      </c>
      <c r="G39" s="0" t="s">
        <v>225</v>
      </c>
      <c r="H39" s="0" t="s">
        <v>33</v>
      </c>
      <c r="I39" s="0" t="n">
        <v>2</v>
      </c>
      <c r="J39" s="0" t="n">
        <v>12</v>
      </c>
      <c r="K39" s="0" t="s">
        <v>168</v>
      </c>
      <c r="L39" s="0" t="s">
        <v>169</v>
      </c>
      <c r="M39" s="0" t="s">
        <v>170</v>
      </c>
      <c r="N39" s="0" t="n">
        <v>16.2</v>
      </c>
      <c r="P39" s="143" t="str">
        <f aca="false">IF(W39="","",W39*(100-X39)/N39)</f>
        <v/>
      </c>
      <c r="Q39" s="143" t="str">
        <f aca="false">IF(P39="","",P39*1.09)</f>
        <v/>
      </c>
      <c r="R39" s="144" t="n">
        <v>9</v>
      </c>
      <c r="S39" s="143"/>
      <c r="T39" s="0" t="n">
        <v>96</v>
      </c>
      <c r="U39" s="0" t="n">
        <v>150</v>
      </c>
      <c r="W39" s="145"/>
      <c r="X39" s="144"/>
      <c r="Y39" s="144"/>
      <c r="Z39" s="144"/>
      <c r="AA39" s="144"/>
      <c r="AB39" s="144"/>
      <c r="AC39" s="144"/>
      <c r="AD39" s="146" t="s">
        <v>171</v>
      </c>
      <c r="AE39" s="146" t="s">
        <v>211</v>
      </c>
    </row>
    <row r="40" customFormat="false" ht="15" hidden="false" customHeight="false" outlineLevel="0" collapsed="false">
      <c r="A40" s="0" t="n">
        <v>18</v>
      </c>
      <c r="B40" s="0" t="s">
        <v>166</v>
      </c>
      <c r="C40" s="0" t="s">
        <v>30</v>
      </c>
      <c r="D40" s="142" t="n">
        <v>42978</v>
      </c>
      <c r="F40" s="142" t="n">
        <v>43288</v>
      </c>
      <c r="G40" s="0" t="s">
        <v>226</v>
      </c>
      <c r="H40" s="0" t="s">
        <v>31</v>
      </c>
      <c r="I40" s="0" t="n">
        <v>2</v>
      </c>
      <c r="J40" s="0" t="n">
        <v>2</v>
      </c>
      <c r="K40" s="0" t="s">
        <v>173</v>
      </c>
      <c r="L40" s="0" t="s">
        <v>58</v>
      </c>
      <c r="M40" s="0" t="s">
        <v>170</v>
      </c>
      <c r="N40" s="0" t="n">
        <v>16.2</v>
      </c>
      <c r="P40" s="143" t="n">
        <f aca="false">IF(W40="","",W40*(100-X40)/N40)</f>
        <v>41.9111111111111</v>
      </c>
      <c r="Q40" s="143" t="n">
        <f aca="false">IF(P40="","",P40*1.09)</f>
        <v>45.6831111111111</v>
      </c>
      <c r="R40" s="144" t="n">
        <v>8</v>
      </c>
      <c r="S40" s="143"/>
      <c r="T40" s="0" t="n">
        <v>97</v>
      </c>
      <c r="U40" s="0" t="n">
        <v>170</v>
      </c>
      <c r="W40" s="145" t="n">
        <v>7.2</v>
      </c>
      <c r="X40" s="144" t="n">
        <v>5.7</v>
      </c>
      <c r="Y40" s="144" t="n">
        <v>47.7</v>
      </c>
      <c r="Z40" s="144" t="n">
        <v>19.6</v>
      </c>
      <c r="AA40" s="144" t="n">
        <f aca="false">(100*Z40)/(100-Y40)</f>
        <v>37.4760994263862</v>
      </c>
      <c r="AB40" s="144" t="n">
        <v>15.8</v>
      </c>
      <c r="AC40" s="144" t="n">
        <v>4</v>
      </c>
      <c r="AD40" s="146" t="s">
        <v>171</v>
      </c>
      <c r="AE40" s="146"/>
    </row>
    <row r="41" customFormat="false" ht="15" hidden="false" customHeight="false" outlineLevel="0" collapsed="false">
      <c r="A41" s="0" t="n">
        <v>18</v>
      </c>
      <c r="B41" s="0" t="s">
        <v>166</v>
      </c>
      <c r="C41" s="0" t="s">
        <v>30</v>
      </c>
      <c r="D41" s="142" t="n">
        <v>42978</v>
      </c>
      <c r="F41" s="142" t="n">
        <v>43288</v>
      </c>
      <c r="G41" s="0" t="s">
        <v>227</v>
      </c>
      <c r="H41" s="0" t="s">
        <v>31</v>
      </c>
      <c r="I41" s="0" t="n">
        <v>2</v>
      </c>
      <c r="J41" s="0" t="n">
        <v>8</v>
      </c>
      <c r="K41" s="0" t="s">
        <v>192</v>
      </c>
      <c r="L41" s="0" t="s">
        <v>64</v>
      </c>
      <c r="M41" s="0" t="s">
        <v>170</v>
      </c>
      <c r="N41" s="0" t="n">
        <v>16.2</v>
      </c>
      <c r="P41" s="143" t="n">
        <f aca="false">IF(W41="","",W41*(100-X41)/N41)</f>
        <v>45.7907407407407</v>
      </c>
      <c r="Q41" s="143" t="n">
        <f aca="false">IF(P41="","",P41*1.09)</f>
        <v>49.9119074074074</v>
      </c>
      <c r="R41" s="144" t="n">
        <v>8</v>
      </c>
      <c r="S41" s="143"/>
      <c r="T41" s="0" t="n">
        <v>97</v>
      </c>
      <c r="U41" s="0" t="n">
        <v>155</v>
      </c>
      <c r="W41" s="145" t="n">
        <v>7.9</v>
      </c>
      <c r="X41" s="144" t="n">
        <v>6.1</v>
      </c>
      <c r="Y41" s="144" t="n">
        <v>48.5</v>
      </c>
      <c r="Z41" s="144" t="n">
        <v>19.6</v>
      </c>
      <c r="AA41" s="144" t="n">
        <f aca="false">(100*Z41)/(100-Y41)</f>
        <v>38.0582524271845</v>
      </c>
      <c r="AB41" s="144" t="n">
        <v>9.1</v>
      </c>
      <c r="AC41" s="144" t="n">
        <v>5</v>
      </c>
      <c r="AD41" s="146" t="s">
        <v>171</v>
      </c>
      <c r="AE41" s="146"/>
    </row>
    <row r="42" customFormat="false" ht="15" hidden="false" customHeight="false" outlineLevel="0" collapsed="false">
      <c r="A42" s="0" t="n">
        <v>18</v>
      </c>
      <c r="B42" s="0" t="s">
        <v>166</v>
      </c>
      <c r="C42" s="0" t="s">
        <v>30</v>
      </c>
      <c r="D42" s="142" t="n">
        <v>42978</v>
      </c>
      <c r="F42" s="142" t="n">
        <v>43288</v>
      </c>
      <c r="G42" s="0" t="s">
        <v>228</v>
      </c>
      <c r="H42" s="0" t="s">
        <v>31</v>
      </c>
      <c r="I42" s="0" t="n">
        <v>2</v>
      </c>
      <c r="J42" s="0" t="n">
        <v>6</v>
      </c>
      <c r="K42" s="0" t="s">
        <v>202</v>
      </c>
      <c r="L42" s="0" t="s">
        <v>62</v>
      </c>
      <c r="M42" s="0" t="s">
        <v>170</v>
      </c>
      <c r="N42" s="0" t="n">
        <v>16.2</v>
      </c>
      <c r="P42" s="143" t="n">
        <f aca="false">IF(W42="","",W42*(100-X42)/N42)</f>
        <v>44.679012345679</v>
      </c>
      <c r="Q42" s="143" t="n">
        <f aca="false">IF(P42="","",P42*1.09)</f>
        <v>48.7001234567901</v>
      </c>
      <c r="R42" s="144" t="n">
        <v>8</v>
      </c>
      <c r="S42" s="143"/>
      <c r="T42" s="0" t="n">
        <v>97</v>
      </c>
      <c r="U42" s="0" t="n">
        <v>165</v>
      </c>
      <c r="W42" s="145" t="n">
        <v>7.7</v>
      </c>
      <c r="X42" s="144" t="n">
        <v>6</v>
      </c>
      <c r="Y42" s="144" t="n">
        <v>48.6</v>
      </c>
      <c r="Z42" s="144" t="n">
        <v>18.8</v>
      </c>
      <c r="AA42" s="144" t="n">
        <f aca="false">(100*Z42)/(100-Y42)</f>
        <v>36.5758754863813</v>
      </c>
      <c r="AB42" s="144" t="n">
        <v>15.3</v>
      </c>
      <c r="AC42" s="144" t="n">
        <v>4</v>
      </c>
      <c r="AD42" s="146" t="s">
        <v>171</v>
      </c>
      <c r="AE42" s="146"/>
    </row>
    <row r="43" customFormat="false" ht="15" hidden="false" customHeight="false" outlineLevel="0" collapsed="false">
      <c r="A43" s="0" t="n">
        <v>18</v>
      </c>
      <c r="B43" s="0" t="s">
        <v>166</v>
      </c>
      <c r="C43" s="0" t="s">
        <v>30</v>
      </c>
      <c r="D43" s="142" t="n">
        <v>42978</v>
      </c>
      <c r="F43" s="142" t="n">
        <v>43288</v>
      </c>
      <c r="G43" s="0" t="s">
        <v>229</v>
      </c>
      <c r="H43" s="0" t="s">
        <v>31</v>
      </c>
      <c r="I43" s="0" t="n">
        <v>2</v>
      </c>
      <c r="J43" s="0" t="n">
        <v>12</v>
      </c>
      <c r="K43" s="0" t="s">
        <v>181</v>
      </c>
      <c r="L43" s="0" t="s">
        <v>182</v>
      </c>
      <c r="M43" s="0" t="s">
        <v>170</v>
      </c>
      <c r="N43" s="0" t="n">
        <v>16.2</v>
      </c>
      <c r="P43" s="143" t="n">
        <f aca="false">IF(W43="","",W43*(100-X43)/N43)</f>
        <v>27.3006172839506</v>
      </c>
      <c r="Q43" s="143" t="n">
        <f aca="false">IF(P43="","",P43*1.09)</f>
        <v>29.7576728395062</v>
      </c>
      <c r="R43" s="144" t="n">
        <v>7</v>
      </c>
      <c r="S43" s="143"/>
      <c r="T43" s="0" t="n">
        <v>92</v>
      </c>
      <c r="U43" s="0" t="n">
        <v>125</v>
      </c>
      <c r="W43" s="145" t="n">
        <v>4.7</v>
      </c>
      <c r="X43" s="144" t="n">
        <v>5.9</v>
      </c>
      <c r="Y43" s="144" t="n">
        <v>47.9</v>
      </c>
      <c r="Z43" s="144" t="n">
        <v>19.7</v>
      </c>
      <c r="AA43" s="144" t="n">
        <f aca="false">(100*Z43)/(100-Y43)</f>
        <v>37.8119001919386</v>
      </c>
      <c r="AB43" s="144" t="n">
        <v>7.2</v>
      </c>
      <c r="AC43" s="144" t="n">
        <v>4</v>
      </c>
      <c r="AD43" s="146" t="s">
        <v>171</v>
      </c>
      <c r="AE43" s="146"/>
    </row>
    <row r="44" customFormat="false" ht="15" hidden="false" customHeight="false" outlineLevel="0" collapsed="false">
      <c r="A44" s="0" t="n">
        <v>18</v>
      </c>
      <c r="B44" s="0" t="s">
        <v>166</v>
      </c>
      <c r="C44" s="0" t="s">
        <v>30</v>
      </c>
      <c r="D44" s="142" t="n">
        <v>42978</v>
      </c>
      <c r="F44" s="142" t="n">
        <v>43288</v>
      </c>
      <c r="G44" s="0" t="s">
        <v>230</v>
      </c>
      <c r="H44" s="0" t="s">
        <v>33</v>
      </c>
      <c r="I44" s="0" t="n">
        <v>2</v>
      </c>
      <c r="J44" s="0" t="n">
        <v>1</v>
      </c>
      <c r="K44" s="0" t="s">
        <v>184</v>
      </c>
      <c r="L44" s="0" t="s">
        <v>57</v>
      </c>
      <c r="M44" s="0" t="s">
        <v>170</v>
      </c>
      <c r="N44" s="0" t="n">
        <v>16.2</v>
      </c>
      <c r="P44" s="143" t="n">
        <f aca="false">IF(W44="","",W44*(100-X44)/N44)</f>
        <v>21.2466049382716</v>
      </c>
      <c r="Q44" s="143" t="n">
        <f aca="false">IF(P44="","",P44*1.09)</f>
        <v>23.1587993827161</v>
      </c>
      <c r="R44" s="144" t="n">
        <v>7</v>
      </c>
      <c r="S44" s="143"/>
      <c r="T44" s="0" t="n">
        <v>97</v>
      </c>
      <c r="U44" s="0" t="n">
        <v>145</v>
      </c>
      <c r="W44" s="145" t="n">
        <v>3.65</v>
      </c>
      <c r="X44" s="144" t="n">
        <v>5.7</v>
      </c>
      <c r="Y44" s="144" t="n">
        <v>49.5</v>
      </c>
      <c r="Z44" s="144" t="n">
        <v>17.7</v>
      </c>
      <c r="AA44" s="144" t="n">
        <f aca="false">(100*Z44)/(100-Y44)</f>
        <v>35.0495049504951</v>
      </c>
      <c r="AB44" s="144" t="n">
        <v>18.7</v>
      </c>
      <c r="AC44" s="144" t="n">
        <v>5.5</v>
      </c>
      <c r="AD44" s="146" t="s">
        <v>171</v>
      </c>
      <c r="AE44" s="146"/>
    </row>
    <row r="45" customFormat="false" ht="15" hidden="false" customHeight="false" outlineLevel="0" collapsed="false">
      <c r="A45" s="0" t="n">
        <v>18</v>
      </c>
      <c r="B45" s="0" t="s">
        <v>166</v>
      </c>
      <c r="C45" s="0" t="s">
        <v>30</v>
      </c>
      <c r="D45" s="142" t="n">
        <v>42978</v>
      </c>
      <c r="F45" s="142" t="n">
        <v>43288</v>
      </c>
      <c r="G45" s="0" t="s">
        <v>231</v>
      </c>
      <c r="H45" s="0" t="s">
        <v>33</v>
      </c>
      <c r="I45" s="0" t="n">
        <v>2</v>
      </c>
      <c r="J45" s="0" t="n">
        <v>10</v>
      </c>
      <c r="K45" s="0" t="s">
        <v>189</v>
      </c>
      <c r="L45" s="0" t="s">
        <v>66</v>
      </c>
      <c r="M45" s="0" t="s">
        <v>170</v>
      </c>
      <c r="N45" s="0" t="n">
        <v>16.2</v>
      </c>
      <c r="P45" s="143" t="n">
        <f aca="false">IF(W45="","",W45*(100-X45)/N45)</f>
        <v>25.7481481481482</v>
      </c>
      <c r="Q45" s="143" t="n">
        <f aca="false">IF(P45="","",P45*1.09)</f>
        <v>28.0654814814815</v>
      </c>
      <c r="R45" s="144" t="n">
        <v>9</v>
      </c>
      <c r="S45" s="143"/>
      <c r="T45" s="0" t="n">
        <v>92</v>
      </c>
      <c r="U45" s="0" t="n">
        <v>160</v>
      </c>
      <c r="W45" s="145" t="n">
        <v>4.4</v>
      </c>
      <c r="X45" s="144" t="n">
        <v>5.2</v>
      </c>
      <c r="Y45" s="144" t="n">
        <v>51</v>
      </c>
      <c r="Z45" s="144" t="n">
        <v>16.3</v>
      </c>
      <c r="AA45" s="144" t="n">
        <f aca="false">(100*Z45)/(100-Y45)</f>
        <v>33.265306122449</v>
      </c>
      <c r="AB45" s="144" t="n">
        <v>12.8</v>
      </c>
      <c r="AC45" s="144" t="n">
        <v>4.5</v>
      </c>
      <c r="AD45" s="146" t="s">
        <v>171</v>
      </c>
      <c r="AE45" s="146"/>
    </row>
    <row r="46" customFormat="false" ht="15" hidden="false" customHeight="false" outlineLevel="0" collapsed="false">
      <c r="A46" s="0" t="n">
        <v>18</v>
      </c>
      <c r="B46" s="0" t="s">
        <v>166</v>
      </c>
      <c r="C46" s="0" t="s">
        <v>30</v>
      </c>
      <c r="D46" s="142" t="n">
        <v>42978</v>
      </c>
      <c r="F46" s="142" t="n">
        <v>43288</v>
      </c>
      <c r="G46" s="0" t="s">
        <v>232</v>
      </c>
      <c r="H46" s="0" t="s">
        <v>33</v>
      </c>
      <c r="I46" s="0" t="n">
        <v>2</v>
      </c>
      <c r="J46" s="0" t="n">
        <v>8</v>
      </c>
      <c r="K46" s="0" t="s">
        <v>192</v>
      </c>
      <c r="L46" s="0" t="s">
        <v>64</v>
      </c>
      <c r="M46" s="0" t="s">
        <v>170</v>
      </c>
      <c r="N46" s="0" t="n">
        <v>16.2</v>
      </c>
      <c r="P46" s="143" t="n">
        <f aca="false">IF(W46="","",W46*(100-X46)/N46)</f>
        <v>31.4666666666667</v>
      </c>
      <c r="Q46" s="143" t="n">
        <f aca="false">IF(P46="","",P46*1.09)</f>
        <v>34.2986666666667</v>
      </c>
      <c r="R46" s="144" t="n">
        <v>9</v>
      </c>
      <c r="S46" s="143"/>
      <c r="T46" s="0" t="n">
        <v>95</v>
      </c>
      <c r="U46" s="0" t="n">
        <v>160</v>
      </c>
      <c r="W46" s="145" t="n">
        <v>5.4</v>
      </c>
      <c r="X46" s="144" t="n">
        <v>5.6</v>
      </c>
      <c r="Y46" s="144" t="n">
        <v>49.9</v>
      </c>
      <c r="Z46" s="144" t="n">
        <v>16.7</v>
      </c>
      <c r="AA46" s="144" t="n">
        <f aca="false">(100*Z46)/(100-Y46)</f>
        <v>33.3333333333333</v>
      </c>
      <c r="AB46" s="144" t="n">
        <v>10.2</v>
      </c>
      <c r="AC46" s="144" t="n">
        <v>5</v>
      </c>
      <c r="AD46" s="146" t="s">
        <v>171</v>
      </c>
      <c r="AE46" s="146"/>
    </row>
    <row r="47" customFormat="false" ht="15" hidden="false" customHeight="false" outlineLevel="0" collapsed="false">
      <c r="A47" s="0" t="n">
        <v>18</v>
      </c>
      <c r="B47" s="0" t="s">
        <v>166</v>
      </c>
      <c r="C47" s="0" t="s">
        <v>30</v>
      </c>
      <c r="D47" s="142" t="n">
        <v>42978</v>
      </c>
      <c r="F47" s="142" t="n">
        <v>43288</v>
      </c>
      <c r="G47" s="0" t="s">
        <v>233</v>
      </c>
      <c r="H47" s="0" t="s">
        <v>33</v>
      </c>
      <c r="I47" s="0" t="n">
        <v>2</v>
      </c>
      <c r="J47" s="0" t="n">
        <v>4</v>
      </c>
      <c r="K47" s="0" t="s">
        <v>194</v>
      </c>
      <c r="L47" s="0" t="s">
        <v>60</v>
      </c>
      <c r="M47" s="0" t="s">
        <v>170</v>
      </c>
      <c r="N47" s="0" t="n">
        <v>16.2</v>
      </c>
      <c r="P47" s="143" t="n">
        <f aca="false">IF(W47="","",W47*(100-X47)/N47)</f>
        <v>31.8253086419753</v>
      </c>
      <c r="Q47" s="143" t="n">
        <f aca="false">IF(P47="","",P47*1.09)</f>
        <v>34.6895864197531</v>
      </c>
      <c r="R47" s="144" t="n">
        <v>9</v>
      </c>
      <c r="S47" s="143"/>
      <c r="T47" s="0" t="n">
        <v>96</v>
      </c>
      <c r="U47" s="0" t="n">
        <v>160</v>
      </c>
      <c r="W47" s="145" t="n">
        <v>5.45</v>
      </c>
      <c r="X47" s="144" t="n">
        <v>5.4</v>
      </c>
      <c r="Y47" s="144" t="n">
        <v>51.6</v>
      </c>
      <c r="Z47" s="144" t="n">
        <v>16.8</v>
      </c>
      <c r="AA47" s="144" t="n">
        <f aca="false">(100*Z47)/(100-Y47)</f>
        <v>34.7107438016529</v>
      </c>
      <c r="AB47" s="144" t="n">
        <v>10.3</v>
      </c>
      <c r="AC47" s="144" t="n">
        <v>4.5</v>
      </c>
      <c r="AD47" s="146" t="s">
        <v>171</v>
      </c>
      <c r="AE47" s="146"/>
    </row>
    <row r="48" customFormat="false" ht="15" hidden="false" customHeight="false" outlineLevel="0" collapsed="false">
      <c r="A48" s="0" t="n">
        <v>18</v>
      </c>
      <c r="B48" s="0" t="s">
        <v>166</v>
      </c>
      <c r="C48" s="0" t="s">
        <v>30</v>
      </c>
      <c r="D48" s="142" t="n">
        <v>42978</v>
      </c>
      <c r="F48" s="142" t="n">
        <v>43288</v>
      </c>
      <c r="G48" s="0" t="s">
        <v>234</v>
      </c>
      <c r="H48" s="0" t="s">
        <v>33</v>
      </c>
      <c r="I48" s="0" t="n">
        <v>2</v>
      </c>
      <c r="J48" s="0" t="n">
        <v>6</v>
      </c>
      <c r="K48" s="0" t="s">
        <v>202</v>
      </c>
      <c r="L48" s="0" t="s">
        <v>62</v>
      </c>
      <c r="M48" s="0" t="s">
        <v>170</v>
      </c>
      <c r="N48" s="0" t="n">
        <v>16.2</v>
      </c>
      <c r="P48" s="143" t="n">
        <f aca="false">IF(W48="","",W48*(100-X48)/N48)</f>
        <v>30.0416666666667</v>
      </c>
      <c r="Q48" s="143" t="n">
        <f aca="false">IF(P48="","",P48*1.09)</f>
        <v>32.7454166666667</v>
      </c>
      <c r="R48" s="144" t="n">
        <v>9</v>
      </c>
      <c r="S48" s="143"/>
      <c r="T48" s="0" t="n">
        <v>97</v>
      </c>
      <c r="U48" s="0" t="n">
        <v>155</v>
      </c>
      <c r="W48" s="145" t="n">
        <v>5.15</v>
      </c>
      <c r="X48" s="144" t="n">
        <v>5.5</v>
      </c>
      <c r="Y48" s="144" t="n">
        <v>49.3</v>
      </c>
      <c r="Z48" s="144" t="n">
        <v>17.9</v>
      </c>
      <c r="AA48" s="144" t="n">
        <f aca="false">(100*Z48)/(100-Y48)</f>
        <v>35.3057199211045</v>
      </c>
      <c r="AB48" s="144" t="n">
        <v>13.4</v>
      </c>
      <c r="AC48" s="144" t="n">
        <v>5</v>
      </c>
      <c r="AD48" s="146" t="s">
        <v>171</v>
      </c>
      <c r="AE48" s="146"/>
    </row>
    <row r="49" customFormat="false" ht="15" hidden="false" customHeight="false" outlineLevel="0" collapsed="false">
      <c r="A49" s="0" t="n">
        <v>18</v>
      </c>
      <c r="B49" s="0" t="s">
        <v>166</v>
      </c>
      <c r="C49" s="0" t="s">
        <v>30</v>
      </c>
      <c r="D49" s="142" t="n">
        <v>42978</v>
      </c>
      <c r="F49" s="142" t="n">
        <v>43288</v>
      </c>
      <c r="G49" s="0" t="s">
        <v>235</v>
      </c>
      <c r="H49" s="0" t="s">
        <v>33</v>
      </c>
      <c r="I49" s="0" t="n">
        <v>2</v>
      </c>
      <c r="J49" s="0" t="n">
        <v>7</v>
      </c>
      <c r="K49" s="0" t="s">
        <v>205</v>
      </c>
      <c r="L49" s="0" t="s">
        <v>63</v>
      </c>
      <c r="M49" s="0" t="s">
        <v>170</v>
      </c>
      <c r="N49" s="0" t="n">
        <v>16.2</v>
      </c>
      <c r="P49" s="143" t="n">
        <f aca="false">IF(W49="","",W49*(100-X49)/N49)</f>
        <v>15.7166666666667</v>
      </c>
      <c r="Q49" s="143" t="n">
        <f aca="false">IF(P49="","",P49*1.09)</f>
        <v>17.1311666666667</v>
      </c>
      <c r="R49" s="144" t="n">
        <v>5</v>
      </c>
      <c r="S49" s="143"/>
      <c r="T49" s="0" t="n">
        <v>96</v>
      </c>
      <c r="U49" s="0" t="n">
        <v>145</v>
      </c>
      <c r="W49" s="145" t="n">
        <v>2.7</v>
      </c>
      <c r="X49" s="144" t="n">
        <v>5.7</v>
      </c>
      <c r="Y49" s="144" t="n">
        <v>48.3</v>
      </c>
      <c r="Z49" s="144" t="n">
        <v>18.7</v>
      </c>
      <c r="AA49" s="144" t="n">
        <f aca="false">(100*Z49)/(100-Y49)</f>
        <v>36.1702127659574</v>
      </c>
      <c r="AB49" s="144" t="n">
        <v>15.1</v>
      </c>
      <c r="AC49" s="144" t="n">
        <v>4.5</v>
      </c>
      <c r="AD49" s="146" t="s">
        <v>206</v>
      </c>
      <c r="AE49" s="146"/>
    </row>
  </sheetData>
  <conditionalFormatting sqref="W2:W49">
    <cfRule type="cellIs" priority="2" operator="between" aboveAverage="0" equalAverage="0" bottom="0" percent="0" rank="0" text="" dxfId="9">
      <formula>5</formula>
      <formula>5.899999</formula>
    </cfRule>
    <cfRule type="cellIs" priority="3" operator="between" aboveAverage="0" equalAverage="0" bottom="0" percent="0" rank="0" text="" dxfId="10">
      <formula>8</formula>
      <formula>8.899999</formula>
    </cfRule>
    <cfRule type="cellIs" priority="4" operator="between" aboveAverage="0" equalAverage="0" bottom="0" percent="0" rank="0" text="" dxfId="11">
      <formula>2.5</formula>
      <formula>4.899999</formula>
    </cfRule>
    <cfRule type="cellIs" priority="5" operator="between" aboveAverage="0" equalAverage="0" bottom="0" percent="0" rank="0" text="" dxfId="12">
      <formula>6</formula>
      <formula>6.899999</formula>
    </cfRule>
    <cfRule type="cellIs" priority="6" operator="between" aboveAverage="0" equalAverage="0" bottom="0" percent="0" rank="0" text="" dxfId="13">
      <formula>7</formula>
      <formula>7.899999</formula>
    </cfRule>
    <cfRule type="cellIs" priority="7" operator="between" aboveAverage="0" equalAverage="0" bottom="0" percent="0" rank="0" text="" dxfId="14">
      <formula>9</formula>
      <formula>10.999999</formula>
    </cfRule>
  </conditionalFormatting>
  <conditionalFormatting sqref="X2:X49">
    <cfRule type="cellIs" priority="8" operator="between" aboveAverage="0" equalAverage="0" bottom="0" percent="0" rank="0" text="" dxfId="15">
      <formula>4</formula>
      <formula>5.999999</formula>
    </cfRule>
    <cfRule type="cellIs" priority="9" operator="between" aboveAverage="0" equalAverage="0" bottom="0" percent="0" rank="0" text="" dxfId="16">
      <formula>6</formula>
      <formula>8.999999</formula>
    </cfRule>
    <cfRule type="cellIs" priority="10" operator="between" aboveAverage="0" equalAverage="0" bottom="0" percent="0" rank="0" text="" dxfId="17">
      <formula>9</formula>
      <formula>11.999999</formula>
    </cfRule>
    <cfRule type="cellIs" priority="11" operator="between" aboveAverage="0" equalAverage="0" bottom="0" percent="0" rank="0" text="" dxfId="18">
      <formula>12</formula>
      <formula>14.999999</formula>
    </cfRule>
  </conditionalFormatting>
  <conditionalFormatting sqref="R2:R49">
    <cfRule type="cellIs" priority="12" operator="between" aboveAverage="0" equalAverage="0" bottom="0" percent="0" rank="0" text="" dxfId="19">
      <formula>1</formula>
      <formula>5.999999</formula>
    </cfRule>
    <cfRule type="cellIs" priority="13" operator="between" aboveAverage="0" equalAverage="0" bottom="0" percent="0" rank="0" text="" dxfId="20">
      <formula>6</formula>
      <formula>6.999999</formula>
    </cfRule>
    <cfRule type="cellIs" priority="14" operator="between" aboveAverage="0" equalAverage="0" bottom="0" percent="0" rank="0" text="" dxfId="21">
      <formula>7</formula>
      <formula>7.999999</formula>
    </cfRule>
    <cfRule type="cellIs" priority="15" operator="between" aboveAverage="0" equalAverage="0" bottom="0" percent="0" rank="0" text="" dxfId="22">
      <formula>8</formula>
      <formula>9.999999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2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30" activeCellId="4" sqref="L7 L22 L34 L43 H30"/>
    </sheetView>
  </sheetViews>
  <sheetFormatPr defaultColWidth="10.54296875" defaultRowHeight="15" customHeight="true" zeroHeight="false" outlineLevelRow="0" outlineLevelCol="0"/>
  <sheetData>
    <row r="2" customFormat="false" ht="15" hidden="false" customHeight="false" outlineLevel="0" collapsed="false">
      <c r="A2" s="147" t="s">
        <v>236</v>
      </c>
      <c r="B2" s="147"/>
      <c r="C2" s="147"/>
      <c r="D2" s="147"/>
      <c r="E2" s="147"/>
      <c r="F2" s="147"/>
      <c r="G2" s="147"/>
      <c r="H2" s="147"/>
      <c r="I2" s="147"/>
    </row>
    <row r="3" customFormat="false" ht="15" hidden="false" customHeight="false" outlineLevel="0" collapsed="false">
      <c r="A3" s="147"/>
      <c r="B3" s="147"/>
      <c r="C3" s="147"/>
      <c r="D3" s="147"/>
      <c r="E3" s="147"/>
      <c r="F3" s="147"/>
      <c r="G3" s="147"/>
      <c r="H3" s="147"/>
      <c r="I3" s="147"/>
    </row>
    <row r="4" customFormat="false" ht="15" hidden="false" customHeight="false" outlineLevel="0" collapsed="false">
      <c r="A4" s="147"/>
      <c r="B4" s="147"/>
      <c r="C4" s="147"/>
      <c r="D4" s="147"/>
      <c r="E4" s="147"/>
      <c r="F4" s="147"/>
      <c r="G4" s="147"/>
      <c r="H4" s="147"/>
      <c r="I4" s="147"/>
    </row>
    <row r="5" customFormat="false" ht="15" hidden="false" customHeight="false" outlineLevel="0" collapsed="false">
      <c r="A5" s="147"/>
      <c r="B5" s="147"/>
      <c r="C5" s="147"/>
      <c r="D5" s="147"/>
      <c r="E5" s="147"/>
      <c r="F5" s="147"/>
      <c r="G5" s="147"/>
      <c r="H5" s="147"/>
      <c r="I5" s="147"/>
    </row>
    <row r="6" customFormat="false" ht="15" hidden="false" customHeight="false" outlineLevel="0" collapsed="false">
      <c r="A6" s="147"/>
      <c r="B6" s="147"/>
      <c r="C6" s="147"/>
      <c r="D6" s="147"/>
      <c r="E6" s="147"/>
      <c r="F6" s="147"/>
      <c r="G6" s="147"/>
      <c r="H6" s="147"/>
      <c r="I6" s="147"/>
    </row>
    <row r="7" customFormat="false" ht="15" hidden="false" customHeight="false" outlineLevel="0" collapsed="false">
      <c r="A7" s="147"/>
      <c r="B7" s="147"/>
      <c r="C7" s="147"/>
      <c r="D7" s="147"/>
      <c r="E7" s="147"/>
      <c r="F7" s="147"/>
      <c r="G7" s="147"/>
      <c r="H7" s="147"/>
      <c r="I7" s="147"/>
    </row>
  </sheetData>
  <mergeCells count="1">
    <mergeCell ref="A2:I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LibreOffice/25.2.7.2$Windows_X86_64 LibreOffice_project/5cbfd1ab6520636bb5f7b99185aa69bd7456825d</Application>
  <AppVersion>15.0000</AppVersion>
  <Company>INRA - RENNES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2018-02-01T08:48:39Z</dcterms:created>
  <dc:creator>Erwan Corlouer</dc:creator>
  <dc:description/>
  <dc:language>fr-FR</dc:language>
  <cp:lastModifiedBy/>
  <dcterms:modified xsi:type="dcterms:W3CDTF">2025-12-11T11:15:34Z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