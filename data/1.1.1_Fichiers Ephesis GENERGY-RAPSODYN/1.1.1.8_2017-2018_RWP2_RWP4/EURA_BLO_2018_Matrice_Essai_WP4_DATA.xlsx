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0" yWindow="0" windowWidth="19200" windowHeight="11445" activeTab="2"/>
  </bookViews>
  <sheets>
    <sheet name="READ_ME" sheetId="1" r:id="rId1"/>
    <sheet name="TRIAL" sheetId="2" r:id="rId2"/>
    <sheet name="Parcellaire_Data" sheetId="4" r:id="rId3"/>
    <sheet name="Plant_Material" sheetId="3" r:id="rId4"/>
    <sheet name="SOIL_DATA" sheetId="5" r:id="rId5"/>
    <sheet name="INN_DATA" sheetId="6" r:id="rId6"/>
    <sheet name="PHENO_DATA" sheetId="7" r:id="rId7"/>
    <sheet name="METEO_DATA" sheetId="8" r:id="rId8"/>
  </sheets>
  <definedNames>
    <definedName name="_xlnm._FilterDatabase" localSheetId="6" hidden="1">PHENO_DATA!$A$2:$AD$49</definedName>
  </definedNames>
  <calcPr calcId="145621"/>
</workbook>
</file>

<file path=xl/calcChain.xml><?xml version="1.0" encoding="utf-8"?>
<calcChain xmlns="http://schemas.openxmlformats.org/spreadsheetml/2006/main">
  <c r="AA49" i="7" l="1"/>
  <c r="AA3" i="7"/>
  <c r="AA4" i="7"/>
  <c r="AA5" i="7"/>
  <c r="AA6" i="7"/>
  <c r="AA7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6" i="7"/>
  <c r="AA27" i="7"/>
  <c r="AA28" i="7"/>
  <c r="AA29" i="7"/>
  <c r="AA30" i="7"/>
  <c r="AA31" i="7"/>
  <c r="AA32" i="7"/>
  <c r="AA33" i="7"/>
  <c r="AA34" i="7"/>
  <c r="AA35" i="7"/>
  <c r="AA36" i="7"/>
  <c r="AA37" i="7"/>
  <c r="AA38" i="7"/>
  <c r="AA40" i="7"/>
  <c r="AA41" i="7"/>
  <c r="AA42" i="7"/>
  <c r="AA43" i="7"/>
  <c r="AA44" i="7"/>
  <c r="AA45" i="7"/>
  <c r="AA46" i="7"/>
  <c r="AA47" i="7"/>
  <c r="AA48" i="7"/>
  <c r="AA2" i="7"/>
  <c r="P3" i="7" l="1"/>
  <c r="Q3" i="7" s="1"/>
  <c r="P4" i="7"/>
  <c r="Q4" i="7" s="1"/>
  <c r="P5" i="7"/>
  <c r="Q5" i="7" s="1"/>
  <c r="P6" i="7"/>
  <c r="Q6" i="7" s="1"/>
  <c r="P7" i="7"/>
  <c r="Q7" i="7" s="1"/>
  <c r="P8" i="7"/>
  <c r="Q8" i="7" s="1"/>
  <c r="P9" i="7"/>
  <c r="Q9" i="7" s="1"/>
  <c r="P10" i="7"/>
  <c r="Q10" i="7" s="1"/>
  <c r="P11" i="7"/>
  <c r="Q11" i="7" s="1"/>
  <c r="P12" i="7"/>
  <c r="Q12" i="7" s="1"/>
  <c r="P13" i="7"/>
  <c r="Q13" i="7" s="1"/>
  <c r="P14" i="7"/>
  <c r="Q14" i="7" s="1"/>
  <c r="P15" i="7"/>
  <c r="Q15" i="7" s="1"/>
  <c r="P16" i="7"/>
  <c r="Q16" i="7" s="1"/>
  <c r="P17" i="7"/>
  <c r="Q17" i="7" s="1"/>
  <c r="P18" i="7"/>
  <c r="Q18" i="7" s="1"/>
  <c r="P19" i="7"/>
  <c r="Q19" i="7" s="1"/>
  <c r="P20" i="7"/>
  <c r="Q20" i="7" s="1"/>
  <c r="P21" i="7"/>
  <c r="Q21" i="7" s="1"/>
  <c r="P22" i="7"/>
  <c r="Q22" i="7" s="1"/>
  <c r="P23" i="7"/>
  <c r="Q23" i="7" s="1"/>
  <c r="P24" i="7"/>
  <c r="Q24" i="7" s="1"/>
  <c r="P25" i="7"/>
  <c r="Q25" i="7" s="1"/>
  <c r="P26" i="7"/>
  <c r="Q26" i="7" s="1"/>
  <c r="P27" i="7"/>
  <c r="Q27" i="7" s="1"/>
  <c r="P28" i="7"/>
  <c r="Q28" i="7" s="1"/>
  <c r="P29" i="7"/>
  <c r="Q29" i="7" s="1"/>
  <c r="P30" i="7"/>
  <c r="Q30" i="7" s="1"/>
  <c r="P31" i="7"/>
  <c r="Q31" i="7" s="1"/>
  <c r="P32" i="7"/>
  <c r="Q32" i="7" s="1"/>
  <c r="P33" i="7"/>
  <c r="Q33" i="7" s="1"/>
  <c r="P34" i="7"/>
  <c r="Q34" i="7" s="1"/>
  <c r="P35" i="7"/>
  <c r="Q35" i="7" s="1"/>
  <c r="P36" i="7"/>
  <c r="Q36" i="7" s="1"/>
  <c r="P37" i="7"/>
  <c r="Q37" i="7" s="1"/>
  <c r="P38" i="7"/>
  <c r="Q38" i="7" s="1"/>
  <c r="P39" i="7"/>
  <c r="Q39" i="7" s="1"/>
  <c r="P40" i="7"/>
  <c r="Q40" i="7" s="1"/>
  <c r="P41" i="7"/>
  <c r="Q41" i="7" s="1"/>
  <c r="P42" i="7"/>
  <c r="Q42" i="7" s="1"/>
  <c r="P43" i="7"/>
  <c r="Q43" i="7" s="1"/>
  <c r="P44" i="7"/>
  <c r="Q44" i="7" s="1"/>
  <c r="P45" i="7"/>
  <c r="Q45" i="7" s="1"/>
  <c r="P46" i="7"/>
  <c r="Q46" i="7" s="1"/>
  <c r="P47" i="7"/>
  <c r="Q47" i="7" s="1"/>
  <c r="P48" i="7"/>
  <c r="Q48" i="7" s="1"/>
  <c r="P49" i="7"/>
  <c r="Q49" i="7" s="1"/>
  <c r="P2" i="7"/>
  <c r="Q2" i="7" s="1"/>
  <c r="L4" i="6"/>
  <c r="S4" i="6" s="1"/>
  <c r="T4" i="6" s="1"/>
  <c r="Y4" i="6" s="1"/>
  <c r="L5" i="6"/>
  <c r="S5" i="6" s="1"/>
  <c r="T5" i="6" s="1"/>
  <c r="Y5" i="6" s="1"/>
  <c r="L6" i="6"/>
  <c r="S6" i="6" s="1"/>
  <c r="T6" i="6" s="1"/>
  <c r="Y6" i="6" s="1"/>
  <c r="L3" i="6"/>
  <c r="S3" i="6" s="1"/>
  <c r="T3" i="6" s="1"/>
  <c r="Y3" i="6" s="1"/>
  <c r="G3" i="2" l="1"/>
  <c r="O3" i="2" s="1"/>
  <c r="N3" i="2"/>
  <c r="G2" i="2"/>
  <c r="N2" i="2"/>
  <c r="O2" i="2"/>
</calcChain>
</file>

<file path=xl/comments1.xml><?xml version="1.0" encoding="utf-8"?>
<comments xmlns="http://schemas.openxmlformats.org/spreadsheetml/2006/main">
  <authors>
    <author>younous</author>
    <author>YOUNOUS</author>
  </authors>
  <commentList>
    <comment ref="H1" authorId="0">
      <text>
        <r>
          <rPr>
            <b/>
            <sz val="9"/>
            <color indexed="81"/>
            <rFont val="Tahoma"/>
            <family val="2"/>
          </rPr>
          <t xml:space="preserve">N + ou N - </t>
        </r>
      </text>
    </comment>
    <comment ref="M1" authorId="0">
      <text>
        <r>
          <rPr>
            <b/>
            <sz val="9"/>
            <color indexed="81"/>
            <rFont val="Tahoma"/>
            <family val="2"/>
          </rPr>
          <t>Témoin ou génotype</t>
        </r>
      </text>
    </comment>
    <comment ref="N1" authorId="0">
      <text>
        <r>
          <rPr>
            <b/>
            <sz val="9"/>
            <color indexed="81"/>
            <rFont val="Tahoma"/>
            <family val="2"/>
          </rPr>
          <t xml:space="preserve">taille de la parcelle récoltée
</t>
        </r>
      </text>
    </comment>
    <comment ref="P1" authorId="0">
      <text>
        <r>
          <rPr>
            <b/>
            <sz val="9"/>
            <color indexed="81"/>
            <rFont val="Tahoma"/>
            <family val="2"/>
          </rPr>
          <t xml:space="preserve">Rendement à 0% d'humidité)
</t>
        </r>
      </text>
    </comment>
    <comment ref="Q1" authorId="0">
      <text>
        <r>
          <rPr>
            <b/>
            <sz val="9"/>
            <color indexed="81"/>
            <rFont val="Tahoma"/>
            <family val="2"/>
          </rPr>
          <t>rendement aux normes (9%)</t>
        </r>
      </text>
    </comment>
    <comment ref="R1" authorId="0">
      <text>
        <r>
          <rPr>
            <b/>
            <sz val="9"/>
            <color indexed="81"/>
            <rFont val="Tahoma"/>
            <family val="2"/>
          </rPr>
          <t>Peuplement parcellaire</t>
        </r>
      </text>
    </comment>
    <comment ref="S1" authorId="0">
      <text>
        <r>
          <rPr>
            <b/>
            <sz val="9"/>
            <color indexed="81"/>
            <rFont val="Tahoma"/>
            <family val="2"/>
          </rPr>
          <t>Mesure de vigeur sortie hiver</t>
        </r>
      </text>
    </comment>
    <comment ref="T1" authorId="0">
      <text>
        <r>
          <rPr>
            <b/>
            <sz val="9"/>
            <color indexed="81"/>
            <rFont val="Tahoma"/>
            <family val="2"/>
          </rPr>
          <t>DTF en nombre de jour</t>
        </r>
      </text>
    </comment>
    <comment ref="U1" authorId="0">
      <text>
        <r>
          <rPr>
            <b/>
            <sz val="9"/>
            <color indexed="81"/>
            <rFont val="Tahoma"/>
            <family val="2"/>
          </rPr>
          <t>Hauteur Plante</t>
        </r>
      </text>
    </comment>
    <comment ref="V1" authorId="0">
      <text>
        <r>
          <rPr>
            <b/>
            <sz val="9"/>
            <color indexed="81"/>
            <rFont val="Tahoma"/>
            <family val="2"/>
          </rPr>
          <t>Fin Floraison</t>
        </r>
      </text>
    </comment>
    <comment ref="W1" authorId="0">
      <text>
        <r>
          <rPr>
            <b/>
            <sz val="9"/>
            <color indexed="81"/>
            <rFont val="Tahoma"/>
            <family val="2"/>
          </rPr>
          <t>Biomasse fraîche des grains récoltés</t>
        </r>
      </text>
    </comment>
    <comment ref="X1" authorId="0">
      <text>
        <r>
          <rPr>
            <b/>
            <sz val="9"/>
            <color indexed="81"/>
            <rFont val="Tahoma"/>
            <family val="2"/>
          </rPr>
          <t>teneur en eau du grain à la récolte</t>
        </r>
      </text>
    </comment>
    <comment ref="Y1" authorId="0">
      <text>
        <r>
          <rPr>
            <b/>
            <sz val="9"/>
            <color indexed="81"/>
            <rFont val="Tahoma"/>
            <family val="2"/>
          </rPr>
          <t>Teneur en huile des grains</t>
        </r>
      </text>
    </comment>
    <comment ref="Z1" authorId="0">
      <text>
        <r>
          <rPr>
            <b/>
            <sz val="9"/>
            <color indexed="81"/>
            <rFont val="Tahoma"/>
            <family val="2"/>
          </rPr>
          <t>Teneur en protéines des grains</t>
        </r>
      </text>
    </comment>
    <comment ref="AA1" authorId="0">
      <text>
        <r>
          <rPr>
            <b/>
            <sz val="9"/>
            <color indexed="81"/>
            <rFont val="Tahoma"/>
            <family val="2"/>
          </rPr>
          <t>Teneur en protéine de la graine deshuilée</t>
        </r>
      </text>
    </comment>
    <comment ref="AB1" authorId="0">
      <text>
        <r>
          <rPr>
            <b/>
            <sz val="9"/>
            <color indexed="81"/>
            <rFont val="Tahoma"/>
            <family val="2"/>
          </rPr>
          <t>Teneur en glucosinolate</t>
        </r>
      </text>
    </comment>
    <comment ref="AC1" authorId="0">
      <text>
        <r>
          <rPr>
            <sz val="9"/>
            <color indexed="81"/>
            <rFont val="Tahoma"/>
            <family val="2"/>
          </rPr>
          <t>Poids de 1000 grains</t>
        </r>
      </text>
    </comment>
    <comment ref="AD1" authorId="1">
      <text>
        <r>
          <rPr>
            <b/>
            <sz val="9"/>
            <color indexed="81"/>
            <rFont val="Tahoma"/>
            <charset val="1"/>
          </rPr>
          <t xml:space="preserve">Additionnel =&gt; Validité estimé de la parcelle sortie hiver. 1=&gt; Valide , 2 douteux, 3 parcelle out
</t>
        </r>
      </text>
    </comment>
  </commentList>
</comments>
</file>

<file path=xl/sharedStrings.xml><?xml version="1.0" encoding="utf-8"?>
<sst xmlns="http://schemas.openxmlformats.org/spreadsheetml/2006/main" count="860" uniqueCount="238">
  <si>
    <t>READ ME</t>
  </si>
  <si>
    <t>AUTEUR</t>
  </si>
  <si>
    <t>NOM DU FICHIER</t>
  </si>
  <si>
    <t>DATE DE CREATION</t>
  </si>
  <si>
    <t>PROJET</t>
  </si>
  <si>
    <t>RAPSODYN</t>
  </si>
  <si>
    <t>VERSION</t>
  </si>
  <si>
    <t>Description</t>
  </si>
  <si>
    <t>Commentaire</t>
  </si>
  <si>
    <t>MODIFICATION</t>
  </si>
  <si>
    <t>CONTACT MAIL</t>
  </si>
  <si>
    <t>WORK_PACKAGE</t>
  </si>
  <si>
    <t>WP4</t>
  </si>
  <si>
    <t>TRIAL_NAME</t>
  </si>
  <si>
    <t>Date_Begin</t>
  </si>
  <si>
    <t>Date_End</t>
  </si>
  <si>
    <t>Trial_Comments</t>
  </si>
  <si>
    <t>TRIAL_BASIC_INFO</t>
  </si>
  <si>
    <t>TRIAL_LOCALISATION_INFO</t>
  </si>
  <si>
    <t>SITE_NAME</t>
  </si>
  <si>
    <t>Latitude</t>
  </si>
  <si>
    <t>Longitude</t>
  </si>
  <si>
    <t>TRIAL_ITK</t>
  </si>
  <si>
    <t>Contact_Name</t>
  </si>
  <si>
    <t>Contact_Phone</t>
  </si>
  <si>
    <t>Contact_email</t>
  </si>
  <si>
    <t>N1_Treatment</t>
  </si>
  <si>
    <t>N2_Treatment</t>
  </si>
  <si>
    <t>TRIAL_Design</t>
  </si>
  <si>
    <t>Sowing Date</t>
  </si>
  <si>
    <t>Fertilisation_Date_1</t>
  </si>
  <si>
    <t>Fertilisation_Date_2</t>
  </si>
  <si>
    <t>Fertilisation_Date_3</t>
  </si>
  <si>
    <t>Harvest</t>
  </si>
  <si>
    <t>Accession_Name</t>
  </si>
  <si>
    <t>CODE_RAPSO</t>
  </si>
  <si>
    <t>Intitulé</t>
  </si>
  <si>
    <t>Résultat [Sur brut] horizon 0-30cm</t>
  </si>
  <si>
    <t>Résultat [Sur brut] horizon 30-60cm</t>
  </si>
  <si>
    <t>Résultat [Sur brut] horizon  60-90cm</t>
  </si>
  <si>
    <t>Argile (&lt; 2 µm)</t>
  </si>
  <si>
    <t>Capacité d'Echange Cationique (méthode Metson) (CEC)</t>
  </si>
  <si>
    <t>Carbone organique</t>
  </si>
  <si>
    <t>Limons fins (2 à 20 µm)</t>
  </si>
  <si>
    <t>Limons grossiers (20 à 50 µm)</t>
  </si>
  <si>
    <t>Matières Organiques</t>
  </si>
  <si>
    <t>pH eau</t>
  </si>
  <si>
    <t>Sables fins (50 à 200 µm)</t>
  </si>
  <si>
    <t>Sables grossiers (200 à 2000 µm)</t>
  </si>
  <si>
    <t>Infos concernant la nature du sol, sa composition, sa profondeur…</t>
  </si>
  <si>
    <t>Préciser Unité</t>
  </si>
  <si>
    <t>AUTRES INFORMATIONS</t>
  </si>
  <si>
    <t>Profondeur du sol</t>
  </si>
  <si>
    <t>Réserve Utile</t>
  </si>
  <si>
    <t>Densité apparente</t>
  </si>
  <si>
    <t>Data</t>
  </si>
  <si>
    <t>4/5</t>
  </si>
  <si>
    <t>1/5</t>
  </si>
  <si>
    <t>Total</t>
  </si>
  <si>
    <t>N % DUMAS Spécial Ferti</t>
  </si>
  <si>
    <t>Manip</t>
  </si>
  <si>
    <t>Date</t>
  </si>
  <si>
    <t>Y</t>
  </si>
  <si>
    <t>X</t>
  </si>
  <si>
    <t>Modalite</t>
  </si>
  <si>
    <t>Genotype</t>
  </si>
  <si>
    <t>Stade</t>
  </si>
  <si>
    <t>Nbr</t>
  </si>
  <si>
    <t>MF Feuilles (g)</t>
  </si>
  <si>
    <t>MF Tige (g)</t>
  </si>
  <si>
    <t>% Humidité</t>
  </si>
  <si>
    <t>MF Aér</t>
  </si>
  <si>
    <t>MS Feuilles (g)</t>
  </si>
  <si>
    <t>MS Tige (g)</t>
  </si>
  <si>
    <t>MS Aér (g)</t>
  </si>
  <si>
    <t>MS Totale (t)</t>
  </si>
  <si>
    <t>%N critique</t>
  </si>
  <si>
    <t>Feuilles</t>
  </si>
  <si>
    <t>Tiges</t>
  </si>
  <si>
    <t>Qté N Total</t>
  </si>
  <si>
    <t>% Azote MS (1/5)</t>
  </si>
  <si>
    <t>INN</t>
  </si>
  <si>
    <t>De "Parcelle" à "Genotype" = données générales sur l'essai</t>
  </si>
  <si>
    <r>
      <rPr>
        <b/>
        <sz val="10"/>
        <rFont val="Arial"/>
        <family val="2"/>
      </rPr>
      <t>Manip</t>
    </r>
    <r>
      <rPr>
        <sz val="10"/>
        <rFont val="Arial"/>
        <family val="2"/>
      </rPr>
      <t xml:space="preserve"> = quelle INN</t>
    </r>
  </si>
  <si>
    <r>
      <rPr>
        <b/>
        <sz val="10"/>
        <rFont val="Arial"/>
        <family val="2"/>
      </rPr>
      <t>Date</t>
    </r>
    <r>
      <rPr>
        <sz val="10"/>
        <rFont val="Arial"/>
        <family val="2"/>
      </rPr>
      <t xml:space="preserve"> = date de prélèvement</t>
    </r>
  </si>
  <si>
    <r>
      <rPr>
        <b/>
        <sz val="10"/>
        <rFont val="Arial"/>
        <family val="2"/>
      </rPr>
      <t>Stade</t>
    </r>
    <r>
      <rPr>
        <sz val="10"/>
        <rFont val="Arial"/>
        <family val="2"/>
      </rPr>
      <t xml:space="preserve"> = stade moyen de la parcelle</t>
    </r>
  </si>
  <si>
    <t>Deux échantillons différents sont identifiés : 1/5 des plantes et 4/5 des plantes</t>
  </si>
  <si>
    <t xml:space="preserve">A partir des INN3, une distinction est faite entre les feuilles et le tiges pour les pesées </t>
  </si>
  <si>
    <t>et les analyses par SAS pour l'échantillon 1/5</t>
  </si>
  <si>
    <r>
      <rPr>
        <b/>
        <sz val="10"/>
        <rFont val="Arial"/>
        <family val="2"/>
      </rPr>
      <t>Nbr</t>
    </r>
    <r>
      <rPr>
        <sz val="10"/>
        <rFont val="Arial"/>
        <family val="2"/>
      </rPr>
      <t xml:space="preserve"> = nombre de plantes du prélèvement</t>
    </r>
  </si>
  <si>
    <r>
      <rPr>
        <b/>
        <sz val="10"/>
        <rFont val="Arial"/>
        <family val="2"/>
      </rPr>
      <t>MF</t>
    </r>
    <r>
      <rPr>
        <sz val="10"/>
        <rFont val="Arial"/>
        <family val="2"/>
      </rPr>
      <t xml:space="preserve"> = matière fraiche du prélèvement en grammes</t>
    </r>
  </si>
  <si>
    <r>
      <rPr>
        <b/>
        <sz val="10"/>
        <rFont val="Arial"/>
        <family val="2"/>
      </rPr>
      <t>MS</t>
    </r>
    <r>
      <rPr>
        <sz val="10"/>
        <rFont val="Arial"/>
        <family val="2"/>
      </rPr>
      <t xml:space="preserve"> = matière séche du prélèvement en grammes</t>
    </r>
  </si>
  <si>
    <r>
      <rPr>
        <b/>
        <sz val="10"/>
        <rFont val="Arial"/>
        <family val="2"/>
      </rPr>
      <t>N % DUMAS Spérial Ferti</t>
    </r>
    <r>
      <rPr>
        <sz val="10"/>
        <rFont val="Arial"/>
        <family val="2"/>
      </rPr>
      <t xml:space="preserve"> = pourcentage d'azote dans la plante (résultat laboratoire)</t>
    </r>
  </si>
  <si>
    <r>
      <rPr>
        <b/>
        <sz val="10"/>
        <rFont val="Arial"/>
        <family val="2"/>
      </rPr>
      <t>INN</t>
    </r>
    <r>
      <rPr>
        <sz val="10"/>
        <rFont val="Arial"/>
        <family val="2"/>
      </rPr>
      <t xml:space="preserve"> = (Qté N tot / MS (1/5) (g)) / %Ncritique</t>
    </r>
  </si>
  <si>
    <t>A AJOUTER EN COMPLEMENT D'INFORMATION</t>
  </si>
  <si>
    <t>Texture</t>
  </si>
  <si>
    <t>Annee</t>
  </si>
  <si>
    <t>Partenaire</t>
  </si>
  <si>
    <t>Lieu</t>
  </si>
  <si>
    <t>Jour_semis</t>
  </si>
  <si>
    <t>Jour_levee</t>
  </si>
  <si>
    <t>Jour_recolte</t>
  </si>
  <si>
    <t>YYXXX</t>
  </si>
  <si>
    <t>Code_RAPSO</t>
  </si>
  <si>
    <t>Statut</t>
  </si>
  <si>
    <t>Plot Size </t>
  </si>
  <si>
    <t>Objectif rendement</t>
  </si>
  <si>
    <t>Relicat post récolte</t>
  </si>
  <si>
    <t>besoins culture (7)</t>
  </si>
  <si>
    <t>Relicat sortie hiver</t>
  </si>
  <si>
    <t>Effet du précédent</t>
  </si>
  <si>
    <t>Azote absorbé hiver</t>
  </si>
  <si>
    <t>Mineralisation nette sortie hiver</t>
  </si>
  <si>
    <t>Utilisation engrais organiques</t>
  </si>
  <si>
    <t>Effet Prairie</t>
  </si>
  <si>
    <t>Fourniture du sol - Kg/Ha</t>
  </si>
  <si>
    <t>Apport necessaire théorique</t>
  </si>
  <si>
    <t>quantité N apporté</t>
  </si>
  <si>
    <t>SY</t>
  </si>
  <si>
    <t>VIGH</t>
  </si>
  <si>
    <t>End of flowering time (BBCH 69)</t>
  </si>
  <si>
    <t>SdMoist</t>
  </si>
  <si>
    <t>SdProt</t>
  </si>
  <si>
    <t>PNRD</t>
  </si>
  <si>
    <t>SdGLS</t>
  </si>
  <si>
    <t>TSW</t>
  </si>
  <si>
    <t>Répétition</t>
  </si>
  <si>
    <t>N° Entrée</t>
  </si>
  <si>
    <t>Numéro de lot</t>
  </si>
  <si>
    <t>INN 3</t>
  </si>
  <si>
    <t>Plantdens</t>
  </si>
  <si>
    <t>F1/FLO</t>
  </si>
  <si>
    <t>Plantsize</t>
  </si>
  <si>
    <t>PGF</t>
  </si>
  <si>
    <t>OIL</t>
  </si>
  <si>
    <r>
      <t xml:space="preserve">SY </t>
    </r>
    <r>
      <rPr>
        <b/>
        <vertAlign val="subscript"/>
        <sz val="10"/>
        <color indexed="10"/>
        <rFont val="Calibri"/>
        <family val="2"/>
      </rPr>
      <t xml:space="preserve">9%_ </t>
    </r>
  </si>
  <si>
    <t>Bilan</t>
  </si>
  <si>
    <t>N+</t>
  </si>
  <si>
    <t>N-</t>
  </si>
  <si>
    <t>ANNEE : 18</t>
  </si>
  <si>
    <t>LIEU : BLO</t>
  </si>
  <si>
    <t/>
  </si>
  <si>
    <t>X-&gt;</t>
  </si>
  <si>
    <t>RAPSO_302</t>
  </si>
  <si>
    <t>RAPSO_294</t>
  </si>
  <si>
    <t>RAPSO_305</t>
  </si>
  <si>
    <t>RAPSO_318</t>
  </si>
  <si>
    <t>RAPSO_330</t>
  </si>
  <si>
    <t>RAPSO_472</t>
  </si>
  <si>
    <t>RAPSO_312</t>
  </si>
  <si>
    <t>RAPSO_315</t>
  </si>
  <si>
    <t>RAPSO_316</t>
  </si>
  <si>
    <t>RAPSO_325</t>
  </si>
  <si>
    <t>Aviso</t>
  </si>
  <si>
    <t>Montego</t>
  </si>
  <si>
    <t>BLO</t>
  </si>
  <si>
    <t>Johanna Younous</t>
  </si>
  <si>
    <t>johanna.younous@gmail.com</t>
  </si>
  <si>
    <t>0682239380</t>
  </si>
  <si>
    <t>VAL1</t>
  </si>
  <si>
    <t>17216</t>
  </si>
  <si>
    <t>17</t>
  </si>
  <si>
    <t>T</t>
  </si>
  <si>
    <t>X16T09MB</t>
  </si>
  <si>
    <t>3B</t>
  </si>
  <si>
    <t>1</t>
  </si>
  <si>
    <t>20222</t>
  </si>
  <si>
    <t>18169</t>
  </si>
  <si>
    <t>18</t>
  </si>
  <si>
    <t>19171</t>
  </si>
  <si>
    <t>171</t>
  </si>
  <si>
    <t>17220</t>
  </si>
  <si>
    <t>X14T24MB</t>
  </si>
  <si>
    <t>19228</t>
  </si>
  <si>
    <t>17175</t>
  </si>
  <si>
    <t>20169</t>
  </si>
  <si>
    <t>17245</t>
  </si>
  <si>
    <t>R17L0048</t>
  </si>
  <si>
    <t>19245</t>
  </si>
  <si>
    <t>17192</t>
  </si>
  <si>
    <t>19192</t>
  </si>
  <si>
    <t>2</t>
  </si>
  <si>
    <t>17239</t>
  </si>
  <si>
    <t>R17L0049</t>
  </si>
  <si>
    <t>20236</t>
  </si>
  <si>
    <t>18183</t>
  </si>
  <si>
    <t>19190</t>
  </si>
  <si>
    <t>17243</t>
  </si>
  <si>
    <t>R17L0050</t>
  </si>
  <si>
    <t>19249</t>
  </si>
  <si>
    <t>17196</t>
  </si>
  <si>
    <t>19198</t>
  </si>
  <si>
    <t>18240</t>
  </si>
  <si>
    <t>R17L0051</t>
  </si>
  <si>
    <t>20244</t>
  </si>
  <si>
    <t>18191</t>
  </si>
  <si>
    <t>20183</t>
  </si>
  <si>
    <t>18244</t>
  </si>
  <si>
    <t>R17L0052</t>
  </si>
  <si>
    <t>3</t>
  </si>
  <si>
    <t>20248</t>
  </si>
  <si>
    <t>18195</t>
  </si>
  <si>
    <t>19196</t>
  </si>
  <si>
    <t>17232</t>
  </si>
  <si>
    <t>R17L0053</t>
  </si>
  <si>
    <t>20230</t>
  </si>
  <si>
    <t>18177</t>
  </si>
  <si>
    <t>20177</t>
  </si>
  <si>
    <t>17228</t>
  </si>
  <si>
    <t>R17L0054</t>
  </si>
  <si>
    <t>19232</t>
  </si>
  <si>
    <t>17179</t>
  </si>
  <si>
    <t>19179</t>
  </si>
  <si>
    <t>17224</t>
  </si>
  <si>
    <t>R17L0055</t>
  </si>
  <si>
    <t>20226</t>
  </si>
  <si>
    <t>18173</t>
  </si>
  <si>
    <t>19175</t>
  </si>
  <si>
    <t>18214</t>
  </si>
  <si>
    <t>214</t>
  </si>
  <si>
    <t>R17L0073</t>
  </si>
  <si>
    <t>MONTEGO</t>
  </si>
  <si>
    <t>19224</t>
  </si>
  <si>
    <t>17171</t>
  </si>
  <si>
    <t>R17L0072</t>
  </si>
  <si>
    <t>AVISO</t>
  </si>
  <si>
    <t>19167</t>
  </si>
  <si>
    <t>18253</t>
  </si>
  <si>
    <t>253</t>
  </si>
  <si>
    <t>Plot mix, no PB nor quality data</t>
  </si>
  <si>
    <t>19253</t>
  </si>
  <si>
    <t>17200</t>
  </si>
  <si>
    <t>200</t>
  </si>
  <si>
    <t>20191</t>
  </si>
  <si>
    <t>johanna.younous@euralis.com</t>
  </si>
  <si>
    <t>INN3</t>
  </si>
  <si>
    <t>Eura</t>
  </si>
  <si>
    <t>pas d'échantillon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</si>
</sst>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\ _€_-;\-* #,##0.00\ _€_-;_-* &quot;-&quot;??\ _€_-;_-@_-"/>
    <numFmt numFmtId="164" formatCode="0.0000"/>
    <numFmt numFmtId="165" formatCode="_(\$* #,##0.00_);_(\$* \(#,##0.00\);_(\$* \-??_);_(@_)"/>
    <numFmt numFmtId="166" formatCode="00"/>
    <numFmt numFmtId="167" formatCode="000"/>
    <numFmt numFmtId="168" formatCode=".00"/>
    <numFmt numFmtId="169" formatCode=".0"/>
    <numFmt numFmtId="170" formatCode="0.0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9"/>
      <color rgb="FF66669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9"/>
      <name val="Geneva"/>
      <family val="2"/>
    </font>
    <font>
      <b/>
      <sz val="12"/>
      <name val="Geneva"/>
    </font>
    <font>
      <sz val="9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17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sz val="11"/>
      <name val="Calibri"/>
      <family val="2"/>
    </font>
    <font>
      <sz val="10"/>
      <name val="Tahoma"/>
      <family val="2"/>
    </font>
    <font>
      <sz val="11"/>
      <color theme="1"/>
      <name val="Calibri"/>
      <family val="2"/>
    </font>
    <font>
      <sz val="11"/>
      <color indexed="20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sz val="10"/>
      <name val="Arial"/>
      <family val="2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vertAlign val="subscript"/>
      <sz val="10"/>
      <color indexed="10"/>
      <name val="Calibri"/>
      <family val="2"/>
    </font>
    <font>
      <b/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charset val="1"/>
    </font>
  </fonts>
  <fills count="7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00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8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rgb="FF000000"/>
      </left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rgb="FF000000"/>
      </left>
      <right style="thick">
        <color indexed="64"/>
      </right>
      <top style="thin">
        <color rgb="FF000000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auto="1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auto="1"/>
      </right>
      <top style="hair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160">
    <xf numFmtId="0" fontId="0" fillId="0" borderId="0"/>
    <xf numFmtId="0" fontId="1" fillId="0" borderId="0"/>
    <xf numFmtId="0" fontId="11" fillId="0" borderId="0"/>
    <xf numFmtId="0" fontId="13" fillId="0" borderId="0"/>
    <xf numFmtId="43" fontId="1" fillId="0" borderId="0" applyFont="0" applyFill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31" fillId="44" borderId="0" applyNumberFormat="0" applyBorder="0" applyAlignment="0" applyProtection="0"/>
    <xf numFmtId="0" fontId="31" fillId="45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49" borderId="0" applyNumberFormat="0" applyBorder="0" applyAlignment="0" applyProtection="0"/>
    <xf numFmtId="0" fontId="31" fillId="44" borderId="0" applyNumberFormat="0" applyBorder="0" applyAlignment="0" applyProtection="0"/>
    <xf numFmtId="0" fontId="31" fillId="45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49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41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52" borderId="0" applyNumberFormat="0" applyBorder="0" applyAlignment="0" applyProtection="0"/>
    <xf numFmtId="0" fontId="31" fillId="47" borderId="0" applyNumberFormat="0" applyBorder="0" applyAlignment="0" applyProtection="0"/>
    <xf numFmtId="0" fontId="31" fillId="50" borderId="0" applyNumberFormat="0" applyBorder="0" applyAlignment="0" applyProtection="0"/>
    <xf numFmtId="0" fontId="31" fillId="53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52" borderId="0" applyNumberFormat="0" applyBorder="0" applyAlignment="0" applyProtection="0"/>
    <xf numFmtId="0" fontId="31" fillId="47" borderId="0" applyNumberFormat="0" applyBorder="0" applyAlignment="0" applyProtection="0"/>
    <xf numFmtId="0" fontId="31" fillId="50" borderId="0" applyNumberFormat="0" applyBorder="0" applyAlignment="0" applyProtection="0"/>
    <xf numFmtId="0" fontId="31" fillId="53" borderId="0" applyNumberFormat="0" applyBorder="0" applyAlignment="0" applyProtection="0"/>
    <xf numFmtId="0" fontId="30" fillId="22" borderId="0" applyNumberFormat="0" applyBorder="0" applyAlignment="0" applyProtection="0"/>
    <xf numFmtId="0" fontId="30" fillId="26" borderId="0" applyNumberFormat="0" applyBorder="0" applyAlignment="0" applyProtection="0"/>
    <xf numFmtId="0" fontId="30" fillId="30" borderId="0" applyNumberFormat="0" applyBorder="0" applyAlignment="0" applyProtection="0"/>
    <xf numFmtId="0" fontId="30" fillId="34" borderId="0" applyNumberFormat="0" applyBorder="0" applyAlignment="0" applyProtection="0"/>
    <xf numFmtId="0" fontId="30" fillId="38" borderId="0" applyNumberFormat="0" applyBorder="0" applyAlignment="0" applyProtection="0"/>
    <xf numFmtId="0" fontId="30" fillId="42" borderId="0" applyNumberFormat="0" applyBorder="0" applyAlignment="0" applyProtection="0"/>
    <xf numFmtId="0" fontId="32" fillId="54" borderId="0" applyNumberFormat="0" applyBorder="0" applyAlignment="0" applyProtection="0"/>
    <xf numFmtId="0" fontId="32" fillId="51" borderId="0" applyNumberFormat="0" applyBorder="0" applyAlignment="0" applyProtection="0"/>
    <xf numFmtId="0" fontId="32" fillId="52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57" borderId="0" applyNumberFormat="0" applyBorder="0" applyAlignment="0" applyProtection="0"/>
    <xf numFmtId="0" fontId="32" fillId="54" borderId="0" applyNumberFormat="0" applyBorder="0" applyAlignment="0" applyProtection="0"/>
    <xf numFmtId="0" fontId="32" fillId="51" borderId="0" applyNumberFormat="0" applyBorder="0" applyAlignment="0" applyProtection="0"/>
    <xf numFmtId="0" fontId="32" fillId="52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57" borderId="0" applyNumberFormat="0" applyBorder="0" applyAlignment="0" applyProtection="0"/>
    <xf numFmtId="0" fontId="30" fillId="19" borderId="0" applyNumberFormat="0" applyBorder="0" applyAlignment="0" applyProtection="0"/>
    <xf numFmtId="0" fontId="30" fillId="23" borderId="0" applyNumberFormat="0" applyBorder="0" applyAlignment="0" applyProtection="0"/>
    <xf numFmtId="0" fontId="30" fillId="27" borderId="0" applyNumberFormat="0" applyBorder="0" applyAlignment="0" applyProtection="0"/>
    <xf numFmtId="0" fontId="30" fillId="31" borderId="0" applyNumberFormat="0" applyBorder="0" applyAlignment="0" applyProtection="0"/>
    <xf numFmtId="0" fontId="30" fillId="35" borderId="0" applyNumberFormat="0" applyBorder="0" applyAlignment="0" applyProtection="0"/>
    <xf numFmtId="0" fontId="30" fillId="39" borderId="0" applyNumberFormat="0" applyBorder="0" applyAlignment="0" applyProtection="0"/>
    <xf numFmtId="0" fontId="32" fillId="58" borderId="0" applyNumberFormat="0" applyBorder="0" applyAlignment="0" applyProtection="0"/>
    <xf numFmtId="0" fontId="32" fillId="59" borderId="0" applyNumberFormat="0" applyBorder="0" applyAlignment="0" applyProtection="0"/>
    <xf numFmtId="0" fontId="32" fillId="60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61" borderId="0" applyNumberFormat="0" applyBorder="0" applyAlignment="0" applyProtection="0"/>
    <xf numFmtId="0" fontId="32" fillId="58" borderId="0" applyNumberFormat="0" applyBorder="0" applyAlignment="0" applyProtection="0"/>
    <xf numFmtId="0" fontId="32" fillId="59" borderId="0" applyNumberFormat="0" applyBorder="0" applyAlignment="0" applyProtection="0"/>
    <xf numFmtId="0" fontId="32" fillId="60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61" borderId="0" applyNumberFormat="0" applyBorder="0" applyAlignment="0" applyProtection="0"/>
    <xf numFmtId="0" fontId="33" fillId="62" borderId="64" applyNumberFormat="0" applyAlignment="0" applyProtection="0"/>
    <xf numFmtId="0" fontId="33" fillId="62" borderId="64" applyNumberFormat="0" applyAlignment="0" applyProtection="0"/>
    <xf numFmtId="0" fontId="28" fillId="0" borderId="0" applyNumberFormat="0" applyFill="0" applyBorder="0" applyAlignment="0" applyProtection="0"/>
    <xf numFmtId="0" fontId="34" fillId="62" borderId="65" applyNumberFormat="0" applyAlignment="0" applyProtection="0"/>
    <xf numFmtId="0" fontId="34" fillId="62" borderId="65" applyNumberFormat="0" applyAlignment="0" applyProtection="0"/>
    <xf numFmtId="0" fontId="25" fillId="16" borderId="58" applyNumberFormat="0" applyAlignment="0" applyProtection="0"/>
    <xf numFmtId="0" fontId="26" fillId="0" borderId="60" applyNumberFormat="0" applyFill="0" applyAlignment="0" applyProtection="0"/>
    <xf numFmtId="0" fontId="31" fillId="18" borderId="62" applyNumberFormat="0" applyFont="0" applyAlignment="0" applyProtection="0"/>
    <xf numFmtId="165" fontId="31" fillId="0" borderId="0" applyFill="0" applyBorder="0" applyAlignment="0" applyProtection="0"/>
    <xf numFmtId="0" fontId="35" fillId="49" borderId="65" applyNumberFormat="0" applyAlignment="0" applyProtection="0"/>
    <xf numFmtId="0" fontId="35" fillId="49" borderId="65" applyNumberFormat="0" applyAlignment="0" applyProtection="0"/>
    <xf numFmtId="0" fontId="33" fillId="62" borderId="64" applyNumberFormat="0" applyAlignment="0" applyProtection="0"/>
    <xf numFmtId="0" fontId="33" fillId="62" borderId="64" applyNumberFormat="0" applyAlignment="0" applyProtection="0"/>
    <xf numFmtId="0" fontId="36" fillId="46" borderId="0" applyNumberFormat="0" applyBorder="0" applyAlignment="0" applyProtection="0"/>
    <xf numFmtId="0" fontId="35" fillId="49" borderId="65" applyNumberFormat="0" applyAlignment="0" applyProtection="0"/>
    <xf numFmtId="0" fontId="35" fillId="49" borderId="65" applyNumberFormat="0" applyAlignment="0" applyProtection="0"/>
    <xf numFmtId="0" fontId="23" fillId="15" borderId="58" applyNumberFormat="0" applyAlignment="0" applyProtection="0"/>
    <xf numFmtId="0" fontId="37" fillId="0" borderId="66" applyNumberFormat="0" applyFill="0" applyAlignment="0" applyProtection="0"/>
    <xf numFmtId="0" fontId="37" fillId="0" borderId="66" applyNumberFormat="0" applyFill="0" applyAlignment="0" applyProtection="0"/>
    <xf numFmtId="0" fontId="38" fillId="0" borderId="0" applyNumberFormat="0" applyFill="0" applyBorder="0" applyAlignment="0" applyProtection="0"/>
    <xf numFmtId="0" fontId="36" fillId="46" borderId="0" applyNumberFormat="0" applyBorder="0" applyAlignment="0" applyProtection="0"/>
    <xf numFmtId="0" fontId="21" fillId="13" borderId="0" applyNumberFormat="0" applyBorder="0" applyAlignment="0" applyProtection="0"/>
    <xf numFmtId="0" fontId="39" fillId="0" borderId="67" applyNumberFormat="0" applyFill="0" applyAlignment="0" applyProtection="0"/>
    <xf numFmtId="0" fontId="40" fillId="63" borderId="68" applyNumberFormat="0" applyAlignment="0" applyProtection="0"/>
    <xf numFmtId="0" fontId="11" fillId="0" borderId="0"/>
    <xf numFmtId="0" fontId="11" fillId="0" borderId="0"/>
    <xf numFmtId="0" fontId="41" fillId="0" borderId="69" applyNumberFormat="0" applyFill="0" applyAlignment="0" applyProtection="0"/>
    <xf numFmtId="0" fontId="42" fillId="0" borderId="70" applyNumberFormat="0" applyFill="0" applyAlignment="0" applyProtection="0"/>
    <xf numFmtId="0" fontId="43" fillId="0" borderId="71" applyNumberFormat="0" applyFill="0" applyAlignment="0" applyProtection="0"/>
    <xf numFmtId="0" fontId="43" fillId="0" borderId="0" applyNumberFormat="0" applyFill="0" applyBorder="0" applyAlignment="0" applyProtection="0"/>
    <xf numFmtId="0" fontId="44" fillId="64" borderId="0" applyNumberFormat="0" applyBorder="0" applyAlignment="0" applyProtection="0"/>
    <xf numFmtId="0" fontId="44" fillId="64" borderId="0" applyNumberFormat="0" applyBorder="0" applyAlignment="0" applyProtection="0"/>
    <xf numFmtId="0" fontId="22" fillId="14" borderId="0" applyNumberFormat="0" applyBorder="0" applyAlignment="0" applyProtection="0"/>
    <xf numFmtId="0" fontId="1" fillId="0" borderId="0"/>
    <xf numFmtId="0" fontId="11" fillId="0" borderId="0"/>
    <xf numFmtId="0" fontId="45" fillId="0" borderId="0"/>
    <xf numFmtId="0" fontId="45" fillId="0" borderId="0"/>
    <xf numFmtId="0" fontId="46" fillId="0" borderId="0"/>
    <xf numFmtId="0" fontId="11" fillId="0" borderId="0"/>
    <xf numFmtId="0" fontId="47" fillId="0" borderId="0"/>
    <xf numFmtId="0" fontId="11" fillId="0" borderId="0"/>
    <xf numFmtId="0" fontId="46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1" fillId="65" borderId="72" applyNumberFormat="0" applyFont="0" applyAlignment="0" applyProtection="0"/>
    <xf numFmtId="0" fontId="31" fillId="65" borderId="72" applyNumberFormat="0" applyFont="0" applyAlignment="0" applyProtection="0"/>
    <xf numFmtId="0" fontId="34" fillId="62" borderId="65" applyNumberFormat="0" applyAlignment="0" applyProtection="0"/>
    <xf numFmtId="0" fontId="34" fillId="62" borderId="65" applyNumberFormat="0" applyAlignment="0" applyProtection="0"/>
    <xf numFmtId="0" fontId="20" fillId="12" borderId="0" applyNumberFormat="0" applyBorder="0" applyAlignment="0" applyProtection="0"/>
    <xf numFmtId="0" fontId="48" fillId="45" borderId="0" applyNumberFormat="0" applyBorder="0" applyAlignment="0" applyProtection="0"/>
    <xf numFmtId="0" fontId="24" fillId="16" borderId="59" applyNumberFormat="0" applyAlignment="0" applyProtection="0"/>
    <xf numFmtId="0" fontId="37" fillId="0" borderId="66" applyNumberFormat="0" applyFill="0" applyAlignment="0" applyProtection="0"/>
    <xf numFmtId="0" fontId="37" fillId="0" borderId="66" applyNumberFormat="0" applyFill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55" applyNumberFormat="0" applyFill="0" applyAlignment="0" applyProtection="0"/>
    <xf numFmtId="0" fontId="18" fillId="0" borderId="56" applyNumberFormat="0" applyFill="0" applyAlignment="0" applyProtection="0"/>
    <xf numFmtId="0" fontId="19" fillId="0" borderId="57" applyNumberFormat="0" applyFill="0" applyAlignment="0" applyProtection="0"/>
    <xf numFmtId="0" fontId="19" fillId="0" borderId="0" applyNumberFormat="0" applyFill="0" applyBorder="0" applyAlignment="0" applyProtection="0"/>
    <xf numFmtId="0" fontId="2" fillId="0" borderId="63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41" fillId="0" borderId="69" applyNumberFormat="0" applyFill="0" applyAlignment="0" applyProtection="0"/>
    <xf numFmtId="0" fontId="42" fillId="0" borderId="70" applyNumberFormat="0" applyFill="0" applyAlignment="0" applyProtection="0"/>
    <xf numFmtId="0" fontId="43" fillId="0" borderId="71" applyNumberFormat="0" applyFill="0" applyAlignment="0" applyProtection="0"/>
    <xf numFmtId="0" fontId="43" fillId="0" borderId="0" applyNumberFormat="0" applyFill="0" applyBorder="0" applyAlignment="0" applyProtection="0"/>
    <xf numFmtId="0" fontId="31" fillId="65" borderId="72" applyNumberFormat="0" applyFont="0" applyAlignment="0" applyProtection="0"/>
    <xf numFmtId="0" fontId="31" fillId="65" borderId="72" applyNumberFormat="0" applyFont="0" applyAlignment="0" applyProtection="0"/>
    <xf numFmtId="0" fontId="27" fillId="17" borderId="61" applyNumberFormat="0" applyAlignment="0" applyProtection="0"/>
    <xf numFmtId="0" fontId="39" fillId="0" borderId="67" applyNumberFormat="0" applyFill="0" applyAlignment="0" applyProtection="0"/>
    <xf numFmtId="0" fontId="49" fillId="0" borderId="0" applyNumberFormat="0" applyFill="0" applyBorder="0" applyAlignment="0" applyProtection="0"/>
    <xf numFmtId="0" fontId="40" fillId="63" borderId="68" applyNumberFormat="0" applyAlignment="0" applyProtection="0"/>
    <xf numFmtId="0" fontId="48" fillId="45" borderId="0" applyNumberFormat="0" applyBorder="0" applyAlignment="0" applyProtection="0"/>
    <xf numFmtId="0" fontId="51" fillId="0" borderId="0"/>
    <xf numFmtId="0" fontId="52" fillId="0" borderId="0"/>
    <xf numFmtId="0" fontId="6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72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2" xfId="0" applyFont="1" applyBorder="1"/>
    <xf numFmtId="0" fontId="0" fillId="0" borderId="3" xfId="0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vertical="top"/>
    </xf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0" fillId="0" borderId="4" xfId="0" applyBorder="1"/>
    <xf numFmtId="0" fontId="11" fillId="0" borderId="0" xfId="2" applyAlignment="1">
      <alignment horizontal="center"/>
    </xf>
    <xf numFmtId="0" fontId="11" fillId="0" borderId="8" xfId="2" applyBorder="1" applyAlignment="1">
      <alignment horizontal="center"/>
    </xf>
    <xf numFmtId="0" fontId="13" fillId="0" borderId="15" xfId="3" applyBorder="1"/>
    <xf numFmtId="0" fontId="0" fillId="0" borderId="16" xfId="0" applyBorder="1"/>
    <xf numFmtId="0" fontId="7" fillId="6" borderId="17" xfId="2" applyFont="1" applyFill="1" applyBorder="1" applyAlignment="1">
      <alignment horizontal="center"/>
    </xf>
    <xf numFmtId="0" fontId="7" fillId="6" borderId="18" xfId="2" applyFont="1" applyFill="1" applyBorder="1" applyAlignment="1">
      <alignment horizontal="center"/>
    </xf>
    <xf numFmtId="0" fontId="7" fillId="7" borderId="19" xfId="0" applyFont="1" applyFill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/>
    </xf>
    <xf numFmtId="0" fontId="7" fillId="6" borderId="19" xfId="2" applyFont="1" applyFill="1" applyBorder="1" applyAlignment="1">
      <alignment horizontal="center"/>
    </xf>
    <xf numFmtId="0" fontId="7" fillId="6" borderId="23" xfId="2" applyFont="1" applyFill="1" applyBorder="1" applyAlignment="1">
      <alignment horizontal="center"/>
    </xf>
    <xf numFmtId="0" fontId="7" fillId="6" borderId="24" xfId="2" applyFont="1" applyFill="1" applyBorder="1" applyAlignment="1">
      <alignment horizontal="center"/>
    </xf>
    <xf numFmtId="0" fontId="7" fillId="6" borderId="21" xfId="2" applyFont="1" applyFill="1" applyBorder="1" applyAlignment="1">
      <alignment horizontal="center"/>
    </xf>
    <xf numFmtId="0" fontId="7" fillId="6" borderId="25" xfId="2" applyFont="1" applyFill="1" applyBorder="1" applyAlignment="1">
      <alignment horizontal="center"/>
    </xf>
    <xf numFmtId="0" fontId="7" fillId="6" borderId="20" xfId="2" applyFont="1" applyFill="1" applyBorder="1" applyAlignment="1">
      <alignment horizontal="center"/>
    </xf>
    <xf numFmtId="0" fontId="7" fillId="8" borderId="19" xfId="2" applyFont="1" applyFill="1" applyBorder="1" applyAlignment="1">
      <alignment horizontal="center"/>
    </xf>
    <xf numFmtId="0" fontId="15" fillId="0" borderId="26" xfId="0" applyFont="1" applyBorder="1" applyAlignment="1">
      <alignment horizontal="center" vertical="center"/>
    </xf>
    <xf numFmtId="14" fontId="15" fillId="0" borderId="26" xfId="0" applyNumberFormat="1" applyFont="1" applyBorder="1" applyAlignment="1">
      <alignment horizontal="center" vertical="center"/>
    </xf>
    <xf numFmtId="49" fontId="15" fillId="0" borderId="26" xfId="0" applyNumberFormat="1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1" fillId="0" borderId="34" xfId="2" applyBorder="1" applyAlignment="1">
      <alignment horizontal="center"/>
    </xf>
    <xf numFmtId="0" fontId="11" fillId="0" borderId="35" xfId="2" applyBorder="1" applyAlignment="1">
      <alignment horizontal="center"/>
    </xf>
    <xf numFmtId="2" fontId="11" fillId="0" borderId="31" xfId="2" applyNumberFormat="1" applyBorder="1" applyAlignment="1">
      <alignment horizontal="center"/>
    </xf>
    <xf numFmtId="164" fontId="13" fillId="0" borderId="34" xfId="3" applyNumberFormat="1" applyBorder="1" applyAlignment="1">
      <alignment horizontal="center"/>
    </xf>
    <xf numFmtId="0" fontId="15" fillId="0" borderId="4" xfId="0" applyFont="1" applyBorder="1" applyAlignment="1">
      <alignment horizontal="center" vertical="center"/>
    </xf>
    <xf numFmtId="14" fontId="15" fillId="0" borderId="4" xfId="0" applyNumberFormat="1" applyFont="1" applyBorder="1" applyAlignment="1">
      <alignment horizontal="center" vertical="center"/>
    </xf>
    <xf numFmtId="49" fontId="15" fillId="0" borderId="4" xfId="0" applyNumberFormat="1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1" fillId="0" borderId="36" xfId="2" applyBorder="1" applyAlignment="1">
      <alignment horizontal="center"/>
    </xf>
    <xf numFmtId="0" fontId="11" fillId="0" borderId="39" xfId="2" applyBorder="1" applyAlignment="1">
      <alignment horizontal="center"/>
    </xf>
    <xf numFmtId="2" fontId="11" fillId="0" borderId="38" xfId="2" applyNumberFormat="1" applyBorder="1" applyAlignment="1">
      <alignment horizontal="center"/>
    </xf>
    <xf numFmtId="164" fontId="13" fillId="0" borderId="36" xfId="3" applyNumberFormat="1" applyBorder="1" applyAlignment="1">
      <alignment horizontal="center"/>
    </xf>
    <xf numFmtId="164" fontId="13" fillId="0" borderId="37" xfId="3" applyNumberFormat="1" applyBorder="1" applyAlignment="1">
      <alignment horizontal="center"/>
    </xf>
    <xf numFmtId="0" fontId="11" fillId="0" borderId="43" xfId="2" applyBorder="1" applyAlignment="1">
      <alignment horizontal="center"/>
    </xf>
    <xf numFmtId="0" fontId="11" fillId="0" borderId="44" xfId="2" applyBorder="1" applyAlignment="1">
      <alignment horizontal="center"/>
    </xf>
    <xf numFmtId="2" fontId="11" fillId="0" borderId="40" xfId="2" applyNumberFormat="1" applyBorder="1" applyAlignment="1">
      <alignment horizontal="center"/>
    </xf>
    <xf numFmtId="164" fontId="13" fillId="0" borderId="43" xfId="3" applyNumberFormat="1" applyBorder="1" applyAlignment="1">
      <alignment horizontal="center"/>
    </xf>
    <xf numFmtId="0" fontId="15" fillId="0" borderId="36" xfId="0" applyFont="1" applyFill="1" applyBorder="1" applyAlignment="1">
      <alignment horizontal="center" vertical="center"/>
    </xf>
    <xf numFmtId="0" fontId="11" fillId="0" borderId="37" xfId="2" applyBorder="1" applyAlignment="1">
      <alignment horizontal="center"/>
    </xf>
    <xf numFmtId="2" fontId="11" fillId="0" borderId="36" xfId="2" applyNumberFormat="1" applyBorder="1" applyAlignment="1">
      <alignment horizontal="center"/>
    </xf>
    <xf numFmtId="0" fontId="15" fillId="0" borderId="15" xfId="0" applyFont="1" applyBorder="1" applyAlignment="1">
      <alignment horizontal="center" vertical="center"/>
    </xf>
    <xf numFmtId="14" fontId="15" fillId="0" borderId="15" xfId="0" applyNumberFormat="1" applyFont="1" applyBorder="1" applyAlignment="1">
      <alignment horizontal="center" vertical="center"/>
    </xf>
    <xf numFmtId="49" fontId="15" fillId="0" borderId="15" xfId="0" applyNumberFormat="1" applyFont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1" fillId="0" borderId="47" xfId="2" applyBorder="1" applyAlignment="1">
      <alignment horizontal="center"/>
    </xf>
    <xf numFmtId="0" fontId="11" fillId="0" borderId="49" xfId="2" applyBorder="1" applyAlignment="1">
      <alignment horizontal="center"/>
    </xf>
    <xf numFmtId="2" fontId="11" fillId="0" borderId="47" xfId="2" applyNumberFormat="1" applyBorder="1" applyAlignment="1">
      <alignment horizontal="center"/>
    </xf>
    <xf numFmtId="164" fontId="13" fillId="0" borderId="47" xfId="3" applyNumberFormat="1" applyBorder="1" applyAlignment="1">
      <alignment horizontal="center"/>
    </xf>
    <xf numFmtId="164" fontId="13" fillId="0" borderId="49" xfId="3" applyNumberFormat="1" applyBorder="1" applyAlignment="1">
      <alignment horizontal="center"/>
    </xf>
    <xf numFmtId="0" fontId="11" fillId="0" borderId="28" xfId="2" applyBorder="1" applyAlignment="1">
      <alignment horizontal="center"/>
    </xf>
    <xf numFmtId="0" fontId="11" fillId="0" borderId="30" xfId="2" applyBorder="1" applyAlignment="1">
      <alignment horizontal="center"/>
    </xf>
    <xf numFmtId="2" fontId="11" fillId="0" borderId="28" xfId="2" applyNumberFormat="1" applyBorder="1" applyAlignment="1">
      <alignment horizontal="center"/>
    </xf>
    <xf numFmtId="164" fontId="13" fillId="0" borderId="28" xfId="3" applyNumberFormat="1" applyBorder="1" applyAlignment="1">
      <alignment horizontal="center"/>
    </xf>
    <xf numFmtId="164" fontId="13" fillId="0" borderId="30" xfId="3" applyNumberFormat="1" applyBorder="1" applyAlignment="1">
      <alignment horizontal="center"/>
    </xf>
    <xf numFmtId="2" fontId="11" fillId="0" borderId="43" xfId="2" applyNumberFormat="1" applyBorder="1" applyAlignment="1">
      <alignment horizontal="center"/>
    </xf>
    <xf numFmtId="0" fontId="15" fillId="0" borderId="43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1" fillId="0" borderId="0" xfId="2"/>
    <xf numFmtId="0" fontId="13" fillId="0" borderId="0" xfId="3"/>
    <xf numFmtId="0" fontId="7" fillId="0" borderId="0" xfId="2" applyFont="1"/>
    <xf numFmtId="0" fontId="11" fillId="0" borderId="0" xfId="2" applyFont="1"/>
    <xf numFmtId="0" fontId="0" fillId="9" borderId="4" xfId="0" applyFill="1" applyBorder="1"/>
    <xf numFmtId="0" fontId="0" fillId="9" borderId="4" xfId="0" applyFill="1" applyBorder="1" applyAlignment="1">
      <alignment wrapText="1"/>
    </xf>
    <xf numFmtId="0" fontId="9" fillId="11" borderId="1" xfId="0" applyFont="1" applyFill="1" applyBorder="1"/>
    <xf numFmtId="0" fontId="0" fillId="11" borderId="2" xfId="0" applyFill="1" applyBorder="1"/>
    <xf numFmtId="43" fontId="55" fillId="6" borderId="0" xfId="4" applyFont="1" applyFill="1" applyAlignment="1">
      <alignment horizontal="center" vertical="center" wrapText="1"/>
    </xf>
    <xf numFmtId="0" fontId="55" fillId="66" borderId="0" xfId="0" applyFont="1" applyFill="1" applyAlignment="1">
      <alignment horizontal="center" vertical="center"/>
    </xf>
    <xf numFmtId="0" fontId="55" fillId="0" borderId="0" xfId="0" applyFont="1" applyAlignment="1">
      <alignment horizontal="center" vertical="center" textRotation="45"/>
    </xf>
    <xf numFmtId="0" fontId="56" fillId="43" borderId="0" xfId="0" applyFont="1" applyFill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 wrapText="1"/>
    </xf>
    <xf numFmtId="2" fontId="58" fillId="0" borderId="0" xfId="0" applyNumberFormat="1" applyFont="1" applyAlignment="1">
      <alignment horizontal="center" vertical="center"/>
    </xf>
    <xf numFmtId="0" fontId="55" fillId="68" borderId="0" xfId="0" applyFont="1" applyFill="1" applyAlignment="1">
      <alignment horizontal="center" vertical="center"/>
    </xf>
    <xf numFmtId="0" fontId="59" fillId="0" borderId="0" xfId="0" applyFont="1"/>
    <xf numFmtId="0" fontId="55" fillId="67" borderId="4" xfId="0" applyFont="1" applyFill="1" applyBorder="1" applyAlignment="1">
      <alignment horizontal="center" vertical="center" wrapText="1"/>
    </xf>
    <xf numFmtId="0" fontId="55" fillId="69" borderId="4" xfId="0" applyFont="1" applyFill="1" applyBorder="1" applyAlignment="1">
      <alignment horizontal="center" vertical="center" wrapText="1"/>
    </xf>
    <xf numFmtId="0" fontId="55" fillId="70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0" fillId="0" borderId="0" xfId="0" applyFont="1"/>
    <xf numFmtId="0" fontId="61" fillId="0" borderId="0" xfId="0" applyFont="1"/>
    <xf numFmtId="166" fontId="60" fillId="0" borderId="73" xfId="0" applyNumberFormat="1" applyFont="1" applyBorder="1"/>
    <xf numFmtId="0" fontId="61" fillId="0" borderId="74" xfId="0" applyFont="1" applyBorder="1"/>
    <xf numFmtId="0" fontId="61" fillId="0" borderId="75" xfId="0" applyFont="1" applyBorder="1"/>
    <xf numFmtId="166" fontId="60" fillId="0" borderId="76" xfId="0" applyNumberFormat="1" applyFont="1" applyBorder="1"/>
    <xf numFmtId="0" fontId="61" fillId="0" borderId="77" xfId="0" applyFont="1" applyBorder="1"/>
    <xf numFmtId="0" fontId="61" fillId="0" borderId="78" xfId="0" applyFont="1" applyBorder="1"/>
    <xf numFmtId="0" fontId="61" fillId="0" borderId="79" xfId="0" applyFont="1" applyBorder="1"/>
    <xf numFmtId="0" fontId="61" fillId="0" borderId="80" xfId="0" applyFont="1" applyBorder="1"/>
    <xf numFmtId="0" fontId="61" fillId="0" borderId="0" xfId="0" applyFont="1" applyBorder="1"/>
    <xf numFmtId="0" fontId="61" fillId="0" borderId="81" xfId="0" applyFont="1" applyBorder="1"/>
    <xf numFmtId="166" fontId="60" fillId="0" borderId="82" xfId="0" applyNumberFormat="1" applyFont="1" applyBorder="1"/>
    <xf numFmtId="167" fontId="60" fillId="0" borderId="83" xfId="0" applyNumberFormat="1" applyFont="1" applyBorder="1" applyAlignment="1">
      <alignment horizontal="center" vertical="center" textRotation="90"/>
    </xf>
    <xf numFmtId="167" fontId="60" fillId="0" borderId="84" xfId="0" applyNumberFormat="1" applyFont="1" applyBorder="1" applyAlignment="1">
      <alignment horizontal="center" vertical="center" textRotation="90"/>
    </xf>
    <xf numFmtId="0" fontId="61" fillId="0" borderId="0" xfId="0" applyFont="1" applyAlignment="1">
      <alignment horizontal="center" vertical="center" textRotation="90"/>
    </xf>
    <xf numFmtId="0" fontId="9" fillId="0" borderId="0" xfId="0" applyFont="1"/>
    <xf numFmtId="14" fontId="0" fillId="9" borderId="4" xfId="0" applyNumberFormat="1" applyFill="1" applyBorder="1" applyAlignment="1">
      <alignment wrapText="1"/>
    </xf>
    <xf numFmtId="0" fontId="62" fillId="9" borderId="4" xfId="158" applyFill="1" applyBorder="1"/>
    <xf numFmtId="0" fontId="0" fillId="9" borderId="4" xfId="0" quotePrefix="1" applyFill="1" applyBorder="1"/>
    <xf numFmtId="168" fontId="0" fillId="0" borderId="0" xfId="0" applyNumberFormat="1"/>
    <xf numFmtId="169" fontId="0" fillId="0" borderId="0" xfId="0" applyNumberFormat="1"/>
    <xf numFmtId="0" fontId="62" fillId="11" borderId="1" xfId="158" applyFill="1" applyBorder="1"/>
    <xf numFmtId="9" fontId="11" fillId="0" borderId="31" xfId="159" applyFont="1" applyBorder="1" applyAlignment="1">
      <alignment horizontal="center"/>
    </xf>
    <xf numFmtId="9" fontId="11" fillId="0" borderId="38" xfId="159" applyFont="1" applyBorder="1" applyAlignment="1">
      <alignment horizontal="center"/>
    </xf>
    <xf numFmtId="9" fontId="11" fillId="0" borderId="40" xfId="159" applyFont="1" applyBorder="1" applyAlignment="1">
      <alignment horizontal="center"/>
    </xf>
    <xf numFmtId="9" fontId="11" fillId="0" borderId="36" xfId="159" applyFont="1" applyBorder="1" applyAlignment="1">
      <alignment horizontal="center"/>
    </xf>
    <xf numFmtId="170" fontId="13" fillId="0" borderId="34" xfId="3" applyNumberFormat="1" applyBorder="1" applyAlignment="1">
      <alignment horizontal="center"/>
    </xf>
    <xf numFmtId="170" fontId="13" fillId="0" borderId="36" xfId="3" applyNumberFormat="1" applyBorder="1" applyAlignment="1">
      <alignment horizontal="center"/>
    </xf>
    <xf numFmtId="170" fontId="13" fillId="0" borderId="43" xfId="3" applyNumberFormat="1" applyBorder="1" applyAlignment="1">
      <alignment horizontal="center"/>
    </xf>
    <xf numFmtId="2" fontId="13" fillId="0" borderId="33" xfId="3" applyNumberFormat="1" applyBorder="1" applyAlignment="1">
      <alignment horizontal="center"/>
    </xf>
    <xf numFmtId="2" fontId="13" fillId="0" borderId="37" xfId="3" applyNumberFormat="1" applyBorder="1" applyAlignment="1">
      <alignment horizontal="center"/>
    </xf>
    <xf numFmtId="2" fontId="13" fillId="0" borderId="42" xfId="3" applyNumberFormat="1" applyBorder="1" applyAlignment="1">
      <alignment horizontal="center"/>
    </xf>
    <xf numFmtId="14" fontId="0" fillId="0" borderId="0" xfId="0" applyNumberFormat="1"/>
    <xf numFmtId="170" fontId="0" fillId="0" borderId="0" xfId="0" applyNumberFormat="1" applyAlignment="1">
      <alignment horizontal="center"/>
    </xf>
    <xf numFmtId="0" fontId="0" fillId="0" borderId="0" xfId="0"/>
    <xf numFmtId="0" fontId="0" fillId="71" borderId="0" xfId="0" applyFill="1"/>
    <xf numFmtId="0" fontId="0" fillId="71" borderId="0" xfId="0" applyFill="1" applyAlignment="1">
      <alignment horizontal="center" vertical="center" wrapText="1"/>
    </xf>
    <xf numFmtId="0" fontId="2" fillId="10" borderId="4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wrapText="1"/>
    </xf>
    <xf numFmtId="0" fontId="7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49" fontId="12" fillId="5" borderId="9" xfId="2" applyNumberFormat="1" applyFont="1" applyFill="1" applyBorder="1" applyAlignment="1">
      <alignment horizontal="center"/>
    </xf>
    <xf numFmtId="49" fontId="12" fillId="5" borderId="10" xfId="2" applyNumberFormat="1" applyFont="1" applyFill="1" applyBorder="1" applyAlignment="1">
      <alignment horizontal="center"/>
    </xf>
    <xf numFmtId="0" fontId="14" fillId="5" borderId="11" xfId="3" applyFont="1" applyFill="1" applyBorder="1" applyAlignment="1">
      <alignment horizontal="center"/>
    </xf>
    <xf numFmtId="0" fontId="14" fillId="5" borderId="12" xfId="3" applyFont="1" applyFill="1" applyBorder="1" applyAlignment="1">
      <alignment horizontal="center"/>
    </xf>
    <xf numFmtId="0" fontId="2" fillId="5" borderId="13" xfId="3" applyFont="1" applyFill="1" applyBorder="1" applyAlignment="1">
      <alignment horizontal="center"/>
    </xf>
    <xf numFmtId="0" fontId="2" fillId="5" borderId="14" xfId="3" applyFont="1" applyFill="1" applyBorder="1" applyAlignment="1">
      <alignment horizontal="center"/>
    </xf>
    <xf numFmtId="0" fontId="15" fillId="0" borderId="27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0" fontId="15" fillId="0" borderId="53" xfId="0" applyFont="1" applyBorder="1" applyAlignment="1">
      <alignment horizontal="center" vertical="center"/>
    </xf>
    <xf numFmtId="0" fontId="15" fillId="0" borderId="54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60">
    <cellStyle name="20 % - Accent1 2" xfId="5"/>
    <cellStyle name="20 % - Accent2 2" xfId="6"/>
    <cellStyle name="20 % - Accent3 2" xfId="7"/>
    <cellStyle name="20 % - Accent4 2" xfId="8"/>
    <cellStyle name="20 % - Accent5 2" xfId="9"/>
    <cellStyle name="20 % - Accent6 2" xfId="10"/>
    <cellStyle name="20% — akcent 1" xfId="11"/>
    <cellStyle name="20% — akcent 2" xfId="12"/>
    <cellStyle name="20% — akcent 3" xfId="13"/>
    <cellStyle name="20% — akcent 4" xfId="14"/>
    <cellStyle name="20% — akcent 5" xfId="15"/>
    <cellStyle name="20% — akcent 6" xfId="16"/>
    <cellStyle name="20% - Akzent1" xfId="17"/>
    <cellStyle name="20% - Akzent2" xfId="18"/>
    <cellStyle name="20% - Akzent3" xfId="19"/>
    <cellStyle name="20% - Akzent4" xfId="20"/>
    <cellStyle name="20% - Akzent5" xfId="21"/>
    <cellStyle name="20% - Akzent6" xfId="22"/>
    <cellStyle name="40 % - Accent1 2" xfId="23"/>
    <cellStyle name="40 % - Accent2 2" xfId="24"/>
    <cellStyle name="40 % - Accent3 2" xfId="25"/>
    <cellStyle name="40 % - Accent4 2" xfId="26"/>
    <cellStyle name="40 % - Accent5 2" xfId="27"/>
    <cellStyle name="40 % - Accent6 2" xfId="28"/>
    <cellStyle name="40% — akcent 1" xfId="29"/>
    <cellStyle name="40% — akcent 2" xfId="30"/>
    <cellStyle name="40% — akcent 3" xfId="31"/>
    <cellStyle name="40% — akcent 4" xfId="32"/>
    <cellStyle name="40% — akcent 5" xfId="33"/>
    <cellStyle name="40% — akcent 6" xfId="34"/>
    <cellStyle name="40% - Akzent1" xfId="35"/>
    <cellStyle name="40% - Akzent2" xfId="36"/>
    <cellStyle name="40% - Akzent3" xfId="37"/>
    <cellStyle name="40% - Akzent4" xfId="38"/>
    <cellStyle name="40% - Akzent5" xfId="39"/>
    <cellStyle name="40% - Akzent6" xfId="40"/>
    <cellStyle name="60 % - Accent1 2" xfId="41"/>
    <cellStyle name="60 % - Accent2 2" xfId="42"/>
    <cellStyle name="60 % - Accent3 2" xfId="43"/>
    <cellStyle name="60 % - Accent4 2" xfId="44"/>
    <cellStyle name="60 % - Accent5 2" xfId="45"/>
    <cellStyle name="60 % - Accent6 2" xfId="46"/>
    <cellStyle name="60% — akcent 1" xfId="47"/>
    <cellStyle name="60% — akcent 2" xfId="48"/>
    <cellStyle name="60% — akcent 3" xfId="49"/>
    <cellStyle name="60% — akcent 4" xfId="50"/>
    <cellStyle name="60% — akcent 5" xfId="51"/>
    <cellStyle name="60% — akcent 6" xfId="52"/>
    <cellStyle name="60% - Akzent1" xfId="53"/>
    <cellStyle name="60% - Akzent2" xfId="54"/>
    <cellStyle name="60% - Akzent3" xfId="55"/>
    <cellStyle name="60% - Akzent4" xfId="56"/>
    <cellStyle name="60% - Akzent5" xfId="57"/>
    <cellStyle name="60% - Akzent6" xfId="58"/>
    <cellStyle name="Accent1 2" xfId="59"/>
    <cellStyle name="Accent2 2" xfId="60"/>
    <cellStyle name="Accent3 2" xfId="61"/>
    <cellStyle name="Accent4 2" xfId="62"/>
    <cellStyle name="Accent5 2" xfId="63"/>
    <cellStyle name="Accent6 2" xfId="64"/>
    <cellStyle name="Akcent 1" xfId="65"/>
    <cellStyle name="Akcent 2" xfId="66"/>
    <cellStyle name="Akcent 3" xfId="67"/>
    <cellStyle name="Akcent 4" xfId="68"/>
    <cellStyle name="Akcent 5" xfId="69"/>
    <cellStyle name="Akcent 6" xfId="70"/>
    <cellStyle name="Akzent1" xfId="71"/>
    <cellStyle name="Akzent2" xfId="72"/>
    <cellStyle name="Akzent3" xfId="73"/>
    <cellStyle name="Akzent4" xfId="74"/>
    <cellStyle name="Akzent5" xfId="75"/>
    <cellStyle name="Akzent6" xfId="76"/>
    <cellStyle name="Ausgabe" xfId="77"/>
    <cellStyle name="Ausgabe 2" xfId="78"/>
    <cellStyle name="Avertissement 2" xfId="79"/>
    <cellStyle name="Berechnung" xfId="80"/>
    <cellStyle name="Berechnung 2" xfId="81"/>
    <cellStyle name="Calcul 2" xfId="82"/>
    <cellStyle name="Cellule liée 2" xfId="83"/>
    <cellStyle name="Commentaire 2" xfId="84"/>
    <cellStyle name="Currency 2" xfId="85"/>
    <cellStyle name="Dane wejściowe" xfId="86"/>
    <cellStyle name="Dane wejściowe 2" xfId="87"/>
    <cellStyle name="Dane wyjściowe" xfId="88"/>
    <cellStyle name="Dane wyjściowe 2" xfId="89"/>
    <cellStyle name="Dobry" xfId="90"/>
    <cellStyle name="Eingabe" xfId="91"/>
    <cellStyle name="Eingabe 2" xfId="92"/>
    <cellStyle name="Entrée 2" xfId="93"/>
    <cellStyle name="Ergebnis" xfId="94"/>
    <cellStyle name="Ergebnis 2" xfId="95"/>
    <cellStyle name="Erklärender Text" xfId="96"/>
    <cellStyle name="Gut" xfId="97"/>
    <cellStyle name="Insatisfaisant 2" xfId="98"/>
    <cellStyle name="Komórka połączona" xfId="99"/>
    <cellStyle name="Komórka zaznaczona" xfId="100"/>
    <cellStyle name="Lien hypertexte" xfId="158" builtinId="8"/>
    <cellStyle name="Milliers" xfId="4" builtinId="3"/>
    <cellStyle name="N1" xfId="101"/>
    <cellStyle name="N1 2" xfId="102"/>
    <cellStyle name="N1_TRIAL" xfId="156"/>
    <cellStyle name="Nagłówek 1" xfId="103"/>
    <cellStyle name="Nagłówek 2" xfId="104"/>
    <cellStyle name="Nagłówek 3" xfId="105"/>
    <cellStyle name="Nagłówek 4" xfId="106"/>
    <cellStyle name="Neutral" xfId="107"/>
    <cellStyle name="Neutralny" xfId="108"/>
    <cellStyle name="Neutre 2" xfId="109"/>
    <cellStyle name="Normal" xfId="0" builtinId="0"/>
    <cellStyle name="Normal 2" xfId="110"/>
    <cellStyle name="Normal 2 2" xfId="2"/>
    <cellStyle name="Normal 2 3" xfId="111"/>
    <cellStyle name="Normal 2 4" xfId="112"/>
    <cellStyle name="Normal 2 4 2" xfId="113"/>
    <cellStyle name="Normal 2 4 3" xfId="114"/>
    <cellStyle name="Normal 2 4_TRIAL" xfId="157"/>
    <cellStyle name="Normal 2_Bilan N" xfId="115"/>
    <cellStyle name="Normal 3" xfId="116"/>
    <cellStyle name="Normal 3 2" xfId="117"/>
    <cellStyle name="Normal 3 3" xfId="118"/>
    <cellStyle name="Normal 3_Bilan N" xfId="119"/>
    <cellStyle name="Normal 4" xfId="120"/>
    <cellStyle name="Normal 4 2" xfId="121"/>
    <cellStyle name="Normal 5" xfId="122"/>
    <cellStyle name="Normal 5 2" xfId="123"/>
    <cellStyle name="Normal 5_Feuil3" xfId="124"/>
    <cellStyle name="Normal 6" xfId="3"/>
    <cellStyle name="Normal 8 2 3" xfId="1"/>
    <cellStyle name="Notiz" xfId="125"/>
    <cellStyle name="Notiz 2" xfId="126"/>
    <cellStyle name="Obliczenia" xfId="127"/>
    <cellStyle name="Obliczenia 2" xfId="128"/>
    <cellStyle name="Pourcentage" xfId="159" builtinId="5"/>
    <cellStyle name="Satisfaisant 2" xfId="129"/>
    <cellStyle name="Schlecht" xfId="130"/>
    <cellStyle name="Sortie 2" xfId="131"/>
    <cellStyle name="Suma" xfId="132"/>
    <cellStyle name="Suma 2" xfId="133"/>
    <cellStyle name="Tekst objaśnienia" xfId="134"/>
    <cellStyle name="Tekst ostrzeżenia" xfId="135"/>
    <cellStyle name="Texte explicatif 2" xfId="136"/>
    <cellStyle name="Titre 2" xfId="137"/>
    <cellStyle name="Titre 1 2" xfId="138"/>
    <cellStyle name="Titre 2 2" xfId="139"/>
    <cellStyle name="Titre 3 2" xfId="140"/>
    <cellStyle name="Titre 4 2" xfId="141"/>
    <cellStyle name="Total 2" xfId="142"/>
    <cellStyle name="Tytuł" xfId="143"/>
    <cellStyle name="Überschrift" xfId="144"/>
    <cellStyle name="Überschrift 1" xfId="145"/>
    <cellStyle name="Überschrift 2" xfId="146"/>
    <cellStyle name="Überschrift 3" xfId="147"/>
    <cellStyle name="Überschrift 4" xfId="148"/>
    <cellStyle name="Uwaga" xfId="149"/>
    <cellStyle name="Uwaga 2" xfId="150"/>
    <cellStyle name="Vérification 2" xfId="151"/>
    <cellStyle name="Verknüpfte Zelle" xfId="152"/>
    <cellStyle name="Warnender Text" xfId="153"/>
    <cellStyle name="Zelle überprüfen" xfId="154"/>
    <cellStyle name="Zły" xfId="155"/>
  </cellStyles>
  <dxfs count="14">
    <dxf>
      <font>
        <color rgb="FF0000FF"/>
      </font>
      <fill>
        <patternFill>
          <bgColor rgb="FFFF0000"/>
        </patternFill>
      </fill>
    </dxf>
    <dxf>
      <font>
        <color rgb="FF0000FF"/>
      </font>
      <fill>
        <patternFill>
          <bgColor rgb="FFFFFF00"/>
        </patternFill>
      </fill>
    </dxf>
    <dxf>
      <font>
        <color rgb="FF0000FF"/>
      </font>
      <fill>
        <patternFill>
          <bgColor rgb="FF008F00"/>
        </patternFill>
      </fill>
    </dxf>
    <dxf>
      <font>
        <color rgb="FF0000FF"/>
      </font>
      <fill>
        <patternFill>
          <bgColor rgb="FF00FF00"/>
        </patternFill>
      </fill>
    </dxf>
    <dxf>
      <font>
        <color rgb="FF000000"/>
      </font>
      <fill>
        <patternFill>
          <bgColor rgb="FF008F00"/>
        </patternFill>
      </fill>
    </dxf>
    <dxf>
      <font>
        <color rgb="FF000000"/>
      </font>
      <fill>
        <patternFill>
          <bgColor rgb="FF0000FF"/>
        </patternFill>
      </fill>
    </dxf>
    <dxf>
      <font>
        <color rgb="FF000000"/>
      </font>
      <fill>
        <patternFill>
          <bgColor rgb="FF8FFFFF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000000"/>
      </font>
      <fill>
        <patternFill>
          <bgColor rgb="FF008F00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0000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anna.younous@euralis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hanna.younous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B5" sqref="B5"/>
    </sheetView>
  </sheetViews>
  <sheetFormatPr baseColWidth="10" defaultRowHeight="15"/>
  <cols>
    <col min="1" max="1" width="17.85546875" bestFit="1" customWidth="1"/>
    <col min="2" max="2" width="91.5703125" customWidth="1"/>
  </cols>
  <sheetData>
    <row r="1" spans="1:2" ht="21">
      <c r="A1" s="1" t="s">
        <v>0</v>
      </c>
    </row>
    <row r="2" spans="1:2" ht="15.75" thickBot="1"/>
    <row r="3" spans="1:2" ht="15.75" thickBot="1">
      <c r="A3" s="9" t="s">
        <v>1</v>
      </c>
      <c r="B3" s="81" t="s">
        <v>156</v>
      </c>
    </row>
    <row r="4" spans="1:2" ht="15.75" thickBot="1">
      <c r="A4" s="9" t="s">
        <v>10</v>
      </c>
      <c r="B4" s="118" t="s">
        <v>234</v>
      </c>
    </row>
    <row r="5" spans="1:2" ht="15.75" thickBot="1">
      <c r="A5" s="9" t="s">
        <v>2</v>
      </c>
      <c r="B5" s="10"/>
    </row>
    <row r="6" spans="1:2" ht="15.75" thickBot="1">
      <c r="A6" s="9" t="s">
        <v>3</v>
      </c>
      <c r="B6" s="11"/>
    </row>
    <row r="7" spans="1:2" ht="15.75" thickBot="1">
      <c r="A7" s="9" t="s">
        <v>4</v>
      </c>
      <c r="B7" s="10" t="s">
        <v>5</v>
      </c>
    </row>
    <row r="8" spans="1:2" ht="15.75" thickBot="1">
      <c r="A8" s="9" t="s">
        <v>11</v>
      </c>
      <c r="B8" s="10" t="s">
        <v>12</v>
      </c>
    </row>
    <row r="9" spans="1:2" ht="15.75" thickBot="1">
      <c r="A9" s="4" t="s">
        <v>6</v>
      </c>
      <c r="B9" s="82"/>
    </row>
    <row r="10" spans="1:2" ht="15.75" thickBot="1">
      <c r="A10" s="2"/>
    </row>
    <row r="11" spans="1:2" ht="15.75" thickBot="1">
      <c r="A11" s="6" t="s">
        <v>7</v>
      </c>
      <c r="B11" s="5"/>
    </row>
    <row r="12" spans="1:2" ht="15.75" thickBot="1">
      <c r="A12" s="6" t="s">
        <v>8</v>
      </c>
      <c r="B12" s="7"/>
    </row>
    <row r="14" spans="1:2" ht="15.75" thickBot="1"/>
    <row r="15" spans="1:2" ht="15.75" thickBot="1">
      <c r="A15" s="8" t="s">
        <v>9</v>
      </c>
      <c r="B15" s="7"/>
    </row>
    <row r="17" spans="2:2">
      <c r="B17" s="3"/>
    </row>
  </sheetData>
  <hyperlinks>
    <hyperlink ref="B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23"/>
  <sheetViews>
    <sheetView zoomScale="85" zoomScaleNormal="85" workbookViewId="0">
      <selection activeCell="P3" sqref="P3"/>
    </sheetView>
  </sheetViews>
  <sheetFormatPr baseColWidth="10" defaultRowHeight="15"/>
  <cols>
    <col min="1" max="1" width="19" bestFit="1" customWidth="1"/>
    <col min="2" max="2" width="33.5703125" customWidth="1"/>
    <col min="3" max="3" width="13.7109375" customWidth="1"/>
    <col min="4" max="4" width="16.7109375" customWidth="1"/>
    <col min="5" max="5" width="16.7109375" bestFit="1" customWidth="1"/>
    <col min="6" max="6" width="16.42578125" bestFit="1" customWidth="1"/>
    <col min="7" max="7" width="13.140625" bestFit="1" customWidth="1"/>
    <col min="9" max="9" width="9.42578125" bestFit="1" customWidth="1"/>
    <col min="10" max="10" width="12.28515625" bestFit="1" customWidth="1"/>
    <col min="11" max="11" width="12.5703125" bestFit="1" customWidth="1"/>
    <col min="12" max="12" width="9.7109375" bestFit="1" customWidth="1"/>
    <col min="13" max="13" width="10.28515625" bestFit="1" customWidth="1"/>
    <col min="14" max="14" width="11.85546875" bestFit="1" customWidth="1"/>
    <col min="15" max="16" width="9.42578125" bestFit="1" customWidth="1"/>
  </cols>
  <sheetData>
    <row r="1" spans="1:16" ht="38.25">
      <c r="A1" s="134" t="s">
        <v>17</v>
      </c>
      <c r="B1" s="134"/>
      <c r="D1" s="95" t="s">
        <v>136</v>
      </c>
      <c r="E1" s="93" t="s">
        <v>106</v>
      </c>
      <c r="F1" s="93" t="s">
        <v>107</v>
      </c>
      <c r="G1" s="93" t="s">
        <v>108</v>
      </c>
      <c r="H1" s="94" t="s">
        <v>109</v>
      </c>
      <c r="I1" s="94" t="s">
        <v>110</v>
      </c>
      <c r="J1" s="94" t="s">
        <v>111</v>
      </c>
      <c r="K1" s="94" t="s">
        <v>112</v>
      </c>
      <c r="L1" s="94" t="s">
        <v>113</v>
      </c>
      <c r="M1" s="94" t="s">
        <v>114</v>
      </c>
      <c r="N1" s="94" t="s">
        <v>115</v>
      </c>
      <c r="O1" s="94" t="s">
        <v>116</v>
      </c>
      <c r="P1" s="92" t="s">
        <v>117</v>
      </c>
    </row>
    <row r="2" spans="1:16">
      <c r="A2" s="79" t="s">
        <v>13</v>
      </c>
      <c r="B2" s="80" t="s">
        <v>155</v>
      </c>
      <c r="D2" t="s">
        <v>137</v>
      </c>
      <c r="E2" s="13">
        <v>42.4</v>
      </c>
      <c r="F2" s="13">
        <v>30</v>
      </c>
      <c r="G2" s="13">
        <f>7*E2</f>
        <v>296.8</v>
      </c>
      <c r="H2" s="13">
        <v>18</v>
      </c>
      <c r="I2" s="13">
        <v>-20</v>
      </c>
      <c r="J2" s="13">
        <v>79.7</v>
      </c>
      <c r="K2" s="13">
        <v>30</v>
      </c>
      <c r="L2" s="13">
        <v>0</v>
      </c>
      <c r="M2" s="13">
        <v>0</v>
      </c>
      <c r="N2" s="13">
        <f>SUM(H2:M2)</f>
        <v>107.7</v>
      </c>
      <c r="O2" s="13">
        <f>G2-N2</f>
        <v>189.10000000000002</v>
      </c>
      <c r="P2" s="13">
        <v>160</v>
      </c>
    </row>
    <row r="3" spans="1:16">
      <c r="A3" s="79" t="s">
        <v>14</v>
      </c>
      <c r="B3" s="113">
        <v>42978</v>
      </c>
      <c r="D3" t="s">
        <v>138</v>
      </c>
      <c r="E3" s="13">
        <v>42.4</v>
      </c>
      <c r="F3" s="13">
        <v>30</v>
      </c>
      <c r="G3" s="13">
        <f>7*E3</f>
        <v>296.8</v>
      </c>
      <c r="H3" s="13">
        <v>18</v>
      </c>
      <c r="I3" s="13">
        <v>-20</v>
      </c>
      <c r="J3" s="13">
        <v>79.7</v>
      </c>
      <c r="K3" s="13">
        <v>30</v>
      </c>
      <c r="L3" s="13">
        <v>0</v>
      </c>
      <c r="M3" s="13">
        <v>0</v>
      </c>
      <c r="N3" s="13">
        <f>SUM(H3:M3)</f>
        <v>107.7</v>
      </c>
      <c r="O3" s="13">
        <f>G3-N3</f>
        <v>189.10000000000002</v>
      </c>
      <c r="P3" s="13">
        <v>0</v>
      </c>
    </row>
    <row r="4" spans="1:16">
      <c r="A4" s="79" t="s">
        <v>15</v>
      </c>
      <c r="B4" s="113">
        <v>43288</v>
      </c>
    </row>
    <row r="5" spans="1:16">
      <c r="A5" s="79" t="s">
        <v>16</v>
      </c>
      <c r="B5" s="80"/>
    </row>
    <row r="6" spans="1:16">
      <c r="A6" s="79" t="s">
        <v>23</v>
      </c>
      <c r="B6" s="79" t="s">
        <v>156</v>
      </c>
    </row>
    <row r="7" spans="1:16">
      <c r="A7" s="79" t="s">
        <v>24</v>
      </c>
      <c r="B7" s="115" t="s">
        <v>158</v>
      </c>
    </row>
    <row r="8" spans="1:16">
      <c r="A8" s="79" t="s">
        <v>25</v>
      </c>
      <c r="B8" s="114" t="s">
        <v>157</v>
      </c>
    </row>
    <row r="10" spans="1:16">
      <c r="A10" s="134" t="s">
        <v>18</v>
      </c>
      <c r="B10" s="134"/>
    </row>
    <row r="11" spans="1:16">
      <c r="A11" s="79" t="s">
        <v>19</v>
      </c>
      <c r="B11" s="79"/>
    </row>
    <row r="12" spans="1:16">
      <c r="A12" s="79" t="s">
        <v>20</v>
      </c>
      <c r="B12" s="79">
        <v>47.749048999999999</v>
      </c>
    </row>
    <row r="13" spans="1:16">
      <c r="A13" s="79" t="s">
        <v>21</v>
      </c>
      <c r="B13" s="79">
        <v>1.2256339999999999</v>
      </c>
    </row>
    <row r="15" spans="1:16">
      <c r="A15" s="134" t="s">
        <v>22</v>
      </c>
      <c r="B15" s="134"/>
    </row>
    <row r="16" spans="1:16">
      <c r="A16" s="79" t="s">
        <v>26</v>
      </c>
      <c r="B16" s="79"/>
    </row>
    <row r="17" spans="1:2">
      <c r="A17" s="79" t="s">
        <v>27</v>
      </c>
      <c r="B17" s="79"/>
    </row>
    <row r="18" spans="1:2">
      <c r="A18" s="79" t="s">
        <v>28</v>
      </c>
      <c r="B18" s="79"/>
    </row>
    <row r="19" spans="1:2">
      <c r="A19" s="79" t="s">
        <v>29</v>
      </c>
      <c r="B19" s="113">
        <v>42978</v>
      </c>
    </row>
    <row r="20" spans="1:2">
      <c r="A20" s="79" t="s">
        <v>30</v>
      </c>
      <c r="B20" s="79"/>
    </row>
    <row r="21" spans="1:2">
      <c r="A21" s="79" t="s">
        <v>31</v>
      </c>
      <c r="B21" s="79"/>
    </row>
    <row r="22" spans="1:2">
      <c r="A22" s="79" t="s">
        <v>32</v>
      </c>
      <c r="B22" s="79"/>
    </row>
    <row r="23" spans="1:2">
      <c r="A23" s="79" t="s">
        <v>33</v>
      </c>
      <c r="B23" s="113">
        <v>43288</v>
      </c>
    </row>
  </sheetData>
  <mergeCells count="3">
    <mergeCell ref="A1:B1"/>
    <mergeCell ref="A10:B10"/>
    <mergeCell ref="A15:B15"/>
  </mergeCells>
  <hyperlinks>
    <hyperlink ref="B8" r:id="rId1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CD22"/>
  <sheetViews>
    <sheetView tabSelected="1" zoomScale="115" zoomScaleNormal="115" workbookViewId="0">
      <selection activeCell="T11" sqref="T11"/>
    </sheetView>
  </sheetViews>
  <sheetFormatPr baseColWidth="10" defaultRowHeight="15"/>
  <cols>
    <col min="1" max="1" width="3.5703125" customWidth="1"/>
    <col min="2" max="82" width="2.28515625" style="97" customWidth="1"/>
  </cols>
  <sheetData>
    <row r="1" spans="1:82">
      <c r="A1" s="96" t="s">
        <v>139</v>
      </c>
    </row>
    <row r="2" spans="1:82">
      <c r="A2" s="96" t="s">
        <v>140</v>
      </c>
    </row>
    <row r="3" spans="1:82">
      <c r="A3" s="96"/>
    </row>
    <row r="4" spans="1:82">
      <c r="A4" s="96" t="s">
        <v>137</v>
      </c>
      <c r="AQ4" s="96" t="s">
        <v>138</v>
      </c>
    </row>
    <row r="5" spans="1:82">
      <c r="A5" s="98">
        <v>20</v>
      </c>
      <c r="B5" s="99" t="s">
        <v>141</v>
      </c>
      <c r="C5" s="99" t="s">
        <v>141</v>
      </c>
      <c r="D5" s="99" t="s">
        <v>141</v>
      </c>
      <c r="E5" s="99" t="s">
        <v>141</v>
      </c>
      <c r="F5" s="99" t="s">
        <v>141</v>
      </c>
      <c r="G5" s="99" t="s">
        <v>141</v>
      </c>
      <c r="H5" s="99" t="s">
        <v>141</v>
      </c>
      <c r="I5" s="99" t="s">
        <v>141</v>
      </c>
      <c r="J5" s="99">
        <v>2</v>
      </c>
      <c r="K5" s="99" t="s">
        <v>141</v>
      </c>
      <c r="L5" s="99" t="s">
        <v>141</v>
      </c>
      <c r="M5" s="99" t="s">
        <v>141</v>
      </c>
      <c r="N5" s="99" t="s">
        <v>141</v>
      </c>
      <c r="O5" s="99" t="s">
        <v>141</v>
      </c>
      <c r="P5" s="99" t="s">
        <v>141</v>
      </c>
      <c r="Q5" s="99" t="s">
        <v>141</v>
      </c>
      <c r="R5" s="99">
        <v>8</v>
      </c>
      <c r="S5" s="99" t="s">
        <v>141</v>
      </c>
      <c r="T5" s="99" t="s">
        <v>141</v>
      </c>
      <c r="U5" s="99" t="s">
        <v>141</v>
      </c>
      <c r="V5" s="99" t="s">
        <v>141</v>
      </c>
      <c r="W5" s="99" t="s">
        <v>141</v>
      </c>
      <c r="X5" s="99">
        <v>6</v>
      </c>
      <c r="Y5" s="99" t="s">
        <v>141</v>
      </c>
      <c r="Z5" s="99" t="s">
        <v>141</v>
      </c>
      <c r="AA5" s="99" t="s">
        <v>141</v>
      </c>
      <c r="AB5" s="99" t="s">
        <v>141</v>
      </c>
      <c r="AC5" s="99" t="s">
        <v>141</v>
      </c>
      <c r="AD5" s="99" t="s">
        <v>141</v>
      </c>
      <c r="AE5" s="99" t="s">
        <v>141</v>
      </c>
      <c r="AF5" s="99">
        <v>12</v>
      </c>
      <c r="AG5" s="99" t="s">
        <v>141</v>
      </c>
      <c r="AH5" s="99" t="s">
        <v>141</v>
      </c>
      <c r="AI5" s="99" t="s">
        <v>141</v>
      </c>
      <c r="AJ5" s="99" t="s">
        <v>141</v>
      </c>
      <c r="AK5" s="99" t="s">
        <v>141</v>
      </c>
      <c r="AL5" s="99" t="s">
        <v>141</v>
      </c>
      <c r="AM5" s="99" t="s">
        <v>141</v>
      </c>
      <c r="AN5" s="99" t="s">
        <v>141</v>
      </c>
      <c r="AO5" s="100" t="s">
        <v>141</v>
      </c>
      <c r="AQ5" s="99" t="s">
        <v>141</v>
      </c>
      <c r="AR5" s="99" t="s">
        <v>141</v>
      </c>
      <c r="AS5" s="99" t="s">
        <v>141</v>
      </c>
      <c r="AT5" s="99" t="s">
        <v>141</v>
      </c>
      <c r="AU5" s="99" t="s">
        <v>141</v>
      </c>
      <c r="AV5" s="99" t="s">
        <v>141</v>
      </c>
      <c r="AW5" s="99" t="s">
        <v>141</v>
      </c>
      <c r="AX5" s="99" t="s">
        <v>141</v>
      </c>
      <c r="AY5" s="99">
        <v>1</v>
      </c>
      <c r="AZ5" s="99" t="s">
        <v>141</v>
      </c>
      <c r="BA5" s="99" t="s">
        <v>141</v>
      </c>
      <c r="BB5" s="99" t="s">
        <v>141</v>
      </c>
      <c r="BC5" s="99">
        <v>10</v>
      </c>
      <c r="BD5" s="99" t="s">
        <v>141</v>
      </c>
      <c r="BE5" s="99" t="s">
        <v>141</v>
      </c>
      <c r="BF5" s="99" t="s">
        <v>141</v>
      </c>
      <c r="BG5" s="99">
        <v>8</v>
      </c>
      <c r="BH5" s="99" t="s">
        <v>141</v>
      </c>
      <c r="BI5" s="99" t="s">
        <v>141</v>
      </c>
      <c r="BJ5" s="99" t="s">
        <v>141</v>
      </c>
      <c r="BK5" s="99" t="s">
        <v>141</v>
      </c>
      <c r="BL5" s="99" t="s">
        <v>141</v>
      </c>
      <c r="BM5" s="99">
        <v>4</v>
      </c>
      <c r="BN5" s="99" t="s">
        <v>141</v>
      </c>
      <c r="BO5" s="99" t="s">
        <v>141</v>
      </c>
      <c r="BP5" s="99" t="s">
        <v>141</v>
      </c>
      <c r="BQ5" s="99" t="s">
        <v>141</v>
      </c>
      <c r="BR5" s="99" t="s">
        <v>141</v>
      </c>
      <c r="BS5" s="99" t="s">
        <v>141</v>
      </c>
      <c r="BT5" s="99" t="s">
        <v>141</v>
      </c>
      <c r="BU5" s="99">
        <v>6</v>
      </c>
      <c r="BV5" s="99" t="s">
        <v>141</v>
      </c>
      <c r="BW5" s="99" t="s">
        <v>141</v>
      </c>
      <c r="BX5" s="99" t="s">
        <v>141</v>
      </c>
      <c r="BY5" s="99">
        <v>7</v>
      </c>
      <c r="BZ5" s="99" t="s">
        <v>141</v>
      </c>
      <c r="CA5" s="99" t="s">
        <v>141</v>
      </c>
      <c r="CB5" s="99" t="s">
        <v>141</v>
      </c>
      <c r="CC5" s="99" t="s">
        <v>141</v>
      </c>
      <c r="CD5" s="100" t="s">
        <v>141</v>
      </c>
    </row>
    <row r="6" spans="1:82">
      <c r="A6" s="101">
        <v>19</v>
      </c>
      <c r="B6" s="102" t="s">
        <v>141</v>
      </c>
      <c r="C6" s="102" t="s">
        <v>141</v>
      </c>
      <c r="D6" s="102" t="s">
        <v>141</v>
      </c>
      <c r="E6" s="102" t="s">
        <v>141</v>
      </c>
      <c r="F6" s="102" t="s">
        <v>141</v>
      </c>
      <c r="G6" s="102" t="s">
        <v>141</v>
      </c>
      <c r="H6" s="102">
        <v>11</v>
      </c>
      <c r="I6" s="102" t="s">
        <v>141</v>
      </c>
      <c r="J6" s="102" t="s">
        <v>141</v>
      </c>
      <c r="K6" s="102" t="s">
        <v>141</v>
      </c>
      <c r="L6" s="102">
        <v>1</v>
      </c>
      <c r="M6" s="102" t="s">
        <v>141</v>
      </c>
      <c r="N6" s="102" t="s">
        <v>141</v>
      </c>
      <c r="O6" s="102" t="s">
        <v>141</v>
      </c>
      <c r="P6" s="102">
        <v>10</v>
      </c>
      <c r="Q6" s="102" t="s">
        <v>141</v>
      </c>
      <c r="R6" s="102" t="s">
        <v>141</v>
      </c>
      <c r="S6" s="102" t="s">
        <v>141</v>
      </c>
      <c r="T6" s="102">
        <v>9</v>
      </c>
      <c r="U6" s="102" t="s">
        <v>141</v>
      </c>
      <c r="V6" s="102" t="s">
        <v>141</v>
      </c>
      <c r="W6" s="102" t="s">
        <v>141</v>
      </c>
      <c r="X6" s="102" t="s">
        <v>141</v>
      </c>
      <c r="Y6" s="102" t="s">
        <v>141</v>
      </c>
      <c r="Z6" s="102" t="s">
        <v>141</v>
      </c>
      <c r="AA6" s="102" t="s">
        <v>141</v>
      </c>
      <c r="AB6" s="102" t="s">
        <v>141</v>
      </c>
      <c r="AC6" s="102" t="s">
        <v>141</v>
      </c>
      <c r="AD6" s="102" t="s">
        <v>141</v>
      </c>
      <c r="AE6" s="102">
        <v>4</v>
      </c>
      <c r="AF6" s="102" t="s">
        <v>141</v>
      </c>
      <c r="AG6" s="102">
        <v>3</v>
      </c>
      <c r="AH6" s="102" t="s">
        <v>141</v>
      </c>
      <c r="AI6" s="102" t="s">
        <v>141</v>
      </c>
      <c r="AJ6" s="102" t="s">
        <v>141</v>
      </c>
      <c r="AK6" s="102">
        <v>7</v>
      </c>
      <c r="AL6" s="102" t="s">
        <v>141</v>
      </c>
      <c r="AM6" s="102">
        <v>5</v>
      </c>
      <c r="AN6" s="102" t="s">
        <v>141</v>
      </c>
      <c r="AO6" s="103" t="s">
        <v>141</v>
      </c>
      <c r="AQ6" s="102" t="s">
        <v>141</v>
      </c>
      <c r="AR6" s="102" t="s">
        <v>141</v>
      </c>
      <c r="AS6" s="102" t="s">
        <v>141</v>
      </c>
      <c r="AT6" s="102" t="s">
        <v>141</v>
      </c>
      <c r="AU6" s="102" t="s">
        <v>141</v>
      </c>
      <c r="AV6" s="102" t="s">
        <v>141</v>
      </c>
      <c r="AW6" s="102" t="s">
        <v>141</v>
      </c>
      <c r="AX6" s="102" t="s">
        <v>141</v>
      </c>
      <c r="AY6" s="102" t="s">
        <v>141</v>
      </c>
      <c r="AZ6" s="102" t="s">
        <v>141</v>
      </c>
      <c r="BA6" s="102">
        <v>11</v>
      </c>
      <c r="BB6" s="102" t="s">
        <v>141</v>
      </c>
      <c r="BC6" s="102" t="s">
        <v>141</v>
      </c>
      <c r="BD6" s="102" t="s">
        <v>141</v>
      </c>
      <c r="BE6" s="102">
        <v>2</v>
      </c>
      <c r="BF6" s="102" t="s">
        <v>141</v>
      </c>
      <c r="BG6" s="102" t="s">
        <v>141</v>
      </c>
      <c r="BH6" s="102" t="s">
        <v>141</v>
      </c>
      <c r="BI6" s="102">
        <v>9</v>
      </c>
      <c r="BJ6" s="102" t="s">
        <v>141</v>
      </c>
      <c r="BK6" s="102" t="s">
        <v>141</v>
      </c>
      <c r="BL6" s="102" t="s">
        <v>141</v>
      </c>
      <c r="BM6" s="102" t="s">
        <v>141</v>
      </c>
      <c r="BN6" s="102" t="s">
        <v>141</v>
      </c>
      <c r="BO6" s="102" t="s">
        <v>141</v>
      </c>
      <c r="BP6" s="102" t="s">
        <v>141</v>
      </c>
      <c r="BQ6" s="102" t="s">
        <v>141</v>
      </c>
      <c r="BR6" s="102" t="s">
        <v>141</v>
      </c>
      <c r="BS6" s="102" t="s">
        <v>141</v>
      </c>
      <c r="BT6" s="102" t="s">
        <v>141</v>
      </c>
      <c r="BU6" s="102" t="s">
        <v>141</v>
      </c>
      <c r="BV6" s="102">
        <v>3</v>
      </c>
      <c r="BW6" s="102" t="s">
        <v>141</v>
      </c>
      <c r="BX6" s="102" t="s">
        <v>141</v>
      </c>
      <c r="BY6" s="102" t="s">
        <v>141</v>
      </c>
      <c r="BZ6" s="102">
        <v>5</v>
      </c>
      <c r="CA6" s="102" t="s">
        <v>141</v>
      </c>
      <c r="CB6" s="102" t="s">
        <v>141</v>
      </c>
      <c r="CC6" s="102" t="s">
        <v>141</v>
      </c>
      <c r="CD6" s="103">
        <v>12</v>
      </c>
    </row>
    <row r="7" spans="1:82">
      <c r="A7" s="101">
        <v>18</v>
      </c>
      <c r="B7" s="104" t="s">
        <v>141</v>
      </c>
      <c r="C7" s="104" t="s">
        <v>141</v>
      </c>
      <c r="D7" s="104" t="s">
        <v>141</v>
      </c>
      <c r="E7" s="104" t="s">
        <v>141</v>
      </c>
      <c r="F7" s="104" t="s">
        <v>141</v>
      </c>
      <c r="G7" s="104" t="s">
        <v>141</v>
      </c>
      <c r="H7" s="104" t="s">
        <v>141</v>
      </c>
      <c r="I7" s="104" t="s">
        <v>141</v>
      </c>
      <c r="J7" s="104">
        <v>1</v>
      </c>
      <c r="K7" s="104" t="s">
        <v>141</v>
      </c>
      <c r="L7" s="104" t="s">
        <v>141</v>
      </c>
      <c r="M7" s="104" t="s">
        <v>141</v>
      </c>
      <c r="N7" s="104">
        <v>10</v>
      </c>
      <c r="O7" s="104" t="s">
        <v>141</v>
      </c>
      <c r="P7" s="104" t="s">
        <v>141</v>
      </c>
      <c r="Q7" s="104" t="s">
        <v>141</v>
      </c>
      <c r="R7" s="104">
        <v>8</v>
      </c>
      <c r="S7" s="104" t="s">
        <v>141</v>
      </c>
      <c r="T7" s="104" t="s">
        <v>141</v>
      </c>
      <c r="U7" s="104" t="s">
        <v>141</v>
      </c>
      <c r="V7" s="104" t="s">
        <v>141</v>
      </c>
      <c r="W7" s="104" t="s">
        <v>141</v>
      </c>
      <c r="X7" s="104">
        <v>4</v>
      </c>
      <c r="Y7" s="104" t="s">
        <v>141</v>
      </c>
      <c r="Z7" s="104" t="s">
        <v>141</v>
      </c>
      <c r="AA7" s="104" t="s">
        <v>141</v>
      </c>
      <c r="AB7" s="104" t="s">
        <v>141</v>
      </c>
      <c r="AC7" s="104" t="s">
        <v>141</v>
      </c>
      <c r="AD7" s="104" t="s">
        <v>141</v>
      </c>
      <c r="AE7" s="104" t="s">
        <v>141</v>
      </c>
      <c r="AF7" s="104">
        <v>6</v>
      </c>
      <c r="AG7" s="104" t="s">
        <v>141</v>
      </c>
      <c r="AH7" s="104" t="s">
        <v>141</v>
      </c>
      <c r="AI7" s="104" t="s">
        <v>141</v>
      </c>
      <c r="AJ7" s="104">
        <v>7</v>
      </c>
      <c r="AK7" s="104" t="s">
        <v>141</v>
      </c>
      <c r="AL7" s="104" t="s">
        <v>141</v>
      </c>
      <c r="AM7" s="104" t="s">
        <v>141</v>
      </c>
      <c r="AN7" s="104" t="s">
        <v>141</v>
      </c>
      <c r="AO7" s="105" t="s">
        <v>141</v>
      </c>
      <c r="AQ7" s="104">
        <v>11</v>
      </c>
      <c r="AR7" s="104" t="s">
        <v>141</v>
      </c>
      <c r="AS7" s="104" t="s">
        <v>141</v>
      </c>
      <c r="AT7" s="104" t="s">
        <v>141</v>
      </c>
      <c r="AU7" s="104" t="s">
        <v>141</v>
      </c>
      <c r="AV7" s="104" t="s">
        <v>141</v>
      </c>
      <c r="AW7" s="104" t="s">
        <v>141</v>
      </c>
      <c r="AX7" s="104" t="s">
        <v>141</v>
      </c>
      <c r="AY7" s="104" t="s">
        <v>141</v>
      </c>
      <c r="AZ7" s="104" t="s">
        <v>141</v>
      </c>
      <c r="BA7" s="104" t="s">
        <v>141</v>
      </c>
      <c r="BB7" s="104" t="s">
        <v>141</v>
      </c>
      <c r="BC7" s="104" t="s">
        <v>141</v>
      </c>
      <c r="BD7" s="104" t="s">
        <v>141</v>
      </c>
      <c r="BE7" s="104" t="s">
        <v>141</v>
      </c>
      <c r="BF7" s="104" t="s">
        <v>141</v>
      </c>
      <c r="BG7" s="104" t="s">
        <v>141</v>
      </c>
      <c r="BH7" s="104" t="s">
        <v>141</v>
      </c>
      <c r="BI7" s="104" t="s">
        <v>141</v>
      </c>
      <c r="BJ7" s="104" t="s">
        <v>141</v>
      </c>
      <c r="BK7" s="104" t="s">
        <v>141</v>
      </c>
      <c r="BL7" s="104" t="s">
        <v>141</v>
      </c>
      <c r="BM7" s="104" t="s">
        <v>141</v>
      </c>
      <c r="BN7" s="104" t="s">
        <v>141</v>
      </c>
      <c r="BO7" s="104" t="s">
        <v>141</v>
      </c>
      <c r="BP7" s="104" t="s">
        <v>141</v>
      </c>
      <c r="BQ7" s="104">
        <v>6</v>
      </c>
      <c r="BR7" s="104" t="s">
        <v>141</v>
      </c>
      <c r="BS7" s="104" t="s">
        <v>141</v>
      </c>
      <c r="BT7" s="104" t="s">
        <v>141</v>
      </c>
      <c r="BU7" s="104">
        <v>7</v>
      </c>
      <c r="BV7" s="104" t="s">
        <v>141</v>
      </c>
      <c r="BW7" s="104" t="s">
        <v>141</v>
      </c>
      <c r="BX7" s="104" t="s">
        <v>141</v>
      </c>
      <c r="BY7" s="104" t="s">
        <v>141</v>
      </c>
      <c r="BZ7" s="104" t="s">
        <v>141</v>
      </c>
      <c r="CA7" s="104" t="s">
        <v>141</v>
      </c>
      <c r="CB7" s="104" t="s">
        <v>141</v>
      </c>
      <c r="CC7" s="104" t="s">
        <v>141</v>
      </c>
      <c r="CD7" s="105">
        <v>12</v>
      </c>
    </row>
    <row r="8" spans="1:82">
      <c r="A8" s="101">
        <v>17</v>
      </c>
      <c r="B8" s="106" t="s">
        <v>141</v>
      </c>
      <c r="C8" s="106" t="s">
        <v>141</v>
      </c>
      <c r="D8" s="106" t="s">
        <v>141</v>
      </c>
      <c r="E8" s="106" t="s">
        <v>141</v>
      </c>
      <c r="F8" s="106" t="s">
        <v>141</v>
      </c>
      <c r="G8" s="106" t="s">
        <v>141</v>
      </c>
      <c r="H8" s="106" t="s">
        <v>141</v>
      </c>
      <c r="I8" s="106" t="s">
        <v>141</v>
      </c>
      <c r="J8" s="106" t="s">
        <v>141</v>
      </c>
      <c r="K8" s="106" t="s">
        <v>141</v>
      </c>
      <c r="L8" s="106">
        <v>11</v>
      </c>
      <c r="M8" s="106" t="s">
        <v>141</v>
      </c>
      <c r="N8" s="106" t="s">
        <v>141</v>
      </c>
      <c r="O8" s="106" t="s">
        <v>141</v>
      </c>
      <c r="P8" s="106">
        <v>2</v>
      </c>
      <c r="Q8" s="106" t="s">
        <v>141</v>
      </c>
      <c r="R8" s="106" t="s">
        <v>141</v>
      </c>
      <c r="S8" s="106" t="s">
        <v>141</v>
      </c>
      <c r="T8" s="106">
        <v>9</v>
      </c>
      <c r="U8" s="106" t="s">
        <v>141</v>
      </c>
      <c r="V8" s="106" t="s">
        <v>141</v>
      </c>
      <c r="W8" s="106" t="s">
        <v>141</v>
      </c>
      <c r="X8" s="106" t="s">
        <v>141</v>
      </c>
      <c r="Y8" s="106" t="s">
        <v>141</v>
      </c>
      <c r="Z8" s="106" t="s">
        <v>141</v>
      </c>
      <c r="AA8" s="106" t="s">
        <v>141</v>
      </c>
      <c r="AB8" s="106" t="s">
        <v>141</v>
      </c>
      <c r="AC8" s="106" t="s">
        <v>141</v>
      </c>
      <c r="AD8" s="106" t="s">
        <v>141</v>
      </c>
      <c r="AE8" s="106" t="s">
        <v>141</v>
      </c>
      <c r="AF8" s="106" t="s">
        <v>141</v>
      </c>
      <c r="AG8" s="106">
        <v>3</v>
      </c>
      <c r="AH8" s="106" t="s">
        <v>141</v>
      </c>
      <c r="AI8" s="106" t="s">
        <v>141</v>
      </c>
      <c r="AJ8" s="106" t="s">
        <v>141</v>
      </c>
      <c r="AK8" s="106">
        <v>5</v>
      </c>
      <c r="AL8" s="106" t="s">
        <v>141</v>
      </c>
      <c r="AM8" s="106" t="s">
        <v>141</v>
      </c>
      <c r="AN8" s="106" t="s">
        <v>141</v>
      </c>
      <c r="AO8" s="107">
        <v>12</v>
      </c>
      <c r="AQ8" s="106" t="s">
        <v>141</v>
      </c>
      <c r="AR8" s="106" t="s">
        <v>141</v>
      </c>
      <c r="AS8" s="106">
        <v>1</v>
      </c>
      <c r="AT8" s="106" t="s">
        <v>141</v>
      </c>
      <c r="AU8" s="106" t="s">
        <v>141</v>
      </c>
      <c r="AV8" s="106" t="s">
        <v>141</v>
      </c>
      <c r="AW8" s="106">
        <v>2</v>
      </c>
      <c r="AX8" s="106" t="s">
        <v>141</v>
      </c>
      <c r="AY8" s="106" t="s">
        <v>141</v>
      </c>
      <c r="AZ8" s="106" t="s">
        <v>141</v>
      </c>
      <c r="BA8" s="106">
        <v>10</v>
      </c>
      <c r="BB8" s="106" t="s">
        <v>141</v>
      </c>
      <c r="BC8" s="106" t="s">
        <v>141</v>
      </c>
      <c r="BD8" s="106" t="s">
        <v>141</v>
      </c>
      <c r="BE8" s="106">
        <v>9</v>
      </c>
      <c r="BF8" s="106" t="s">
        <v>141</v>
      </c>
      <c r="BG8" s="106" t="s">
        <v>141</v>
      </c>
      <c r="BH8" s="106" t="s">
        <v>141</v>
      </c>
      <c r="BI8" s="106">
        <v>8</v>
      </c>
      <c r="BJ8" s="106" t="s">
        <v>141</v>
      </c>
      <c r="BK8" s="106" t="s">
        <v>141</v>
      </c>
      <c r="BL8" s="106" t="s">
        <v>141</v>
      </c>
      <c r="BM8" s="106" t="s">
        <v>141</v>
      </c>
      <c r="BN8" s="106" t="s">
        <v>141</v>
      </c>
      <c r="BO8" s="106" t="s">
        <v>141</v>
      </c>
      <c r="BP8" s="106">
        <v>4</v>
      </c>
      <c r="BQ8" s="106" t="s">
        <v>141</v>
      </c>
      <c r="BR8" s="106" t="s">
        <v>141</v>
      </c>
      <c r="BS8" s="106" t="s">
        <v>141</v>
      </c>
      <c r="BT8" s="106">
        <v>5</v>
      </c>
      <c r="BU8" s="106" t="s">
        <v>141</v>
      </c>
      <c r="BV8" s="106">
        <v>3</v>
      </c>
      <c r="BW8" s="106" t="s">
        <v>141</v>
      </c>
      <c r="BX8" s="106" t="s">
        <v>141</v>
      </c>
      <c r="BY8" s="106" t="s">
        <v>141</v>
      </c>
      <c r="BZ8" s="106" t="s">
        <v>141</v>
      </c>
      <c r="CA8" s="106" t="s">
        <v>141</v>
      </c>
      <c r="CB8" s="106" t="s">
        <v>141</v>
      </c>
      <c r="CC8" s="106" t="s">
        <v>141</v>
      </c>
      <c r="CD8" s="107" t="s">
        <v>141</v>
      </c>
    </row>
    <row r="9" spans="1:82" ht="18.75">
      <c r="A9" s="108" t="s">
        <v>142</v>
      </c>
      <c r="B9" s="109">
        <v>161</v>
      </c>
      <c r="C9" s="109">
        <v>162</v>
      </c>
      <c r="D9" s="109">
        <v>163</v>
      </c>
      <c r="E9" s="109">
        <v>164</v>
      </c>
      <c r="F9" s="109">
        <v>165</v>
      </c>
      <c r="G9" s="109">
        <v>166</v>
      </c>
      <c r="H9" s="109">
        <v>167</v>
      </c>
      <c r="I9" s="109">
        <v>168</v>
      </c>
      <c r="J9" s="109">
        <v>169</v>
      </c>
      <c r="K9" s="109">
        <v>170</v>
      </c>
      <c r="L9" s="109">
        <v>171</v>
      </c>
      <c r="M9" s="109">
        <v>172</v>
      </c>
      <c r="N9" s="109">
        <v>173</v>
      </c>
      <c r="O9" s="109">
        <v>174</v>
      </c>
      <c r="P9" s="109">
        <v>175</v>
      </c>
      <c r="Q9" s="109">
        <v>176</v>
      </c>
      <c r="R9" s="109">
        <v>177</v>
      </c>
      <c r="S9" s="109">
        <v>178</v>
      </c>
      <c r="T9" s="109">
        <v>179</v>
      </c>
      <c r="U9" s="109">
        <v>180</v>
      </c>
      <c r="V9" s="109">
        <v>181</v>
      </c>
      <c r="W9" s="109">
        <v>182</v>
      </c>
      <c r="X9" s="109">
        <v>183</v>
      </c>
      <c r="Y9" s="109">
        <v>184</v>
      </c>
      <c r="Z9" s="109">
        <v>185</v>
      </c>
      <c r="AA9" s="109">
        <v>186</v>
      </c>
      <c r="AB9" s="109">
        <v>187</v>
      </c>
      <c r="AC9" s="109">
        <v>188</v>
      </c>
      <c r="AD9" s="109">
        <v>189</v>
      </c>
      <c r="AE9" s="109">
        <v>190</v>
      </c>
      <c r="AF9" s="109">
        <v>191</v>
      </c>
      <c r="AG9" s="109">
        <v>192</v>
      </c>
      <c r="AH9" s="109">
        <v>193</v>
      </c>
      <c r="AI9" s="109">
        <v>194</v>
      </c>
      <c r="AJ9" s="109">
        <v>195</v>
      </c>
      <c r="AK9" s="109">
        <v>196</v>
      </c>
      <c r="AL9" s="109">
        <v>197</v>
      </c>
      <c r="AM9" s="109">
        <v>198</v>
      </c>
      <c r="AN9" s="109">
        <v>199</v>
      </c>
      <c r="AO9" s="110">
        <v>200</v>
      </c>
      <c r="AP9" s="111"/>
      <c r="AQ9" s="109">
        <v>214</v>
      </c>
      <c r="AR9" s="109">
        <v>215</v>
      </c>
      <c r="AS9" s="109">
        <v>216</v>
      </c>
      <c r="AT9" s="109">
        <v>217</v>
      </c>
      <c r="AU9" s="109">
        <v>218</v>
      </c>
      <c r="AV9" s="109">
        <v>219</v>
      </c>
      <c r="AW9" s="109">
        <v>220</v>
      </c>
      <c r="AX9" s="109">
        <v>221</v>
      </c>
      <c r="AY9" s="109">
        <v>222</v>
      </c>
      <c r="AZ9" s="109">
        <v>223</v>
      </c>
      <c r="BA9" s="109">
        <v>224</v>
      </c>
      <c r="BB9" s="109">
        <v>225</v>
      </c>
      <c r="BC9" s="109">
        <v>226</v>
      </c>
      <c r="BD9" s="109">
        <v>227</v>
      </c>
      <c r="BE9" s="109">
        <v>228</v>
      </c>
      <c r="BF9" s="109">
        <v>229</v>
      </c>
      <c r="BG9" s="109">
        <v>230</v>
      </c>
      <c r="BH9" s="109">
        <v>231</v>
      </c>
      <c r="BI9" s="109">
        <v>232</v>
      </c>
      <c r="BJ9" s="109">
        <v>233</v>
      </c>
      <c r="BK9" s="109">
        <v>234</v>
      </c>
      <c r="BL9" s="109">
        <v>235</v>
      </c>
      <c r="BM9" s="109">
        <v>236</v>
      </c>
      <c r="BN9" s="109">
        <v>237</v>
      </c>
      <c r="BO9" s="109">
        <v>238</v>
      </c>
      <c r="BP9" s="109">
        <v>239</v>
      </c>
      <c r="BQ9" s="109">
        <v>240</v>
      </c>
      <c r="BR9" s="109">
        <v>241</v>
      </c>
      <c r="BS9" s="109">
        <v>242</v>
      </c>
      <c r="BT9" s="109">
        <v>243</v>
      </c>
      <c r="BU9" s="109">
        <v>244</v>
      </c>
      <c r="BV9" s="109">
        <v>245</v>
      </c>
      <c r="BW9" s="109">
        <v>246</v>
      </c>
      <c r="BX9" s="109">
        <v>247</v>
      </c>
      <c r="BY9" s="109">
        <v>248</v>
      </c>
      <c r="BZ9" s="109">
        <v>249</v>
      </c>
      <c r="CA9" s="109">
        <v>250</v>
      </c>
      <c r="CB9" s="109">
        <v>251</v>
      </c>
      <c r="CC9" s="109">
        <v>252</v>
      </c>
      <c r="CD9" s="110">
        <v>253</v>
      </c>
    </row>
    <row r="11" spans="1:82">
      <c r="A11" s="131">
        <v>1</v>
      </c>
      <c r="B11" s="112" t="s">
        <v>143</v>
      </c>
    </row>
    <row r="12" spans="1:82">
      <c r="A12" s="131">
        <v>2</v>
      </c>
      <c r="B12" s="112" t="s">
        <v>144</v>
      </c>
    </row>
    <row r="13" spans="1:82">
      <c r="A13" s="131">
        <v>3</v>
      </c>
      <c r="B13" s="112" t="s">
        <v>145</v>
      </c>
    </row>
    <row r="14" spans="1:82">
      <c r="A14" s="131">
        <v>4</v>
      </c>
      <c r="B14" s="112" t="s">
        <v>146</v>
      </c>
    </row>
    <row r="15" spans="1:82">
      <c r="A15" s="131">
        <v>5</v>
      </c>
      <c r="B15" s="112" t="s">
        <v>147</v>
      </c>
    </row>
    <row r="16" spans="1:82">
      <c r="A16" s="131">
        <v>6</v>
      </c>
      <c r="B16" s="112" t="s">
        <v>148</v>
      </c>
    </row>
    <row r="17" spans="1:2">
      <c r="A17" s="131">
        <v>7</v>
      </c>
      <c r="B17" s="112" t="s">
        <v>149</v>
      </c>
    </row>
    <row r="18" spans="1:2">
      <c r="A18" s="131">
        <v>8</v>
      </c>
      <c r="B18" s="112" t="s">
        <v>150</v>
      </c>
    </row>
    <row r="19" spans="1:2">
      <c r="A19" s="131">
        <v>9</v>
      </c>
      <c r="B19" s="112" t="s">
        <v>151</v>
      </c>
    </row>
    <row r="20" spans="1:2">
      <c r="A20" s="131">
        <v>10</v>
      </c>
      <c r="B20" s="112" t="s">
        <v>152</v>
      </c>
    </row>
    <row r="21" spans="1:2">
      <c r="A21" s="131">
        <v>12</v>
      </c>
      <c r="B21" s="112" t="s">
        <v>153</v>
      </c>
    </row>
    <row r="22" spans="1:2">
      <c r="A22" s="131">
        <v>11</v>
      </c>
      <c r="B22" s="112" t="s">
        <v>154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3"/>
  <sheetViews>
    <sheetView workbookViewId="0">
      <selection activeCell="A2" sqref="A2:B13"/>
    </sheetView>
  </sheetViews>
  <sheetFormatPr baseColWidth="10" defaultRowHeight="15"/>
  <cols>
    <col min="1" max="1" width="16.140625" bestFit="1" customWidth="1"/>
    <col min="2" max="2" width="12.85546875" bestFit="1" customWidth="1"/>
  </cols>
  <sheetData>
    <row r="1" spans="1:2">
      <c r="A1" t="s">
        <v>34</v>
      </c>
      <c r="B1" t="s">
        <v>35</v>
      </c>
    </row>
    <row r="2" spans="1:2">
      <c r="A2" s="131">
        <v>1</v>
      </c>
      <c r="B2" s="112" t="s">
        <v>143</v>
      </c>
    </row>
    <row r="3" spans="1:2">
      <c r="A3" s="131">
        <v>2</v>
      </c>
      <c r="B3" s="112" t="s">
        <v>144</v>
      </c>
    </row>
    <row r="4" spans="1:2">
      <c r="A4" s="131">
        <v>3</v>
      </c>
      <c r="B4" s="112" t="s">
        <v>145</v>
      </c>
    </row>
    <row r="5" spans="1:2">
      <c r="A5" s="131">
        <v>4</v>
      </c>
      <c r="B5" s="112" t="s">
        <v>146</v>
      </c>
    </row>
    <row r="6" spans="1:2">
      <c r="A6" s="131">
        <v>5</v>
      </c>
      <c r="B6" s="112" t="s">
        <v>147</v>
      </c>
    </row>
    <row r="7" spans="1:2">
      <c r="A7" s="131">
        <v>6</v>
      </c>
      <c r="B7" s="112" t="s">
        <v>148</v>
      </c>
    </row>
    <row r="8" spans="1:2">
      <c r="A8" s="131">
        <v>7</v>
      </c>
      <c r="B8" s="112" t="s">
        <v>149</v>
      </c>
    </row>
    <row r="9" spans="1:2">
      <c r="A9" s="131">
        <v>8</v>
      </c>
      <c r="B9" s="112" t="s">
        <v>150</v>
      </c>
    </row>
    <row r="10" spans="1:2">
      <c r="A10" s="131">
        <v>9</v>
      </c>
      <c r="B10" s="112" t="s">
        <v>151</v>
      </c>
    </row>
    <row r="11" spans="1:2">
      <c r="A11" s="131">
        <v>10</v>
      </c>
      <c r="B11" s="112" t="s">
        <v>152</v>
      </c>
    </row>
    <row r="12" spans="1:2">
      <c r="A12" s="131">
        <v>12</v>
      </c>
      <c r="B12" s="112" t="s">
        <v>153</v>
      </c>
    </row>
    <row r="13" spans="1:2">
      <c r="A13" s="131">
        <v>11</v>
      </c>
      <c r="B13" s="112" t="s">
        <v>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22"/>
  <sheetViews>
    <sheetView workbookViewId="0">
      <selection activeCell="G15" sqref="G15"/>
    </sheetView>
  </sheetViews>
  <sheetFormatPr baseColWidth="10" defaultRowHeight="15"/>
  <sheetData>
    <row r="1" spans="1:9">
      <c r="A1" s="137" t="s">
        <v>49</v>
      </c>
      <c r="B1" s="137"/>
      <c r="C1" s="137"/>
      <c r="D1" s="137"/>
      <c r="E1" s="137"/>
      <c r="F1" s="137"/>
    </row>
    <row r="2" spans="1:9">
      <c r="A2" s="137"/>
      <c r="B2" s="137"/>
      <c r="C2" s="137"/>
      <c r="D2" s="137"/>
      <c r="E2" s="137"/>
      <c r="F2" s="137"/>
    </row>
    <row r="3" spans="1:9">
      <c r="A3" s="137"/>
      <c r="B3" s="137"/>
      <c r="C3" s="137"/>
      <c r="D3" s="137"/>
      <c r="E3" s="137"/>
      <c r="F3" s="137"/>
    </row>
    <row r="4" spans="1:9">
      <c r="A4" t="s">
        <v>50</v>
      </c>
    </row>
    <row r="5" spans="1:9" ht="28.5" customHeight="1">
      <c r="A5" s="138" t="s">
        <v>36</v>
      </c>
      <c r="B5" s="138"/>
      <c r="C5" s="138"/>
      <c r="D5" s="139" t="s">
        <v>37</v>
      </c>
      <c r="E5" s="139"/>
      <c r="F5" s="139" t="s">
        <v>38</v>
      </c>
      <c r="G5" s="139"/>
      <c r="H5" s="139" t="s">
        <v>39</v>
      </c>
      <c r="I5" s="139"/>
    </row>
    <row r="6" spans="1:9" ht="22.5" customHeight="1">
      <c r="A6" s="135" t="s">
        <v>40</v>
      </c>
      <c r="B6" s="135"/>
      <c r="C6" s="135"/>
      <c r="D6" s="136">
        <v>203</v>
      </c>
      <c r="E6" s="136"/>
      <c r="F6" s="136">
        <v>264</v>
      </c>
      <c r="G6" s="136"/>
      <c r="H6" s="136">
        <v>465</v>
      </c>
      <c r="I6" s="136"/>
    </row>
    <row r="7" spans="1:9" ht="25.5" customHeight="1">
      <c r="A7" s="140" t="s">
        <v>41</v>
      </c>
      <c r="B7" s="140"/>
      <c r="C7" s="140"/>
      <c r="D7" s="136">
        <v>12.38</v>
      </c>
      <c r="E7" s="136"/>
      <c r="F7" s="136">
        <v>13.68</v>
      </c>
      <c r="G7" s="136"/>
      <c r="H7" s="136">
        <v>21.8</v>
      </c>
      <c r="I7" s="136"/>
    </row>
    <row r="8" spans="1:9" ht="18.75" customHeight="1">
      <c r="A8" s="135" t="s">
        <v>42</v>
      </c>
      <c r="B8" s="135"/>
      <c r="C8" s="135"/>
      <c r="D8" s="136">
        <v>10.49</v>
      </c>
      <c r="E8" s="136"/>
      <c r="F8" s="136">
        <v>7.19</v>
      </c>
      <c r="G8" s="136"/>
      <c r="H8" s="136">
        <v>7.96</v>
      </c>
      <c r="I8" s="136"/>
    </row>
    <row r="9" spans="1:9">
      <c r="A9" s="135" t="s">
        <v>43</v>
      </c>
      <c r="B9" s="135"/>
      <c r="C9" s="135"/>
      <c r="D9" s="136">
        <v>361</v>
      </c>
      <c r="E9" s="136"/>
      <c r="F9" s="136">
        <v>365</v>
      </c>
      <c r="G9" s="136"/>
      <c r="H9" s="136">
        <v>261</v>
      </c>
      <c r="I9" s="136"/>
    </row>
    <row r="10" spans="1:9">
      <c r="A10" s="135" t="s">
        <v>44</v>
      </c>
      <c r="B10" s="135"/>
      <c r="C10" s="135"/>
      <c r="D10" s="136">
        <v>370</v>
      </c>
      <c r="E10" s="136"/>
      <c r="F10" s="136">
        <v>298</v>
      </c>
      <c r="G10" s="136"/>
      <c r="H10" s="136">
        <v>183</v>
      </c>
      <c r="I10" s="136"/>
    </row>
    <row r="11" spans="1:9">
      <c r="A11" s="135" t="s">
        <v>45</v>
      </c>
      <c r="B11" s="135"/>
      <c r="C11" s="135"/>
      <c r="D11" s="136">
        <v>18.149999999999999</v>
      </c>
      <c r="E11" s="136"/>
      <c r="F11" s="136">
        <v>12.44</v>
      </c>
      <c r="G11" s="136"/>
      <c r="H11" s="136">
        <v>7.96</v>
      </c>
      <c r="I11" s="136"/>
    </row>
    <row r="12" spans="1:9">
      <c r="A12" s="135" t="s">
        <v>46</v>
      </c>
      <c r="B12" s="135"/>
      <c r="C12" s="135"/>
      <c r="D12" s="136">
        <v>6.81</v>
      </c>
      <c r="E12" s="136"/>
      <c r="F12" s="136">
        <v>7.5110000000000001</v>
      </c>
      <c r="G12" s="136"/>
      <c r="H12" s="136">
        <v>7.92</v>
      </c>
      <c r="I12" s="136"/>
    </row>
    <row r="13" spans="1:9">
      <c r="A13" s="135" t="s">
        <v>47</v>
      </c>
      <c r="B13" s="135"/>
      <c r="C13" s="135"/>
      <c r="D13" s="136">
        <v>32</v>
      </c>
      <c r="E13" s="136"/>
      <c r="F13" s="136">
        <v>30</v>
      </c>
      <c r="G13" s="136"/>
      <c r="H13" s="136">
        <v>29</v>
      </c>
      <c r="I13" s="136"/>
    </row>
    <row r="14" spans="1:9">
      <c r="A14" s="141" t="s">
        <v>48</v>
      </c>
      <c r="B14" s="142"/>
      <c r="C14" s="143"/>
      <c r="D14" s="136">
        <v>34</v>
      </c>
      <c r="E14" s="136"/>
      <c r="F14" s="136">
        <v>42</v>
      </c>
      <c r="G14" s="136"/>
      <c r="H14" s="136">
        <v>62</v>
      </c>
      <c r="I14" s="136"/>
    </row>
    <row r="16" spans="1:9">
      <c r="A16" t="s">
        <v>51</v>
      </c>
    </row>
    <row r="18" spans="1:3">
      <c r="A18" s="144" t="s">
        <v>36</v>
      </c>
      <c r="B18" s="144"/>
      <c r="C18" s="12" t="s">
        <v>55</v>
      </c>
    </row>
    <row r="19" spans="1:3">
      <c r="A19" s="145" t="s">
        <v>52</v>
      </c>
      <c r="B19" s="145"/>
      <c r="C19" s="13"/>
    </row>
    <row r="20" spans="1:3">
      <c r="A20" s="145" t="s">
        <v>53</v>
      </c>
      <c r="B20" s="145"/>
      <c r="C20" s="13"/>
    </row>
    <row r="21" spans="1:3">
      <c r="A21" s="145" t="s">
        <v>54</v>
      </c>
      <c r="B21" s="145"/>
      <c r="C21" s="13"/>
    </row>
    <row r="22" spans="1:3">
      <c r="A22" s="145" t="s">
        <v>95</v>
      </c>
      <c r="B22" s="145"/>
      <c r="C22" s="13"/>
    </row>
  </sheetData>
  <mergeCells count="46">
    <mergeCell ref="A18:B18"/>
    <mergeCell ref="A19:B19"/>
    <mergeCell ref="A20:B20"/>
    <mergeCell ref="A21:B21"/>
    <mergeCell ref="A22:B22"/>
    <mergeCell ref="A13:C13"/>
    <mergeCell ref="D13:E13"/>
    <mergeCell ref="F13:G13"/>
    <mergeCell ref="H13:I13"/>
    <mergeCell ref="D14:E14"/>
    <mergeCell ref="F14:G14"/>
    <mergeCell ref="H14:I14"/>
    <mergeCell ref="A14:C14"/>
    <mergeCell ref="A11:C11"/>
    <mergeCell ref="D11:E11"/>
    <mergeCell ref="F11:G11"/>
    <mergeCell ref="H11:I11"/>
    <mergeCell ref="A12:C12"/>
    <mergeCell ref="D12:E12"/>
    <mergeCell ref="F12:G12"/>
    <mergeCell ref="H12:I12"/>
    <mergeCell ref="A9:C9"/>
    <mergeCell ref="D9:E9"/>
    <mergeCell ref="F9:G9"/>
    <mergeCell ref="H9:I9"/>
    <mergeCell ref="A10:C10"/>
    <mergeCell ref="D10:E10"/>
    <mergeCell ref="F10:G10"/>
    <mergeCell ref="H10:I10"/>
    <mergeCell ref="A7:C7"/>
    <mergeCell ref="D7:E7"/>
    <mergeCell ref="F7:G7"/>
    <mergeCell ref="H7:I7"/>
    <mergeCell ref="A8:C8"/>
    <mergeCell ref="D8:E8"/>
    <mergeCell ref="F8:G8"/>
    <mergeCell ref="H8:I8"/>
    <mergeCell ref="A6:C6"/>
    <mergeCell ref="D6:E6"/>
    <mergeCell ref="F6:G6"/>
    <mergeCell ref="H6:I6"/>
    <mergeCell ref="A1:F3"/>
    <mergeCell ref="A5:C5"/>
    <mergeCell ref="D5:E5"/>
    <mergeCell ref="F5:G5"/>
    <mergeCell ref="H5:I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Y32"/>
  <sheetViews>
    <sheetView workbookViewId="0">
      <selection activeCell="B7" sqref="B7"/>
    </sheetView>
  </sheetViews>
  <sheetFormatPr baseColWidth="10" defaultRowHeight="15"/>
  <cols>
    <col min="3" max="4" width="2.7109375" bestFit="1" customWidth="1"/>
    <col min="9" max="9" width="14.28515625" bestFit="1" customWidth="1"/>
    <col min="10" max="10" width="11.140625" bestFit="1" customWidth="1"/>
    <col min="13" max="13" width="14.28515625" bestFit="1" customWidth="1"/>
    <col min="14" max="14" width="11.140625" bestFit="1" customWidth="1"/>
    <col min="16" max="16" width="14.42578125" bestFit="1" customWidth="1"/>
    <col min="18" max="18" width="10.42578125" bestFit="1" customWidth="1"/>
    <col min="19" max="19" width="12.42578125" bestFit="1" customWidth="1"/>
    <col min="24" max="24" width="15.85546875" bestFit="1" customWidth="1"/>
  </cols>
  <sheetData>
    <row r="1" spans="1:25" ht="16.5" thickBot="1">
      <c r="C1" s="14"/>
      <c r="D1" s="14"/>
      <c r="E1" s="14"/>
      <c r="F1" s="14"/>
      <c r="G1" s="15"/>
      <c r="H1" s="146" t="s">
        <v>56</v>
      </c>
      <c r="I1" s="146"/>
      <c r="J1" s="146"/>
      <c r="K1" s="147" t="s">
        <v>57</v>
      </c>
      <c r="L1" s="146"/>
      <c r="M1" s="146"/>
      <c r="N1" s="146"/>
      <c r="O1" s="146"/>
      <c r="P1" s="146"/>
      <c r="Q1" s="146"/>
      <c r="R1" s="146"/>
      <c r="S1" s="148" t="s">
        <v>58</v>
      </c>
      <c r="T1" s="149"/>
      <c r="U1" s="150" t="s">
        <v>59</v>
      </c>
      <c r="V1" s="150"/>
      <c r="W1" s="151"/>
      <c r="X1" s="16"/>
      <c r="Y1" s="17"/>
    </row>
    <row r="2" spans="1:25" ht="16.5" thickTop="1" thickBot="1">
      <c r="A2" s="18" t="s">
        <v>60</v>
      </c>
      <c r="B2" s="19" t="s">
        <v>61</v>
      </c>
      <c r="C2" s="19" t="s">
        <v>62</v>
      </c>
      <c r="D2" s="19" t="s">
        <v>63</v>
      </c>
      <c r="E2" s="19" t="s">
        <v>64</v>
      </c>
      <c r="F2" s="19" t="s">
        <v>65</v>
      </c>
      <c r="G2" s="19" t="s">
        <v>66</v>
      </c>
      <c r="H2" s="20" t="s">
        <v>67</v>
      </c>
      <c r="I2" s="21" t="s">
        <v>68</v>
      </c>
      <c r="J2" s="22" t="s">
        <v>69</v>
      </c>
      <c r="K2" s="23" t="s">
        <v>67</v>
      </c>
      <c r="L2" s="24" t="s">
        <v>70</v>
      </c>
      <c r="M2" s="25" t="s">
        <v>68</v>
      </c>
      <c r="N2" s="26" t="s">
        <v>69</v>
      </c>
      <c r="O2" s="24" t="s">
        <v>71</v>
      </c>
      <c r="P2" s="25" t="s">
        <v>72</v>
      </c>
      <c r="Q2" s="27" t="s">
        <v>73</v>
      </c>
      <c r="R2" s="28" t="s">
        <v>74</v>
      </c>
      <c r="S2" s="24" t="s">
        <v>75</v>
      </c>
      <c r="T2" s="29" t="s">
        <v>76</v>
      </c>
      <c r="U2" s="18" t="s">
        <v>77</v>
      </c>
      <c r="V2" s="26" t="s">
        <v>78</v>
      </c>
      <c r="W2" s="24" t="s">
        <v>79</v>
      </c>
      <c r="X2" s="29" t="s">
        <v>80</v>
      </c>
      <c r="Y2" s="30" t="s">
        <v>81</v>
      </c>
    </row>
    <row r="3" spans="1:25" ht="15.75" thickTop="1">
      <c r="A3" s="31" t="s">
        <v>235</v>
      </c>
      <c r="B3" s="32"/>
      <c r="C3" s="33" t="s">
        <v>161</v>
      </c>
      <c r="D3" s="33" t="s">
        <v>232</v>
      </c>
      <c r="E3" s="31" t="s">
        <v>137</v>
      </c>
      <c r="F3" s="31" t="s">
        <v>154</v>
      </c>
      <c r="G3" s="152"/>
      <c r="H3" s="34">
        <v>17</v>
      </c>
      <c r="I3" s="154">
        <v>2300</v>
      </c>
      <c r="J3" s="155"/>
      <c r="K3" s="35">
        <v>5</v>
      </c>
      <c r="L3" s="119">
        <f>1-(O3-R3)/O3</f>
        <v>0.12888888888888894</v>
      </c>
      <c r="M3" s="156"/>
      <c r="N3" s="157"/>
      <c r="O3" s="36">
        <v>450</v>
      </c>
      <c r="P3" s="156"/>
      <c r="Q3" s="157"/>
      <c r="R3" s="37">
        <v>58</v>
      </c>
      <c r="S3" s="38">
        <f>((I3+O3)*L3)/100</f>
        <v>3.5444444444444456</v>
      </c>
      <c r="T3" s="38">
        <f>4.48*S3^(-0.25)</f>
        <v>3.2650585275591193</v>
      </c>
      <c r="U3" s="156"/>
      <c r="V3" s="157"/>
      <c r="W3" s="123">
        <v>35</v>
      </c>
      <c r="X3" s="39"/>
      <c r="Y3" s="126">
        <f>(W3/10)/T3</f>
        <v>1.0719562820873896</v>
      </c>
    </row>
    <row r="4" spans="1:25">
      <c r="A4" s="31" t="s">
        <v>235</v>
      </c>
      <c r="B4" s="41"/>
      <c r="C4" s="42" t="s">
        <v>161</v>
      </c>
      <c r="D4" s="42" t="s">
        <v>170</v>
      </c>
      <c r="E4" s="40" t="s">
        <v>137</v>
      </c>
      <c r="F4" s="40" t="s">
        <v>153</v>
      </c>
      <c r="G4" s="152"/>
      <c r="H4" s="43">
        <v>31</v>
      </c>
      <c r="I4" s="158">
        <v>3500</v>
      </c>
      <c r="J4" s="159"/>
      <c r="K4" s="44">
        <v>8</v>
      </c>
      <c r="L4" s="120">
        <f t="shared" ref="L4:L6" si="0">1-(O4-R4)/O4</f>
        <v>0.11391304347826092</v>
      </c>
      <c r="M4" s="158"/>
      <c r="N4" s="159"/>
      <c r="O4" s="45">
        <v>1150</v>
      </c>
      <c r="P4" s="158"/>
      <c r="Q4" s="159"/>
      <c r="R4" s="46">
        <v>131</v>
      </c>
      <c r="S4" s="47">
        <f t="shared" ref="S4:S6" si="1">((I4+O4)*L4)/100</f>
        <v>5.2969565217391334</v>
      </c>
      <c r="T4" s="47">
        <f t="shared" ref="T4:T6" si="2">4.48*S4^(-0.25)</f>
        <v>2.9530541586814611</v>
      </c>
      <c r="U4" s="158"/>
      <c r="V4" s="159"/>
      <c r="W4" s="124">
        <v>36.06</v>
      </c>
      <c r="X4" s="48"/>
      <c r="Y4" s="127">
        <f t="shared" ref="Y4:Y6" si="3">(W4/10)/T4</f>
        <v>1.2211086577599646</v>
      </c>
    </row>
    <row r="5" spans="1:25">
      <c r="A5" s="31" t="s">
        <v>235</v>
      </c>
      <c r="B5" s="41"/>
      <c r="C5" s="42" t="s">
        <v>168</v>
      </c>
      <c r="D5" s="42" t="s">
        <v>228</v>
      </c>
      <c r="E5" s="40" t="s">
        <v>138</v>
      </c>
      <c r="F5" s="40" t="s">
        <v>153</v>
      </c>
      <c r="G5" s="152"/>
      <c r="H5" s="43">
        <v>30</v>
      </c>
      <c r="I5" s="158">
        <v>2300</v>
      </c>
      <c r="J5" s="159"/>
      <c r="K5" s="44">
        <v>8</v>
      </c>
      <c r="L5" s="121">
        <f t="shared" si="0"/>
        <v>0.12749999999999995</v>
      </c>
      <c r="M5" s="160"/>
      <c r="N5" s="161"/>
      <c r="O5" s="50">
        <v>800</v>
      </c>
      <c r="P5" s="160"/>
      <c r="Q5" s="161"/>
      <c r="R5" s="51">
        <v>102</v>
      </c>
      <c r="S5" s="52">
        <f t="shared" si="1"/>
        <v>3.9524999999999983</v>
      </c>
      <c r="T5" s="52">
        <f t="shared" si="2"/>
        <v>3.1773133267868032</v>
      </c>
      <c r="U5" s="160"/>
      <c r="V5" s="161"/>
      <c r="W5" s="125">
        <v>21.08</v>
      </c>
      <c r="X5" s="53"/>
      <c r="Y5" s="128">
        <f t="shared" si="3"/>
        <v>0.66345361102041722</v>
      </c>
    </row>
    <row r="6" spans="1:25">
      <c r="A6" s="31" t="s">
        <v>235</v>
      </c>
      <c r="B6" s="41"/>
      <c r="C6" s="42" t="s">
        <v>168</v>
      </c>
      <c r="D6" s="42" t="s">
        <v>219</v>
      </c>
      <c r="E6" s="40" t="s">
        <v>138</v>
      </c>
      <c r="F6" s="40" t="s">
        <v>154</v>
      </c>
      <c r="G6" s="152"/>
      <c r="H6" s="54">
        <v>23</v>
      </c>
      <c r="I6" s="158">
        <v>1200</v>
      </c>
      <c r="J6" s="159"/>
      <c r="K6" s="44">
        <v>5</v>
      </c>
      <c r="L6" s="122">
        <f t="shared" si="0"/>
        <v>0.17142857142857137</v>
      </c>
      <c r="M6" s="162"/>
      <c r="N6" s="163"/>
      <c r="O6" s="45">
        <v>420</v>
      </c>
      <c r="P6" s="162"/>
      <c r="Q6" s="163"/>
      <c r="R6" s="55">
        <v>72</v>
      </c>
      <c r="S6" s="56">
        <f t="shared" si="1"/>
        <v>2.7771428571428562</v>
      </c>
      <c r="T6" s="56">
        <f t="shared" si="2"/>
        <v>3.4703914032821359</v>
      </c>
      <c r="U6" s="162"/>
      <c r="V6" s="163"/>
      <c r="W6" s="124">
        <v>20.89</v>
      </c>
      <c r="X6" s="48"/>
      <c r="Y6" s="127">
        <f t="shared" si="3"/>
        <v>0.60194939338090803</v>
      </c>
    </row>
    <row r="7" spans="1:25">
      <c r="A7" s="40"/>
      <c r="B7" s="41"/>
      <c r="C7" s="42"/>
      <c r="D7" s="42"/>
      <c r="E7" s="40"/>
      <c r="F7" s="40"/>
      <c r="G7" s="152"/>
      <c r="H7" s="43"/>
      <c r="I7" s="158"/>
      <c r="J7" s="159"/>
      <c r="K7" s="44"/>
      <c r="L7" s="45"/>
      <c r="M7" s="162"/>
      <c r="N7" s="163"/>
      <c r="O7" s="45"/>
      <c r="P7" s="162"/>
      <c r="Q7" s="163"/>
      <c r="R7" s="55"/>
      <c r="S7" s="56"/>
      <c r="T7" s="56"/>
      <c r="U7" s="162"/>
      <c r="V7" s="163"/>
      <c r="W7" s="48"/>
      <c r="X7" s="48"/>
      <c r="Y7" s="49"/>
    </row>
    <row r="8" spans="1:25" ht="15.75" thickBot="1">
      <c r="A8" s="57"/>
      <c r="B8" s="58"/>
      <c r="C8" s="59"/>
      <c r="D8" s="59"/>
      <c r="E8" s="57"/>
      <c r="F8" s="57"/>
      <c r="G8" s="153"/>
      <c r="H8" s="60"/>
      <c r="I8" s="164"/>
      <c r="J8" s="165"/>
      <c r="K8" s="61"/>
      <c r="L8" s="62"/>
      <c r="M8" s="166"/>
      <c r="N8" s="167"/>
      <c r="O8" s="62"/>
      <c r="P8" s="166"/>
      <c r="Q8" s="167"/>
      <c r="R8" s="63"/>
      <c r="S8" s="64"/>
      <c r="T8" s="64"/>
      <c r="U8" s="166"/>
      <c r="V8" s="167"/>
      <c r="W8" s="65"/>
      <c r="X8" s="65"/>
      <c r="Y8" s="66"/>
    </row>
    <row r="9" spans="1:25" ht="15.75" thickTop="1">
      <c r="A9" s="31"/>
      <c r="B9" s="32"/>
      <c r="C9" s="33"/>
      <c r="D9" s="33"/>
      <c r="E9" s="31"/>
      <c r="F9" s="31"/>
      <c r="G9" s="168"/>
      <c r="H9" s="34"/>
      <c r="I9" s="156"/>
      <c r="J9" s="157"/>
      <c r="K9" s="35"/>
      <c r="L9" s="67"/>
      <c r="M9" s="169"/>
      <c r="N9" s="170"/>
      <c r="O9" s="67"/>
      <c r="P9" s="169"/>
      <c r="Q9" s="170"/>
      <c r="R9" s="68"/>
      <c r="S9" s="69"/>
      <c r="T9" s="69"/>
      <c r="U9" s="169"/>
      <c r="V9" s="170"/>
      <c r="W9" s="70"/>
      <c r="X9" s="70"/>
      <c r="Y9" s="71"/>
    </row>
    <row r="10" spans="1:25">
      <c r="A10" s="40"/>
      <c r="B10" s="41"/>
      <c r="C10" s="42"/>
      <c r="D10" s="42"/>
      <c r="E10" s="40"/>
      <c r="F10" s="40"/>
      <c r="G10" s="152"/>
      <c r="H10" s="43"/>
      <c r="I10" s="158"/>
      <c r="J10" s="159"/>
      <c r="K10" s="44"/>
      <c r="L10" s="45"/>
      <c r="M10" s="162"/>
      <c r="N10" s="163"/>
      <c r="O10" s="45"/>
      <c r="P10" s="162"/>
      <c r="Q10" s="163"/>
      <c r="R10" s="55"/>
      <c r="S10" s="56"/>
      <c r="T10" s="72"/>
      <c r="U10" s="162"/>
      <c r="V10" s="163"/>
      <c r="W10" s="48"/>
      <c r="X10" s="48"/>
      <c r="Y10" s="49"/>
    </row>
    <row r="11" spans="1:25">
      <c r="A11" s="40"/>
      <c r="B11" s="41"/>
      <c r="C11" s="42"/>
      <c r="D11" s="42"/>
      <c r="E11" s="40"/>
      <c r="F11" s="40"/>
      <c r="G11" s="152"/>
      <c r="H11" s="43"/>
      <c r="I11" s="158"/>
      <c r="J11" s="159"/>
      <c r="K11" s="44"/>
      <c r="L11" s="45"/>
      <c r="M11" s="162"/>
      <c r="N11" s="163"/>
      <c r="O11" s="45"/>
      <c r="P11" s="162"/>
      <c r="Q11" s="163"/>
      <c r="R11" s="55"/>
      <c r="S11" s="56"/>
      <c r="T11" s="72"/>
      <c r="U11" s="162"/>
      <c r="V11" s="163"/>
      <c r="W11" s="48"/>
      <c r="X11" s="48"/>
      <c r="Y11" s="49"/>
    </row>
    <row r="12" spans="1:25">
      <c r="A12" s="40"/>
      <c r="B12" s="41"/>
      <c r="C12" s="42"/>
      <c r="D12" s="42"/>
      <c r="E12" s="40"/>
      <c r="F12" s="40"/>
      <c r="G12" s="152"/>
      <c r="H12" s="43"/>
      <c r="I12" s="158"/>
      <c r="J12" s="159"/>
      <c r="K12" s="44"/>
      <c r="L12" s="45"/>
      <c r="M12" s="162"/>
      <c r="N12" s="163"/>
      <c r="O12" s="45"/>
      <c r="P12" s="162"/>
      <c r="Q12" s="163"/>
      <c r="R12" s="55"/>
      <c r="S12" s="56"/>
      <c r="T12" s="56"/>
      <c r="U12" s="162"/>
      <c r="V12" s="163"/>
      <c r="W12" s="48"/>
      <c r="X12" s="48"/>
      <c r="Y12" s="49"/>
    </row>
    <row r="13" spans="1:25">
      <c r="A13" s="40"/>
      <c r="B13" s="41"/>
      <c r="C13" s="42"/>
      <c r="D13" s="42"/>
      <c r="E13" s="40"/>
      <c r="F13" s="40"/>
      <c r="G13" s="152"/>
      <c r="H13" s="43"/>
      <c r="I13" s="158"/>
      <c r="J13" s="159"/>
      <c r="K13" s="44"/>
      <c r="L13" s="45"/>
      <c r="M13" s="162"/>
      <c r="N13" s="163"/>
      <c r="O13" s="45"/>
      <c r="P13" s="162"/>
      <c r="Q13" s="163"/>
      <c r="R13" s="55"/>
      <c r="S13" s="56"/>
      <c r="T13" s="56"/>
      <c r="U13" s="162"/>
      <c r="V13" s="163"/>
      <c r="W13" s="48"/>
      <c r="X13" s="48"/>
      <c r="Y13" s="49"/>
    </row>
    <row r="14" spans="1:25" ht="15.75" thickBot="1">
      <c r="A14" s="57"/>
      <c r="B14" s="58"/>
      <c r="C14" s="59"/>
      <c r="D14" s="59"/>
      <c r="E14" s="57"/>
      <c r="F14" s="57"/>
      <c r="G14" s="153"/>
      <c r="H14" s="73"/>
      <c r="I14" s="164"/>
      <c r="J14" s="165"/>
      <c r="K14" s="74"/>
      <c r="L14" s="62"/>
      <c r="M14" s="166"/>
      <c r="N14" s="167"/>
      <c r="O14" s="62"/>
      <c r="P14" s="166"/>
      <c r="Q14" s="167"/>
      <c r="R14" s="63"/>
      <c r="S14" s="64"/>
      <c r="T14" s="64"/>
      <c r="U14" s="166"/>
      <c r="V14" s="167"/>
      <c r="W14" s="65"/>
      <c r="X14" s="65"/>
      <c r="Y14" s="66"/>
    </row>
    <row r="15" spans="1:25" ht="15.75" thickTop="1">
      <c r="A15" s="75"/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6"/>
      <c r="T15" s="76"/>
      <c r="U15" s="75"/>
      <c r="V15" s="75"/>
      <c r="W15" s="76"/>
      <c r="X15" s="76"/>
      <c r="Y15" s="76"/>
    </row>
    <row r="16" spans="1:25">
      <c r="A16" s="75"/>
      <c r="C16" s="75"/>
      <c r="D16" s="75"/>
      <c r="E16" s="75"/>
      <c r="F16" s="75"/>
      <c r="R16" s="75"/>
      <c r="S16" s="76"/>
      <c r="T16" s="76"/>
      <c r="U16" s="75"/>
      <c r="V16" s="75"/>
      <c r="W16" s="76"/>
      <c r="X16" s="76"/>
      <c r="Y16" s="76"/>
    </row>
    <row r="17" spans="1:25">
      <c r="A17" s="77" t="s">
        <v>82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6"/>
      <c r="T17" s="76"/>
      <c r="U17" s="75"/>
      <c r="V17" s="75"/>
      <c r="W17" s="76"/>
      <c r="X17" s="76"/>
      <c r="Y17" s="76"/>
    </row>
    <row r="18" spans="1:25">
      <c r="A18" s="78" t="s">
        <v>83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6"/>
      <c r="T18" s="76"/>
      <c r="U18" s="75"/>
      <c r="V18" s="75"/>
      <c r="W18" s="76"/>
      <c r="X18" s="76"/>
      <c r="Y18" s="76"/>
    </row>
    <row r="19" spans="1:25">
      <c r="A19" s="78" t="s">
        <v>84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6"/>
      <c r="T19" s="76"/>
      <c r="U19" s="75"/>
      <c r="V19" s="75"/>
      <c r="W19" s="76"/>
      <c r="X19" s="76"/>
      <c r="Y19" s="76"/>
    </row>
    <row r="20" spans="1:25">
      <c r="A20" s="78" t="s">
        <v>85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6"/>
      <c r="T20" s="76"/>
      <c r="U20" s="75"/>
      <c r="V20" s="75"/>
      <c r="W20" s="76"/>
      <c r="X20" s="76"/>
      <c r="Y20" s="76"/>
    </row>
    <row r="21" spans="1:25">
      <c r="A21" s="77" t="s">
        <v>86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6"/>
      <c r="T21" s="76"/>
      <c r="U21" s="75"/>
      <c r="V21" s="75"/>
      <c r="W21" s="76"/>
      <c r="X21" s="76"/>
      <c r="Y21" s="76"/>
    </row>
    <row r="22" spans="1:25">
      <c r="A22" s="77" t="s">
        <v>87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6"/>
      <c r="T22" s="76"/>
      <c r="U22" s="75"/>
      <c r="V22" s="75"/>
      <c r="W22" s="76"/>
      <c r="X22" s="76"/>
      <c r="Y22" s="76"/>
    </row>
    <row r="23" spans="1:25">
      <c r="A23" s="77" t="s">
        <v>88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6"/>
      <c r="T23" s="76"/>
      <c r="U23" s="75"/>
      <c r="V23" s="75"/>
      <c r="W23" s="76"/>
      <c r="X23" s="76"/>
      <c r="Y23" s="76"/>
    </row>
    <row r="24" spans="1:25">
      <c r="A24" s="78" t="s">
        <v>89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6"/>
      <c r="T24" s="76"/>
      <c r="U24" s="75"/>
      <c r="V24" s="75"/>
      <c r="W24" s="76"/>
      <c r="X24" s="76"/>
      <c r="Y24" s="76"/>
    </row>
    <row r="25" spans="1:25">
      <c r="A25" s="78" t="s">
        <v>90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6"/>
      <c r="T25" s="76"/>
      <c r="U25" s="75"/>
      <c r="V25" s="75"/>
      <c r="W25" s="76"/>
      <c r="X25" s="76"/>
      <c r="Y25" s="76"/>
    </row>
    <row r="26" spans="1:25">
      <c r="A26" s="78" t="s">
        <v>91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6"/>
      <c r="T26" s="76"/>
      <c r="U26" s="75"/>
      <c r="V26" s="75"/>
      <c r="W26" s="76"/>
      <c r="X26" s="76"/>
      <c r="Y26" s="76"/>
    </row>
    <row r="27" spans="1:25">
      <c r="A27" s="78" t="s">
        <v>92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6"/>
      <c r="P27" s="75"/>
      <c r="Q27" s="75"/>
      <c r="R27" s="75"/>
      <c r="S27" s="76"/>
      <c r="T27" s="76"/>
      <c r="U27" s="75"/>
      <c r="V27" s="75"/>
      <c r="W27" s="76"/>
      <c r="X27" s="76"/>
      <c r="Y27" s="76"/>
    </row>
    <row r="28" spans="1:25">
      <c r="A28" s="75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6"/>
      <c r="P28" s="75"/>
      <c r="Q28" s="75"/>
      <c r="R28" s="75"/>
      <c r="S28" s="76"/>
      <c r="T28" s="76"/>
      <c r="U28" s="75"/>
      <c r="V28" s="75"/>
      <c r="W28" s="76"/>
      <c r="X28" s="76"/>
      <c r="Y28" s="76"/>
    </row>
    <row r="29" spans="1:25">
      <c r="A29" s="75" t="s">
        <v>93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6"/>
      <c r="P29" s="75"/>
      <c r="Q29" s="75"/>
      <c r="R29" s="75"/>
      <c r="S29" s="76"/>
      <c r="T29" s="76"/>
      <c r="U29" s="75"/>
      <c r="V29" s="75"/>
      <c r="W29" s="76"/>
      <c r="X29" s="76"/>
      <c r="Y29" s="76"/>
    </row>
    <row r="30" spans="1:25">
      <c r="A30" s="75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6"/>
      <c r="P30" s="75"/>
      <c r="Q30" s="75"/>
      <c r="R30" s="75"/>
      <c r="S30" s="76"/>
      <c r="T30" s="76"/>
      <c r="U30" s="75"/>
      <c r="V30" s="75"/>
      <c r="W30" s="76"/>
      <c r="X30" s="76"/>
      <c r="Y30" s="76"/>
    </row>
    <row r="31" spans="1:25">
      <c r="A31" s="75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6"/>
      <c r="P31" s="75"/>
      <c r="Q31" s="75"/>
      <c r="R31" s="75"/>
      <c r="S31" s="76"/>
      <c r="T31" s="76"/>
      <c r="U31" s="75"/>
      <c r="V31" s="75"/>
      <c r="W31" s="76"/>
      <c r="X31" s="76"/>
      <c r="Y31" s="76"/>
    </row>
    <row r="32" spans="1:25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6"/>
      <c r="P32" s="75"/>
      <c r="Q32" s="75"/>
      <c r="R32" s="75"/>
      <c r="S32" s="76"/>
      <c r="T32" s="76"/>
      <c r="U32" s="75"/>
      <c r="V32" s="75"/>
      <c r="W32" s="76"/>
      <c r="X32" s="76"/>
      <c r="Y32" s="76"/>
    </row>
  </sheetData>
  <mergeCells count="54">
    <mergeCell ref="I14:J14"/>
    <mergeCell ref="M14:N14"/>
    <mergeCell ref="P14:Q14"/>
    <mergeCell ref="U14:V14"/>
    <mergeCell ref="U12:V12"/>
    <mergeCell ref="I13:J13"/>
    <mergeCell ref="M13:N13"/>
    <mergeCell ref="P13:Q13"/>
    <mergeCell ref="U13:V13"/>
    <mergeCell ref="G9:G14"/>
    <mergeCell ref="I9:J9"/>
    <mergeCell ref="M9:N9"/>
    <mergeCell ref="P9:Q9"/>
    <mergeCell ref="U9:V9"/>
    <mergeCell ref="I10:J10"/>
    <mergeCell ref="M10:N10"/>
    <mergeCell ref="P10:Q10"/>
    <mergeCell ref="U10:V10"/>
    <mergeCell ref="I11:J11"/>
    <mergeCell ref="M11:N11"/>
    <mergeCell ref="P11:Q11"/>
    <mergeCell ref="U11:V11"/>
    <mergeCell ref="I12:J12"/>
    <mergeCell ref="M12:N12"/>
    <mergeCell ref="P12:Q12"/>
    <mergeCell ref="I7:J7"/>
    <mergeCell ref="M7:N7"/>
    <mergeCell ref="P7:Q7"/>
    <mergeCell ref="U7:V7"/>
    <mergeCell ref="I8:J8"/>
    <mergeCell ref="M8:N8"/>
    <mergeCell ref="P8:Q8"/>
    <mergeCell ref="U8:V8"/>
    <mergeCell ref="U5:V5"/>
    <mergeCell ref="I6:J6"/>
    <mergeCell ref="M6:N6"/>
    <mergeCell ref="P6:Q6"/>
    <mergeCell ref="U6:V6"/>
    <mergeCell ref="H1:J1"/>
    <mergeCell ref="K1:R1"/>
    <mergeCell ref="S1:T1"/>
    <mergeCell ref="U1:W1"/>
    <mergeCell ref="G3:G8"/>
    <mergeCell ref="I3:J3"/>
    <mergeCell ref="M3:N3"/>
    <mergeCell ref="P3:Q3"/>
    <mergeCell ref="U3:V3"/>
    <mergeCell ref="I4:J4"/>
    <mergeCell ref="M4:N4"/>
    <mergeCell ref="P4:Q4"/>
    <mergeCell ref="U4:V4"/>
    <mergeCell ref="I5:J5"/>
    <mergeCell ref="M5:N5"/>
    <mergeCell ref="P5:Q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AE49"/>
  <sheetViews>
    <sheetView topLeftCell="O1" zoomScale="85" zoomScaleNormal="85" workbookViewId="0">
      <selection activeCell="AA50" sqref="AA50"/>
    </sheetView>
  </sheetViews>
  <sheetFormatPr baseColWidth="10" defaultRowHeight="15"/>
  <cols>
    <col min="1" max="1" width="6.85546875" bestFit="1" customWidth="1"/>
    <col min="2" max="2" width="10.28515625" bestFit="1" customWidth="1"/>
    <col min="3" max="3" width="4.7109375" bestFit="1" customWidth="1"/>
    <col min="4" max="4" width="10.85546875" bestFit="1" customWidth="1"/>
    <col min="5" max="5" width="10.7109375" bestFit="1" customWidth="1"/>
    <col min="6" max="6" width="12" bestFit="1" customWidth="1"/>
    <col min="7" max="7" width="6.7109375" bestFit="1" customWidth="1"/>
    <col min="8" max="8" width="9.140625" bestFit="1" customWidth="1"/>
    <col min="9" max="9" width="10.42578125" bestFit="1" customWidth="1"/>
    <col min="10" max="10" width="9.42578125" bestFit="1" customWidth="1"/>
    <col min="11" max="11" width="13.85546875" bestFit="1" customWidth="1"/>
    <col min="12" max="12" width="12.5703125" bestFit="1" customWidth="1"/>
    <col min="13" max="13" width="6.28515625" bestFit="1" customWidth="1"/>
    <col min="14" max="14" width="8.7109375" bestFit="1" customWidth="1"/>
    <col min="15" max="15" width="6.28515625" bestFit="1" customWidth="1"/>
    <col min="16" max="17" width="7.28515625" customWidth="1"/>
    <col min="18" max="18" width="9.85546875" bestFit="1" customWidth="1"/>
    <col min="19" max="19" width="5.5703125" bestFit="1" customWidth="1"/>
    <col min="20" max="20" width="7.140625" bestFit="1" customWidth="1"/>
    <col min="21" max="21" width="9" bestFit="1" customWidth="1"/>
    <col min="22" max="22" width="11" bestFit="1" customWidth="1"/>
    <col min="23" max="23" width="5.140625" bestFit="1" customWidth="1"/>
    <col min="24" max="24" width="8.28515625" bestFit="1" customWidth="1"/>
    <col min="25" max="25" width="8" customWidth="1"/>
    <col min="26" max="26" width="6.85546875" bestFit="1" customWidth="1"/>
    <col min="27" max="27" width="6" bestFit="1" customWidth="1"/>
    <col min="28" max="28" width="6.42578125" bestFit="1" customWidth="1"/>
    <col min="29" max="29" width="5" bestFit="1" customWidth="1"/>
    <col min="31" max="31" width="13.5703125" style="131" customWidth="1"/>
  </cols>
  <sheetData>
    <row r="1" spans="1:31" s="91" customFormat="1" ht="51">
      <c r="A1" s="84" t="s">
        <v>96</v>
      </c>
      <c r="B1" s="84" t="s">
        <v>97</v>
      </c>
      <c r="C1" s="84" t="s">
        <v>98</v>
      </c>
      <c r="D1" s="84" t="s">
        <v>99</v>
      </c>
      <c r="E1" s="84" t="s">
        <v>100</v>
      </c>
      <c r="F1" s="84" t="s">
        <v>101</v>
      </c>
      <c r="G1" s="84" t="s">
        <v>102</v>
      </c>
      <c r="H1" s="84" t="s">
        <v>64</v>
      </c>
      <c r="I1" s="84" t="s">
        <v>126</v>
      </c>
      <c r="J1" s="84" t="s">
        <v>127</v>
      </c>
      <c r="K1" s="84" t="s">
        <v>128</v>
      </c>
      <c r="L1" s="84" t="s">
        <v>103</v>
      </c>
      <c r="M1" s="84" t="s">
        <v>104</v>
      </c>
      <c r="N1" s="85" t="s">
        <v>105</v>
      </c>
      <c r="O1" s="83" t="s">
        <v>129</v>
      </c>
      <c r="P1" s="86" t="s">
        <v>118</v>
      </c>
      <c r="Q1" s="86" t="s">
        <v>135</v>
      </c>
      <c r="R1" s="87" t="s">
        <v>130</v>
      </c>
      <c r="S1" s="87" t="s">
        <v>119</v>
      </c>
      <c r="T1" s="88" t="s">
        <v>131</v>
      </c>
      <c r="U1" s="87" t="s">
        <v>132</v>
      </c>
      <c r="V1" s="88" t="s">
        <v>120</v>
      </c>
      <c r="W1" s="89" t="s">
        <v>133</v>
      </c>
      <c r="X1" s="88" t="s">
        <v>121</v>
      </c>
      <c r="Y1" s="87" t="s">
        <v>134</v>
      </c>
      <c r="Z1" s="88" t="s">
        <v>122</v>
      </c>
      <c r="AA1" s="88" t="s">
        <v>123</v>
      </c>
      <c r="AB1" s="88" t="s">
        <v>124</v>
      </c>
      <c r="AC1" s="90" t="s">
        <v>125</v>
      </c>
      <c r="AD1" s="133" t="s">
        <v>159</v>
      </c>
      <c r="AE1" s="133" t="s">
        <v>8</v>
      </c>
    </row>
    <row r="2" spans="1:31">
      <c r="A2">
        <v>18</v>
      </c>
      <c r="B2" t="s">
        <v>236</v>
      </c>
      <c r="C2" t="s">
        <v>155</v>
      </c>
      <c r="D2" s="129">
        <v>42978</v>
      </c>
      <c r="F2" s="129">
        <v>43288</v>
      </c>
      <c r="G2" t="s">
        <v>223</v>
      </c>
      <c r="H2" t="s">
        <v>137</v>
      </c>
      <c r="I2">
        <v>1</v>
      </c>
      <c r="J2">
        <v>11</v>
      </c>
      <c r="K2" t="s">
        <v>224</v>
      </c>
      <c r="L2" t="s">
        <v>225</v>
      </c>
      <c r="M2" t="s">
        <v>162</v>
      </c>
      <c r="N2">
        <v>16.2</v>
      </c>
      <c r="P2" s="130">
        <f t="shared" ref="P2:P49" si="0">IF(W2="","",W2*(100-X2)/N2)</f>
        <v>37.756172839506171</v>
      </c>
      <c r="Q2" s="130">
        <f>IF(P2="","",P2*1.09)</f>
        <v>41.154228395061729</v>
      </c>
      <c r="R2" s="117">
        <v>9</v>
      </c>
      <c r="S2" s="130"/>
      <c r="T2">
        <v>97</v>
      </c>
      <c r="U2">
        <v>155</v>
      </c>
      <c r="W2" s="116">
        <v>6.5</v>
      </c>
      <c r="X2" s="117">
        <v>5.9</v>
      </c>
      <c r="Y2" s="117">
        <v>46.1</v>
      </c>
      <c r="Z2" s="117">
        <v>20.5</v>
      </c>
      <c r="AA2" s="117">
        <f>(100*Z2)/(100-Y2)</f>
        <v>38.03339517625232</v>
      </c>
      <c r="AB2" s="117">
        <v>15</v>
      </c>
      <c r="AC2" s="117">
        <v>5</v>
      </c>
      <c r="AD2" s="132" t="s">
        <v>165</v>
      </c>
      <c r="AE2" s="132"/>
    </row>
    <row r="3" spans="1:31">
      <c r="A3">
        <v>18</v>
      </c>
      <c r="B3" t="s">
        <v>236</v>
      </c>
      <c r="C3" t="s">
        <v>155</v>
      </c>
      <c r="D3" s="129">
        <v>42978</v>
      </c>
      <c r="F3" s="129">
        <v>43288</v>
      </c>
      <c r="G3" t="s">
        <v>174</v>
      </c>
      <c r="H3" t="s">
        <v>137</v>
      </c>
      <c r="I3">
        <v>1</v>
      </c>
      <c r="J3">
        <v>2</v>
      </c>
      <c r="K3" t="s">
        <v>172</v>
      </c>
      <c r="L3" t="s">
        <v>144</v>
      </c>
      <c r="M3" t="s">
        <v>162</v>
      </c>
      <c r="N3">
        <v>16.2</v>
      </c>
      <c r="P3" s="130">
        <f t="shared" si="0"/>
        <v>40.703703703703702</v>
      </c>
      <c r="Q3" s="130">
        <f t="shared" ref="Q3:Q49" si="1">IF(P3="","",P3*1.09)</f>
        <v>44.367037037037036</v>
      </c>
      <c r="R3" s="117">
        <v>9</v>
      </c>
      <c r="S3" s="130"/>
      <c r="T3">
        <v>96</v>
      </c>
      <c r="U3">
        <v>170</v>
      </c>
      <c r="W3" s="116">
        <v>7</v>
      </c>
      <c r="X3" s="117">
        <v>5.8</v>
      </c>
      <c r="Y3" s="117">
        <v>48.8</v>
      </c>
      <c r="Z3" s="117">
        <v>19.399999999999999</v>
      </c>
      <c r="AA3" s="117">
        <f t="shared" ref="AA3:AA48" si="2">(100*Z3)/(100-Y3)</f>
        <v>37.890624999999993</v>
      </c>
      <c r="AB3" s="117">
        <v>15.4</v>
      </c>
      <c r="AC3" s="117">
        <v>4</v>
      </c>
      <c r="AD3" s="132" t="s">
        <v>165</v>
      </c>
      <c r="AE3" s="132"/>
    </row>
    <row r="4" spans="1:31">
      <c r="A4">
        <v>18</v>
      </c>
      <c r="B4" t="s">
        <v>236</v>
      </c>
      <c r="C4" t="s">
        <v>155</v>
      </c>
      <c r="D4" s="129">
        <v>42978</v>
      </c>
      <c r="F4" s="129">
        <v>43288</v>
      </c>
      <c r="G4" t="s">
        <v>211</v>
      </c>
      <c r="H4" t="s">
        <v>137</v>
      </c>
      <c r="I4">
        <v>1</v>
      </c>
      <c r="J4">
        <v>9</v>
      </c>
      <c r="K4" t="s">
        <v>209</v>
      </c>
      <c r="L4" t="s">
        <v>151</v>
      </c>
      <c r="M4" t="s">
        <v>162</v>
      </c>
      <c r="N4">
        <v>16.2</v>
      </c>
      <c r="P4" s="130">
        <f t="shared" si="0"/>
        <v>37.135802469135804</v>
      </c>
      <c r="Q4" s="130">
        <f t="shared" si="1"/>
        <v>40.47802469135803</v>
      </c>
      <c r="R4" s="117">
        <v>8</v>
      </c>
      <c r="S4" s="130"/>
      <c r="T4">
        <v>94</v>
      </c>
      <c r="U4">
        <v>135</v>
      </c>
      <c r="W4" s="116">
        <v>6.4</v>
      </c>
      <c r="X4" s="117">
        <v>6</v>
      </c>
      <c r="Y4" s="117">
        <v>49</v>
      </c>
      <c r="Z4" s="117">
        <v>20</v>
      </c>
      <c r="AA4" s="117">
        <f t="shared" si="2"/>
        <v>39.215686274509807</v>
      </c>
      <c r="AB4" s="117">
        <v>22.5</v>
      </c>
      <c r="AC4" s="117">
        <v>4</v>
      </c>
      <c r="AD4" s="132" t="s">
        <v>165</v>
      </c>
      <c r="AE4" s="132"/>
    </row>
    <row r="5" spans="1:31">
      <c r="A5">
        <v>18</v>
      </c>
      <c r="B5" t="s">
        <v>236</v>
      </c>
      <c r="C5" t="s">
        <v>155</v>
      </c>
      <c r="D5" s="129">
        <v>42978</v>
      </c>
      <c r="F5" s="129">
        <v>43288</v>
      </c>
      <c r="G5" t="s">
        <v>179</v>
      </c>
      <c r="H5" t="s">
        <v>137</v>
      </c>
      <c r="I5">
        <v>1</v>
      </c>
      <c r="J5">
        <v>3</v>
      </c>
      <c r="K5" t="s">
        <v>177</v>
      </c>
      <c r="L5" t="s">
        <v>145</v>
      </c>
      <c r="M5" t="s">
        <v>162</v>
      </c>
      <c r="N5">
        <v>16.2</v>
      </c>
      <c r="P5" s="130">
        <f t="shared" si="0"/>
        <v>34.27098765432099</v>
      </c>
      <c r="Q5" s="130">
        <f t="shared" si="1"/>
        <v>37.355376543209879</v>
      </c>
      <c r="R5" s="117">
        <v>8</v>
      </c>
      <c r="S5" s="130"/>
      <c r="T5">
        <v>95</v>
      </c>
      <c r="U5">
        <v>165</v>
      </c>
      <c r="W5" s="116">
        <v>5.9</v>
      </c>
      <c r="X5" s="117">
        <v>5.9</v>
      </c>
      <c r="Y5" s="117">
        <v>49.6</v>
      </c>
      <c r="Z5" s="117">
        <v>19.2</v>
      </c>
      <c r="AA5" s="117">
        <f t="shared" si="2"/>
        <v>38.095238095238095</v>
      </c>
      <c r="AB5" s="117">
        <v>13.3</v>
      </c>
      <c r="AC5" s="117">
        <v>4</v>
      </c>
      <c r="AD5" s="132" t="s">
        <v>165</v>
      </c>
      <c r="AE5" s="132"/>
    </row>
    <row r="6" spans="1:31">
      <c r="A6">
        <v>18</v>
      </c>
      <c r="B6" t="s">
        <v>236</v>
      </c>
      <c r="C6" t="s">
        <v>155</v>
      </c>
      <c r="D6" s="129">
        <v>42978</v>
      </c>
      <c r="F6" s="129">
        <v>43288</v>
      </c>
      <c r="G6" t="s">
        <v>190</v>
      </c>
      <c r="H6" t="s">
        <v>137</v>
      </c>
      <c r="I6">
        <v>1</v>
      </c>
      <c r="J6">
        <v>5</v>
      </c>
      <c r="K6" t="s">
        <v>188</v>
      </c>
      <c r="L6" t="s">
        <v>147</v>
      </c>
      <c r="M6" t="s">
        <v>162</v>
      </c>
      <c r="N6">
        <v>16.2</v>
      </c>
      <c r="P6" s="130">
        <f t="shared" si="0"/>
        <v>39.124691358024691</v>
      </c>
      <c r="Q6" s="130">
        <f t="shared" si="1"/>
        <v>42.645913580246919</v>
      </c>
      <c r="R6" s="117">
        <v>8</v>
      </c>
      <c r="S6" s="130"/>
      <c r="T6">
        <v>98</v>
      </c>
      <c r="U6">
        <v>155</v>
      </c>
      <c r="W6" s="116">
        <v>6.7</v>
      </c>
      <c r="X6" s="117">
        <v>5.4</v>
      </c>
      <c r="Y6" s="117">
        <v>50.2</v>
      </c>
      <c r="Z6" s="117">
        <v>17.7</v>
      </c>
      <c r="AA6" s="117">
        <f t="shared" si="2"/>
        <v>35.5421686746988</v>
      </c>
      <c r="AB6" s="117">
        <v>10.7</v>
      </c>
      <c r="AC6" s="117">
        <v>5</v>
      </c>
      <c r="AD6" s="132" t="s">
        <v>165</v>
      </c>
      <c r="AE6" s="132"/>
    </row>
    <row r="7" spans="1:31">
      <c r="A7">
        <v>18</v>
      </c>
      <c r="B7" t="s">
        <v>236</v>
      </c>
      <c r="C7" t="s">
        <v>155</v>
      </c>
      <c r="D7" s="129">
        <v>42978</v>
      </c>
      <c r="F7" s="129">
        <v>43288</v>
      </c>
      <c r="G7" t="s">
        <v>231</v>
      </c>
      <c r="H7" t="s">
        <v>137</v>
      </c>
      <c r="I7">
        <v>1</v>
      </c>
      <c r="J7">
        <v>12</v>
      </c>
      <c r="K7" t="s">
        <v>220</v>
      </c>
      <c r="L7" t="s">
        <v>221</v>
      </c>
      <c r="M7" t="s">
        <v>162</v>
      </c>
      <c r="N7">
        <v>16.2</v>
      </c>
      <c r="P7" s="130">
        <f t="shared" si="0"/>
        <v>24.977160493827157</v>
      </c>
      <c r="Q7" s="130">
        <f t="shared" si="1"/>
        <v>27.225104938271603</v>
      </c>
      <c r="R7" s="117">
        <v>8</v>
      </c>
      <c r="S7" s="130"/>
      <c r="T7">
        <v>92</v>
      </c>
      <c r="U7">
        <v>115</v>
      </c>
      <c r="W7" s="116">
        <v>4.3</v>
      </c>
      <c r="X7" s="117">
        <v>5.9</v>
      </c>
      <c r="Y7" s="117">
        <v>49</v>
      </c>
      <c r="Z7" s="117">
        <v>18.600000000000001</v>
      </c>
      <c r="AA7" s="117">
        <f t="shared" si="2"/>
        <v>36.470588235294123</v>
      </c>
      <c r="AB7" s="117">
        <v>8.6999999999999993</v>
      </c>
      <c r="AC7" s="117">
        <v>4</v>
      </c>
      <c r="AD7" s="132" t="s">
        <v>165</v>
      </c>
      <c r="AE7" s="132"/>
    </row>
    <row r="8" spans="1:31">
      <c r="A8">
        <v>18</v>
      </c>
      <c r="B8" t="s">
        <v>236</v>
      </c>
      <c r="C8" t="s">
        <v>155</v>
      </c>
      <c r="D8" s="129">
        <v>42978</v>
      </c>
      <c r="F8" s="129">
        <v>43288</v>
      </c>
      <c r="G8" t="s">
        <v>160</v>
      </c>
      <c r="H8" t="s">
        <v>138</v>
      </c>
      <c r="I8">
        <v>1</v>
      </c>
      <c r="J8">
        <v>1</v>
      </c>
      <c r="K8" t="s">
        <v>163</v>
      </c>
      <c r="L8" t="s">
        <v>143</v>
      </c>
      <c r="M8" t="s">
        <v>162</v>
      </c>
      <c r="N8">
        <v>16.2</v>
      </c>
      <c r="P8" s="130">
        <f t="shared" si="0"/>
        <v>38.296296296296298</v>
      </c>
      <c r="Q8" s="130">
        <f t="shared" si="1"/>
        <v>41.74296296296297</v>
      </c>
      <c r="R8" s="117">
        <v>8</v>
      </c>
      <c r="S8" s="130"/>
      <c r="T8">
        <v>95</v>
      </c>
      <c r="U8">
        <v>145</v>
      </c>
      <c r="W8" s="116">
        <v>6.6</v>
      </c>
      <c r="X8" s="117">
        <v>6</v>
      </c>
      <c r="Y8" s="117"/>
      <c r="Z8" s="117"/>
      <c r="AA8" s="117"/>
      <c r="AB8" s="117"/>
      <c r="AC8" s="117"/>
      <c r="AD8" s="132" t="s">
        <v>164</v>
      </c>
      <c r="AE8" s="132" t="s">
        <v>237</v>
      </c>
    </row>
    <row r="9" spans="1:31">
      <c r="A9">
        <v>18</v>
      </c>
      <c r="B9" t="s">
        <v>236</v>
      </c>
      <c r="C9" t="s">
        <v>155</v>
      </c>
      <c r="D9" s="129">
        <v>42978</v>
      </c>
      <c r="F9" s="129">
        <v>43288</v>
      </c>
      <c r="G9" t="s">
        <v>171</v>
      </c>
      <c r="H9" t="s">
        <v>138</v>
      </c>
      <c r="I9">
        <v>1</v>
      </c>
      <c r="J9">
        <v>2</v>
      </c>
      <c r="K9" t="s">
        <v>172</v>
      </c>
      <c r="L9" t="s">
        <v>144</v>
      </c>
      <c r="M9" t="s">
        <v>162</v>
      </c>
      <c r="N9">
        <v>16.2</v>
      </c>
      <c r="P9" s="130">
        <f t="shared" si="0"/>
        <v>29.197530864197532</v>
      </c>
      <c r="Q9" s="130">
        <f t="shared" si="1"/>
        <v>31.825308641975312</v>
      </c>
      <c r="R9" s="117">
        <v>9</v>
      </c>
      <c r="S9" s="130"/>
      <c r="T9">
        <v>95</v>
      </c>
      <c r="U9">
        <v>160</v>
      </c>
      <c r="W9" s="116">
        <v>5</v>
      </c>
      <c r="X9" s="117">
        <v>5.4</v>
      </c>
      <c r="Y9" s="117">
        <v>50</v>
      </c>
      <c r="Z9" s="117">
        <v>18.2</v>
      </c>
      <c r="AA9" s="117">
        <f t="shared" si="2"/>
        <v>36.4</v>
      </c>
      <c r="AB9" s="117">
        <v>16</v>
      </c>
      <c r="AC9" s="117">
        <v>4.4000000000000004</v>
      </c>
      <c r="AD9" s="132" t="s">
        <v>165</v>
      </c>
      <c r="AE9" s="132"/>
    </row>
    <row r="10" spans="1:31">
      <c r="A10">
        <v>18</v>
      </c>
      <c r="B10" t="s">
        <v>236</v>
      </c>
      <c r="C10" t="s">
        <v>155</v>
      </c>
      <c r="D10" s="129">
        <v>42978</v>
      </c>
      <c r="F10" s="129">
        <v>43288</v>
      </c>
      <c r="G10" t="s">
        <v>213</v>
      </c>
      <c r="H10" t="s">
        <v>138</v>
      </c>
      <c r="I10">
        <v>1</v>
      </c>
      <c r="J10">
        <v>10</v>
      </c>
      <c r="K10" t="s">
        <v>214</v>
      </c>
      <c r="L10" t="s">
        <v>152</v>
      </c>
      <c r="M10" t="s">
        <v>162</v>
      </c>
      <c r="N10">
        <v>16.2</v>
      </c>
      <c r="P10" s="130">
        <f t="shared" si="0"/>
        <v>29.489506172839505</v>
      </c>
      <c r="Q10" s="130">
        <f t="shared" si="1"/>
        <v>32.143561728395063</v>
      </c>
      <c r="R10" s="117">
        <v>9</v>
      </c>
      <c r="S10" s="130"/>
      <c r="T10">
        <v>92</v>
      </c>
      <c r="U10">
        <v>155</v>
      </c>
      <c r="W10" s="116">
        <v>5.05</v>
      </c>
      <c r="X10" s="117">
        <v>5.4</v>
      </c>
      <c r="Y10" s="117">
        <v>50.4</v>
      </c>
      <c r="Z10" s="117">
        <v>17.399999999999999</v>
      </c>
      <c r="AA10" s="117">
        <f t="shared" si="2"/>
        <v>35.08064516129032</v>
      </c>
      <c r="AB10" s="117">
        <v>13.4</v>
      </c>
      <c r="AC10" s="117">
        <v>4.5</v>
      </c>
      <c r="AD10" s="132" t="s">
        <v>165</v>
      </c>
      <c r="AE10" s="132"/>
    </row>
    <row r="11" spans="1:31">
      <c r="A11">
        <v>18</v>
      </c>
      <c r="B11" t="s">
        <v>236</v>
      </c>
      <c r="C11" t="s">
        <v>155</v>
      </c>
      <c r="D11" s="129">
        <v>42978</v>
      </c>
      <c r="F11" s="129">
        <v>43288</v>
      </c>
      <c r="G11" t="s">
        <v>208</v>
      </c>
      <c r="H11" t="s">
        <v>138</v>
      </c>
      <c r="I11">
        <v>1</v>
      </c>
      <c r="J11">
        <v>9</v>
      </c>
      <c r="K11" t="s">
        <v>209</v>
      </c>
      <c r="L11" t="s">
        <v>151</v>
      </c>
      <c r="M11" t="s">
        <v>162</v>
      </c>
      <c r="N11">
        <v>16.2</v>
      </c>
      <c r="P11" s="130">
        <f t="shared" si="0"/>
        <v>26.222222222222225</v>
      </c>
      <c r="Q11" s="130">
        <f t="shared" si="1"/>
        <v>28.582222222222228</v>
      </c>
      <c r="R11" s="117">
        <v>9</v>
      </c>
      <c r="S11" s="130"/>
      <c r="T11">
        <v>90</v>
      </c>
      <c r="U11">
        <v>150</v>
      </c>
      <c r="W11" s="116">
        <v>4.5</v>
      </c>
      <c r="X11" s="117">
        <v>5.6</v>
      </c>
      <c r="Y11" s="117">
        <v>49.6</v>
      </c>
      <c r="Z11" s="117">
        <v>18.8</v>
      </c>
      <c r="AA11" s="117">
        <f t="shared" si="2"/>
        <v>37.301587301587304</v>
      </c>
      <c r="AB11" s="117">
        <v>24.6</v>
      </c>
      <c r="AC11" s="117">
        <v>4.5</v>
      </c>
      <c r="AD11" s="132" t="s">
        <v>165</v>
      </c>
      <c r="AE11" s="132"/>
    </row>
    <row r="12" spans="1:31">
      <c r="A12">
        <v>18</v>
      </c>
      <c r="B12" t="s">
        <v>236</v>
      </c>
      <c r="C12" t="s">
        <v>155</v>
      </c>
      <c r="D12" s="129">
        <v>42978</v>
      </c>
      <c r="F12" s="129">
        <v>43288</v>
      </c>
      <c r="G12" t="s">
        <v>203</v>
      </c>
      <c r="H12" t="s">
        <v>138</v>
      </c>
      <c r="I12">
        <v>1</v>
      </c>
      <c r="J12">
        <v>8</v>
      </c>
      <c r="K12" t="s">
        <v>204</v>
      </c>
      <c r="L12" t="s">
        <v>150</v>
      </c>
      <c r="M12" t="s">
        <v>162</v>
      </c>
      <c r="N12">
        <v>16.2</v>
      </c>
      <c r="P12" s="130">
        <f t="shared" si="0"/>
        <v>31.208333333333336</v>
      </c>
      <c r="Q12" s="130">
        <f t="shared" si="1"/>
        <v>34.017083333333339</v>
      </c>
      <c r="R12" s="117">
        <v>9</v>
      </c>
      <c r="S12" s="130"/>
      <c r="T12">
        <v>95</v>
      </c>
      <c r="U12">
        <v>160</v>
      </c>
      <c r="W12" s="116">
        <v>5.35</v>
      </c>
      <c r="X12" s="117">
        <v>5.5</v>
      </c>
      <c r="Y12" s="117">
        <v>50.1</v>
      </c>
      <c r="Z12" s="117">
        <v>16.899999999999999</v>
      </c>
      <c r="AA12" s="117">
        <f t="shared" si="2"/>
        <v>33.867735470941881</v>
      </c>
      <c r="AB12" s="117">
        <v>9.6</v>
      </c>
      <c r="AC12" s="117">
        <v>5.5</v>
      </c>
      <c r="AD12" s="132" t="s">
        <v>165</v>
      </c>
      <c r="AE12" s="132"/>
    </row>
    <row r="13" spans="1:31">
      <c r="A13">
        <v>18</v>
      </c>
      <c r="B13" t="s">
        <v>236</v>
      </c>
      <c r="C13" t="s">
        <v>155</v>
      </c>
      <c r="D13" s="129">
        <v>42978</v>
      </c>
      <c r="F13" s="129">
        <v>43288</v>
      </c>
      <c r="G13" t="s">
        <v>182</v>
      </c>
      <c r="H13" t="s">
        <v>138</v>
      </c>
      <c r="I13">
        <v>1</v>
      </c>
      <c r="J13">
        <v>4</v>
      </c>
      <c r="K13" t="s">
        <v>183</v>
      </c>
      <c r="L13" t="s">
        <v>146</v>
      </c>
      <c r="M13" t="s">
        <v>162</v>
      </c>
      <c r="N13">
        <v>16.2</v>
      </c>
      <c r="P13" s="130">
        <f t="shared" si="0"/>
        <v>34.525925925925932</v>
      </c>
      <c r="Q13" s="130">
        <f t="shared" si="1"/>
        <v>37.633259259259269</v>
      </c>
      <c r="R13" s="117">
        <v>9</v>
      </c>
      <c r="S13" s="130"/>
      <c r="T13">
        <v>96</v>
      </c>
      <c r="U13">
        <v>165</v>
      </c>
      <c r="W13" s="116">
        <v>5.9</v>
      </c>
      <c r="X13" s="117">
        <v>5.2</v>
      </c>
      <c r="Y13" s="117">
        <v>50.6</v>
      </c>
      <c r="Z13" s="117">
        <v>16.7</v>
      </c>
      <c r="AA13" s="117">
        <f t="shared" si="2"/>
        <v>33.805668016194332</v>
      </c>
      <c r="AB13" s="117">
        <v>17.3</v>
      </c>
      <c r="AC13" s="117">
        <v>4.5</v>
      </c>
      <c r="AD13" s="132" t="s">
        <v>165</v>
      </c>
      <c r="AE13" s="132"/>
    </row>
    <row r="14" spans="1:31">
      <c r="A14">
        <v>18</v>
      </c>
      <c r="B14" t="s">
        <v>236</v>
      </c>
      <c r="C14" t="s">
        <v>155</v>
      </c>
      <c r="D14" s="129">
        <v>42978</v>
      </c>
      <c r="F14" s="129">
        <v>43288</v>
      </c>
      <c r="G14" t="s">
        <v>187</v>
      </c>
      <c r="H14" t="s">
        <v>138</v>
      </c>
      <c r="I14">
        <v>1</v>
      </c>
      <c r="J14">
        <v>5</v>
      </c>
      <c r="K14" t="s">
        <v>188</v>
      </c>
      <c r="L14" t="s">
        <v>147</v>
      </c>
      <c r="M14" t="s">
        <v>162</v>
      </c>
      <c r="N14">
        <v>16.2</v>
      </c>
      <c r="P14" s="130">
        <f t="shared" si="0"/>
        <v>29.25925925925926</v>
      </c>
      <c r="Q14" s="130">
        <f t="shared" si="1"/>
        <v>31.892592592592596</v>
      </c>
      <c r="R14" s="117">
        <v>9</v>
      </c>
      <c r="S14" s="130"/>
      <c r="T14">
        <v>96</v>
      </c>
      <c r="U14">
        <v>155</v>
      </c>
      <c r="W14" s="116">
        <v>5</v>
      </c>
      <c r="X14" s="117">
        <v>5.2</v>
      </c>
      <c r="Y14" s="117">
        <v>50.2</v>
      </c>
      <c r="Z14" s="117">
        <v>18.5</v>
      </c>
      <c r="AA14" s="117">
        <f t="shared" si="2"/>
        <v>37.148594377510044</v>
      </c>
      <c r="AB14" s="117">
        <v>14</v>
      </c>
      <c r="AC14" s="117">
        <v>5.2</v>
      </c>
      <c r="AD14" s="132" t="s">
        <v>165</v>
      </c>
      <c r="AE14" s="132"/>
    </row>
    <row r="15" spans="1:31">
      <c r="A15">
        <v>18</v>
      </c>
      <c r="B15" t="s">
        <v>236</v>
      </c>
      <c r="C15" t="s">
        <v>155</v>
      </c>
      <c r="D15" s="129">
        <v>42978</v>
      </c>
      <c r="F15" s="129">
        <v>43288</v>
      </c>
      <c r="G15" t="s">
        <v>176</v>
      </c>
      <c r="H15" t="s">
        <v>138</v>
      </c>
      <c r="I15">
        <v>1</v>
      </c>
      <c r="J15">
        <v>3</v>
      </c>
      <c r="K15" t="s">
        <v>177</v>
      </c>
      <c r="L15" t="s">
        <v>145</v>
      </c>
      <c r="M15" t="s">
        <v>162</v>
      </c>
      <c r="N15">
        <v>16.2</v>
      </c>
      <c r="P15" s="130">
        <f t="shared" si="0"/>
        <v>31.047530864197533</v>
      </c>
      <c r="Q15" s="130">
        <f t="shared" si="1"/>
        <v>33.841808641975312</v>
      </c>
      <c r="R15" s="117">
        <v>9</v>
      </c>
      <c r="S15" s="130"/>
      <c r="T15">
        <v>92</v>
      </c>
      <c r="U15">
        <v>160</v>
      </c>
      <c r="W15" s="116">
        <v>5.3</v>
      </c>
      <c r="X15" s="117">
        <v>5.0999999999999996</v>
      </c>
      <c r="Y15" s="117">
        <v>51.7</v>
      </c>
      <c r="Z15" s="117">
        <v>17.5</v>
      </c>
      <c r="AA15" s="117">
        <f t="shared" si="2"/>
        <v>36.231884057971016</v>
      </c>
      <c r="AB15" s="117">
        <v>18.399999999999999</v>
      </c>
      <c r="AC15" s="117">
        <v>4.4000000000000004</v>
      </c>
      <c r="AD15" s="132" t="s">
        <v>165</v>
      </c>
      <c r="AE15" s="132"/>
    </row>
    <row r="16" spans="1:31">
      <c r="A16">
        <v>18</v>
      </c>
      <c r="B16" t="s">
        <v>236</v>
      </c>
      <c r="C16" t="s">
        <v>155</v>
      </c>
      <c r="D16" s="129">
        <v>42978</v>
      </c>
      <c r="F16" s="129">
        <v>43288</v>
      </c>
      <c r="G16" t="s">
        <v>167</v>
      </c>
      <c r="H16" t="s">
        <v>137</v>
      </c>
      <c r="I16">
        <v>1</v>
      </c>
      <c r="J16">
        <v>1</v>
      </c>
      <c r="K16" t="s">
        <v>163</v>
      </c>
      <c r="L16" t="s">
        <v>143</v>
      </c>
      <c r="M16" t="s">
        <v>162</v>
      </c>
      <c r="N16">
        <v>16.2</v>
      </c>
      <c r="P16" s="130">
        <f t="shared" si="0"/>
        <v>38.25555555555556</v>
      </c>
      <c r="Q16" s="130">
        <f t="shared" si="1"/>
        <v>41.698555555555565</v>
      </c>
      <c r="R16" s="117">
        <v>7</v>
      </c>
      <c r="S16" s="130"/>
      <c r="T16">
        <v>97</v>
      </c>
      <c r="U16">
        <v>145</v>
      </c>
      <c r="W16" s="116">
        <v>6.6</v>
      </c>
      <c r="X16" s="117">
        <v>6.1</v>
      </c>
      <c r="Y16" s="117">
        <v>49.7</v>
      </c>
      <c r="Z16" s="117">
        <v>19.2</v>
      </c>
      <c r="AA16" s="117">
        <f t="shared" si="2"/>
        <v>38.170974155069587</v>
      </c>
      <c r="AB16" s="117">
        <v>12.5</v>
      </c>
      <c r="AC16" s="117">
        <v>5</v>
      </c>
      <c r="AD16" s="132" t="s">
        <v>165</v>
      </c>
      <c r="AE16" s="132"/>
    </row>
    <row r="17" spans="1:31">
      <c r="A17">
        <v>18</v>
      </c>
      <c r="B17" t="s">
        <v>236</v>
      </c>
      <c r="C17" t="s">
        <v>155</v>
      </c>
      <c r="D17" s="129">
        <v>42978</v>
      </c>
      <c r="F17" s="129">
        <v>43288</v>
      </c>
      <c r="G17" t="s">
        <v>216</v>
      </c>
      <c r="H17" t="s">
        <v>137</v>
      </c>
      <c r="I17">
        <v>1</v>
      </c>
      <c r="J17">
        <v>10</v>
      </c>
      <c r="K17" t="s">
        <v>214</v>
      </c>
      <c r="L17" t="s">
        <v>152</v>
      </c>
      <c r="M17" t="s">
        <v>162</v>
      </c>
      <c r="N17">
        <v>16.2</v>
      </c>
      <c r="P17" s="130">
        <f t="shared" si="0"/>
        <v>42.983950617283952</v>
      </c>
      <c r="Q17" s="130">
        <f t="shared" si="1"/>
        <v>46.852506172839512</v>
      </c>
      <c r="R17" s="117">
        <v>9</v>
      </c>
      <c r="S17" s="130"/>
      <c r="T17">
        <v>94</v>
      </c>
      <c r="U17">
        <v>160</v>
      </c>
      <c r="W17" s="116">
        <v>7.4</v>
      </c>
      <c r="X17" s="117">
        <v>5.9</v>
      </c>
      <c r="Y17" s="117">
        <v>50.1</v>
      </c>
      <c r="Z17" s="117">
        <v>19.5</v>
      </c>
      <c r="AA17" s="117">
        <f t="shared" si="2"/>
        <v>39.078156312625254</v>
      </c>
      <c r="AB17" s="117">
        <v>17.3</v>
      </c>
      <c r="AC17" s="117">
        <v>5</v>
      </c>
      <c r="AD17" s="132" t="s">
        <v>165</v>
      </c>
      <c r="AE17" s="132"/>
    </row>
    <row r="18" spans="1:31">
      <c r="A18">
        <v>18</v>
      </c>
      <c r="B18" t="s">
        <v>236</v>
      </c>
      <c r="C18" t="s">
        <v>155</v>
      </c>
      <c r="D18" s="129">
        <v>42978</v>
      </c>
      <c r="F18" s="129">
        <v>43288</v>
      </c>
      <c r="G18" t="s">
        <v>206</v>
      </c>
      <c r="H18" t="s">
        <v>137</v>
      </c>
      <c r="I18">
        <v>1</v>
      </c>
      <c r="J18">
        <v>8</v>
      </c>
      <c r="K18" t="s">
        <v>204</v>
      </c>
      <c r="L18" t="s">
        <v>150</v>
      </c>
      <c r="M18" t="s">
        <v>162</v>
      </c>
      <c r="N18">
        <v>16.2</v>
      </c>
      <c r="P18" s="130">
        <f t="shared" si="0"/>
        <v>45.839506172839506</v>
      </c>
      <c r="Q18" s="130">
        <f t="shared" si="1"/>
        <v>49.965061728395064</v>
      </c>
      <c r="R18" s="117">
        <v>9</v>
      </c>
      <c r="S18" s="130"/>
      <c r="T18">
        <v>96</v>
      </c>
      <c r="U18">
        <v>160</v>
      </c>
      <c r="W18" s="116">
        <v>7.9</v>
      </c>
      <c r="X18" s="117">
        <v>6</v>
      </c>
      <c r="Y18" s="117">
        <v>48.3</v>
      </c>
      <c r="Z18" s="117">
        <v>18.2</v>
      </c>
      <c r="AA18" s="117">
        <f t="shared" si="2"/>
        <v>35.20309477756286</v>
      </c>
      <c r="AB18" s="117">
        <v>10.8</v>
      </c>
      <c r="AC18" s="117">
        <v>5</v>
      </c>
      <c r="AD18" s="132" t="s">
        <v>165</v>
      </c>
      <c r="AE18" s="132"/>
    </row>
    <row r="19" spans="1:31">
      <c r="A19">
        <v>18</v>
      </c>
      <c r="B19" t="s">
        <v>236</v>
      </c>
      <c r="C19" t="s">
        <v>155</v>
      </c>
      <c r="D19" s="129">
        <v>42978</v>
      </c>
      <c r="F19" s="129">
        <v>43288</v>
      </c>
      <c r="G19" t="s">
        <v>185</v>
      </c>
      <c r="H19" t="s">
        <v>137</v>
      </c>
      <c r="I19">
        <v>1</v>
      </c>
      <c r="J19">
        <v>4</v>
      </c>
      <c r="K19" t="s">
        <v>183</v>
      </c>
      <c r="L19" t="s">
        <v>146</v>
      </c>
      <c r="M19" t="s">
        <v>162</v>
      </c>
      <c r="N19">
        <v>16.2</v>
      </c>
      <c r="P19" s="130">
        <f t="shared" si="0"/>
        <v>37.836419753086417</v>
      </c>
      <c r="Q19" s="130">
        <f t="shared" si="1"/>
        <v>41.241697530864201</v>
      </c>
      <c r="R19" s="117">
        <v>7</v>
      </c>
      <c r="S19" s="130"/>
      <c r="T19">
        <v>98</v>
      </c>
      <c r="U19">
        <v>150</v>
      </c>
      <c r="W19" s="116">
        <v>6.5</v>
      </c>
      <c r="X19" s="117">
        <v>5.7</v>
      </c>
      <c r="Y19" s="117">
        <v>50.2</v>
      </c>
      <c r="Z19" s="117">
        <v>17.8</v>
      </c>
      <c r="AA19" s="117">
        <f t="shared" si="2"/>
        <v>35.742971887550205</v>
      </c>
      <c r="AB19" s="117">
        <v>13.9</v>
      </c>
      <c r="AC19" s="117">
        <v>4</v>
      </c>
      <c r="AD19" s="132" t="s">
        <v>165</v>
      </c>
      <c r="AE19" s="132"/>
    </row>
    <row r="20" spans="1:31">
      <c r="A20">
        <v>18</v>
      </c>
      <c r="B20" t="s">
        <v>236</v>
      </c>
      <c r="C20" t="s">
        <v>155</v>
      </c>
      <c r="D20" s="129">
        <v>42978</v>
      </c>
      <c r="F20" s="129">
        <v>43288</v>
      </c>
      <c r="G20" t="s">
        <v>195</v>
      </c>
      <c r="H20" t="s">
        <v>137</v>
      </c>
      <c r="I20">
        <v>1</v>
      </c>
      <c r="J20">
        <v>6</v>
      </c>
      <c r="K20" t="s">
        <v>193</v>
      </c>
      <c r="L20" t="s">
        <v>148</v>
      </c>
      <c r="M20" t="s">
        <v>162</v>
      </c>
      <c r="N20">
        <v>16.2</v>
      </c>
      <c r="P20" s="130">
        <f t="shared" si="0"/>
        <v>35.432716049382712</v>
      </c>
      <c r="Q20" s="130">
        <f t="shared" si="1"/>
        <v>38.621660493827157</v>
      </c>
      <c r="R20" s="117">
        <v>8</v>
      </c>
      <c r="S20" s="130"/>
      <c r="T20">
        <v>98</v>
      </c>
      <c r="U20">
        <v>155</v>
      </c>
      <c r="W20" s="116">
        <v>6.1</v>
      </c>
      <c r="X20" s="117">
        <v>5.9</v>
      </c>
      <c r="Y20" s="117">
        <v>48.9</v>
      </c>
      <c r="Z20" s="117">
        <v>17.8</v>
      </c>
      <c r="AA20" s="117">
        <f t="shared" si="2"/>
        <v>34.833659491193735</v>
      </c>
      <c r="AB20" s="117">
        <v>11.8</v>
      </c>
      <c r="AC20" s="117">
        <v>4</v>
      </c>
      <c r="AD20" s="132" t="s">
        <v>181</v>
      </c>
      <c r="AE20" s="132"/>
    </row>
    <row r="21" spans="1:31">
      <c r="A21">
        <v>18</v>
      </c>
      <c r="B21" t="s">
        <v>236</v>
      </c>
      <c r="C21" t="s">
        <v>155</v>
      </c>
      <c r="D21" s="129">
        <v>42978</v>
      </c>
      <c r="F21" s="129">
        <v>43288</v>
      </c>
      <c r="G21" t="s">
        <v>201</v>
      </c>
      <c r="H21" t="s">
        <v>137</v>
      </c>
      <c r="I21">
        <v>1</v>
      </c>
      <c r="J21">
        <v>7</v>
      </c>
      <c r="K21" t="s">
        <v>198</v>
      </c>
      <c r="L21" t="s">
        <v>149</v>
      </c>
      <c r="M21" t="s">
        <v>162</v>
      </c>
      <c r="N21">
        <v>16.2</v>
      </c>
      <c r="P21" s="130">
        <f t="shared" si="0"/>
        <v>24.396296296296295</v>
      </c>
      <c r="Q21" s="130">
        <f t="shared" si="1"/>
        <v>26.591962962962963</v>
      </c>
      <c r="R21" s="117">
        <v>6</v>
      </c>
      <c r="S21" s="130"/>
      <c r="T21">
        <v>99</v>
      </c>
      <c r="U21">
        <v>135</v>
      </c>
      <c r="W21" s="116">
        <v>4.2</v>
      </c>
      <c r="X21" s="117">
        <v>5.9</v>
      </c>
      <c r="Y21" s="117">
        <v>48.5</v>
      </c>
      <c r="Z21" s="117">
        <v>17.8</v>
      </c>
      <c r="AA21" s="117">
        <f t="shared" si="2"/>
        <v>34.563106796116507</v>
      </c>
      <c r="AB21" s="117">
        <v>7.9</v>
      </c>
      <c r="AC21" s="117">
        <v>4.5</v>
      </c>
      <c r="AD21" s="132" t="s">
        <v>199</v>
      </c>
      <c r="AE21" s="132"/>
    </row>
    <row r="22" spans="1:31">
      <c r="A22">
        <v>18</v>
      </c>
      <c r="B22" t="s">
        <v>236</v>
      </c>
      <c r="C22" t="s">
        <v>155</v>
      </c>
      <c r="D22" s="129">
        <v>42978</v>
      </c>
      <c r="F22" s="129">
        <v>43288</v>
      </c>
      <c r="G22" t="s">
        <v>218</v>
      </c>
      <c r="H22" t="s">
        <v>138</v>
      </c>
      <c r="I22">
        <v>1</v>
      </c>
      <c r="J22">
        <v>11</v>
      </c>
      <c r="K22" t="s">
        <v>220</v>
      </c>
      <c r="L22" t="s">
        <v>221</v>
      </c>
      <c r="M22" t="s">
        <v>162</v>
      </c>
      <c r="N22">
        <v>16.2</v>
      </c>
      <c r="P22" s="130">
        <f t="shared" si="0"/>
        <v>14.670370370370371</v>
      </c>
      <c r="Q22" s="130">
        <f t="shared" si="1"/>
        <v>15.990703703703705</v>
      </c>
      <c r="R22" s="117">
        <v>8</v>
      </c>
      <c r="S22" s="130"/>
      <c r="T22">
        <v>91</v>
      </c>
      <c r="W22" s="116">
        <v>2.5499999999999998</v>
      </c>
      <c r="X22" s="117">
        <v>6.8</v>
      </c>
      <c r="Y22" s="117">
        <v>50.3</v>
      </c>
      <c r="Z22" s="117">
        <v>17.600000000000001</v>
      </c>
      <c r="AA22" s="117">
        <f t="shared" si="2"/>
        <v>35.412474849094572</v>
      </c>
      <c r="AB22" s="117">
        <v>11.8</v>
      </c>
      <c r="AC22" s="117">
        <v>4.4000000000000004</v>
      </c>
      <c r="AD22" s="132" t="s">
        <v>165</v>
      </c>
      <c r="AE22" s="132"/>
    </row>
    <row r="23" spans="1:31">
      <c r="A23">
        <v>18</v>
      </c>
      <c r="B23" t="s">
        <v>236</v>
      </c>
      <c r="C23" t="s">
        <v>155</v>
      </c>
      <c r="D23" s="129">
        <v>42978</v>
      </c>
      <c r="F23" s="129">
        <v>43288</v>
      </c>
      <c r="G23" t="s">
        <v>192</v>
      </c>
      <c r="H23" t="s">
        <v>138</v>
      </c>
      <c r="I23">
        <v>1</v>
      </c>
      <c r="J23">
        <v>6</v>
      </c>
      <c r="K23" t="s">
        <v>193</v>
      </c>
      <c r="L23" t="s">
        <v>148</v>
      </c>
      <c r="M23" t="s">
        <v>162</v>
      </c>
      <c r="N23">
        <v>16.2</v>
      </c>
      <c r="P23" s="130">
        <f t="shared" si="0"/>
        <v>32.59753086419753</v>
      </c>
      <c r="Q23" s="130">
        <f t="shared" si="1"/>
        <v>35.531308641975308</v>
      </c>
      <c r="R23" s="117">
        <v>9</v>
      </c>
      <c r="S23" s="130"/>
      <c r="T23">
        <v>96</v>
      </c>
      <c r="U23">
        <v>165</v>
      </c>
      <c r="W23" s="116">
        <v>5.6</v>
      </c>
      <c r="X23" s="117">
        <v>5.7</v>
      </c>
      <c r="Y23" s="117">
        <v>49.7</v>
      </c>
      <c r="Z23" s="117">
        <v>18</v>
      </c>
      <c r="AA23" s="117">
        <f t="shared" si="2"/>
        <v>35.785288270377734</v>
      </c>
      <c r="AB23" s="117">
        <v>15.8</v>
      </c>
      <c r="AC23" s="117">
        <v>5</v>
      </c>
      <c r="AD23" s="132" t="s">
        <v>165</v>
      </c>
      <c r="AE23" s="132"/>
    </row>
    <row r="24" spans="1:31">
      <c r="A24">
        <v>18</v>
      </c>
      <c r="B24" t="s">
        <v>236</v>
      </c>
      <c r="C24" t="s">
        <v>155</v>
      </c>
      <c r="D24" s="129">
        <v>42978</v>
      </c>
      <c r="F24" s="129">
        <v>43288</v>
      </c>
      <c r="G24" t="s">
        <v>197</v>
      </c>
      <c r="H24" t="s">
        <v>138</v>
      </c>
      <c r="I24">
        <v>1</v>
      </c>
      <c r="J24">
        <v>7</v>
      </c>
      <c r="K24" t="s">
        <v>198</v>
      </c>
      <c r="L24" t="s">
        <v>149</v>
      </c>
      <c r="M24" t="s">
        <v>162</v>
      </c>
      <c r="N24">
        <v>16.2</v>
      </c>
      <c r="P24" s="130">
        <f t="shared" si="0"/>
        <v>20.977777777777781</v>
      </c>
      <c r="Q24" s="130">
        <f t="shared" si="1"/>
        <v>22.865777777777783</v>
      </c>
      <c r="R24" s="117">
        <v>6</v>
      </c>
      <c r="S24" s="130"/>
      <c r="T24">
        <v>96</v>
      </c>
      <c r="U24">
        <v>145</v>
      </c>
      <c r="W24" s="116">
        <v>3.6</v>
      </c>
      <c r="X24" s="117">
        <v>5.6</v>
      </c>
      <c r="Y24" s="117">
        <v>48.2</v>
      </c>
      <c r="Z24" s="117">
        <v>18.7</v>
      </c>
      <c r="AA24" s="117">
        <f t="shared" si="2"/>
        <v>36.100386100386103</v>
      </c>
      <c r="AB24" s="117">
        <v>17.600000000000001</v>
      </c>
      <c r="AC24" s="117">
        <v>5</v>
      </c>
      <c r="AD24" s="132" t="s">
        <v>199</v>
      </c>
      <c r="AE24" s="132"/>
    </row>
    <row r="25" spans="1:31">
      <c r="A25">
        <v>18</v>
      </c>
      <c r="B25" t="s">
        <v>236</v>
      </c>
      <c r="C25" t="s">
        <v>155</v>
      </c>
      <c r="D25" s="129">
        <v>42978</v>
      </c>
      <c r="F25" s="129">
        <v>43288</v>
      </c>
      <c r="G25" t="s">
        <v>227</v>
      </c>
      <c r="H25" t="s">
        <v>138</v>
      </c>
      <c r="I25">
        <v>1</v>
      </c>
      <c r="J25">
        <v>12</v>
      </c>
      <c r="K25" t="s">
        <v>224</v>
      </c>
      <c r="L25" t="s">
        <v>225</v>
      </c>
      <c r="M25" t="s">
        <v>162</v>
      </c>
      <c r="N25">
        <v>16.2</v>
      </c>
      <c r="P25" s="130" t="str">
        <f t="shared" si="0"/>
        <v/>
      </c>
      <c r="Q25" s="130" t="str">
        <f t="shared" si="1"/>
        <v/>
      </c>
      <c r="R25" s="117">
        <v>8</v>
      </c>
      <c r="S25" s="130"/>
      <c r="T25">
        <v>95</v>
      </c>
      <c r="U25">
        <v>145</v>
      </c>
      <c r="W25" s="116"/>
      <c r="X25" s="117"/>
      <c r="Y25" s="117"/>
      <c r="Z25" s="117"/>
      <c r="AA25" s="117"/>
      <c r="AB25" s="117"/>
      <c r="AC25" s="117"/>
      <c r="AD25" s="132" t="s">
        <v>165</v>
      </c>
      <c r="AE25" s="132" t="s">
        <v>229</v>
      </c>
    </row>
    <row r="26" spans="1:31">
      <c r="A26">
        <v>18</v>
      </c>
      <c r="B26" t="s">
        <v>236</v>
      </c>
      <c r="C26" t="s">
        <v>155</v>
      </c>
      <c r="D26" s="129">
        <v>42978</v>
      </c>
      <c r="F26" s="129">
        <v>43288</v>
      </c>
      <c r="G26" t="s">
        <v>226</v>
      </c>
      <c r="H26" t="s">
        <v>137</v>
      </c>
      <c r="I26">
        <v>2</v>
      </c>
      <c r="J26">
        <v>11</v>
      </c>
      <c r="K26" t="s">
        <v>224</v>
      </c>
      <c r="L26" t="s">
        <v>225</v>
      </c>
      <c r="M26" t="s">
        <v>162</v>
      </c>
      <c r="N26">
        <v>16.2</v>
      </c>
      <c r="P26" s="130">
        <f t="shared" si="0"/>
        <v>37.796296296296305</v>
      </c>
      <c r="Q26" s="130">
        <f t="shared" si="1"/>
        <v>41.197962962962976</v>
      </c>
      <c r="R26" s="117">
        <v>7</v>
      </c>
      <c r="S26" s="130"/>
      <c r="T26">
        <v>97</v>
      </c>
      <c r="U26">
        <v>155</v>
      </c>
      <c r="W26" s="116">
        <v>6.5</v>
      </c>
      <c r="X26" s="117">
        <v>5.8</v>
      </c>
      <c r="Y26" s="117">
        <v>46.2</v>
      </c>
      <c r="Z26" s="117">
        <v>19.899999999999999</v>
      </c>
      <c r="AA26" s="117">
        <f t="shared" si="2"/>
        <v>36.988847583643121</v>
      </c>
      <c r="AB26" s="117">
        <v>14.8</v>
      </c>
      <c r="AC26" s="117">
        <v>4.5</v>
      </c>
      <c r="AD26" s="132" t="s">
        <v>181</v>
      </c>
      <c r="AE26" s="132"/>
    </row>
    <row r="27" spans="1:31">
      <c r="A27">
        <v>18</v>
      </c>
      <c r="B27" t="s">
        <v>236</v>
      </c>
      <c r="C27" t="s">
        <v>155</v>
      </c>
      <c r="D27" s="129">
        <v>42978</v>
      </c>
      <c r="F27" s="129">
        <v>43288</v>
      </c>
      <c r="G27" t="s">
        <v>169</v>
      </c>
      <c r="H27" t="s">
        <v>137</v>
      </c>
      <c r="I27">
        <v>2</v>
      </c>
      <c r="J27">
        <v>1</v>
      </c>
      <c r="K27" t="s">
        <v>163</v>
      </c>
      <c r="L27" t="s">
        <v>143</v>
      </c>
      <c r="M27" t="s">
        <v>162</v>
      </c>
      <c r="N27">
        <v>16.2</v>
      </c>
      <c r="P27" s="130">
        <f t="shared" si="0"/>
        <v>38.835185185185196</v>
      </c>
      <c r="Q27" s="130">
        <f t="shared" si="1"/>
        <v>42.330351851851866</v>
      </c>
      <c r="R27" s="117">
        <v>8</v>
      </c>
      <c r="S27" s="130"/>
      <c r="T27">
        <v>97</v>
      </c>
      <c r="U27">
        <v>145</v>
      </c>
      <c r="W27" s="116">
        <v>6.7</v>
      </c>
      <c r="X27" s="117">
        <v>6.1</v>
      </c>
      <c r="Y27" s="117">
        <v>47.8</v>
      </c>
      <c r="Z27" s="117">
        <v>20.100000000000001</v>
      </c>
      <c r="AA27" s="117">
        <f t="shared" si="2"/>
        <v>38.505747126436781</v>
      </c>
      <c r="AB27" s="117">
        <v>17.600000000000001</v>
      </c>
      <c r="AC27" s="117">
        <v>5</v>
      </c>
      <c r="AD27" s="132" t="s">
        <v>165</v>
      </c>
      <c r="AE27" s="132"/>
    </row>
    <row r="28" spans="1:31">
      <c r="A28">
        <v>18</v>
      </c>
      <c r="B28" t="s">
        <v>236</v>
      </c>
      <c r="C28" t="s">
        <v>155</v>
      </c>
      <c r="D28" s="129">
        <v>42978</v>
      </c>
      <c r="F28" s="129">
        <v>43288</v>
      </c>
      <c r="G28" t="s">
        <v>217</v>
      </c>
      <c r="H28" t="s">
        <v>137</v>
      </c>
      <c r="I28">
        <v>2</v>
      </c>
      <c r="J28">
        <v>10</v>
      </c>
      <c r="K28" t="s">
        <v>214</v>
      </c>
      <c r="L28" t="s">
        <v>152</v>
      </c>
      <c r="M28" t="s">
        <v>162</v>
      </c>
      <c r="N28">
        <v>16.2</v>
      </c>
      <c r="P28" s="130">
        <f t="shared" si="0"/>
        <v>40.660493827160494</v>
      </c>
      <c r="Q28" s="130">
        <f t="shared" si="1"/>
        <v>44.31993827160494</v>
      </c>
      <c r="R28" s="117">
        <v>8</v>
      </c>
      <c r="S28" s="130"/>
      <c r="T28">
        <v>94</v>
      </c>
      <c r="U28">
        <v>155</v>
      </c>
      <c r="W28" s="116">
        <v>7</v>
      </c>
      <c r="X28" s="117">
        <v>5.9</v>
      </c>
      <c r="Y28" s="117">
        <v>47.6</v>
      </c>
      <c r="Z28" s="117">
        <v>20</v>
      </c>
      <c r="AA28" s="117">
        <f t="shared" si="2"/>
        <v>38.167938931297712</v>
      </c>
      <c r="AB28" s="117">
        <v>14.6</v>
      </c>
      <c r="AC28" s="117">
        <v>4.5</v>
      </c>
      <c r="AD28" s="132" t="s">
        <v>165</v>
      </c>
      <c r="AE28" s="132"/>
    </row>
    <row r="29" spans="1:31">
      <c r="A29">
        <v>18</v>
      </c>
      <c r="B29" t="s">
        <v>236</v>
      </c>
      <c r="C29" t="s">
        <v>155</v>
      </c>
      <c r="D29" s="129">
        <v>42978</v>
      </c>
      <c r="F29" s="129">
        <v>43288</v>
      </c>
      <c r="G29" t="s">
        <v>212</v>
      </c>
      <c r="H29" t="s">
        <v>137</v>
      </c>
      <c r="I29">
        <v>2</v>
      </c>
      <c r="J29">
        <v>9</v>
      </c>
      <c r="K29" t="s">
        <v>209</v>
      </c>
      <c r="L29" t="s">
        <v>151</v>
      </c>
      <c r="M29" t="s">
        <v>162</v>
      </c>
      <c r="N29">
        <v>16.2</v>
      </c>
      <c r="P29" s="130">
        <f t="shared" si="0"/>
        <v>33.690123456790126</v>
      </c>
      <c r="Q29" s="130">
        <f t="shared" si="1"/>
        <v>36.722234567901239</v>
      </c>
      <c r="R29" s="117">
        <v>8</v>
      </c>
      <c r="S29" s="130"/>
      <c r="T29">
        <v>93</v>
      </c>
      <c r="U29">
        <v>145</v>
      </c>
      <c r="W29" s="116">
        <v>5.8</v>
      </c>
      <c r="X29" s="117">
        <v>5.9</v>
      </c>
      <c r="Y29" s="117">
        <v>49.7</v>
      </c>
      <c r="Z29" s="117">
        <v>19.2</v>
      </c>
      <c r="AA29" s="117">
        <f t="shared" si="2"/>
        <v>38.170974155069587</v>
      </c>
      <c r="AB29" s="117">
        <v>17.899999999999999</v>
      </c>
      <c r="AC29" s="117">
        <v>4</v>
      </c>
      <c r="AD29" s="132" t="s">
        <v>165</v>
      </c>
      <c r="AE29" s="132"/>
    </row>
    <row r="30" spans="1:31">
      <c r="A30">
        <v>18</v>
      </c>
      <c r="B30" t="s">
        <v>236</v>
      </c>
      <c r="C30" t="s">
        <v>155</v>
      </c>
      <c r="D30" s="129">
        <v>42978</v>
      </c>
      <c r="F30" s="129">
        <v>43288</v>
      </c>
      <c r="G30" t="s">
        <v>186</v>
      </c>
      <c r="H30" t="s">
        <v>137</v>
      </c>
      <c r="I30">
        <v>2</v>
      </c>
      <c r="J30">
        <v>4</v>
      </c>
      <c r="K30" t="s">
        <v>183</v>
      </c>
      <c r="L30" t="s">
        <v>146</v>
      </c>
      <c r="M30" t="s">
        <v>162</v>
      </c>
      <c r="N30">
        <v>16.2</v>
      </c>
      <c r="P30" s="130">
        <f t="shared" si="0"/>
        <v>37.293827160493834</v>
      </c>
      <c r="Q30" s="130">
        <f t="shared" si="1"/>
        <v>40.650271604938283</v>
      </c>
      <c r="R30" s="117">
        <v>7</v>
      </c>
      <c r="S30" s="130"/>
      <c r="T30">
        <v>99</v>
      </c>
      <c r="U30">
        <v>155</v>
      </c>
      <c r="W30" s="116">
        <v>6.4</v>
      </c>
      <c r="X30" s="117">
        <v>5.6</v>
      </c>
      <c r="Y30" s="117">
        <v>48.2</v>
      </c>
      <c r="Z30" s="117">
        <v>18.2</v>
      </c>
      <c r="AA30" s="117">
        <f t="shared" si="2"/>
        <v>35.135135135135137</v>
      </c>
      <c r="AB30" s="117">
        <v>9.1</v>
      </c>
      <c r="AC30" s="117">
        <v>4</v>
      </c>
      <c r="AD30" s="132" t="s">
        <v>181</v>
      </c>
      <c r="AE30" s="132"/>
    </row>
    <row r="31" spans="1:31">
      <c r="A31">
        <v>18</v>
      </c>
      <c r="B31" t="s">
        <v>236</v>
      </c>
      <c r="C31" t="s">
        <v>155</v>
      </c>
      <c r="D31" s="129">
        <v>42978</v>
      </c>
      <c r="F31" s="129">
        <v>43288</v>
      </c>
      <c r="G31" t="s">
        <v>180</v>
      </c>
      <c r="H31" t="s">
        <v>137</v>
      </c>
      <c r="I31">
        <v>2</v>
      </c>
      <c r="J31">
        <v>3</v>
      </c>
      <c r="K31" t="s">
        <v>177</v>
      </c>
      <c r="L31" t="s">
        <v>145</v>
      </c>
      <c r="M31" t="s">
        <v>162</v>
      </c>
      <c r="N31">
        <v>16.2</v>
      </c>
      <c r="P31" s="130">
        <f t="shared" si="0"/>
        <v>36.090123456790124</v>
      </c>
      <c r="Q31" s="130">
        <f t="shared" si="1"/>
        <v>39.338234567901239</v>
      </c>
      <c r="R31" s="117">
        <v>7</v>
      </c>
      <c r="S31" s="130"/>
      <c r="T31">
        <v>96</v>
      </c>
      <c r="U31">
        <v>160</v>
      </c>
      <c r="W31" s="116">
        <v>6.2</v>
      </c>
      <c r="X31" s="117">
        <v>5.7</v>
      </c>
      <c r="Y31" s="117">
        <v>50.2</v>
      </c>
      <c r="Z31" s="117">
        <v>18.2</v>
      </c>
      <c r="AA31" s="117">
        <f t="shared" si="2"/>
        <v>36.546184738955823</v>
      </c>
      <c r="AB31" s="117">
        <v>12.2</v>
      </c>
      <c r="AC31" s="117">
        <v>4</v>
      </c>
      <c r="AD31" s="132" t="s">
        <v>181</v>
      </c>
      <c r="AE31" s="132"/>
    </row>
    <row r="32" spans="1:31">
      <c r="A32">
        <v>18</v>
      </c>
      <c r="B32" t="s">
        <v>236</v>
      </c>
      <c r="C32" t="s">
        <v>155</v>
      </c>
      <c r="D32" s="129">
        <v>42978</v>
      </c>
      <c r="F32" s="129">
        <v>43288</v>
      </c>
      <c r="G32" t="s">
        <v>202</v>
      </c>
      <c r="H32" t="s">
        <v>137</v>
      </c>
      <c r="I32">
        <v>2</v>
      </c>
      <c r="J32">
        <v>7</v>
      </c>
      <c r="K32" t="s">
        <v>198</v>
      </c>
      <c r="L32" t="s">
        <v>149</v>
      </c>
      <c r="M32" t="s">
        <v>162</v>
      </c>
      <c r="N32">
        <v>16.2</v>
      </c>
      <c r="P32" s="130">
        <f t="shared" si="0"/>
        <v>26.194444444444443</v>
      </c>
      <c r="Q32" s="130">
        <f t="shared" si="1"/>
        <v>28.551944444444445</v>
      </c>
      <c r="R32" s="117">
        <v>5</v>
      </c>
      <c r="S32" s="130"/>
      <c r="T32">
        <v>100</v>
      </c>
      <c r="U32">
        <v>150</v>
      </c>
      <c r="W32" s="116">
        <v>4.5</v>
      </c>
      <c r="X32" s="117">
        <v>5.7</v>
      </c>
      <c r="Y32" s="117">
        <v>49.4</v>
      </c>
      <c r="Z32" s="117">
        <v>17.399999999999999</v>
      </c>
      <c r="AA32" s="117">
        <f t="shared" si="2"/>
        <v>34.387351778656118</v>
      </c>
      <c r="AB32" s="117">
        <v>8.1999999999999993</v>
      </c>
      <c r="AC32" s="117">
        <v>4.5</v>
      </c>
      <c r="AD32" s="132" t="s">
        <v>199</v>
      </c>
      <c r="AE32" s="132"/>
    </row>
    <row r="33" spans="1:31">
      <c r="A33">
        <v>18</v>
      </c>
      <c r="B33" t="s">
        <v>236</v>
      </c>
      <c r="C33" t="s">
        <v>155</v>
      </c>
      <c r="D33" s="129">
        <v>42978</v>
      </c>
      <c r="F33" s="129">
        <v>43288</v>
      </c>
      <c r="G33" t="s">
        <v>191</v>
      </c>
      <c r="H33" t="s">
        <v>137</v>
      </c>
      <c r="I33">
        <v>2</v>
      </c>
      <c r="J33">
        <v>5</v>
      </c>
      <c r="K33" t="s">
        <v>188</v>
      </c>
      <c r="L33" t="s">
        <v>147</v>
      </c>
      <c r="M33" t="s">
        <v>162</v>
      </c>
      <c r="N33">
        <v>16.2</v>
      </c>
      <c r="P33" s="130">
        <f t="shared" si="0"/>
        <v>35.620987654320984</v>
      </c>
      <c r="Q33" s="130">
        <f t="shared" si="1"/>
        <v>38.826876543209877</v>
      </c>
      <c r="R33" s="117">
        <v>7</v>
      </c>
      <c r="S33" s="130"/>
      <c r="T33">
        <v>98</v>
      </c>
      <c r="U33">
        <v>165</v>
      </c>
      <c r="W33" s="116">
        <v>6.1</v>
      </c>
      <c r="X33" s="117">
        <v>5.4</v>
      </c>
      <c r="Y33" s="117">
        <v>49.6</v>
      </c>
      <c r="Z33" s="117">
        <v>18.2</v>
      </c>
      <c r="AA33" s="117">
        <f t="shared" si="2"/>
        <v>36.111111111111114</v>
      </c>
      <c r="AB33" s="117">
        <v>10</v>
      </c>
      <c r="AC33" s="117">
        <v>5</v>
      </c>
      <c r="AD33" s="132" t="s">
        <v>165</v>
      </c>
      <c r="AE33" s="132"/>
    </row>
    <row r="34" spans="1:31">
      <c r="A34">
        <v>18</v>
      </c>
      <c r="B34" t="s">
        <v>236</v>
      </c>
      <c r="C34" t="s">
        <v>155</v>
      </c>
      <c r="D34" s="129">
        <v>42978</v>
      </c>
      <c r="F34" s="129">
        <v>43288</v>
      </c>
      <c r="G34" t="s">
        <v>222</v>
      </c>
      <c r="H34" t="s">
        <v>138</v>
      </c>
      <c r="I34">
        <v>2</v>
      </c>
      <c r="J34">
        <v>11</v>
      </c>
      <c r="K34" t="s">
        <v>220</v>
      </c>
      <c r="L34" t="s">
        <v>221</v>
      </c>
      <c r="M34" t="s">
        <v>162</v>
      </c>
      <c r="N34">
        <v>16.2</v>
      </c>
      <c r="P34" s="130">
        <f t="shared" si="0"/>
        <v>19.209259259259259</v>
      </c>
      <c r="Q34" s="130">
        <f t="shared" si="1"/>
        <v>20.938092592592593</v>
      </c>
      <c r="R34" s="117">
        <v>9</v>
      </c>
      <c r="S34" s="130"/>
      <c r="T34">
        <v>90</v>
      </c>
      <c r="U34">
        <v>120</v>
      </c>
      <c r="W34" s="116">
        <v>3.3</v>
      </c>
      <c r="X34" s="117">
        <v>5.7</v>
      </c>
      <c r="Y34" s="117">
        <v>49.5</v>
      </c>
      <c r="Z34" s="117">
        <v>18.899999999999999</v>
      </c>
      <c r="AA34" s="117">
        <f t="shared" si="2"/>
        <v>37.42574257425742</v>
      </c>
      <c r="AB34" s="117">
        <v>8.1</v>
      </c>
      <c r="AC34" s="117">
        <v>4.5</v>
      </c>
      <c r="AD34" s="132" t="s">
        <v>165</v>
      </c>
      <c r="AE34" s="132"/>
    </row>
    <row r="35" spans="1:31">
      <c r="A35">
        <v>18</v>
      </c>
      <c r="B35" t="s">
        <v>236</v>
      </c>
      <c r="C35" t="s">
        <v>155</v>
      </c>
      <c r="D35" s="129">
        <v>42978</v>
      </c>
      <c r="F35" s="129">
        <v>43288</v>
      </c>
      <c r="G35" t="s">
        <v>173</v>
      </c>
      <c r="H35" t="s">
        <v>138</v>
      </c>
      <c r="I35">
        <v>2</v>
      </c>
      <c r="J35">
        <v>2</v>
      </c>
      <c r="K35" t="s">
        <v>172</v>
      </c>
      <c r="L35" t="s">
        <v>144</v>
      </c>
      <c r="M35" t="s">
        <v>162</v>
      </c>
      <c r="N35">
        <v>16.2</v>
      </c>
      <c r="P35" s="130">
        <f t="shared" si="0"/>
        <v>27.182407407407414</v>
      </c>
      <c r="Q35" s="130">
        <f t="shared" si="1"/>
        <v>29.628824074074082</v>
      </c>
      <c r="R35" s="117">
        <v>9</v>
      </c>
      <c r="S35" s="130"/>
      <c r="T35">
        <v>95</v>
      </c>
      <c r="U35">
        <v>165</v>
      </c>
      <c r="W35" s="116">
        <v>4.6500000000000004</v>
      </c>
      <c r="X35" s="117">
        <v>5.3</v>
      </c>
      <c r="Y35" s="117">
        <v>49.7</v>
      </c>
      <c r="Z35" s="117">
        <v>17.7</v>
      </c>
      <c r="AA35" s="117">
        <f t="shared" si="2"/>
        <v>35.188866799204774</v>
      </c>
      <c r="AB35" s="117">
        <v>17</v>
      </c>
      <c r="AC35" s="117">
        <v>4</v>
      </c>
      <c r="AD35" s="132" t="s">
        <v>165</v>
      </c>
      <c r="AE35" s="132"/>
    </row>
    <row r="36" spans="1:31">
      <c r="A36">
        <v>18</v>
      </c>
      <c r="B36" t="s">
        <v>236</v>
      </c>
      <c r="C36" t="s">
        <v>155</v>
      </c>
      <c r="D36" s="129">
        <v>42978</v>
      </c>
      <c r="F36" s="129">
        <v>43288</v>
      </c>
      <c r="G36" t="s">
        <v>210</v>
      </c>
      <c r="H36" t="s">
        <v>138</v>
      </c>
      <c r="I36">
        <v>2</v>
      </c>
      <c r="J36">
        <v>9</v>
      </c>
      <c r="K36" t="s">
        <v>209</v>
      </c>
      <c r="L36" t="s">
        <v>151</v>
      </c>
      <c r="M36" t="s">
        <v>162</v>
      </c>
      <c r="N36">
        <v>16.2</v>
      </c>
      <c r="P36" s="130">
        <f t="shared" si="0"/>
        <v>29.75</v>
      </c>
      <c r="Q36" s="130">
        <f t="shared" si="1"/>
        <v>32.427500000000002</v>
      </c>
      <c r="R36" s="117">
        <v>8</v>
      </c>
      <c r="S36" s="130"/>
      <c r="T36">
        <v>92</v>
      </c>
      <c r="U36">
        <v>150</v>
      </c>
      <c r="W36" s="116">
        <v>5.0999999999999996</v>
      </c>
      <c r="X36" s="117">
        <v>5.5</v>
      </c>
      <c r="Y36" s="117">
        <v>49.8</v>
      </c>
      <c r="Z36" s="117">
        <v>18.399999999999999</v>
      </c>
      <c r="AA36" s="117">
        <f t="shared" si="2"/>
        <v>36.653386454183263</v>
      </c>
      <c r="AB36" s="117">
        <v>20.8</v>
      </c>
      <c r="AC36" s="117">
        <v>4.5</v>
      </c>
      <c r="AD36" s="132" t="s">
        <v>165</v>
      </c>
      <c r="AE36" s="132"/>
    </row>
    <row r="37" spans="1:31">
      <c r="A37">
        <v>18</v>
      </c>
      <c r="B37" t="s">
        <v>236</v>
      </c>
      <c r="C37" t="s">
        <v>155</v>
      </c>
      <c r="D37" s="129">
        <v>42978</v>
      </c>
      <c r="F37" s="129">
        <v>43288</v>
      </c>
      <c r="G37" t="s">
        <v>178</v>
      </c>
      <c r="H37" t="s">
        <v>138</v>
      </c>
      <c r="I37">
        <v>2</v>
      </c>
      <c r="J37">
        <v>3</v>
      </c>
      <c r="K37" t="s">
        <v>177</v>
      </c>
      <c r="L37" t="s">
        <v>145</v>
      </c>
      <c r="M37" t="s">
        <v>162</v>
      </c>
      <c r="N37">
        <v>16.2</v>
      </c>
      <c r="P37" s="130">
        <f t="shared" si="0"/>
        <v>29.55185185185185</v>
      </c>
      <c r="Q37" s="130">
        <f t="shared" si="1"/>
        <v>32.211518518518517</v>
      </c>
      <c r="R37" s="117">
        <v>9</v>
      </c>
      <c r="S37" s="130"/>
      <c r="T37">
        <v>92</v>
      </c>
      <c r="U37">
        <v>160</v>
      </c>
      <c r="W37" s="116">
        <v>5.05</v>
      </c>
      <c r="X37" s="117">
        <v>5.2</v>
      </c>
      <c r="Y37" s="117">
        <v>51.9</v>
      </c>
      <c r="Z37" s="117">
        <v>17.3</v>
      </c>
      <c r="AA37" s="117">
        <f t="shared" si="2"/>
        <v>35.966735966735968</v>
      </c>
      <c r="AB37" s="117">
        <v>19.8</v>
      </c>
      <c r="AC37" s="117">
        <v>4</v>
      </c>
      <c r="AD37" s="132" t="s">
        <v>165</v>
      </c>
      <c r="AE37" s="132"/>
    </row>
    <row r="38" spans="1:31">
      <c r="A38">
        <v>18</v>
      </c>
      <c r="B38" t="s">
        <v>236</v>
      </c>
      <c r="C38" t="s">
        <v>155</v>
      </c>
      <c r="D38" s="129">
        <v>42978</v>
      </c>
      <c r="F38" s="129">
        <v>43288</v>
      </c>
      <c r="G38" t="s">
        <v>189</v>
      </c>
      <c r="H38" t="s">
        <v>138</v>
      </c>
      <c r="I38">
        <v>2</v>
      </c>
      <c r="J38">
        <v>5</v>
      </c>
      <c r="K38" t="s">
        <v>188</v>
      </c>
      <c r="L38" t="s">
        <v>147</v>
      </c>
      <c r="M38" t="s">
        <v>162</v>
      </c>
      <c r="N38">
        <v>16.2</v>
      </c>
      <c r="P38" s="130">
        <f t="shared" si="0"/>
        <v>24.603703703703708</v>
      </c>
      <c r="Q38" s="130">
        <f t="shared" si="1"/>
        <v>26.818037037037044</v>
      </c>
      <c r="R38" s="117">
        <v>8</v>
      </c>
      <c r="S38" s="130"/>
      <c r="T38">
        <v>96</v>
      </c>
      <c r="U38">
        <v>165</v>
      </c>
      <c r="W38" s="116">
        <v>4.2</v>
      </c>
      <c r="X38" s="117">
        <v>5.0999999999999996</v>
      </c>
      <c r="Y38" s="117">
        <v>49.3</v>
      </c>
      <c r="Z38" s="117">
        <v>18</v>
      </c>
      <c r="AA38" s="117">
        <f t="shared" si="2"/>
        <v>35.502958579881657</v>
      </c>
      <c r="AB38" s="117">
        <v>17.600000000000001</v>
      </c>
      <c r="AC38" s="117">
        <v>5</v>
      </c>
      <c r="AD38" s="132" t="s">
        <v>165</v>
      </c>
      <c r="AE38" s="132"/>
    </row>
    <row r="39" spans="1:31">
      <c r="A39">
        <v>18</v>
      </c>
      <c r="B39" t="s">
        <v>236</v>
      </c>
      <c r="C39" t="s">
        <v>155</v>
      </c>
      <c r="D39" s="129">
        <v>42978</v>
      </c>
      <c r="F39" s="129">
        <v>43288</v>
      </c>
      <c r="G39" t="s">
        <v>230</v>
      </c>
      <c r="H39" t="s">
        <v>138</v>
      </c>
      <c r="I39">
        <v>2</v>
      </c>
      <c r="J39">
        <v>12</v>
      </c>
      <c r="K39" t="s">
        <v>224</v>
      </c>
      <c r="L39" t="s">
        <v>225</v>
      </c>
      <c r="M39" t="s">
        <v>162</v>
      </c>
      <c r="N39">
        <v>16.2</v>
      </c>
      <c r="P39" s="130" t="str">
        <f t="shared" si="0"/>
        <v/>
      </c>
      <c r="Q39" s="130" t="str">
        <f t="shared" si="1"/>
        <v/>
      </c>
      <c r="R39" s="117">
        <v>9</v>
      </c>
      <c r="S39" s="130"/>
      <c r="T39">
        <v>96</v>
      </c>
      <c r="U39">
        <v>150</v>
      </c>
      <c r="W39" s="116"/>
      <c r="X39" s="117"/>
      <c r="Y39" s="117"/>
      <c r="Z39" s="117"/>
      <c r="AA39" s="117"/>
      <c r="AB39" s="117"/>
      <c r="AC39" s="117"/>
      <c r="AD39" s="132" t="s">
        <v>165</v>
      </c>
      <c r="AE39" s="132" t="s">
        <v>229</v>
      </c>
    </row>
    <row r="40" spans="1:31">
      <c r="A40">
        <v>18</v>
      </c>
      <c r="B40" t="s">
        <v>236</v>
      </c>
      <c r="C40" t="s">
        <v>155</v>
      </c>
      <c r="D40" s="129">
        <v>42978</v>
      </c>
      <c r="F40" s="129">
        <v>43288</v>
      </c>
      <c r="G40" t="s">
        <v>175</v>
      </c>
      <c r="H40" t="s">
        <v>137</v>
      </c>
      <c r="I40">
        <v>2</v>
      </c>
      <c r="J40">
        <v>2</v>
      </c>
      <c r="K40" t="s">
        <v>172</v>
      </c>
      <c r="L40" t="s">
        <v>144</v>
      </c>
      <c r="M40" t="s">
        <v>162</v>
      </c>
      <c r="N40">
        <v>16.2</v>
      </c>
      <c r="P40" s="130">
        <f t="shared" si="0"/>
        <v>41.911111111111119</v>
      </c>
      <c r="Q40" s="130">
        <f t="shared" si="1"/>
        <v>45.683111111111124</v>
      </c>
      <c r="R40" s="117">
        <v>8</v>
      </c>
      <c r="S40" s="130"/>
      <c r="T40">
        <v>97</v>
      </c>
      <c r="U40">
        <v>170</v>
      </c>
      <c r="W40" s="116">
        <v>7.2</v>
      </c>
      <c r="X40" s="117">
        <v>5.7</v>
      </c>
      <c r="Y40" s="117">
        <v>47.7</v>
      </c>
      <c r="Z40" s="117">
        <v>19.600000000000001</v>
      </c>
      <c r="AA40" s="117">
        <f t="shared" si="2"/>
        <v>37.476099426386241</v>
      </c>
      <c r="AB40" s="117">
        <v>15.8</v>
      </c>
      <c r="AC40" s="117">
        <v>4</v>
      </c>
      <c r="AD40" s="132" t="s">
        <v>165</v>
      </c>
      <c r="AE40" s="132"/>
    </row>
    <row r="41" spans="1:31">
      <c r="A41">
        <v>18</v>
      </c>
      <c r="B41" t="s">
        <v>236</v>
      </c>
      <c r="C41" t="s">
        <v>155</v>
      </c>
      <c r="D41" s="129">
        <v>42978</v>
      </c>
      <c r="F41" s="129">
        <v>43288</v>
      </c>
      <c r="G41" t="s">
        <v>207</v>
      </c>
      <c r="H41" t="s">
        <v>137</v>
      </c>
      <c r="I41">
        <v>2</v>
      </c>
      <c r="J41">
        <v>8</v>
      </c>
      <c r="K41" t="s">
        <v>204</v>
      </c>
      <c r="L41" t="s">
        <v>150</v>
      </c>
      <c r="M41" t="s">
        <v>162</v>
      </c>
      <c r="N41">
        <v>16.2</v>
      </c>
      <c r="P41" s="130">
        <f t="shared" si="0"/>
        <v>45.790740740740745</v>
      </c>
      <c r="Q41" s="130">
        <f t="shared" si="1"/>
        <v>49.911907407407412</v>
      </c>
      <c r="R41" s="117">
        <v>8</v>
      </c>
      <c r="S41" s="130"/>
      <c r="T41">
        <v>97</v>
      </c>
      <c r="U41">
        <v>155</v>
      </c>
      <c r="W41" s="116">
        <v>7.9</v>
      </c>
      <c r="X41" s="117">
        <v>6.1</v>
      </c>
      <c r="Y41" s="117">
        <v>48.5</v>
      </c>
      <c r="Z41" s="117">
        <v>19.600000000000001</v>
      </c>
      <c r="AA41" s="117">
        <f t="shared" si="2"/>
        <v>38.05825242718447</v>
      </c>
      <c r="AB41" s="117">
        <v>9.1</v>
      </c>
      <c r="AC41" s="117">
        <v>5</v>
      </c>
      <c r="AD41" s="132" t="s">
        <v>165</v>
      </c>
      <c r="AE41" s="132"/>
    </row>
    <row r="42" spans="1:31">
      <c r="A42">
        <v>18</v>
      </c>
      <c r="B42" t="s">
        <v>236</v>
      </c>
      <c r="C42" t="s">
        <v>155</v>
      </c>
      <c r="D42" s="129">
        <v>42978</v>
      </c>
      <c r="F42" s="129">
        <v>43288</v>
      </c>
      <c r="G42" t="s">
        <v>196</v>
      </c>
      <c r="H42" t="s">
        <v>137</v>
      </c>
      <c r="I42">
        <v>2</v>
      </c>
      <c r="J42">
        <v>6</v>
      </c>
      <c r="K42" t="s">
        <v>193</v>
      </c>
      <c r="L42" t="s">
        <v>148</v>
      </c>
      <c r="M42" t="s">
        <v>162</v>
      </c>
      <c r="N42">
        <v>16.2</v>
      </c>
      <c r="P42" s="130">
        <f t="shared" si="0"/>
        <v>44.67901234567902</v>
      </c>
      <c r="Q42" s="130">
        <f t="shared" si="1"/>
        <v>48.700123456790138</v>
      </c>
      <c r="R42" s="117">
        <v>8</v>
      </c>
      <c r="S42" s="130"/>
      <c r="T42">
        <v>97</v>
      </c>
      <c r="U42">
        <v>165</v>
      </c>
      <c r="W42" s="116">
        <v>7.7</v>
      </c>
      <c r="X42" s="117">
        <v>6</v>
      </c>
      <c r="Y42" s="117">
        <v>48.6</v>
      </c>
      <c r="Z42" s="117">
        <v>18.8</v>
      </c>
      <c r="AA42" s="117">
        <f t="shared" si="2"/>
        <v>36.575875486381321</v>
      </c>
      <c r="AB42" s="117">
        <v>15.3</v>
      </c>
      <c r="AC42" s="117">
        <v>4</v>
      </c>
      <c r="AD42" s="132" t="s">
        <v>165</v>
      </c>
      <c r="AE42" s="132"/>
    </row>
    <row r="43" spans="1:31">
      <c r="A43">
        <v>18</v>
      </c>
      <c r="B43" t="s">
        <v>236</v>
      </c>
      <c r="C43" t="s">
        <v>155</v>
      </c>
      <c r="D43" s="129">
        <v>42978</v>
      </c>
      <c r="F43" s="129">
        <v>43288</v>
      </c>
      <c r="G43" t="s">
        <v>233</v>
      </c>
      <c r="H43" t="s">
        <v>137</v>
      </c>
      <c r="I43">
        <v>2</v>
      </c>
      <c r="J43">
        <v>12</v>
      </c>
      <c r="K43" t="s">
        <v>220</v>
      </c>
      <c r="L43" t="s">
        <v>221</v>
      </c>
      <c r="M43" t="s">
        <v>162</v>
      </c>
      <c r="N43">
        <v>16.2</v>
      </c>
      <c r="P43" s="130">
        <f t="shared" si="0"/>
        <v>27.300617283950618</v>
      </c>
      <c r="Q43" s="130">
        <f t="shared" si="1"/>
        <v>29.757672839506178</v>
      </c>
      <c r="R43" s="117">
        <v>7</v>
      </c>
      <c r="S43" s="130"/>
      <c r="T43">
        <v>92</v>
      </c>
      <c r="U43">
        <v>125</v>
      </c>
      <c r="W43" s="116">
        <v>4.7</v>
      </c>
      <c r="X43" s="117">
        <v>5.9</v>
      </c>
      <c r="Y43" s="117">
        <v>47.9</v>
      </c>
      <c r="Z43" s="117">
        <v>19.7</v>
      </c>
      <c r="AA43" s="117">
        <f t="shared" si="2"/>
        <v>37.811900191938577</v>
      </c>
      <c r="AB43" s="117">
        <v>7.2</v>
      </c>
      <c r="AC43" s="117">
        <v>4</v>
      </c>
      <c r="AD43" s="132" t="s">
        <v>165</v>
      </c>
      <c r="AE43" s="132"/>
    </row>
    <row r="44" spans="1:31">
      <c r="A44">
        <v>18</v>
      </c>
      <c r="B44" t="s">
        <v>236</v>
      </c>
      <c r="C44" t="s">
        <v>155</v>
      </c>
      <c r="D44" s="129">
        <v>42978</v>
      </c>
      <c r="F44" s="129">
        <v>43288</v>
      </c>
      <c r="G44" t="s">
        <v>166</v>
      </c>
      <c r="H44" t="s">
        <v>138</v>
      </c>
      <c r="I44">
        <v>2</v>
      </c>
      <c r="J44">
        <v>1</v>
      </c>
      <c r="K44" t="s">
        <v>163</v>
      </c>
      <c r="L44" t="s">
        <v>143</v>
      </c>
      <c r="M44" t="s">
        <v>162</v>
      </c>
      <c r="N44">
        <v>16.2</v>
      </c>
      <c r="P44" s="130">
        <f t="shared" si="0"/>
        <v>21.246604938271606</v>
      </c>
      <c r="Q44" s="130">
        <f t="shared" si="1"/>
        <v>23.158799382716051</v>
      </c>
      <c r="R44" s="117">
        <v>7</v>
      </c>
      <c r="S44" s="130"/>
      <c r="T44">
        <v>97</v>
      </c>
      <c r="U44">
        <v>145</v>
      </c>
      <c r="W44" s="116">
        <v>3.65</v>
      </c>
      <c r="X44" s="117">
        <v>5.7</v>
      </c>
      <c r="Y44" s="117">
        <v>49.5</v>
      </c>
      <c r="Z44" s="117">
        <v>17.7</v>
      </c>
      <c r="AA44" s="117">
        <f t="shared" si="2"/>
        <v>35.049504950495049</v>
      </c>
      <c r="AB44" s="117">
        <v>18.7</v>
      </c>
      <c r="AC44" s="117">
        <v>5.5</v>
      </c>
      <c r="AD44" s="132" t="s">
        <v>165</v>
      </c>
      <c r="AE44" s="132"/>
    </row>
    <row r="45" spans="1:31">
      <c r="A45">
        <v>18</v>
      </c>
      <c r="B45" t="s">
        <v>236</v>
      </c>
      <c r="C45" t="s">
        <v>155</v>
      </c>
      <c r="D45" s="129">
        <v>42978</v>
      </c>
      <c r="F45" s="129">
        <v>43288</v>
      </c>
      <c r="G45" t="s">
        <v>215</v>
      </c>
      <c r="H45" t="s">
        <v>138</v>
      </c>
      <c r="I45">
        <v>2</v>
      </c>
      <c r="J45">
        <v>10</v>
      </c>
      <c r="K45" t="s">
        <v>214</v>
      </c>
      <c r="L45" t="s">
        <v>152</v>
      </c>
      <c r="M45" t="s">
        <v>162</v>
      </c>
      <c r="N45">
        <v>16.2</v>
      </c>
      <c r="P45" s="130">
        <f t="shared" si="0"/>
        <v>25.74814814814815</v>
      </c>
      <c r="Q45" s="130">
        <f t="shared" si="1"/>
        <v>28.065481481481484</v>
      </c>
      <c r="R45" s="117">
        <v>9</v>
      </c>
      <c r="S45" s="130"/>
      <c r="T45">
        <v>92</v>
      </c>
      <c r="U45">
        <v>160</v>
      </c>
      <c r="W45" s="116">
        <v>4.4000000000000004</v>
      </c>
      <c r="X45" s="117">
        <v>5.2</v>
      </c>
      <c r="Y45" s="117">
        <v>51</v>
      </c>
      <c r="Z45" s="117">
        <v>16.3</v>
      </c>
      <c r="AA45" s="117">
        <f t="shared" si="2"/>
        <v>33.265306122448976</v>
      </c>
      <c r="AB45" s="117">
        <v>12.8</v>
      </c>
      <c r="AC45" s="117">
        <v>4.5</v>
      </c>
      <c r="AD45" s="132" t="s">
        <v>165</v>
      </c>
      <c r="AE45" s="132"/>
    </row>
    <row r="46" spans="1:31">
      <c r="A46">
        <v>18</v>
      </c>
      <c r="B46" t="s">
        <v>236</v>
      </c>
      <c r="C46" t="s">
        <v>155</v>
      </c>
      <c r="D46" s="129">
        <v>42978</v>
      </c>
      <c r="F46" s="129">
        <v>43288</v>
      </c>
      <c r="G46" t="s">
        <v>205</v>
      </c>
      <c r="H46" t="s">
        <v>138</v>
      </c>
      <c r="I46">
        <v>2</v>
      </c>
      <c r="J46">
        <v>8</v>
      </c>
      <c r="K46" t="s">
        <v>204</v>
      </c>
      <c r="L46" t="s">
        <v>150</v>
      </c>
      <c r="M46" t="s">
        <v>162</v>
      </c>
      <c r="N46">
        <v>16.2</v>
      </c>
      <c r="P46" s="130">
        <f t="shared" si="0"/>
        <v>31.466666666666672</v>
      </c>
      <c r="Q46" s="130">
        <f t="shared" si="1"/>
        <v>34.298666666666676</v>
      </c>
      <c r="R46" s="117">
        <v>9</v>
      </c>
      <c r="S46" s="130"/>
      <c r="T46">
        <v>95</v>
      </c>
      <c r="U46">
        <v>160</v>
      </c>
      <c r="W46" s="116">
        <v>5.4</v>
      </c>
      <c r="X46" s="117">
        <v>5.6</v>
      </c>
      <c r="Y46" s="117">
        <v>49.9</v>
      </c>
      <c r="Z46" s="117">
        <v>16.7</v>
      </c>
      <c r="AA46" s="117">
        <f t="shared" si="2"/>
        <v>33.333333333333336</v>
      </c>
      <c r="AB46" s="117">
        <v>10.199999999999999</v>
      </c>
      <c r="AC46" s="117">
        <v>5</v>
      </c>
      <c r="AD46" s="132" t="s">
        <v>165</v>
      </c>
      <c r="AE46" s="132"/>
    </row>
    <row r="47" spans="1:31">
      <c r="A47">
        <v>18</v>
      </c>
      <c r="B47" t="s">
        <v>236</v>
      </c>
      <c r="C47" t="s">
        <v>155</v>
      </c>
      <c r="D47" s="129">
        <v>42978</v>
      </c>
      <c r="F47" s="129">
        <v>43288</v>
      </c>
      <c r="G47" t="s">
        <v>184</v>
      </c>
      <c r="H47" t="s">
        <v>138</v>
      </c>
      <c r="I47">
        <v>2</v>
      </c>
      <c r="J47">
        <v>4</v>
      </c>
      <c r="K47" t="s">
        <v>183</v>
      </c>
      <c r="L47" t="s">
        <v>146</v>
      </c>
      <c r="M47" t="s">
        <v>162</v>
      </c>
      <c r="N47">
        <v>16.2</v>
      </c>
      <c r="P47" s="130">
        <f t="shared" si="0"/>
        <v>31.825308641975305</v>
      </c>
      <c r="Q47" s="130">
        <f t="shared" si="1"/>
        <v>34.689586419753084</v>
      </c>
      <c r="R47" s="117">
        <v>9</v>
      </c>
      <c r="S47" s="130"/>
      <c r="T47">
        <v>96</v>
      </c>
      <c r="U47">
        <v>160</v>
      </c>
      <c r="W47" s="116">
        <v>5.45</v>
      </c>
      <c r="X47" s="117">
        <v>5.4</v>
      </c>
      <c r="Y47" s="117">
        <v>51.6</v>
      </c>
      <c r="Z47" s="117">
        <v>16.8</v>
      </c>
      <c r="AA47" s="117">
        <f t="shared" si="2"/>
        <v>34.710743801652896</v>
      </c>
      <c r="AB47" s="117">
        <v>10.3</v>
      </c>
      <c r="AC47" s="117">
        <v>4.5</v>
      </c>
      <c r="AD47" s="132" t="s">
        <v>165</v>
      </c>
      <c r="AE47" s="132"/>
    </row>
    <row r="48" spans="1:31">
      <c r="A48">
        <v>18</v>
      </c>
      <c r="B48" t="s">
        <v>236</v>
      </c>
      <c r="C48" t="s">
        <v>155</v>
      </c>
      <c r="D48" s="129">
        <v>42978</v>
      </c>
      <c r="F48" s="129">
        <v>43288</v>
      </c>
      <c r="G48" t="s">
        <v>194</v>
      </c>
      <c r="H48" t="s">
        <v>138</v>
      </c>
      <c r="I48">
        <v>2</v>
      </c>
      <c r="J48">
        <v>6</v>
      </c>
      <c r="K48" t="s">
        <v>193</v>
      </c>
      <c r="L48" t="s">
        <v>148</v>
      </c>
      <c r="M48" t="s">
        <v>162</v>
      </c>
      <c r="N48">
        <v>16.2</v>
      </c>
      <c r="P48" s="130">
        <f t="shared" si="0"/>
        <v>30.041666666666668</v>
      </c>
      <c r="Q48" s="130">
        <f t="shared" si="1"/>
        <v>32.745416666666671</v>
      </c>
      <c r="R48" s="117">
        <v>9</v>
      </c>
      <c r="S48" s="130"/>
      <c r="T48">
        <v>97</v>
      </c>
      <c r="U48">
        <v>155</v>
      </c>
      <c r="W48" s="116">
        <v>5.15</v>
      </c>
      <c r="X48" s="117">
        <v>5.5</v>
      </c>
      <c r="Y48" s="117">
        <v>49.3</v>
      </c>
      <c r="Z48" s="117">
        <v>17.899999999999999</v>
      </c>
      <c r="AA48" s="117">
        <f t="shared" si="2"/>
        <v>35.305719921104533</v>
      </c>
      <c r="AB48" s="117">
        <v>13.4</v>
      </c>
      <c r="AC48" s="117">
        <v>5</v>
      </c>
      <c r="AD48" s="132" t="s">
        <v>165</v>
      </c>
      <c r="AE48" s="132"/>
    </row>
    <row r="49" spans="1:31">
      <c r="A49">
        <v>18</v>
      </c>
      <c r="B49" t="s">
        <v>236</v>
      </c>
      <c r="C49" t="s">
        <v>155</v>
      </c>
      <c r="D49" s="129">
        <v>42978</v>
      </c>
      <c r="F49" s="129">
        <v>43288</v>
      </c>
      <c r="G49" t="s">
        <v>200</v>
      </c>
      <c r="H49" t="s">
        <v>138</v>
      </c>
      <c r="I49">
        <v>2</v>
      </c>
      <c r="J49">
        <v>7</v>
      </c>
      <c r="K49" t="s">
        <v>198</v>
      </c>
      <c r="L49" t="s">
        <v>149</v>
      </c>
      <c r="M49" t="s">
        <v>162</v>
      </c>
      <c r="N49">
        <v>16.2</v>
      </c>
      <c r="P49" s="130">
        <f t="shared" si="0"/>
        <v>15.716666666666669</v>
      </c>
      <c r="Q49" s="130">
        <f t="shared" si="1"/>
        <v>17.131166666666669</v>
      </c>
      <c r="R49" s="117">
        <v>5</v>
      </c>
      <c r="S49" s="130"/>
      <c r="T49">
        <v>96</v>
      </c>
      <c r="U49">
        <v>145</v>
      </c>
      <c r="W49" s="116">
        <v>2.7</v>
      </c>
      <c r="X49" s="117">
        <v>5.7</v>
      </c>
      <c r="Y49" s="117">
        <v>48.3</v>
      </c>
      <c r="Z49" s="117">
        <v>18.7</v>
      </c>
      <c r="AA49" s="117">
        <f>(100*Z49)/(100-Y49)</f>
        <v>36.170212765957444</v>
      </c>
      <c r="AB49" s="117">
        <v>15.1</v>
      </c>
      <c r="AC49" s="117">
        <v>4.5</v>
      </c>
      <c r="AD49" s="132" t="s">
        <v>199</v>
      </c>
      <c r="AE49" s="132"/>
    </row>
  </sheetData>
  <conditionalFormatting sqref="R2:R49">
    <cfRule type="cellIs" dxfId="13" priority="15" operator="between">
      <formula>1</formula>
      <formula>5.999999</formula>
    </cfRule>
    <cfRule type="cellIs" dxfId="12" priority="16" operator="between">
      <formula>6</formula>
      <formula>6.999999</formula>
    </cfRule>
    <cfRule type="cellIs" dxfId="11" priority="17" operator="between">
      <formula>7</formula>
      <formula>7.999999</formula>
    </cfRule>
    <cfRule type="cellIs" dxfId="10" priority="18" operator="between">
      <formula>8</formula>
      <formula>9.999999</formula>
    </cfRule>
  </conditionalFormatting>
  <conditionalFormatting sqref="W2:W49">
    <cfRule type="cellIs" dxfId="9" priority="1" operator="between">
      <formula>5</formula>
      <formula>5.899999</formula>
    </cfRule>
    <cfRule type="cellIs" dxfId="8" priority="2" operator="between">
      <formula>8</formula>
      <formula>8.899999</formula>
    </cfRule>
    <cfRule type="cellIs" dxfId="7" priority="3" operator="between">
      <formula>2.5</formula>
      <formula>4.899999</formula>
    </cfRule>
    <cfRule type="cellIs" dxfId="6" priority="4" operator="between">
      <formula>6</formula>
      <formula>6.899999</formula>
    </cfRule>
    <cfRule type="cellIs" dxfId="5" priority="5" operator="between">
      <formula>7</formula>
      <formula>7.899999</formula>
    </cfRule>
    <cfRule type="cellIs" dxfId="4" priority="6" operator="between">
      <formula>9</formula>
      <formula>10.999999</formula>
    </cfRule>
  </conditionalFormatting>
  <conditionalFormatting sqref="X2:X49">
    <cfRule type="cellIs" dxfId="3" priority="7" operator="between">
      <formula>4</formula>
      <formula>5.999999</formula>
    </cfRule>
    <cfRule type="cellIs" dxfId="2" priority="8" operator="between">
      <formula>6</formula>
      <formula>8.999999</formula>
    </cfRule>
    <cfRule type="cellIs" dxfId="1" priority="9" operator="between">
      <formula>9</formula>
      <formula>11.999999</formula>
    </cfRule>
    <cfRule type="cellIs" dxfId="0" priority="10" operator="between">
      <formula>12</formula>
      <formula>14.999999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2:I7"/>
  <sheetViews>
    <sheetView workbookViewId="0">
      <selection activeCell="H30" sqref="H30"/>
    </sheetView>
  </sheetViews>
  <sheetFormatPr baseColWidth="10" defaultRowHeight="15"/>
  <sheetData>
    <row r="2" spans="1:9">
      <c r="A2" s="171" t="s">
        <v>94</v>
      </c>
      <c r="B2" s="171"/>
      <c r="C2" s="171"/>
      <c r="D2" s="171"/>
      <c r="E2" s="171"/>
      <c r="F2" s="171"/>
      <c r="G2" s="171"/>
      <c r="H2" s="171"/>
      <c r="I2" s="171"/>
    </row>
    <row r="3" spans="1:9">
      <c r="A3" s="171"/>
      <c r="B3" s="171"/>
      <c r="C3" s="171"/>
      <c r="D3" s="171"/>
      <c r="E3" s="171"/>
      <c r="F3" s="171"/>
      <c r="G3" s="171"/>
      <c r="H3" s="171"/>
      <c r="I3" s="171"/>
    </row>
    <row r="4" spans="1:9">
      <c r="A4" s="171"/>
      <c r="B4" s="171"/>
      <c r="C4" s="171"/>
      <c r="D4" s="171"/>
      <c r="E4" s="171"/>
      <c r="F4" s="171"/>
      <c r="G4" s="171"/>
      <c r="H4" s="171"/>
      <c r="I4" s="171"/>
    </row>
    <row r="5" spans="1:9">
      <c r="A5" s="171"/>
      <c r="B5" s="171"/>
      <c r="C5" s="171"/>
      <c r="D5" s="171"/>
      <c r="E5" s="171"/>
      <c r="F5" s="171"/>
      <c r="G5" s="171"/>
      <c r="H5" s="171"/>
      <c r="I5" s="171"/>
    </row>
    <row r="6" spans="1:9">
      <c r="A6" s="171"/>
      <c r="B6" s="171"/>
      <c r="C6" s="171"/>
      <c r="D6" s="171"/>
      <c r="E6" s="171"/>
      <c r="F6" s="171"/>
      <c r="G6" s="171"/>
      <c r="H6" s="171"/>
      <c r="I6" s="171"/>
    </row>
    <row r="7" spans="1:9">
      <c r="A7" s="171"/>
      <c r="B7" s="171"/>
      <c r="C7" s="171"/>
      <c r="D7" s="171"/>
      <c r="E7" s="171"/>
      <c r="F7" s="171"/>
      <c r="G7" s="171"/>
      <c r="H7" s="171"/>
      <c r="I7" s="171"/>
    </row>
  </sheetData>
  <mergeCells count="1">
    <mergeCell ref="A2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READ_ME</vt:lpstr>
      <vt:lpstr>TRIAL</vt:lpstr>
      <vt:lpstr>Parcellaire_Data</vt:lpstr>
      <vt:lpstr>Plant_Material</vt:lpstr>
      <vt:lpstr>SOIL_DATA</vt:lpstr>
      <vt:lpstr>INN_DATA</vt:lpstr>
      <vt:lpstr>PHENO_DATA</vt:lpstr>
      <vt:lpstr>METEO_DATA</vt:lpstr>
    </vt:vector>
  </TitlesOfParts>
  <Company>INRA - RENNES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YOUNOUS</cp:lastModifiedBy>
  <dcterms:created xsi:type="dcterms:W3CDTF">2018-02-01T08:48:39Z</dcterms:created>
  <dcterms:modified xsi:type="dcterms:W3CDTF">2018-11-05T14:56:06Z</dcterms:modified>
</cp:coreProperties>
</file>