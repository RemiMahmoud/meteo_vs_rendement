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19200" windowHeight="11445" activeTab="8"/>
  </bookViews>
  <sheets>
    <sheet name="READ_ME" sheetId="1" r:id="rId1"/>
    <sheet name="TRIAL" sheetId="2" r:id="rId2"/>
    <sheet name="Parcellaire_Data" sheetId="4" r:id="rId3"/>
    <sheet name="Plant_Material" sheetId="3" r:id="rId4"/>
    <sheet name="SOIL_DATA" sheetId="5" r:id="rId5"/>
    <sheet name="INN_DATA" sheetId="6" r:id="rId6"/>
    <sheet name="PHENO_DATA" sheetId="7" r:id="rId7"/>
    <sheet name="METEO_DATA" sheetId="8" r:id="rId8"/>
    <sheet name="INN3 calcul" sheetId="9" r:id="rId9"/>
  </sheets>
  <calcPr calcId="125725" refMode="R1C1"/>
</workbook>
</file>

<file path=xl/calcChain.xml><?xml version="1.0" encoding="utf-8"?>
<calcChain xmlns="http://schemas.openxmlformats.org/spreadsheetml/2006/main">
  <c r="N3" i="2"/>
  <c r="O2"/>
  <c r="N2"/>
  <c r="R7" i="9"/>
  <c r="S7" s="1"/>
  <c r="T7" s="1"/>
  <c r="R6"/>
  <c r="S6" s="1"/>
  <c r="T6" s="1"/>
</calcChain>
</file>

<file path=xl/comments1.xml><?xml version="1.0" encoding="utf-8"?>
<comments xmlns="http://schemas.openxmlformats.org/spreadsheetml/2006/main">
  <authors>
    <author>younous</author>
  </authors>
  <commentList>
    <comment ref="H1" authorId="0">
      <text>
        <r>
          <rPr>
            <b/>
            <sz val="9"/>
            <color indexed="81"/>
            <rFont val="Tahoma"/>
            <family val="2"/>
          </rPr>
          <t xml:space="preserve">N + ou N - 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Témoin ou génotype</t>
        </r>
      </text>
    </comment>
    <comment ref="N1" authorId="0">
      <text>
        <r>
          <rPr>
            <b/>
            <sz val="9"/>
            <color indexed="81"/>
            <rFont val="Tahoma"/>
            <family val="2"/>
          </rPr>
          <t xml:space="preserve">taille de la parcelle récoltée
</t>
        </r>
      </text>
    </comment>
    <comment ref="P1" authorId="0">
      <text>
        <r>
          <rPr>
            <b/>
            <sz val="9"/>
            <color indexed="81"/>
            <rFont val="Tahoma"/>
            <family val="2"/>
          </rPr>
          <t xml:space="preserve">Rendement à 0% d'humidité)
</t>
        </r>
      </text>
    </comment>
    <comment ref="Q1" authorId="0">
      <text>
        <r>
          <rPr>
            <b/>
            <sz val="9"/>
            <color indexed="81"/>
            <rFont val="Tahoma"/>
            <family val="2"/>
          </rPr>
          <t>rendement aux normes (9%)</t>
        </r>
      </text>
    </comment>
    <comment ref="R1" authorId="0">
      <text>
        <r>
          <rPr>
            <b/>
            <sz val="9"/>
            <color indexed="81"/>
            <rFont val="Tahoma"/>
            <family val="2"/>
          </rPr>
          <t>Peuplement parcellaire</t>
        </r>
      </text>
    </comment>
    <comment ref="S1" authorId="0">
      <text>
        <r>
          <rPr>
            <b/>
            <sz val="9"/>
            <color indexed="81"/>
            <rFont val="Tahoma"/>
            <family val="2"/>
          </rPr>
          <t>Mesure de vigeur sortie hiver</t>
        </r>
      </text>
    </comment>
    <comment ref="T1" authorId="0">
      <text>
        <r>
          <rPr>
            <b/>
            <sz val="9"/>
            <color indexed="81"/>
            <rFont val="Tahoma"/>
            <family val="2"/>
          </rPr>
          <t>DTF en nombre de jour</t>
        </r>
      </text>
    </comment>
    <comment ref="U1" authorId="0">
      <text>
        <r>
          <rPr>
            <b/>
            <sz val="9"/>
            <color indexed="81"/>
            <rFont val="Tahoma"/>
            <family val="2"/>
          </rPr>
          <t>Hauteur Plante</t>
        </r>
      </text>
    </comment>
    <comment ref="V1" authorId="0">
      <text>
        <r>
          <rPr>
            <b/>
            <sz val="9"/>
            <color indexed="81"/>
            <rFont val="Tahoma"/>
            <family val="2"/>
          </rPr>
          <t>Fin Floraison</t>
        </r>
      </text>
    </comment>
    <comment ref="W1" authorId="0">
      <text>
        <r>
          <rPr>
            <b/>
            <sz val="9"/>
            <color indexed="81"/>
            <rFont val="Tahoma"/>
            <family val="2"/>
          </rPr>
          <t>Biomasse fraîche des grains récoltés</t>
        </r>
      </text>
    </comment>
    <comment ref="X1" authorId="0">
      <text>
        <r>
          <rPr>
            <b/>
            <sz val="9"/>
            <color indexed="81"/>
            <rFont val="Tahoma"/>
            <family val="2"/>
          </rPr>
          <t>teneur en eau du grain à la récolte</t>
        </r>
      </text>
    </comment>
    <comment ref="Y1" authorId="0">
      <text>
        <r>
          <rPr>
            <b/>
            <sz val="9"/>
            <color indexed="81"/>
            <rFont val="Tahoma"/>
            <family val="2"/>
          </rPr>
          <t>Teneur en huile des grains</t>
        </r>
      </text>
    </comment>
    <comment ref="Z1" authorId="0">
      <text>
        <r>
          <rPr>
            <b/>
            <sz val="9"/>
            <color indexed="81"/>
            <rFont val="Tahoma"/>
            <family val="2"/>
          </rPr>
          <t>Teneur en protéines des grains</t>
        </r>
      </text>
    </comment>
    <comment ref="AA1" authorId="0">
      <text>
        <r>
          <rPr>
            <b/>
            <sz val="9"/>
            <color indexed="81"/>
            <rFont val="Tahoma"/>
            <family val="2"/>
          </rPr>
          <t>Teneur en protéine de la graine deshuilée</t>
        </r>
      </text>
    </comment>
    <comment ref="AB1" authorId="0">
      <text>
        <r>
          <rPr>
            <b/>
            <sz val="9"/>
            <color indexed="81"/>
            <rFont val="Tahoma"/>
            <family val="2"/>
          </rPr>
          <t>Teneur en glucosinolate</t>
        </r>
      </text>
    </comment>
    <comment ref="AC1" authorId="0">
      <text>
        <r>
          <rPr>
            <sz val="9"/>
            <color indexed="81"/>
            <rFont val="Tahoma"/>
            <family val="2"/>
          </rPr>
          <t>Poids de 1000 grains</t>
        </r>
      </text>
    </comment>
  </commentList>
</comments>
</file>

<file path=xl/sharedStrings.xml><?xml version="1.0" encoding="utf-8"?>
<sst xmlns="http://schemas.openxmlformats.org/spreadsheetml/2006/main" count="1377" uniqueCount="590">
  <si>
    <t>READ ME</t>
  </si>
  <si>
    <t>AUTEUR</t>
  </si>
  <si>
    <t>NOM DU FICHIER</t>
  </si>
  <si>
    <t>DATE DE CREATION</t>
  </si>
  <si>
    <t>PROJET</t>
  </si>
  <si>
    <t>RAPSODYN</t>
  </si>
  <si>
    <t>VERSION</t>
  </si>
  <si>
    <t>Description</t>
  </si>
  <si>
    <t>Commentaire</t>
  </si>
  <si>
    <t>MODIFICATION</t>
  </si>
  <si>
    <t>CONTACT MAIL</t>
  </si>
  <si>
    <t>WORK_PACKAGE</t>
  </si>
  <si>
    <t>WP4</t>
  </si>
  <si>
    <t>TRIAL_NAME</t>
  </si>
  <si>
    <t>Date_Begin</t>
  </si>
  <si>
    <t>Date_End</t>
  </si>
  <si>
    <t>Trial_Comments</t>
  </si>
  <si>
    <t>TRIAL_BASIC_INFO</t>
  </si>
  <si>
    <t>TRIAL_LOCALISATION_INFO</t>
  </si>
  <si>
    <t>SITE_NAME</t>
  </si>
  <si>
    <t>Latitude</t>
  </si>
  <si>
    <t>Longitude</t>
  </si>
  <si>
    <t>TRIAL_ITK</t>
  </si>
  <si>
    <t>Contact_Name</t>
  </si>
  <si>
    <t>Contact_Phone</t>
  </si>
  <si>
    <t>Contact_email</t>
  </si>
  <si>
    <t>N1_Treatment</t>
  </si>
  <si>
    <t>N2_Treatment</t>
  </si>
  <si>
    <t>TRIAL_Design</t>
  </si>
  <si>
    <t>Sowing Date</t>
  </si>
  <si>
    <t>Fertilisation_Date_1</t>
  </si>
  <si>
    <t>Fertilisation_Date_2</t>
  </si>
  <si>
    <t>Fertilisation_Date_3</t>
  </si>
  <si>
    <t>Harvest</t>
  </si>
  <si>
    <t>Accession_Name</t>
  </si>
  <si>
    <t>CODE_RAPSO</t>
  </si>
  <si>
    <t>Intitulé</t>
  </si>
  <si>
    <t>Résultat [Sur brut] horizon 0-30cm</t>
  </si>
  <si>
    <t>Résultat [Sur brut] horizon 30-60cm</t>
  </si>
  <si>
    <t>Résultat [Sur brut] horizon  60-90cm</t>
  </si>
  <si>
    <t>Argile (&lt; 2 µm)</t>
  </si>
  <si>
    <t>Capacité d'Echange Cationique (méthode Metson) (CEC)</t>
  </si>
  <si>
    <t>Carbone organique</t>
  </si>
  <si>
    <t>Limons fins (2 à 20 µm)</t>
  </si>
  <si>
    <t>Limons grossiers (20 à 50 µm)</t>
  </si>
  <si>
    <t>Matières Organiques</t>
  </si>
  <si>
    <t>pH eau</t>
  </si>
  <si>
    <t>Sables fins (50 à 200 µm)</t>
  </si>
  <si>
    <t>Sables grossiers (200 à 2000 µm)</t>
  </si>
  <si>
    <t>Infos concernant la nature du sol, sa composition, sa profondeur…</t>
  </si>
  <si>
    <t>Préciser Unité</t>
  </si>
  <si>
    <t>AUTRES INFORMATIONS</t>
  </si>
  <si>
    <t>Profondeur du sol</t>
  </si>
  <si>
    <t>Réserve Utile</t>
  </si>
  <si>
    <t>Densité apparente</t>
  </si>
  <si>
    <t>Data</t>
  </si>
  <si>
    <t>4/5</t>
  </si>
  <si>
    <t>1/5</t>
  </si>
  <si>
    <t>Total</t>
  </si>
  <si>
    <t>N % DUMAS Spécial Ferti</t>
  </si>
  <si>
    <t>Manip</t>
  </si>
  <si>
    <t>Date</t>
  </si>
  <si>
    <t>Y</t>
  </si>
  <si>
    <t>X</t>
  </si>
  <si>
    <t>Modalite</t>
  </si>
  <si>
    <t>Genotype</t>
  </si>
  <si>
    <t>Stade</t>
  </si>
  <si>
    <t>Nbr</t>
  </si>
  <si>
    <t>MF Feuilles (g)</t>
  </si>
  <si>
    <t>MF Tige (g)</t>
  </si>
  <si>
    <t>% Humidité</t>
  </si>
  <si>
    <t>MF Aér</t>
  </si>
  <si>
    <t>MS Feuilles (g)</t>
  </si>
  <si>
    <t>MS Tige (g)</t>
  </si>
  <si>
    <t>MS Aér (g)</t>
  </si>
  <si>
    <t>MS Totale (t)</t>
  </si>
  <si>
    <t>%N critique</t>
  </si>
  <si>
    <t>Feuilles</t>
  </si>
  <si>
    <t>Tiges</t>
  </si>
  <si>
    <t>Qté N Total</t>
  </si>
  <si>
    <t>% Azote MS (1/5)</t>
  </si>
  <si>
    <t>INN</t>
  </si>
  <si>
    <t>De "Parcelle" à "Genotype" = données générales sur l'essai</t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</si>
  <si>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</si>
  <si>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</si>
  <si>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</si>
  <si>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t>Deux échantillons différents sont identifiés : 1/5 des plantes et 4/5 des plantes</t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</si>
  <si>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</si>
  <si>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</si>
  <si>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</si>
  <si>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</si>
  <si>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</si>
  <si>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</si>
  <si>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</si>
  <si>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Texture</t>
  </si>
  <si>
    <t>Annee</t>
  </si>
  <si>
    <t>Partenaire</t>
  </si>
  <si>
    <t>Lieu</t>
  </si>
  <si>
    <t>Jour_semis</t>
  </si>
  <si>
    <t>Jour_levee</t>
  </si>
  <si>
    <t>Jour_recolte</t>
  </si>
  <si>
    <t>YYXXX</t>
  </si>
  <si>
    <t>Code_RAPSO</t>
  </si>
  <si>
    <t>Statut</t>
  </si>
  <si>
    <t>Plot Size </t>
  </si>
  <si>
    <t>Objectif rendement</t>
  </si>
  <si>
    <t>Relicat post récolte</t>
  </si>
  <si>
    <t>besoins culture (7)</t>
  </si>
  <si>
    <t>Relicat sortie hiver</t>
  </si>
  <si>
    <t>Effet du précédent</t>
  </si>
  <si>
    <t>Azote absorbé hiver</t>
  </si>
  <si>
    <t>Mineralisation nette sortie hiver</t>
  </si>
  <si>
    <t>Utilisation engrais organiques</t>
  </si>
  <si>
    <t>Effet Prairie</t>
  </si>
  <si>
    <t>Fourniture du sol - Kg/Ha</t>
  </si>
  <si>
    <t>Apport necessaire théorique</t>
  </si>
  <si>
    <t>quantité N apporté</t>
  </si>
  <si>
    <t>SY</t>
  </si>
  <si>
    <t>End of flowering time (BBCH 69)</t>
  </si>
  <si>
    <t>SdMoist</t>
  </si>
  <si>
    <t>SdProt</t>
  </si>
  <si>
    <t>PNRD</t>
  </si>
  <si>
    <t>SdGLS</t>
  </si>
  <si>
    <t>TSW</t>
  </si>
  <si>
    <t>Répétition</t>
  </si>
  <si>
    <t>N° Entrée</t>
  </si>
  <si>
    <t>Numéro de lot</t>
  </si>
  <si>
    <t>INN 3</t>
  </si>
  <si>
    <t>Plantdens</t>
  </si>
  <si>
    <t>F1/FLO</t>
  </si>
  <si>
    <t>Plantsize</t>
  </si>
  <si>
    <t>PGF</t>
  </si>
  <si>
    <t>OIL</t>
  </si>
  <si>
    <r>
      <t xml:space="preserve">SY </t>
    </r>
    <r>
      <rPr>
        <b/>
        <vertAlign val="subscript"/>
        <sz val="10"/>
        <color indexed="10"/>
        <rFont val="Calibri"/>
        <family val="2"/>
      </rPr>
      <t xml:space="preserve">9%_ </t>
    </r>
  </si>
  <si>
    <t>Bilan</t>
  </si>
  <si>
    <t>N+</t>
  </si>
  <si>
    <t>N-</t>
  </si>
  <si>
    <t>Damien Dugué</t>
  </si>
  <si>
    <t>ddugue@ragt.fr</t>
  </si>
  <si>
    <t>AVISO</t>
  </si>
  <si>
    <t>MONTEGO</t>
  </si>
  <si>
    <t>RAPSO_294</t>
  </si>
  <si>
    <t>RAPSO_302</t>
  </si>
  <si>
    <t>RAPSO_305</t>
  </si>
  <si>
    <t>RAPSO_312</t>
  </si>
  <si>
    <t>RAPSO_315</t>
  </si>
  <si>
    <t>RAPSO_316</t>
  </si>
  <si>
    <t>RAPSO_318</t>
  </si>
  <si>
    <t>RAPSO_325</t>
  </si>
  <si>
    <t>RAPSO_330</t>
  </si>
  <si>
    <t>RAPSO_472</t>
  </si>
  <si>
    <t>CUP</t>
  </si>
  <si>
    <t>RAGT</t>
  </si>
  <si>
    <t>2017-18</t>
  </si>
  <si>
    <t>génotype</t>
  </si>
  <si>
    <t>VIGH (9=TB)</t>
  </si>
  <si>
    <t>RAPSO_243</t>
  </si>
  <si>
    <t>BRA_008</t>
  </si>
  <si>
    <t>ES-AGATHA</t>
  </si>
  <si>
    <t>ES-VENUS</t>
  </si>
  <si>
    <t>AMILLIA</t>
  </si>
  <si>
    <t>PAMELA</t>
  </si>
  <si>
    <t>RAGT-01</t>
  </si>
  <si>
    <t>RAGT-02</t>
  </si>
  <si>
    <t>RAGT-04</t>
  </si>
  <si>
    <t>SYN01</t>
  </si>
  <si>
    <t>SYN06</t>
  </si>
  <si>
    <t>LE 1</t>
  </si>
  <si>
    <t>Jour</t>
  </si>
  <si>
    <t>Ven. 1</t>
  </si>
  <si>
    <t>Sam. 2</t>
  </si>
  <si>
    <t>Dim. 3</t>
  </si>
  <si>
    <t>Lun. 4</t>
  </si>
  <si>
    <t>Mar. 5</t>
  </si>
  <si>
    <t>Mer. 6</t>
  </si>
  <si>
    <t>Jeu. 7</t>
  </si>
  <si>
    <t>Ven. 8</t>
  </si>
  <si>
    <t>Sam. 9</t>
  </si>
  <si>
    <t>Dim. 10</t>
  </si>
  <si>
    <t>Lun. 11</t>
  </si>
  <si>
    <t>Mar. 12</t>
  </si>
  <si>
    <t>Mer. 13</t>
  </si>
  <si>
    <t>Jeu. 14</t>
  </si>
  <si>
    <t>Ven. 15</t>
  </si>
  <si>
    <t>Sam. 16</t>
  </si>
  <si>
    <t>Dim. 17</t>
  </si>
  <si>
    <t>Lun. 18</t>
  </si>
  <si>
    <t>Mar. 19</t>
  </si>
  <si>
    <t>Mer. 20</t>
  </si>
  <si>
    <t>Jeu. 21</t>
  </si>
  <si>
    <t>Ven. 22</t>
  </si>
  <si>
    <t>Sam. 23</t>
  </si>
  <si>
    <t>Dim. 24</t>
  </si>
  <si>
    <t>Lun. 25</t>
  </si>
  <si>
    <t>Mar. 26</t>
  </si>
  <si>
    <t>Mer. 27</t>
  </si>
  <si>
    <t>Jeu. 28</t>
  </si>
  <si>
    <t>Ven. 29</t>
  </si>
  <si>
    <t>Sam. 30</t>
  </si>
  <si>
    <t>SEPT</t>
  </si>
  <si>
    <t>Dim. 1</t>
  </si>
  <si>
    <t>Lun. 2</t>
  </si>
  <si>
    <t>Mar. 3</t>
  </si>
  <si>
    <t>Mer. 4</t>
  </si>
  <si>
    <t>Jeu. 5</t>
  </si>
  <si>
    <t>Ven. 6</t>
  </si>
  <si>
    <t>Sam. 7</t>
  </si>
  <si>
    <t>Dim. 8</t>
  </si>
  <si>
    <t>Lun. 9</t>
  </si>
  <si>
    <t>Mar. 10</t>
  </si>
  <si>
    <t>Mer. 11</t>
  </si>
  <si>
    <t>Jeu. 12</t>
  </si>
  <si>
    <t>Ven. 13</t>
  </si>
  <si>
    <t>Sam. 14</t>
  </si>
  <si>
    <t>Dim. 15</t>
  </si>
  <si>
    <t>Lun. 16</t>
  </si>
  <si>
    <t>Mar. 17</t>
  </si>
  <si>
    <t>Mer. 18</t>
  </si>
  <si>
    <t>Jeu. 19</t>
  </si>
  <si>
    <t>Ven. 20</t>
  </si>
  <si>
    <t>Sam. 21</t>
  </si>
  <si>
    <t>Dim. 22</t>
  </si>
  <si>
    <t>Lun. 23</t>
  </si>
  <si>
    <t>Mar. 24</t>
  </si>
  <si>
    <t>Mer. 25</t>
  </si>
  <si>
    <t>Jeu. 26</t>
  </si>
  <si>
    <t>Ven. 27</t>
  </si>
  <si>
    <t>Sam. 28</t>
  </si>
  <si>
    <t>Dim. 29</t>
  </si>
  <si>
    <t>Lun. 30</t>
  </si>
  <si>
    <t>Mar. 31</t>
  </si>
  <si>
    <t>OCT</t>
  </si>
  <si>
    <t>Mer. 1</t>
  </si>
  <si>
    <t>Jeu. 2</t>
  </si>
  <si>
    <t>Ven. 3</t>
  </si>
  <si>
    <t>Sam. 4</t>
  </si>
  <si>
    <t>Dim. 5</t>
  </si>
  <si>
    <t>Lun. 6</t>
  </si>
  <si>
    <t>Mar. 7</t>
  </si>
  <si>
    <t>Mer. 8</t>
  </si>
  <si>
    <t>Jeu. 9</t>
  </si>
  <si>
    <t>Ven. 10</t>
  </si>
  <si>
    <t>Sam. 11</t>
  </si>
  <si>
    <t>Dim. 12</t>
  </si>
  <si>
    <t>Lun. 13</t>
  </si>
  <si>
    <t>Mar. 14</t>
  </si>
  <si>
    <t>Mer. 15</t>
  </si>
  <si>
    <t>Jeu. 16</t>
  </si>
  <si>
    <t>Ven. 17</t>
  </si>
  <si>
    <t>Sam. 18</t>
  </si>
  <si>
    <t>Dim. 19</t>
  </si>
  <si>
    <t>Lun. 20</t>
  </si>
  <si>
    <t>Mar. 21</t>
  </si>
  <si>
    <t>Mer. 22</t>
  </si>
  <si>
    <t>Jeu. 23</t>
  </si>
  <si>
    <t>Ven. 24</t>
  </si>
  <si>
    <t>Sam. 25</t>
  </si>
  <si>
    <t>Dim. 26</t>
  </si>
  <si>
    <t>Lun. 27</t>
  </si>
  <si>
    <t>Mar. 28</t>
  </si>
  <si>
    <t>Mer. 29</t>
  </si>
  <si>
    <t>Jeu. 30</t>
  </si>
  <si>
    <t>NOV</t>
  </si>
  <si>
    <t>Dim. 31</t>
  </si>
  <si>
    <t>DEC</t>
  </si>
  <si>
    <t>Lun. 1</t>
  </si>
  <si>
    <t>Mar. 2</t>
  </si>
  <si>
    <t>Mer. 3</t>
  </si>
  <si>
    <t>Jeu. 4</t>
  </si>
  <si>
    <t>Ven. 5</t>
  </si>
  <si>
    <t>Sam. 6</t>
  </si>
  <si>
    <t>Dim. 7</t>
  </si>
  <si>
    <t>Lun. 8</t>
  </si>
  <si>
    <t>Mar. 9</t>
  </si>
  <si>
    <t>Mer. 10</t>
  </si>
  <si>
    <t>Jeu. 11</t>
  </si>
  <si>
    <t>Ven. 12</t>
  </si>
  <si>
    <t>Sam. 13</t>
  </si>
  <si>
    <t>Dim. 14</t>
  </si>
  <si>
    <t>Lun. 15</t>
  </si>
  <si>
    <t>Mar. 16</t>
  </si>
  <si>
    <t>Mer. 17</t>
  </si>
  <si>
    <t>Jeu. 18</t>
  </si>
  <si>
    <t>Ven. 19</t>
  </si>
  <si>
    <t>Sam. 20</t>
  </si>
  <si>
    <t>Dim. 21</t>
  </si>
  <si>
    <t>Lun. 22</t>
  </si>
  <si>
    <t>Mar. 23</t>
  </si>
  <si>
    <t>Mer. 24</t>
  </si>
  <si>
    <t>Jeu. 25</t>
  </si>
  <si>
    <t>Ven. 26</t>
  </si>
  <si>
    <t>Sam. 27</t>
  </si>
  <si>
    <t>Dim. 28</t>
  </si>
  <si>
    <t>Lun. 29</t>
  </si>
  <si>
    <t>Mar. 30</t>
  </si>
  <si>
    <t>Mer. 31</t>
  </si>
  <si>
    <t>JANV</t>
  </si>
  <si>
    <t>Jeu. 1</t>
  </si>
  <si>
    <t>Ven. 2</t>
  </si>
  <si>
    <t>Sam. 3</t>
  </si>
  <si>
    <t>Dim. 4</t>
  </si>
  <si>
    <t>Lun. 5</t>
  </si>
  <si>
    <t>Mar. 6</t>
  </si>
  <si>
    <t>Mer. 7</t>
  </si>
  <si>
    <t>Jeu. 8</t>
  </si>
  <si>
    <t>Ven. 9</t>
  </si>
  <si>
    <t>Sam. 10</t>
  </si>
  <si>
    <t>Dim. 11</t>
  </si>
  <si>
    <t>Lun. 12</t>
  </si>
  <si>
    <t>Mar. 13</t>
  </si>
  <si>
    <t>Mer. 14</t>
  </si>
  <si>
    <t>Jeu. 15</t>
  </si>
  <si>
    <t>Ven. 16</t>
  </si>
  <si>
    <t>Sam. 17</t>
  </si>
  <si>
    <t>Dim. 18</t>
  </si>
  <si>
    <t>Lun. 19</t>
  </si>
  <si>
    <t>Mar. 20</t>
  </si>
  <si>
    <t>Mer. 21</t>
  </si>
  <si>
    <t>Jeu. 22</t>
  </si>
  <si>
    <t>Ven. 23</t>
  </si>
  <si>
    <t>Sam. 24</t>
  </si>
  <si>
    <t>Dim. 25</t>
  </si>
  <si>
    <t>Lun. 26</t>
  </si>
  <si>
    <t>Mar. 27</t>
  </si>
  <si>
    <t>Mer. 28</t>
  </si>
  <si>
    <t>FEV</t>
  </si>
  <si>
    <t>Jeu. 29</t>
  </si>
  <si>
    <t>Ven. 30</t>
  </si>
  <si>
    <t>Sam. 31</t>
  </si>
  <si>
    <t>MARS</t>
  </si>
  <si>
    <t>AVRIL</t>
  </si>
  <si>
    <t>Mar. 1</t>
  </si>
  <si>
    <t>Mer. 2</t>
  </si>
  <si>
    <t>Jeu. 3</t>
  </si>
  <si>
    <t>Ven. 4</t>
  </si>
  <si>
    <t>Sam. 5</t>
  </si>
  <si>
    <t>Dim. 6</t>
  </si>
  <si>
    <t>Lun. 7</t>
  </si>
  <si>
    <t>Mar. 8</t>
  </si>
  <si>
    <t>Mer. 9</t>
  </si>
  <si>
    <t>Jeu. 10</t>
  </si>
  <si>
    <t>Ven. 11</t>
  </si>
  <si>
    <t>Sam. 12</t>
  </si>
  <si>
    <t>Dim. 13</t>
  </si>
  <si>
    <t>Lun. 14</t>
  </si>
  <si>
    <t>Mar. 15</t>
  </si>
  <si>
    <t>Mer. 16</t>
  </si>
  <si>
    <t>Jeu. 17</t>
  </si>
  <si>
    <t>Ven. 18</t>
  </si>
  <si>
    <t>Sam. 19</t>
  </si>
  <si>
    <t>Dim. 20</t>
  </si>
  <si>
    <t>Lun. 21</t>
  </si>
  <si>
    <t>Mar. 22</t>
  </si>
  <si>
    <t>Mer. 23</t>
  </si>
  <si>
    <t>Jeu. 24</t>
  </si>
  <si>
    <t>Ven. 25</t>
  </si>
  <si>
    <t>Sam. 26</t>
  </si>
  <si>
    <t>Dim. 27</t>
  </si>
  <si>
    <t>Lun. 28</t>
  </si>
  <si>
    <t>Mar. 29</t>
  </si>
  <si>
    <t>Mer. 30</t>
  </si>
  <si>
    <t>Jeu. 31</t>
  </si>
  <si>
    <t>MAI</t>
  </si>
  <si>
    <t>JUIN</t>
  </si>
  <si>
    <t>JUILLET</t>
  </si>
  <si>
    <t>Température min. (en °C)</t>
  </si>
  <si>
    <t>Température max. (en °C)</t>
  </si>
  <si>
    <t>mois</t>
  </si>
  <si>
    <t>année</t>
  </si>
  <si>
    <t>Précipitations 24h (en mm)</t>
  </si>
  <si>
    <t>Y2 X14</t>
  </si>
  <si>
    <t>Y6 X12</t>
  </si>
  <si>
    <t>Y1 X9</t>
  </si>
  <si>
    <t>Y5 X22</t>
  </si>
  <si>
    <t>Y3 X13</t>
  </si>
  <si>
    <t>Y4 X12</t>
  </si>
  <si>
    <t>Y1 X19</t>
  </si>
  <si>
    <t>Y5 X3</t>
  </si>
  <si>
    <t>Y1 X6</t>
  </si>
  <si>
    <t>Y5 X23</t>
  </si>
  <si>
    <t>Y3 X6</t>
  </si>
  <si>
    <t>Y4 X17</t>
  </si>
  <si>
    <t>Y1 X21</t>
  </si>
  <si>
    <t>Y6 X11</t>
  </si>
  <si>
    <t>Y2 X24</t>
  </si>
  <si>
    <t>Y4 X3</t>
  </si>
  <si>
    <t>Y3 X3</t>
  </si>
  <si>
    <t>Y6 X13</t>
  </si>
  <si>
    <t>Y3 X16</t>
  </si>
  <si>
    <t>Y5 X1</t>
  </si>
  <si>
    <t>Y1 X10</t>
  </si>
  <si>
    <t>Y5 X14</t>
  </si>
  <si>
    <t>Y3 X17</t>
  </si>
  <si>
    <t>Y4 X7</t>
  </si>
  <si>
    <t>18A01</t>
  </si>
  <si>
    <t>51     02</t>
  </si>
  <si>
    <t>21     02</t>
  </si>
  <si>
    <t>67     02</t>
  </si>
  <si>
    <t>56     02</t>
  </si>
  <si>
    <t>12     02</t>
  </si>
  <si>
    <t>64     02</t>
  </si>
  <si>
    <t>37     02</t>
  </si>
  <si>
    <t>57     02</t>
  </si>
  <si>
    <t>59     02</t>
  </si>
  <si>
    <t>39     02</t>
  </si>
  <si>
    <t>28     02</t>
  </si>
  <si>
    <t>01     02</t>
  </si>
  <si>
    <t>30     02</t>
  </si>
  <si>
    <t>11     02</t>
  </si>
  <si>
    <t>19     02</t>
  </si>
  <si>
    <t>35     02</t>
  </si>
  <si>
    <t>68     02</t>
  </si>
  <si>
    <t>40     02</t>
  </si>
  <si>
    <t>42     02</t>
  </si>
  <si>
    <t>63     02</t>
  </si>
  <si>
    <t>58     02</t>
  </si>
  <si>
    <t>06     02</t>
  </si>
  <si>
    <t>22     02</t>
  </si>
  <si>
    <t>44     02</t>
  </si>
  <si>
    <t>31     02</t>
  </si>
  <si>
    <t>14     02</t>
  </si>
  <si>
    <t>25     02</t>
  </si>
  <si>
    <t>66     02</t>
  </si>
  <si>
    <t>20     02</t>
  </si>
  <si>
    <t>49     02</t>
  </si>
  <si>
    <t>62     02</t>
  </si>
  <si>
    <t>05     02</t>
  </si>
  <si>
    <t>04     02</t>
  </si>
  <si>
    <t>53     02</t>
  </si>
  <si>
    <t>71     02</t>
  </si>
  <si>
    <t>36     02</t>
  </si>
  <si>
    <t>03     02</t>
  </si>
  <si>
    <t>32     02</t>
  </si>
  <si>
    <t>15     02</t>
  </si>
  <si>
    <t>48     02</t>
  </si>
  <si>
    <t>55     02</t>
  </si>
  <si>
    <t>54     02</t>
  </si>
  <si>
    <t>46     02</t>
  </si>
  <si>
    <t>34     02</t>
  </si>
  <si>
    <t>52     02</t>
  </si>
  <si>
    <t>02     02</t>
  </si>
  <si>
    <t>26     02</t>
  </si>
  <si>
    <t>38     02</t>
  </si>
  <si>
    <t>41     02</t>
  </si>
  <si>
    <t>17     02</t>
  </si>
  <si>
    <t>29     02</t>
  </si>
  <si>
    <t>43     02</t>
  </si>
  <si>
    <t>45     02</t>
  </si>
  <si>
    <t>10     02</t>
  </si>
  <si>
    <t>33     02</t>
  </si>
  <si>
    <t>69     02</t>
  </si>
  <si>
    <t>08     02</t>
  </si>
  <si>
    <t>16     02</t>
  </si>
  <si>
    <t>47     02</t>
  </si>
  <si>
    <t>24     02</t>
  </si>
  <si>
    <t>70     02</t>
  </si>
  <si>
    <t>65     02</t>
  </si>
  <si>
    <t>60     02</t>
  </si>
  <si>
    <t>61     02</t>
  </si>
  <si>
    <t>27     02</t>
  </si>
  <si>
    <t>72     02</t>
  </si>
  <si>
    <t>50     02</t>
  </si>
  <si>
    <t>13     02</t>
  </si>
  <si>
    <t>18     02</t>
  </si>
  <si>
    <t>07     02</t>
  </si>
  <si>
    <t>09     02</t>
  </si>
  <si>
    <t>23     02</t>
  </si>
  <si>
    <t>54     01</t>
  </si>
  <si>
    <t>70     01</t>
  </si>
  <si>
    <t>30     01</t>
  </si>
  <si>
    <t>46     01</t>
  </si>
  <si>
    <t>38     01</t>
  </si>
  <si>
    <t>27     01</t>
  </si>
  <si>
    <t>40     01</t>
  </si>
  <si>
    <t>07     01</t>
  </si>
  <si>
    <t>72     01</t>
  </si>
  <si>
    <t>48     01</t>
  </si>
  <si>
    <t>11     01</t>
  </si>
  <si>
    <t>19     01</t>
  </si>
  <si>
    <t>24     01</t>
  </si>
  <si>
    <t>39     01</t>
  </si>
  <si>
    <t>21     01</t>
  </si>
  <si>
    <t>31     01</t>
  </si>
  <si>
    <t>33     01</t>
  </si>
  <si>
    <t>66     01</t>
  </si>
  <si>
    <t>12     01</t>
  </si>
  <si>
    <t>14     01</t>
  </si>
  <si>
    <t>64     01</t>
  </si>
  <si>
    <t>08     01</t>
  </si>
  <si>
    <t>57     01</t>
  </si>
  <si>
    <t>51     01</t>
  </si>
  <si>
    <t>03     01</t>
  </si>
  <si>
    <t>23     01</t>
  </si>
  <si>
    <t>61     01</t>
  </si>
  <si>
    <t>09     01</t>
  </si>
  <si>
    <t>52     01</t>
  </si>
  <si>
    <t>22     01</t>
  </si>
  <si>
    <t>42     01</t>
  </si>
  <si>
    <t>35     01</t>
  </si>
  <si>
    <t>50     01</t>
  </si>
  <si>
    <t>06     01</t>
  </si>
  <si>
    <t>60     01</t>
  </si>
  <si>
    <t>15     01</t>
  </si>
  <si>
    <t>59     01</t>
  </si>
  <si>
    <t>01     01</t>
  </si>
  <si>
    <t>36     01</t>
  </si>
  <si>
    <t>43     01</t>
  </si>
  <si>
    <t>41     01</t>
  </si>
  <si>
    <t>10     01</t>
  </si>
  <si>
    <t>49     01</t>
  </si>
  <si>
    <t>53     01</t>
  </si>
  <si>
    <t>67     01</t>
  </si>
  <si>
    <t>05     01</t>
  </si>
  <si>
    <t>71     01</t>
  </si>
  <si>
    <t>29     01</t>
  </si>
  <si>
    <t>55     01</t>
  </si>
  <si>
    <t>34     01</t>
  </si>
  <si>
    <t>18     01</t>
  </si>
  <si>
    <t>58     01</t>
  </si>
  <si>
    <t>68     01</t>
  </si>
  <si>
    <t>26     01</t>
  </si>
  <si>
    <t>13     01</t>
  </si>
  <si>
    <t>44     01</t>
  </si>
  <si>
    <t>02     01</t>
  </si>
  <si>
    <t>32     01</t>
  </si>
  <si>
    <t>65     01</t>
  </si>
  <si>
    <t>63     01</t>
  </si>
  <si>
    <t>47     01</t>
  </si>
  <si>
    <t>20     01</t>
  </si>
  <si>
    <t>62     01</t>
  </si>
  <si>
    <t>16     01</t>
  </si>
  <si>
    <t>56     01</t>
  </si>
  <si>
    <t>17     01</t>
  </si>
  <si>
    <t>25     01</t>
  </si>
  <si>
    <t>04     01</t>
  </si>
  <si>
    <t>28     01</t>
  </si>
  <si>
    <t>69     01</t>
  </si>
  <si>
    <t>37     01</t>
  </si>
  <si>
    <t>45     01</t>
  </si>
  <si>
    <t>border</t>
  </si>
  <si>
    <t>4°25'54.7''E</t>
  </si>
  <si>
    <t>49°02'58.5''N</t>
  </si>
  <si>
    <t>Rapsodyn Essai WP4 2017-2018</t>
  </si>
  <si>
    <t>Manip : INN3</t>
  </si>
  <si>
    <t>Prv 4/5</t>
  </si>
  <si>
    <t>Prv 1/5</t>
  </si>
  <si>
    <t>Racines</t>
  </si>
  <si>
    <t>Code Manip</t>
  </si>
  <si>
    <t>Y-X (coordonnées champ)</t>
  </si>
  <si>
    <t>N</t>
  </si>
  <si>
    <t>Bloc</t>
  </si>
  <si>
    <t>NB PLT M²</t>
  </si>
  <si>
    <t>NbPl_4/5</t>
  </si>
  <si>
    <t>MF_brut_4/5 (g)</t>
  </si>
  <si>
    <t>NbPl_1/5</t>
  </si>
  <si>
    <t>MF_brut_1/5 (g)</t>
  </si>
  <si>
    <t>Surf_F_1/5 (cm²)</t>
  </si>
  <si>
    <t>MF_Feuilles_1/5 (g)</t>
  </si>
  <si>
    <t>MF_Tiges+siliques_1/5 (g)</t>
  </si>
  <si>
    <t>MS_Feuilles_1/5 (g)</t>
  </si>
  <si>
    <t>MS_Tiges+siliques_1/5 (g)</t>
  </si>
  <si>
    <t>N % DUMAS Spécial Ferti sur MS_Feuilles+Tiges_1/5</t>
  </si>
  <si>
    <t>kg ms ha</t>
  </si>
  <si>
    <t>N crit</t>
  </si>
  <si>
    <t>INN (&gt; 1, nutrition optimale; &lt; 0.75 = carence azotée)</t>
  </si>
  <si>
    <t>MF_Racines_1/5 (g)</t>
  </si>
  <si>
    <t>MS_Racines_1/5 (g)</t>
  </si>
  <si>
    <t>N % DUMAS Spécial Ferti sur MS_Racines_1/5</t>
  </si>
  <si>
    <t>WP4 INN3</t>
  </si>
  <si>
    <t>Lieu : CUPERLY</t>
  </si>
  <si>
    <t>Date : 11 avril 2018</t>
  </si>
  <si>
    <t>INN3</t>
  </si>
  <si>
    <t>MONTEGIO</t>
  </si>
  <si>
    <t>Calcaire-Limoneux</t>
  </si>
  <si>
    <t>38mm</t>
  </si>
  <si>
    <t>169g/kg</t>
  </si>
  <si>
    <t>356g/kg</t>
  </si>
  <si>
    <t>130g/kg</t>
  </si>
  <si>
    <t>84g/kg</t>
  </si>
  <si>
    <t>261g/kg</t>
  </si>
  <si>
    <t>42g/kg</t>
  </si>
  <si>
    <t>24.9g/kg</t>
  </si>
  <si>
    <t>118.1meq/kg</t>
  </si>
  <si>
    <t>6</t>
  </si>
  <si>
    <t>12</t>
  </si>
  <si>
    <t>5</t>
  </si>
  <si>
    <t>22</t>
  </si>
  <si>
    <t>150?</t>
  </si>
  <si>
    <t>50?</t>
  </si>
  <si>
    <t>?</t>
  </si>
</sst>
</file>

<file path=xl/styles.xml><?xml version="1.0" encoding="utf-8"?>
<styleSheet xmlns="http://schemas.openxmlformats.org/spreadsheetml/2006/main">
  <numFmts count="5">
    <numFmt numFmtId="43" formatCode="_-* #,##0.00\ _€_-;\-* #,##0.00\ _€_-;_-* &quot;-&quot;??\ _€_-;_-@_-"/>
    <numFmt numFmtId="164" formatCode="0.0000"/>
    <numFmt numFmtId="165" formatCode="_(\$* #,##0.00_);_(\$* \(#,##0.00\);_(\$* \-??_);_(@_)"/>
    <numFmt numFmtId="166" formatCode="0.0"/>
    <numFmt numFmtId="167" formatCode="d/m/yy;@"/>
  </numFmts>
  <fonts count="6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rgb="FF66669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9"/>
      <name val="Geneva"/>
      <family val="2"/>
    </font>
    <font>
      <b/>
      <sz val="12"/>
      <name val="Geneva"/>
    </font>
    <font>
      <sz val="9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name val="Calibri"/>
      <family val="2"/>
    </font>
    <font>
      <sz val="10"/>
      <name val="Tahoma"/>
      <family val="2"/>
    </font>
    <font>
      <sz val="11"/>
      <color theme="1"/>
      <name val="Calibri"/>
      <family val="2"/>
    </font>
    <font>
      <sz val="11"/>
      <color indexed="20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vertAlign val="subscript"/>
      <sz val="10"/>
      <color indexed="10"/>
      <name val="Calibri"/>
      <family val="2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rgb="FF000000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1F497D"/>
      <name val="Symbol"/>
      <family val="1"/>
      <charset val="2"/>
    </font>
    <font>
      <sz val="11"/>
      <color rgb="FF1F497D"/>
      <name val="Courier New"/>
      <family val="3"/>
    </font>
  </fonts>
  <fills count="7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</fills>
  <borders count="9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rgb="FF000000"/>
      </left>
      <right style="thick">
        <color indexed="64"/>
      </right>
      <top style="thin">
        <color rgb="FF000000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ashed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59">
    <xf numFmtId="0" fontId="0" fillId="0" borderId="0"/>
    <xf numFmtId="0" fontId="1" fillId="0" borderId="0"/>
    <xf numFmtId="0" fontId="11" fillId="0" borderId="0"/>
    <xf numFmtId="0" fontId="13" fillId="0" borderId="0"/>
    <xf numFmtId="43" fontId="1" fillId="0" borderId="0" applyFont="0" applyFill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53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53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30" borderId="0" applyNumberFormat="0" applyBorder="0" applyAlignment="0" applyProtection="0"/>
    <xf numFmtId="0" fontId="30" fillId="34" borderId="0" applyNumberFormat="0" applyBorder="0" applyAlignment="0" applyProtection="0"/>
    <xf numFmtId="0" fontId="30" fillId="38" borderId="0" applyNumberFormat="0" applyBorder="0" applyAlignment="0" applyProtection="0"/>
    <xf numFmtId="0" fontId="30" fillId="42" borderId="0" applyNumberFormat="0" applyBorder="0" applyAlignment="0" applyProtection="0"/>
    <xf numFmtId="0" fontId="32" fillId="54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2" fillId="54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31" borderId="0" applyNumberFormat="0" applyBorder="0" applyAlignment="0" applyProtection="0"/>
    <xf numFmtId="0" fontId="30" fillId="35" borderId="0" applyNumberFormat="0" applyBorder="0" applyAlignment="0" applyProtection="0"/>
    <xf numFmtId="0" fontId="30" fillId="39" borderId="0" applyNumberFormat="0" applyBorder="0" applyAlignment="0" applyProtection="0"/>
    <xf numFmtId="0" fontId="32" fillId="58" borderId="0" applyNumberFormat="0" applyBorder="0" applyAlignment="0" applyProtection="0"/>
    <xf numFmtId="0" fontId="32" fillId="59" borderId="0" applyNumberFormat="0" applyBorder="0" applyAlignment="0" applyProtection="0"/>
    <xf numFmtId="0" fontId="32" fillId="60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61" borderId="0" applyNumberFormat="0" applyBorder="0" applyAlignment="0" applyProtection="0"/>
    <xf numFmtId="0" fontId="32" fillId="58" borderId="0" applyNumberFormat="0" applyBorder="0" applyAlignment="0" applyProtection="0"/>
    <xf numFmtId="0" fontId="32" fillId="59" borderId="0" applyNumberFormat="0" applyBorder="0" applyAlignment="0" applyProtection="0"/>
    <xf numFmtId="0" fontId="32" fillId="60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61" borderId="0" applyNumberFormat="0" applyBorder="0" applyAlignment="0" applyProtection="0"/>
    <xf numFmtId="0" fontId="33" fillId="62" borderId="64" applyNumberFormat="0" applyAlignment="0" applyProtection="0"/>
    <xf numFmtId="0" fontId="33" fillId="62" borderId="64" applyNumberFormat="0" applyAlignment="0" applyProtection="0"/>
    <xf numFmtId="0" fontId="28" fillId="0" borderId="0" applyNumberFormat="0" applyFill="0" applyBorder="0" applyAlignment="0" applyProtection="0"/>
    <xf numFmtId="0" fontId="34" fillId="62" borderId="65" applyNumberFormat="0" applyAlignment="0" applyProtection="0"/>
    <xf numFmtId="0" fontId="34" fillId="62" borderId="65" applyNumberFormat="0" applyAlignment="0" applyProtection="0"/>
    <xf numFmtId="0" fontId="25" fillId="16" borderId="58" applyNumberFormat="0" applyAlignment="0" applyProtection="0"/>
    <xf numFmtId="0" fontId="26" fillId="0" borderId="60" applyNumberFormat="0" applyFill="0" applyAlignment="0" applyProtection="0"/>
    <xf numFmtId="0" fontId="31" fillId="18" borderId="62" applyNumberFormat="0" applyFont="0" applyAlignment="0" applyProtection="0"/>
    <xf numFmtId="165" fontId="31" fillId="0" borderId="0" applyFill="0" applyBorder="0" applyAlignment="0" applyProtection="0"/>
    <xf numFmtId="0" fontId="35" fillId="49" borderId="65" applyNumberFormat="0" applyAlignment="0" applyProtection="0"/>
    <xf numFmtId="0" fontId="35" fillId="49" borderId="65" applyNumberFormat="0" applyAlignment="0" applyProtection="0"/>
    <xf numFmtId="0" fontId="33" fillId="62" borderId="64" applyNumberFormat="0" applyAlignment="0" applyProtection="0"/>
    <xf numFmtId="0" fontId="33" fillId="62" borderId="64" applyNumberFormat="0" applyAlignment="0" applyProtection="0"/>
    <xf numFmtId="0" fontId="36" fillId="46" borderId="0" applyNumberFormat="0" applyBorder="0" applyAlignment="0" applyProtection="0"/>
    <xf numFmtId="0" fontId="35" fillId="49" borderId="65" applyNumberFormat="0" applyAlignment="0" applyProtection="0"/>
    <xf numFmtId="0" fontId="35" fillId="49" borderId="65" applyNumberFormat="0" applyAlignment="0" applyProtection="0"/>
    <xf numFmtId="0" fontId="23" fillId="15" borderId="58" applyNumberFormat="0" applyAlignment="0" applyProtection="0"/>
    <xf numFmtId="0" fontId="37" fillId="0" borderId="66" applyNumberFormat="0" applyFill="0" applyAlignment="0" applyProtection="0"/>
    <xf numFmtId="0" fontId="37" fillId="0" borderId="66" applyNumberFormat="0" applyFill="0" applyAlignment="0" applyProtection="0"/>
    <xf numFmtId="0" fontId="38" fillId="0" borderId="0" applyNumberFormat="0" applyFill="0" applyBorder="0" applyAlignment="0" applyProtection="0"/>
    <xf numFmtId="0" fontId="36" fillId="46" borderId="0" applyNumberFormat="0" applyBorder="0" applyAlignment="0" applyProtection="0"/>
    <xf numFmtId="0" fontId="21" fillId="13" borderId="0" applyNumberFormat="0" applyBorder="0" applyAlignment="0" applyProtection="0"/>
    <xf numFmtId="0" fontId="39" fillId="0" borderId="67" applyNumberFormat="0" applyFill="0" applyAlignment="0" applyProtection="0"/>
    <xf numFmtId="0" fontId="40" fillId="63" borderId="68" applyNumberFormat="0" applyAlignment="0" applyProtection="0"/>
    <xf numFmtId="0" fontId="11" fillId="0" borderId="0"/>
    <xf numFmtId="0" fontId="11" fillId="0" borderId="0"/>
    <xf numFmtId="0" fontId="41" fillId="0" borderId="69" applyNumberFormat="0" applyFill="0" applyAlignment="0" applyProtection="0"/>
    <xf numFmtId="0" fontId="42" fillId="0" borderId="70" applyNumberFormat="0" applyFill="0" applyAlignment="0" applyProtection="0"/>
    <xf numFmtId="0" fontId="43" fillId="0" borderId="71" applyNumberFormat="0" applyFill="0" applyAlignment="0" applyProtection="0"/>
    <xf numFmtId="0" fontId="43" fillId="0" borderId="0" applyNumberFormat="0" applyFill="0" applyBorder="0" applyAlignment="0" applyProtection="0"/>
    <xf numFmtId="0" fontId="44" fillId="64" borderId="0" applyNumberFormat="0" applyBorder="0" applyAlignment="0" applyProtection="0"/>
    <xf numFmtId="0" fontId="44" fillId="64" borderId="0" applyNumberFormat="0" applyBorder="0" applyAlignment="0" applyProtection="0"/>
    <xf numFmtId="0" fontId="22" fillId="14" borderId="0" applyNumberFormat="0" applyBorder="0" applyAlignment="0" applyProtection="0"/>
    <xf numFmtId="0" fontId="1" fillId="0" borderId="0"/>
    <xf numFmtId="0" fontId="11" fillId="0" borderId="0"/>
    <xf numFmtId="0" fontId="45" fillId="0" borderId="0"/>
    <xf numFmtId="0" fontId="45" fillId="0" borderId="0"/>
    <xf numFmtId="0" fontId="46" fillId="0" borderId="0"/>
    <xf numFmtId="0" fontId="11" fillId="0" borderId="0"/>
    <xf numFmtId="0" fontId="47" fillId="0" borderId="0"/>
    <xf numFmtId="0" fontId="11" fillId="0" borderId="0"/>
    <xf numFmtId="0" fontId="46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1" fillId="65" borderId="72" applyNumberFormat="0" applyFont="0" applyAlignment="0" applyProtection="0"/>
    <xf numFmtId="0" fontId="31" fillId="65" borderId="72" applyNumberFormat="0" applyFont="0" applyAlignment="0" applyProtection="0"/>
    <xf numFmtId="0" fontId="34" fillId="62" borderId="65" applyNumberFormat="0" applyAlignment="0" applyProtection="0"/>
    <xf numFmtId="0" fontId="34" fillId="62" borderId="65" applyNumberFormat="0" applyAlignment="0" applyProtection="0"/>
    <xf numFmtId="0" fontId="20" fillId="12" borderId="0" applyNumberFormat="0" applyBorder="0" applyAlignment="0" applyProtection="0"/>
    <xf numFmtId="0" fontId="48" fillId="45" borderId="0" applyNumberFormat="0" applyBorder="0" applyAlignment="0" applyProtection="0"/>
    <xf numFmtId="0" fontId="24" fillId="16" borderId="59" applyNumberFormat="0" applyAlignment="0" applyProtection="0"/>
    <xf numFmtId="0" fontId="37" fillId="0" borderId="66" applyNumberFormat="0" applyFill="0" applyAlignment="0" applyProtection="0"/>
    <xf numFmtId="0" fontId="37" fillId="0" borderId="66" applyNumberFormat="0" applyFill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55" applyNumberFormat="0" applyFill="0" applyAlignment="0" applyProtection="0"/>
    <xf numFmtId="0" fontId="18" fillId="0" borderId="56" applyNumberFormat="0" applyFill="0" applyAlignment="0" applyProtection="0"/>
    <xf numFmtId="0" fontId="19" fillId="0" borderId="57" applyNumberFormat="0" applyFill="0" applyAlignment="0" applyProtection="0"/>
    <xf numFmtId="0" fontId="19" fillId="0" borderId="0" applyNumberFormat="0" applyFill="0" applyBorder="0" applyAlignment="0" applyProtection="0"/>
    <xf numFmtId="0" fontId="2" fillId="0" borderId="63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1" fillId="0" borderId="69" applyNumberFormat="0" applyFill="0" applyAlignment="0" applyProtection="0"/>
    <xf numFmtId="0" fontId="42" fillId="0" borderId="70" applyNumberFormat="0" applyFill="0" applyAlignment="0" applyProtection="0"/>
    <xf numFmtId="0" fontId="43" fillId="0" borderId="71" applyNumberFormat="0" applyFill="0" applyAlignment="0" applyProtection="0"/>
    <xf numFmtId="0" fontId="43" fillId="0" borderId="0" applyNumberFormat="0" applyFill="0" applyBorder="0" applyAlignment="0" applyProtection="0"/>
    <xf numFmtId="0" fontId="31" fillId="65" borderId="72" applyNumberFormat="0" applyFont="0" applyAlignment="0" applyProtection="0"/>
    <xf numFmtId="0" fontId="31" fillId="65" borderId="72" applyNumberFormat="0" applyFont="0" applyAlignment="0" applyProtection="0"/>
    <xf numFmtId="0" fontId="27" fillId="17" borderId="61" applyNumberFormat="0" applyAlignment="0" applyProtection="0"/>
    <xf numFmtId="0" fontId="39" fillId="0" borderId="67" applyNumberFormat="0" applyFill="0" applyAlignment="0" applyProtection="0"/>
    <xf numFmtId="0" fontId="49" fillId="0" borderId="0" applyNumberFormat="0" applyFill="0" applyBorder="0" applyAlignment="0" applyProtection="0"/>
    <xf numFmtId="0" fontId="40" fillId="63" borderId="68" applyNumberFormat="0" applyAlignment="0" applyProtection="0"/>
    <xf numFmtId="0" fontId="48" fillId="45" borderId="0" applyNumberFormat="0" applyBorder="0" applyAlignment="0" applyProtection="0"/>
    <xf numFmtId="0" fontId="51" fillId="0" borderId="0"/>
    <xf numFmtId="0" fontId="52" fillId="0" borderId="0"/>
    <xf numFmtId="0" fontId="60" fillId="0" borderId="0" applyNumberFormat="0" applyFill="0" applyBorder="0" applyAlignment="0" applyProtection="0">
      <alignment vertical="top"/>
      <protection locked="0"/>
    </xf>
  </cellStyleXfs>
  <cellXfs count="190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2" xfId="0" applyFont="1" applyBorder="1"/>
    <xf numFmtId="0" fontId="0" fillId="0" borderId="3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0" fillId="0" borderId="4" xfId="0" applyBorder="1"/>
    <xf numFmtId="0" fontId="11" fillId="0" borderId="0" xfId="2" applyAlignment="1">
      <alignment horizontal="center"/>
    </xf>
    <xf numFmtId="0" fontId="11" fillId="0" borderId="8" xfId="2" applyBorder="1" applyAlignment="1">
      <alignment horizontal="center"/>
    </xf>
    <xf numFmtId="0" fontId="13" fillId="0" borderId="15" xfId="3" applyBorder="1"/>
    <xf numFmtId="0" fontId="0" fillId="0" borderId="16" xfId="0" applyBorder="1"/>
    <xf numFmtId="0" fontId="7" fillId="6" borderId="17" xfId="2" applyFont="1" applyFill="1" applyBorder="1" applyAlignment="1">
      <alignment horizontal="center"/>
    </xf>
    <xf numFmtId="0" fontId="7" fillId="6" borderId="18" xfId="2" applyFont="1" applyFill="1" applyBorder="1" applyAlignment="1">
      <alignment horizontal="center"/>
    </xf>
    <xf numFmtId="0" fontId="7" fillId="7" borderId="19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6" borderId="19" xfId="2" applyFont="1" applyFill="1" applyBorder="1" applyAlignment="1">
      <alignment horizontal="center"/>
    </xf>
    <xf numFmtId="0" fontId="7" fillId="6" borderId="23" xfId="2" applyFont="1" applyFill="1" applyBorder="1" applyAlignment="1">
      <alignment horizontal="center"/>
    </xf>
    <xf numFmtId="0" fontId="7" fillId="6" borderId="24" xfId="2" applyFont="1" applyFill="1" applyBorder="1" applyAlignment="1">
      <alignment horizontal="center"/>
    </xf>
    <xf numFmtId="0" fontId="7" fillId="6" borderId="21" xfId="2" applyFont="1" applyFill="1" applyBorder="1" applyAlignment="1">
      <alignment horizontal="center"/>
    </xf>
    <xf numFmtId="0" fontId="7" fillId="6" borderId="25" xfId="2" applyFont="1" applyFill="1" applyBorder="1" applyAlignment="1">
      <alignment horizontal="center"/>
    </xf>
    <xf numFmtId="0" fontId="7" fillId="6" borderId="20" xfId="2" applyFont="1" applyFill="1" applyBorder="1" applyAlignment="1">
      <alignment horizontal="center"/>
    </xf>
    <xf numFmtId="0" fontId="7" fillId="8" borderId="19" xfId="2" applyFont="1" applyFill="1" applyBorder="1" applyAlignment="1">
      <alignment horizontal="center"/>
    </xf>
    <xf numFmtId="0" fontId="15" fillId="0" borderId="26" xfId="0" applyFont="1" applyBorder="1" applyAlignment="1">
      <alignment horizontal="center" vertical="center"/>
    </xf>
    <xf numFmtId="14" fontId="15" fillId="0" borderId="26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1" fillId="0" borderId="31" xfId="2" applyBorder="1" applyAlignment="1">
      <alignment horizontal="center"/>
    </xf>
    <xf numFmtId="0" fontId="11" fillId="0" borderId="34" xfId="2" applyBorder="1" applyAlignment="1">
      <alignment horizontal="center"/>
    </xf>
    <xf numFmtId="0" fontId="11" fillId="0" borderId="35" xfId="2" applyBorder="1" applyAlignment="1">
      <alignment horizontal="center"/>
    </xf>
    <xf numFmtId="2" fontId="11" fillId="0" borderId="31" xfId="2" applyNumberFormat="1" applyBorder="1" applyAlignment="1">
      <alignment horizontal="center"/>
    </xf>
    <xf numFmtId="164" fontId="13" fillId="0" borderId="34" xfId="3" applyNumberFormat="1" applyBorder="1" applyAlignment="1">
      <alignment horizontal="center"/>
    </xf>
    <xf numFmtId="164" fontId="13" fillId="0" borderId="33" xfId="3" applyNumberForma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14" fontId="15" fillId="0" borderId="4" xfId="0" applyNumberFormat="1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1" fillId="0" borderId="38" xfId="2" applyBorder="1" applyAlignment="1">
      <alignment horizontal="center"/>
    </xf>
    <xf numFmtId="0" fontId="11" fillId="0" borderId="36" xfId="2" applyBorder="1" applyAlignment="1">
      <alignment horizontal="center"/>
    </xf>
    <xf numFmtId="0" fontId="11" fillId="0" borderId="39" xfId="2" applyBorder="1" applyAlignment="1">
      <alignment horizontal="center"/>
    </xf>
    <xf numFmtId="2" fontId="11" fillId="0" borderId="38" xfId="2" applyNumberFormat="1" applyBorder="1" applyAlignment="1">
      <alignment horizontal="center"/>
    </xf>
    <xf numFmtId="164" fontId="13" fillId="0" borderId="36" xfId="3" applyNumberFormat="1" applyBorder="1" applyAlignment="1">
      <alignment horizontal="center"/>
    </xf>
    <xf numFmtId="164" fontId="13" fillId="0" borderId="37" xfId="3" applyNumberFormat="1" applyBorder="1" applyAlignment="1">
      <alignment horizontal="center"/>
    </xf>
    <xf numFmtId="0" fontId="11" fillId="0" borderId="40" xfId="2" applyBorder="1" applyAlignment="1">
      <alignment horizontal="center"/>
    </xf>
    <xf numFmtId="0" fontId="11" fillId="0" borderId="43" xfId="2" applyBorder="1" applyAlignment="1">
      <alignment horizontal="center"/>
    </xf>
    <xf numFmtId="0" fontId="11" fillId="0" borderId="44" xfId="2" applyBorder="1" applyAlignment="1">
      <alignment horizontal="center"/>
    </xf>
    <xf numFmtId="2" fontId="11" fillId="0" borderId="40" xfId="2" applyNumberFormat="1" applyBorder="1" applyAlignment="1">
      <alignment horizontal="center"/>
    </xf>
    <xf numFmtId="164" fontId="13" fillId="0" borderId="43" xfId="3" applyNumberFormat="1" applyBorder="1" applyAlignment="1">
      <alignment horizontal="center"/>
    </xf>
    <xf numFmtId="164" fontId="13" fillId="0" borderId="42" xfId="3" applyNumberFormat="1" applyBorder="1" applyAlignment="1">
      <alignment horizontal="center"/>
    </xf>
    <xf numFmtId="0" fontId="15" fillId="0" borderId="36" xfId="0" applyFont="1" applyFill="1" applyBorder="1" applyAlignment="1">
      <alignment horizontal="center" vertical="center"/>
    </xf>
    <xf numFmtId="0" fontId="11" fillId="0" borderId="37" xfId="2" applyBorder="1" applyAlignment="1">
      <alignment horizontal="center"/>
    </xf>
    <xf numFmtId="2" fontId="11" fillId="0" borderId="36" xfId="2" applyNumberFormat="1" applyBorder="1" applyAlignment="1">
      <alignment horizontal="center"/>
    </xf>
    <xf numFmtId="0" fontId="15" fillId="0" borderId="15" xfId="0" applyFont="1" applyBorder="1" applyAlignment="1">
      <alignment horizontal="center" vertical="center"/>
    </xf>
    <xf numFmtId="14" fontId="15" fillId="0" borderId="15" xfId="0" applyNumberFormat="1" applyFont="1" applyBorder="1" applyAlignment="1">
      <alignment horizontal="center" vertical="center"/>
    </xf>
    <xf numFmtId="49" fontId="15" fillId="0" borderId="15" xfId="0" applyNumberFormat="1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1" fillId="0" borderId="47" xfId="2" applyBorder="1" applyAlignment="1">
      <alignment horizontal="center"/>
    </xf>
    <xf numFmtId="0" fontId="11" fillId="0" borderId="49" xfId="2" applyBorder="1" applyAlignment="1">
      <alignment horizontal="center"/>
    </xf>
    <xf numFmtId="2" fontId="11" fillId="0" borderId="47" xfId="2" applyNumberFormat="1" applyBorder="1" applyAlignment="1">
      <alignment horizontal="center"/>
    </xf>
    <xf numFmtId="164" fontId="13" fillId="0" borderId="47" xfId="3" applyNumberFormat="1" applyBorder="1" applyAlignment="1">
      <alignment horizontal="center"/>
    </xf>
    <xf numFmtId="164" fontId="13" fillId="0" borderId="49" xfId="3" applyNumberFormat="1" applyBorder="1" applyAlignment="1">
      <alignment horizontal="center"/>
    </xf>
    <xf numFmtId="0" fontId="11" fillId="0" borderId="28" xfId="2" applyBorder="1" applyAlignment="1">
      <alignment horizontal="center"/>
    </xf>
    <xf numFmtId="0" fontId="11" fillId="0" borderId="30" xfId="2" applyBorder="1" applyAlignment="1">
      <alignment horizontal="center"/>
    </xf>
    <xf numFmtId="2" fontId="11" fillId="0" borderId="28" xfId="2" applyNumberFormat="1" applyBorder="1" applyAlignment="1">
      <alignment horizontal="center"/>
    </xf>
    <xf numFmtId="164" fontId="13" fillId="0" borderId="28" xfId="3" applyNumberFormat="1" applyBorder="1" applyAlignment="1">
      <alignment horizontal="center"/>
    </xf>
    <xf numFmtId="164" fontId="13" fillId="0" borderId="30" xfId="3" applyNumberFormat="1" applyBorder="1" applyAlignment="1">
      <alignment horizontal="center"/>
    </xf>
    <xf numFmtId="2" fontId="11" fillId="0" borderId="43" xfId="2" applyNumberFormat="1" applyBorder="1" applyAlignment="1">
      <alignment horizontal="center"/>
    </xf>
    <xf numFmtId="0" fontId="15" fillId="0" borderId="43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1" fillId="0" borderId="0" xfId="2"/>
    <xf numFmtId="0" fontId="13" fillId="0" borderId="0" xfId="3"/>
    <xf numFmtId="0" fontId="7" fillId="0" borderId="0" xfId="2" applyFont="1"/>
    <xf numFmtId="0" fontId="11" fillId="0" borderId="0" xfId="2" applyFont="1"/>
    <xf numFmtId="0" fontId="0" fillId="9" borderId="4" xfId="0" applyFill="1" applyBorder="1"/>
    <xf numFmtId="0" fontId="0" fillId="9" borderId="4" xfId="0" applyFill="1" applyBorder="1" applyAlignment="1">
      <alignment wrapText="1"/>
    </xf>
    <xf numFmtId="0" fontId="9" fillId="11" borderId="1" xfId="0" applyFont="1" applyFill="1" applyBorder="1"/>
    <xf numFmtId="43" fontId="55" fillId="6" borderId="0" xfId="4" applyFont="1" applyFill="1" applyAlignment="1">
      <alignment horizontal="center" vertical="center" wrapText="1"/>
    </xf>
    <xf numFmtId="0" fontId="55" fillId="66" borderId="0" xfId="0" applyFont="1" applyFill="1" applyAlignment="1">
      <alignment horizontal="center" vertical="center"/>
    </xf>
    <xf numFmtId="0" fontId="55" fillId="0" borderId="0" xfId="0" applyFont="1" applyAlignment="1">
      <alignment horizontal="center" vertical="center" textRotation="45"/>
    </xf>
    <xf numFmtId="0" fontId="56" fillId="43" borderId="0" xfId="0" applyFont="1" applyFill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2" fontId="58" fillId="0" borderId="0" xfId="0" applyNumberFormat="1" applyFont="1" applyAlignment="1">
      <alignment horizontal="center" vertical="center"/>
    </xf>
    <xf numFmtId="0" fontId="55" fillId="68" borderId="0" xfId="0" applyFont="1" applyFill="1" applyAlignment="1">
      <alignment horizontal="center" vertical="center"/>
    </xf>
    <xf numFmtId="0" fontId="59" fillId="0" borderId="0" xfId="0" applyFont="1"/>
    <xf numFmtId="0" fontId="55" fillId="67" borderId="4" xfId="0" applyFont="1" applyFill="1" applyBorder="1" applyAlignment="1">
      <alignment horizontal="center" vertical="center" wrapText="1"/>
    </xf>
    <xf numFmtId="0" fontId="55" fillId="69" borderId="4" xfId="0" applyFont="1" applyFill="1" applyBorder="1" applyAlignment="1">
      <alignment horizontal="center" vertical="center" wrapText="1"/>
    </xf>
    <xf numFmtId="0" fontId="55" fillId="70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0" fillId="11" borderId="1" xfId="158" applyFill="1" applyBorder="1" applyAlignment="1" applyProtection="1"/>
    <xf numFmtId="49" fontId="0" fillId="0" borderId="0" xfId="0" applyNumberFormat="1"/>
    <xf numFmtId="0" fontId="0" fillId="0" borderId="4" xfId="0" applyBorder="1" applyAlignment="1">
      <alignment horizontal="center"/>
    </xf>
    <xf numFmtId="0" fontId="15" fillId="0" borderId="29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center" vertical="center" wrapText="1"/>
    </xf>
    <xf numFmtId="0" fontId="0" fillId="2" borderId="0" xfId="0" applyFill="1"/>
    <xf numFmtId="14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1" fillId="0" borderId="74" xfId="112" applyFont="1" applyBorder="1" applyAlignment="1">
      <alignment horizontal="center" vertical="center"/>
    </xf>
    <xf numFmtId="0" fontId="61" fillId="0" borderId="75" xfId="112" applyFont="1" applyBorder="1" applyAlignment="1">
      <alignment horizontal="center" vertical="center"/>
    </xf>
    <xf numFmtId="0" fontId="61" fillId="0" borderId="77" xfId="112" applyFont="1" applyBorder="1" applyAlignment="1">
      <alignment horizontal="center" vertical="center"/>
    </xf>
    <xf numFmtId="0" fontId="61" fillId="0" borderId="78" xfId="112" applyFont="1" applyBorder="1" applyAlignment="1">
      <alignment horizontal="center" vertical="center"/>
    </xf>
    <xf numFmtId="0" fontId="61" fillId="0" borderId="79" xfId="112" applyFont="1" applyBorder="1" applyAlignment="1">
      <alignment horizontal="center" vertical="center"/>
    </xf>
    <xf numFmtId="0" fontId="61" fillId="0" borderId="80" xfId="112" applyFont="1" applyBorder="1" applyAlignment="1">
      <alignment horizontal="center" vertical="center"/>
    </xf>
    <xf numFmtId="0" fontId="61" fillId="0" borderId="81" xfId="112" applyFont="1" applyBorder="1" applyAlignment="1">
      <alignment horizontal="center" vertical="center"/>
    </xf>
    <xf numFmtId="0" fontId="61" fillId="0" borderId="82" xfId="112" applyFont="1" applyBorder="1" applyAlignment="1">
      <alignment horizontal="center" vertical="center"/>
    </xf>
    <xf numFmtId="14" fontId="0" fillId="9" borderId="4" xfId="0" applyNumberFormat="1" applyFill="1" applyBorder="1" applyAlignment="1">
      <alignment wrapText="1"/>
    </xf>
    <xf numFmtId="0" fontId="0" fillId="9" borderId="4" xfId="0" applyFill="1" applyBorder="1" applyAlignment="1">
      <alignment horizontal="right" wrapText="1"/>
    </xf>
    <xf numFmtId="0" fontId="0" fillId="9" borderId="4" xfId="0" applyFill="1" applyBorder="1" applyAlignment="1">
      <alignment horizontal="right"/>
    </xf>
    <xf numFmtId="0" fontId="62" fillId="0" borderId="0" xfId="0" applyFont="1"/>
    <xf numFmtId="0" fontId="0" fillId="0" borderId="83" xfId="0" applyBorder="1"/>
    <xf numFmtId="0" fontId="0" fillId="0" borderId="84" xfId="0" applyBorder="1"/>
    <xf numFmtId="0" fontId="0" fillId="0" borderId="85" xfId="0" applyBorder="1"/>
    <xf numFmtId="0" fontId="0" fillId="0" borderId="5" xfId="0" applyBorder="1" applyAlignment="1">
      <alignment horizontal="centerContinuous"/>
    </xf>
    <xf numFmtId="0" fontId="63" fillId="0" borderId="86" xfId="0" applyFont="1" applyBorder="1" applyAlignment="1">
      <alignment horizontal="centerContinuous"/>
    </xf>
    <xf numFmtId="0" fontId="0" fillId="0" borderId="87" xfId="0" applyBorder="1" applyAlignment="1">
      <alignment horizontal="centerContinuous"/>
    </xf>
    <xf numFmtId="0" fontId="63" fillId="71" borderId="88" xfId="0" applyFont="1" applyFill="1" applyBorder="1" applyAlignment="1">
      <alignment horizontal="center" textRotation="90"/>
    </xf>
    <xf numFmtId="0" fontId="63" fillId="72" borderId="88" xfId="0" applyFont="1" applyFill="1" applyBorder="1" applyAlignment="1">
      <alignment horizontal="center" textRotation="90"/>
    </xf>
    <xf numFmtId="0" fontId="63" fillId="73" borderId="89" xfId="0" applyFont="1" applyFill="1" applyBorder="1" applyAlignment="1">
      <alignment horizontal="center" textRotation="90"/>
    </xf>
    <xf numFmtId="0" fontId="63" fillId="73" borderId="89" xfId="0" applyFont="1" applyFill="1" applyBorder="1" applyAlignment="1">
      <alignment horizontal="center" textRotation="90" wrapText="1"/>
    </xf>
    <xf numFmtId="0" fontId="63" fillId="9" borderId="89" xfId="0" applyFont="1" applyFill="1" applyBorder="1" applyAlignment="1">
      <alignment horizontal="center" textRotation="90"/>
    </xf>
    <xf numFmtId="0" fontId="63" fillId="9" borderId="88" xfId="0" applyFont="1" applyFill="1" applyBorder="1" applyAlignment="1">
      <alignment horizontal="center" textRotation="90"/>
    </xf>
    <xf numFmtId="0" fontId="63" fillId="9" borderId="88" xfId="0" applyFont="1" applyFill="1" applyBorder="1" applyAlignment="1">
      <alignment horizontal="center" textRotation="90" wrapText="1"/>
    </xf>
    <xf numFmtId="14" fontId="0" fillId="0" borderId="4" xfId="0" applyNumberFormat="1" applyBorder="1" applyAlignment="1">
      <alignment horizontal="center"/>
    </xf>
    <xf numFmtId="0" fontId="64" fillId="0" borderId="4" xfId="0" applyFont="1" applyBorder="1"/>
    <xf numFmtId="1" fontId="63" fillId="0" borderId="4" xfId="0" applyNumberFormat="1" applyFont="1" applyFill="1" applyBorder="1" applyAlignment="1">
      <alignment horizontal="center" wrapText="1"/>
    </xf>
    <xf numFmtId="1" fontId="63" fillId="0" borderId="4" xfId="2" applyNumberFormat="1" applyFont="1" applyFill="1" applyBorder="1" applyAlignment="1">
      <alignment horizontal="center"/>
    </xf>
    <xf numFmtId="166" fontId="63" fillId="0" borderId="4" xfId="0" applyNumberFormat="1" applyFont="1" applyFill="1" applyBorder="1" applyAlignment="1">
      <alignment horizontal="center" wrapText="1"/>
    </xf>
    <xf numFmtId="0" fontId="63" fillId="6" borderId="4" xfId="0" applyFont="1" applyFill="1" applyBorder="1" applyAlignment="1">
      <alignment horizontal="center" wrapText="1"/>
    </xf>
    <xf numFmtId="0" fontId="63" fillId="0" borderId="4" xfId="0" applyFont="1" applyFill="1" applyBorder="1" applyAlignment="1">
      <alignment horizontal="center" wrapText="1"/>
    </xf>
    <xf numFmtId="2" fontId="63" fillId="0" borderId="4" xfId="0" applyNumberFormat="1" applyFont="1" applyFill="1" applyBorder="1" applyAlignment="1">
      <alignment horizontal="center" wrapText="1"/>
    </xf>
    <xf numFmtId="167" fontId="63" fillId="0" borderId="4" xfId="0" applyNumberFormat="1" applyFont="1" applyFill="1" applyBorder="1" applyAlignment="1">
      <alignment vertical="top" wrapText="1"/>
    </xf>
    <xf numFmtId="167" fontId="63" fillId="0" borderId="4" xfId="0" applyNumberFormat="1" applyFont="1" applyFill="1" applyBorder="1" applyAlignment="1">
      <alignment horizontal="right" wrapText="1"/>
    </xf>
    <xf numFmtId="0" fontId="65" fillId="0" borderId="0" xfId="0" applyFont="1" applyAlignment="1">
      <alignment horizontal="left" indent="10"/>
    </xf>
    <xf numFmtId="0" fontId="66" fillId="0" borderId="0" xfId="0" applyFont="1" applyAlignment="1">
      <alignment horizontal="left" indent="15"/>
    </xf>
    <xf numFmtId="2" fontId="0" fillId="2" borderId="0" xfId="0" applyNumberFormat="1" applyFill="1"/>
    <xf numFmtId="14" fontId="0" fillId="11" borderId="2" xfId="0" applyNumberFormat="1" applyFill="1" applyBorder="1"/>
    <xf numFmtId="0" fontId="2" fillId="10" borderId="4" xfId="0" applyFont="1" applyFill="1" applyBorder="1" applyAlignment="1">
      <alignment horizontal="center"/>
    </xf>
    <xf numFmtId="0" fontId="61" fillId="2" borderId="73" xfId="112" applyFont="1" applyFill="1" applyBorder="1" applyAlignment="1">
      <alignment horizontal="center" vertical="center" wrapText="1"/>
    </xf>
    <xf numFmtId="0" fontId="61" fillId="2" borderId="76" xfId="112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0" fontId="6" fillId="3" borderId="4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15" fillId="0" borderId="54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49" fontId="12" fillId="5" borderId="9" xfId="2" applyNumberFormat="1" applyFont="1" applyFill="1" applyBorder="1" applyAlignment="1">
      <alignment horizontal="center"/>
    </xf>
    <xf numFmtId="49" fontId="12" fillId="5" borderId="10" xfId="2" applyNumberFormat="1" applyFont="1" applyFill="1" applyBorder="1" applyAlignment="1">
      <alignment horizontal="center"/>
    </xf>
    <xf numFmtId="0" fontId="14" fillId="5" borderId="11" xfId="3" applyFont="1" applyFill="1" applyBorder="1" applyAlignment="1">
      <alignment horizontal="center"/>
    </xf>
    <xf numFmtId="0" fontId="14" fillId="5" borderId="12" xfId="3" applyFont="1" applyFill="1" applyBorder="1" applyAlignment="1">
      <alignment horizontal="center"/>
    </xf>
    <xf numFmtId="0" fontId="2" fillId="5" borderId="13" xfId="3" applyFont="1" applyFill="1" applyBorder="1" applyAlignment="1">
      <alignment horizontal="center"/>
    </xf>
    <xf numFmtId="0" fontId="2" fillId="5" borderId="14" xfId="3" applyFont="1" applyFill="1" applyBorder="1" applyAlignment="1">
      <alignment horizontal="center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</cellXfs>
  <cellStyles count="159">
    <cellStyle name="20 % - Accent1 2" xfId="5"/>
    <cellStyle name="20 % - Accent2 2" xfId="6"/>
    <cellStyle name="20 % - Accent3 2" xfId="7"/>
    <cellStyle name="20 % - Accent4 2" xfId="8"/>
    <cellStyle name="20 % - Accent5 2" xfId="9"/>
    <cellStyle name="20 % - Accent6 2" xfId="10"/>
    <cellStyle name="20% — akcent 1" xfId="11"/>
    <cellStyle name="20% — akcent 2" xfId="12"/>
    <cellStyle name="20% — akcent 3" xfId="13"/>
    <cellStyle name="20% — akcent 4" xfId="14"/>
    <cellStyle name="20% — akcent 5" xfId="15"/>
    <cellStyle name="20% — akcent 6" xfId="16"/>
    <cellStyle name="20% - Akzent1" xfId="17"/>
    <cellStyle name="20% - Akzent2" xfId="18"/>
    <cellStyle name="20% - Akzent3" xfId="19"/>
    <cellStyle name="20% - Akzent4" xfId="20"/>
    <cellStyle name="20% - Akzent5" xfId="21"/>
    <cellStyle name="20% - Akzent6" xfId="22"/>
    <cellStyle name="40 % - Accent1 2" xfId="23"/>
    <cellStyle name="40 % - Accent2 2" xfId="24"/>
    <cellStyle name="40 % - Accent3 2" xfId="25"/>
    <cellStyle name="40 % - Accent4 2" xfId="26"/>
    <cellStyle name="40 % - Accent5 2" xfId="27"/>
    <cellStyle name="40 % - Accent6 2" xfId="28"/>
    <cellStyle name="40% — akcent 1" xfId="29"/>
    <cellStyle name="40% — akcent 2" xfId="30"/>
    <cellStyle name="40% — akcent 3" xfId="31"/>
    <cellStyle name="40% — akcent 4" xfId="32"/>
    <cellStyle name="40% — akcent 5" xfId="33"/>
    <cellStyle name="40% — akcent 6" xfId="34"/>
    <cellStyle name="40% - Akzent1" xfId="35"/>
    <cellStyle name="40% - Akzent2" xfId="36"/>
    <cellStyle name="40% - Akzent3" xfId="37"/>
    <cellStyle name="40% - Akzent4" xfId="38"/>
    <cellStyle name="40% - Akzent5" xfId="39"/>
    <cellStyle name="40% - Akzent6" xfId="40"/>
    <cellStyle name="60 % - Accent1 2" xfId="41"/>
    <cellStyle name="60 % - Accent2 2" xfId="42"/>
    <cellStyle name="60 % - Accent3 2" xfId="43"/>
    <cellStyle name="60 % - Accent4 2" xfId="44"/>
    <cellStyle name="60 % - Accent5 2" xfId="45"/>
    <cellStyle name="60 % - Accent6 2" xfId="46"/>
    <cellStyle name="60% — akcent 1" xfId="47"/>
    <cellStyle name="60% — akcent 2" xfId="48"/>
    <cellStyle name="60% — akcent 3" xfId="49"/>
    <cellStyle name="60% — akcent 4" xfId="50"/>
    <cellStyle name="60% — akcent 5" xfId="51"/>
    <cellStyle name="60% — akcent 6" xfId="52"/>
    <cellStyle name="60% - Akzent1" xfId="53"/>
    <cellStyle name="60% - Akzent2" xfId="54"/>
    <cellStyle name="60% - Akzent3" xfId="55"/>
    <cellStyle name="60% - Akzent4" xfId="56"/>
    <cellStyle name="60% - Akzent5" xfId="57"/>
    <cellStyle name="60% - Akzent6" xfId="58"/>
    <cellStyle name="Accent1 2" xfId="59"/>
    <cellStyle name="Accent2 2" xfId="60"/>
    <cellStyle name="Accent3 2" xfId="61"/>
    <cellStyle name="Accent4 2" xfId="62"/>
    <cellStyle name="Accent5 2" xfId="63"/>
    <cellStyle name="Accent6 2" xfId="64"/>
    <cellStyle name="Akcent 1" xfId="65"/>
    <cellStyle name="Akcent 2" xfId="66"/>
    <cellStyle name="Akcent 3" xfId="67"/>
    <cellStyle name="Akcent 4" xfId="68"/>
    <cellStyle name="Akcent 5" xfId="69"/>
    <cellStyle name="Akcent 6" xfId="70"/>
    <cellStyle name="Akzent1" xfId="71"/>
    <cellStyle name="Akzent2" xfId="72"/>
    <cellStyle name="Akzent3" xfId="73"/>
    <cellStyle name="Akzent4" xfId="74"/>
    <cellStyle name="Akzent5" xfId="75"/>
    <cellStyle name="Akzent6" xfId="76"/>
    <cellStyle name="Ausgabe" xfId="77"/>
    <cellStyle name="Ausgabe 2" xfId="78"/>
    <cellStyle name="Avertissement 2" xfId="79"/>
    <cellStyle name="Berechnung" xfId="80"/>
    <cellStyle name="Berechnung 2" xfId="81"/>
    <cellStyle name="Calcul 2" xfId="82"/>
    <cellStyle name="Cellule liée 2" xfId="83"/>
    <cellStyle name="Commentaire 2" xfId="84"/>
    <cellStyle name="Currency 2" xfId="85"/>
    <cellStyle name="Dane wejściowe" xfId="86"/>
    <cellStyle name="Dane wejściowe 2" xfId="87"/>
    <cellStyle name="Dane wyjściowe" xfId="88"/>
    <cellStyle name="Dane wyjściowe 2" xfId="89"/>
    <cellStyle name="Dobry" xfId="90"/>
    <cellStyle name="Eingabe" xfId="91"/>
    <cellStyle name="Eingabe 2" xfId="92"/>
    <cellStyle name="Entrée 2" xfId="93"/>
    <cellStyle name="Ergebnis" xfId="94"/>
    <cellStyle name="Ergebnis 2" xfId="95"/>
    <cellStyle name="Erklärender Text" xfId="96"/>
    <cellStyle name="Gut" xfId="97"/>
    <cellStyle name="Insatisfaisant 2" xfId="98"/>
    <cellStyle name="Komórka połączona" xfId="99"/>
    <cellStyle name="Komórka zaznaczona" xfId="100"/>
    <cellStyle name="Lien hypertexte" xfId="158" builtinId="8"/>
    <cellStyle name="Milliers" xfId="4" builtinId="3"/>
    <cellStyle name="N1" xfId="101"/>
    <cellStyle name="N1 2" xfId="102"/>
    <cellStyle name="N1_TRIAL" xfId="156"/>
    <cellStyle name="Nagłówek 1" xfId="103"/>
    <cellStyle name="Nagłówek 2" xfId="104"/>
    <cellStyle name="Nagłówek 3" xfId="105"/>
    <cellStyle name="Nagłówek 4" xfId="106"/>
    <cellStyle name="Neutral" xfId="107"/>
    <cellStyle name="Neutralny" xfId="108"/>
    <cellStyle name="Neutre 2" xfId="109"/>
    <cellStyle name="Normal" xfId="0" builtinId="0"/>
    <cellStyle name="Normal 2" xfId="110"/>
    <cellStyle name="Normal 2 2" xfId="2"/>
    <cellStyle name="Normal 2 3" xfId="111"/>
    <cellStyle name="Normal 2 4" xfId="112"/>
    <cellStyle name="Normal 2 4 2" xfId="113"/>
    <cellStyle name="Normal 2 4 3" xfId="114"/>
    <cellStyle name="Normal 2 4_TRIAL" xfId="157"/>
    <cellStyle name="Normal 2_Bilan N" xfId="115"/>
    <cellStyle name="Normal 3" xfId="116"/>
    <cellStyle name="Normal 3 2" xfId="117"/>
    <cellStyle name="Normal 3 3" xfId="118"/>
    <cellStyle name="Normal 3_Bilan N" xfId="119"/>
    <cellStyle name="Normal 4" xfId="120"/>
    <cellStyle name="Normal 4 2" xfId="121"/>
    <cellStyle name="Normal 5" xfId="122"/>
    <cellStyle name="Normal 5 2" xfId="123"/>
    <cellStyle name="Normal 5_Feuil3" xfId="124"/>
    <cellStyle name="Normal 6" xfId="3"/>
    <cellStyle name="Normal 8 2 3" xfId="1"/>
    <cellStyle name="Notiz" xfId="125"/>
    <cellStyle name="Notiz 2" xfId="126"/>
    <cellStyle name="Obliczenia" xfId="127"/>
    <cellStyle name="Obliczenia 2" xfId="128"/>
    <cellStyle name="Satisfaisant 2" xfId="129"/>
    <cellStyle name="Schlecht" xfId="130"/>
    <cellStyle name="Sortie 2" xfId="131"/>
    <cellStyle name="Suma" xfId="132"/>
    <cellStyle name="Suma 2" xfId="133"/>
    <cellStyle name="Tekst objaśnienia" xfId="134"/>
    <cellStyle name="Tekst ostrzeżenia" xfId="135"/>
    <cellStyle name="Texte explicatif 2" xfId="136"/>
    <cellStyle name="Titre 2" xfId="137"/>
    <cellStyle name="Titre 1 2" xfId="138"/>
    <cellStyle name="Titre 2 2" xfId="139"/>
    <cellStyle name="Titre 3 2" xfId="140"/>
    <cellStyle name="Titre 4 2" xfId="141"/>
    <cellStyle name="Total 2" xfId="142"/>
    <cellStyle name="Tytuł" xfId="143"/>
    <cellStyle name="Überschrift" xfId="144"/>
    <cellStyle name="Überschrift 1" xfId="145"/>
    <cellStyle name="Überschrift 2" xfId="146"/>
    <cellStyle name="Überschrift 3" xfId="147"/>
    <cellStyle name="Überschrift 4" xfId="148"/>
    <cellStyle name="Uwaga" xfId="149"/>
    <cellStyle name="Uwaga 2" xfId="150"/>
    <cellStyle name="Vérification 2" xfId="151"/>
    <cellStyle name="Verknüpfte Zelle" xfId="152"/>
    <cellStyle name="Warnender Text" xfId="153"/>
    <cellStyle name="Zelle überprüfen" xfId="154"/>
    <cellStyle name="Zły" xfId="15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5209</xdr:colOff>
      <xdr:row>32</xdr:row>
      <xdr:rowOff>95250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0500"/>
          <a:ext cx="10673209" cy="6000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dugue@ragt.f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>
      <selection activeCell="B22" sqref="B22"/>
    </sheetView>
  </sheetViews>
  <sheetFormatPr baseColWidth="10" defaultRowHeight="15"/>
  <cols>
    <col min="1" max="1" width="17.85546875" bestFit="1" customWidth="1"/>
    <col min="2" max="2" width="91.5703125" customWidth="1"/>
  </cols>
  <sheetData>
    <row r="1" spans="1:2" ht="21">
      <c r="A1" s="1" t="s">
        <v>0</v>
      </c>
    </row>
    <row r="2" spans="1:2" ht="15.75" thickBot="1"/>
    <row r="3" spans="1:2" ht="15.75" thickBot="1">
      <c r="A3" s="9" t="s">
        <v>1</v>
      </c>
      <c r="B3" s="86" t="s">
        <v>137</v>
      </c>
    </row>
    <row r="4" spans="1:2" ht="15.75" thickBot="1">
      <c r="A4" s="9" t="s">
        <v>10</v>
      </c>
      <c r="B4" s="100" t="s">
        <v>138</v>
      </c>
    </row>
    <row r="5" spans="1:2" ht="15.75" thickBot="1">
      <c r="A5" s="9" t="s">
        <v>2</v>
      </c>
      <c r="B5" s="10"/>
    </row>
    <row r="6" spans="1:2" ht="15.75" thickBot="1">
      <c r="A6" s="9" t="s">
        <v>3</v>
      </c>
      <c r="B6" s="11">
        <v>43390</v>
      </c>
    </row>
    <row r="7" spans="1:2" ht="15.75" thickBot="1">
      <c r="A7" s="9" t="s">
        <v>4</v>
      </c>
      <c r="B7" s="10" t="s">
        <v>5</v>
      </c>
    </row>
    <row r="8" spans="1:2" ht="15.75" thickBot="1">
      <c r="A8" s="9" t="s">
        <v>11</v>
      </c>
      <c r="B8" s="10" t="s">
        <v>12</v>
      </c>
    </row>
    <row r="9" spans="1:2" ht="15.75" thickBot="1">
      <c r="A9" s="4" t="s">
        <v>6</v>
      </c>
      <c r="B9" s="149">
        <v>43397</v>
      </c>
    </row>
    <row r="10" spans="1:2" ht="15.75" thickBot="1">
      <c r="A10" s="2"/>
    </row>
    <row r="11" spans="1:2" ht="15.75" thickBot="1">
      <c r="A11" s="6" t="s">
        <v>7</v>
      </c>
      <c r="B11" s="5"/>
    </row>
    <row r="12" spans="1:2" ht="15.75" thickBot="1">
      <c r="A12" s="6" t="s">
        <v>8</v>
      </c>
      <c r="B12" s="7"/>
    </row>
    <row r="14" spans="1:2" ht="15.75" thickBot="1"/>
    <row r="15" spans="1:2" ht="15.75" thickBot="1">
      <c r="A15" s="8" t="s">
        <v>9</v>
      </c>
      <c r="B15" s="7"/>
    </row>
    <row r="17" spans="2:2">
      <c r="B17" s="3"/>
    </row>
  </sheetData>
  <hyperlinks>
    <hyperlink ref="B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P23"/>
  <sheetViews>
    <sheetView zoomScale="85" zoomScaleNormal="85" workbookViewId="0">
      <selection activeCell="E21" sqref="E21"/>
    </sheetView>
  </sheetViews>
  <sheetFormatPr baseColWidth="10" defaultRowHeight="15"/>
  <cols>
    <col min="1" max="1" width="20.85546875" customWidth="1"/>
    <col min="2" max="2" width="33.5703125" customWidth="1"/>
    <col min="3" max="3" width="13.7109375" customWidth="1"/>
    <col min="4" max="4" width="16.7109375" customWidth="1"/>
    <col min="5" max="5" width="16.7109375" bestFit="1" customWidth="1"/>
    <col min="6" max="6" width="16.42578125" bestFit="1" customWidth="1"/>
    <col min="7" max="7" width="13.140625" bestFit="1" customWidth="1"/>
    <col min="9" max="9" width="9.42578125" bestFit="1" customWidth="1"/>
    <col min="10" max="10" width="12.28515625" bestFit="1" customWidth="1"/>
    <col min="11" max="11" width="12.5703125" bestFit="1" customWidth="1"/>
    <col min="12" max="12" width="9.7109375" bestFit="1" customWidth="1"/>
    <col min="13" max="13" width="10.28515625" bestFit="1" customWidth="1"/>
    <col min="14" max="14" width="11.85546875" bestFit="1" customWidth="1"/>
    <col min="15" max="16" width="9.42578125" bestFit="1" customWidth="1"/>
  </cols>
  <sheetData>
    <row r="1" spans="1:16" ht="38.25">
      <c r="A1" s="150" t="s">
        <v>17</v>
      </c>
      <c r="B1" s="150"/>
      <c r="D1" s="99" t="s">
        <v>134</v>
      </c>
      <c r="E1" s="97" t="s">
        <v>105</v>
      </c>
      <c r="F1" s="97" t="s">
        <v>106</v>
      </c>
      <c r="G1" s="97" t="s">
        <v>107</v>
      </c>
      <c r="H1" s="98" t="s">
        <v>108</v>
      </c>
      <c r="I1" s="98" t="s">
        <v>109</v>
      </c>
      <c r="J1" s="98" t="s">
        <v>110</v>
      </c>
      <c r="K1" s="98" t="s">
        <v>111</v>
      </c>
      <c r="L1" s="98" t="s">
        <v>112</v>
      </c>
      <c r="M1" s="98" t="s">
        <v>113</v>
      </c>
      <c r="N1" s="98" t="s">
        <v>114</v>
      </c>
      <c r="O1" s="98" t="s">
        <v>115</v>
      </c>
      <c r="P1" s="96" t="s">
        <v>116</v>
      </c>
    </row>
    <row r="2" spans="1:16">
      <c r="A2" s="84" t="s">
        <v>13</v>
      </c>
      <c r="B2" s="120" t="s">
        <v>394</v>
      </c>
      <c r="D2" t="s">
        <v>135</v>
      </c>
      <c r="E2" s="13">
        <v>40</v>
      </c>
      <c r="F2" s="13">
        <v>24</v>
      </c>
      <c r="G2" s="13">
        <v>280</v>
      </c>
      <c r="H2" s="13">
        <v>33</v>
      </c>
      <c r="I2" s="13"/>
      <c r="J2" s="13">
        <v>70</v>
      </c>
      <c r="K2" s="13">
        <v>40</v>
      </c>
      <c r="L2" s="13">
        <v>16</v>
      </c>
      <c r="M2" s="13"/>
      <c r="N2" s="13">
        <f>SUM(H2:M2)</f>
        <v>159</v>
      </c>
      <c r="O2" s="13">
        <f>F2+G2-N2</f>
        <v>145</v>
      </c>
      <c r="P2" s="13" t="s">
        <v>587</v>
      </c>
    </row>
    <row r="3" spans="1:16">
      <c r="A3" s="84" t="s">
        <v>14</v>
      </c>
      <c r="B3" s="119">
        <v>42982</v>
      </c>
      <c r="D3" t="s">
        <v>136</v>
      </c>
      <c r="E3" s="13"/>
      <c r="F3" s="13"/>
      <c r="G3" s="13"/>
      <c r="H3" s="13">
        <v>33</v>
      </c>
      <c r="I3" s="13"/>
      <c r="J3" s="13">
        <v>70</v>
      </c>
      <c r="K3" s="13">
        <v>40</v>
      </c>
      <c r="L3" s="13">
        <v>16</v>
      </c>
      <c r="M3" s="13"/>
      <c r="N3" s="13">
        <f>SUM(H3:M3)</f>
        <v>159</v>
      </c>
      <c r="O3" s="13"/>
      <c r="P3" s="13" t="s">
        <v>588</v>
      </c>
    </row>
    <row r="4" spans="1:16">
      <c r="A4" s="84" t="s">
        <v>15</v>
      </c>
      <c r="B4" s="119">
        <v>43297</v>
      </c>
    </row>
    <row r="5" spans="1:16">
      <c r="A5" s="84" t="s">
        <v>16</v>
      </c>
      <c r="B5" s="85"/>
    </row>
    <row r="6" spans="1:16">
      <c r="A6" s="84" t="s">
        <v>23</v>
      </c>
      <c r="B6" s="84"/>
    </row>
    <row r="7" spans="1:16">
      <c r="A7" s="84" t="s">
        <v>24</v>
      </c>
      <c r="B7" s="84"/>
    </row>
    <row r="8" spans="1:16">
      <c r="A8" s="84" t="s">
        <v>25</v>
      </c>
      <c r="B8" s="84"/>
    </row>
    <row r="10" spans="1:16">
      <c r="A10" s="150" t="s">
        <v>18</v>
      </c>
      <c r="B10" s="150"/>
    </row>
    <row r="11" spans="1:16">
      <c r="A11" s="84" t="s">
        <v>19</v>
      </c>
      <c r="B11" s="121" t="s">
        <v>151</v>
      </c>
    </row>
    <row r="12" spans="1:16">
      <c r="A12" s="84" t="s">
        <v>20</v>
      </c>
      <c r="B12" s="84" t="s">
        <v>540</v>
      </c>
    </row>
    <row r="13" spans="1:16">
      <c r="A13" s="84" t="s">
        <v>21</v>
      </c>
      <c r="B13" s="84" t="s">
        <v>541</v>
      </c>
    </row>
    <row r="15" spans="1:16">
      <c r="A15" s="150" t="s">
        <v>22</v>
      </c>
      <c r="B15" s="150"/>
    </row>
    <row r="16" spans="1:16">
      <c r="A16" s="84" t="s">
        <v>26</v>
      </c>
      <c r="B16" s="84"/>
    </row>
    <row r="17" spans="1:2">
      <c r="A17" s="84" t="s">
        <v>27</v>
      </c>
      <c r="B17" s="84"/>
    </row>
    <row r="18" spans="1:2">
      <c r="A18" s="84" t="s">
        <v>28</v>
      </c>
      <c r="B18" s="84"/>
    </row>
    <row r="19" spans="1:2">
      <c r="A19" s="84" t="s">
        <v>29</v>
      </c>
      <c r="B19" s="119">
        <v>42982</v>
      </c>
    </row>
    <row r="20" spans="1:2">
      <c r="A20" s="84" t="s">
        <v>30</v>
      </c>
      <c r="B20" s="119" t="s">
        <v>589</v>
      </c>
    </row>
    <row r="21" spans="1:2">
      <c r="A21" s="84" t="s">
        <v>31</v>
      </c>
      <c r="B21" s="84"/>
    </row>
    <row r="22" spans="1:2">
      <c r="A22" s="84" t="s">
        <v>32</v>
      </c>
      <c r="B22" s="84"/>
    </row>
    <row r="23" spans="1:2">
      <c r="A23" s="84" t="s">
        <v>33</v>
      </c>
      <c r="B23" s="119">
        <v>43297</v>
      </c>
    </row>
  </sheetData>
  <mergeCells count="3">
    <mergeCell ref="A1:B1"/>
    <mergeCell ref="A10:B10"/>
    <mergeCell ref="A15:B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</sheetPr>
  <dimension ref="A34:AA48"/>
  <sheetViews>
    <sheetView zoomScale="85" zoomScaleNormal="85" workbookViewId="0">
      <selection activeCell="C51" sqref="C51"/>
    </sheetView>
  </sheetViews>
  <sheetFormatPr baseColWidth="10" defaultRowHeight="15"/>
  <sheetData>
    <row r="34" spans="1:27" ht="15.75" thickBot="1"/>
    <row r="35" spans="1:27">
      <c r="A35" s="151">
        <v>6</v>
      </c>
      <c r="B35" s="151" t="s">
        <v>539</v>
      </c>
      <c r="C35" s="111" t="s">
        <v>394</v>
      </c>
      <c r="D35" s="111" t="s">
        <v>394</v>
      </c>
      <c r="E35" s="111" t="s">
        <v>394</v>
      </c>
      <c r="F35" s="111" t="s">
        <v>394</v>
      </c>
      <c r="G35" s="111" t="s">
        <v>394</v>
      </c>
      <c r="H35" s="111" t="s">
        <v>394</v>
      </c>
      <c r="I35" s="111" t="s">
        <v>394</v>
      </c>
      <c r="J35" s="111" t="s">
        <v>394</v>
      </c>
      <c r="K35" s="111" t="s">
        <v>394</v>
      </c>
      <c r="L35" s="111" t="s">
        <v>394</v>
      </c>
      <c r="M35" s="111" t="s">
        <v>394</v>
      </c>
      <c r="N35" s="111" t="s">
        <v>394</v>
      </c>
      <c r="O35" s="111" t="s">
        <v>394</v>
      </c>
      <c r="P35" s="111" t="s">
        <v>394</v>
      </c>
      <c r="Q35" s="111" t="s">
        <v>394</v>
      </c>
      <c r="R35" s="111" t="s">
        <v>394</v>
      </c>
      <c r="S35" s="111" t="s">
        <v>394</v>
      </c>
      <c r="T35" s="111" t="s">
        <v>394</v>
      </c>
      <c r="U35" s="111" t="s">
        <v>394</v>
      </c>
      <c r="V35" s="111" t="s">
        <v>394</v>
      </c>
      <c r="W35" s="111" t="s">
        <v>394</v>
      </c>
      <c r="X35" s="111" t="s">
        <v>394</v>
      </c>
      <c r="Y35" s="111" t="s">
        <v>394</v>
      </c>
      <c r="Z35" s="112" t="s">
        <v>394</v>
      </c>
      <c r="AA35" s="151" t="s">
        <v>539</v>
      </c>
    </row>
    <row r="36" spans="1:27">
      <c r="A36" s="152"/>
      <c r="B36" s="152"/>
      <c r="C36" s="113" t="s">
        <v>395</v>
      </c>
      <c r="D36" s="113" t="s">
        <v>396</v>
      </c>
      <c r="E36" s="113" t="s">
        <v>397</v>
      </c>
      <c r="F36" s="113" t="s">
        <v>398</v>
      </c>
      <c r="G36" s="113" t="s">
        <v>399</v>
      </c>
      <c r="H36" s="113" t="s">
        <v>400</v>
      </c>
      <c r="I36" s="113" t="s">
        <v>401</v>
      </c>
      <c r="J36" s="113" t="s">
        <v>402</v>
      </c>
      <c r="K36" s="113" t="s">
        <v>403</v>
      </c>
      <c r="L36" s="113" t="s">
        <v>404</v>
      </c>
      <c r="M36" s="113" t="s">
        <v>405</v>
      </c>
      <c r="N36" s="113" t="s">
        <v>406</v>
      </c>
      <c r="O36" s="113" t="s">
        <v>407</v>
      </c>
      <c r="P36" s="113" t="s">
        <v>408</v>
      </c>
      <c r="Q36" s="113" t="s">
        <v>409</v>
      </c>
      <c r="R36" s="113" t="s">
        <v>410</v>
      </c>
      <c r="S36" s="113" t="s">
        <v>411</v>
      </c>
      <c r="T36" s="113" t="s">
        <v>412</v>
      </c>
      <c r="U36" s="113" t="s">
        <v>413</v>
      </c>
      <c r="V36" s="113" t="s">
        <v>414</v>
      </c>
      <c r="W36" s="113" t="s">
        <v>415</v>
      </c>
      <c r="X36" s="113" t="s">
        <v>416</v>
      </c>
      <c r="Y36" s="113" t="s">
        <v>417</v>
      </c>
      <c r="Z36" s="114" t="s">
        <v>418</v>
      </c>
      <c r="AA36" s="152"/>
    </row>
    <row r="37" spans="1:27">
      <c r="A37" s="151">
        <v>5</v>
      </c>
      <c r="B37" s="151" t="s">
        <v>539</v>
      </c>
      <c r="C37" s="115" t="s">
        <v>394</v>
      </c>
      <c r="D37" s="115" t="s">
        <v>394</v>
      </c>
      <c r="E37" s="115" t="s">
        <v>394</v>
      </c>
      <c r="F37" s="115" t="s">
        <v>394</v>
      </c>
      <c r="G37" s="115" t="s">
        <v>394</v>
      </c>
      <c r="H37" s="115" t="s">
        <v>394</v>
      </c>
      <c r="I37" s="115" t="s">
        <v>394</v>
      </c>
      <c r="J37" s="115" t="s">
        <v>394</v>
      </c>
      <c r="K37" s="115" t="s">
        <v>394</v>
      </c>
      <c r="L37" s="115" t="s">
        <v>394</v>
      </c>
      <c r="M37" s="115" t="s">
        <v>394</v>
      </c>
      <c r="N37" s="115" t="s">
        <v>394</v>
      </c>
      <c r="O37" s="115" t="s">
        <v>394</v>
      </c>
      <c r="P37" s="115" t="s">
        <v>394</v>
      </c>
      <c r="Q37" s="115" t="s">
        <v>394</v>
      </c>
      <c r="R37" s="115" t="s">
        <v>394</v>
      </c>
      <c r="S37" s="115" t="s">
        <v>394</v>
      </c>
      <c r="T37" s="115" t="s">
        <v>394</v>
      </c>
      <c r="U37" s="115" t="s">
        <v>394</v>
      </c>
      <c r="V37" s="115" t="s">
        <v>394</v>
      </c>
      <c r="W37" s="115" t="s">
        <v>394</v>
      </c>
      <c r="X37" s="115" t="s">
        <v>394</v>
      </c>
      <c r="Y37" s="115" t="s">
        <v>394</v>
      </c>
      <c r="Z37" s="116" t="s">
        <v>394</v>
      </c>
      <c r="AA37" s="151" t="s">
        <v>539</v>
      </c>
    </row>
    <row r="38" spans="1:27">
      <c r="A38" s="152"/>
      <c r="B38" s="152"/>
      <c r="C38" s="113" t="s">
        <v>419</v>
      </c>
      <c r="D38" s="113" t="s">
        <v>420</v>
      </c>
      <c r="E38" s="113" t="s">
        <v>421</v>
      </c>
      <c r="F38" s="113" t="s">
        <v>422</v>
      </c>
      <c r="G38" s="113" t="s">
        <v>423</v>
      </c>
      <c r="H38" s="113" t="s">
        <v>424</v>
      </c>
      <c r="I38" s="113" t="s">
        <v>425</v>
      </c>
      <c r="J38" s="113" t="s">
        <v>426</v>
      </c>
      <c r="K38" s="113" t="s">
        <v>427</v>
      </c>
      <c r="L38" s="113" t="s">
        <v>428</v>
      </c>
      <c r="M38" s="113" t="s">
        <v>429</v>
      </c>
      <c r="N38" s="113" t="s">
        <v>430</v>
      </c>
      <c r="O38" s="113" t="s">
        <v>431</v>
      </c>
      <c r="P38" s="113" t="s">
        <v>432</v>
      </c>
      <c r="Q38" s="113" t="s">
        <v>433</v>
      </c>
      <c r="R38" s="113" t="s">
        <v>434</v>
      </c>
      <c r="S38" s="113" t="s">
        <v>435</v>
      </c>
      <c r="T38" s="113" t="s">
        <v>436</v>
      </c>
      <c r="U38" s="113" t="s">
        <v>437</v>
      </c>
      <c r="V38" s="113" t="s">
        <v>438</v>
      </c>
      <c r="W38" s="113" t="s">
        <v>439</v>
      </c>
      <c r="X38" s="113" t="s">
        <v>440</v>
      </c>
      <c r="Y38" s="113" t="s">
        <v>441</v>
      </c>
      <c r="Z38" s="114" t="s">
        <v>442</v>
      </c>
      <c r="AA38" s="152"/>
    </row>
    <row r="39" spans="1:27">
      <c r="A39" s="151">
        <v>4</v>
      </c>
      <c r="B39" s="151" t="s">
        <v>539</v>
      </c>
      <c r="C39" s="115" t="s">
        <v>394</v>
      </c>
      <c r="D39" s="115" t="s">
        <v>394</v>
      </c>
      <c r="E39" s="115" t="s">
        <v>394</v>
      </c>
      <c r="F39" s="115" t="s">
        <v>394</v>
      </c>
      <c r="G39" s="115" t="s">
        <v>394</v>
      </c>
      <c r="H39" s="115" t="s">
        <v>394</v>
      </c>
      <c r="I39" s="115" t="s">
        <v>394</v>
      </c>
      <c r="J39" s="115" t="s">
        <v>394</v>
      </c>
      <c r="K39" s="115" t="s">
        <v>394</v>
      </c>
      <c r="L39" s="115" t="s">
        <v>394</v>
      </c>
      <c r="M39" s="115" t="s">
        <v>394</v>
      </c>
      <c r="N39" s="115" t="s">
        <v>394</v>
      </c>
      <c r="O39" s="115" t="s">
        <v>394</v>
      </c>
      <c r="P39" s="115" t="s">
        <v>394</v>
      </c>
      <c r="Q39" s="115" t="s">
        <v>394</v>
      </c>
      <c r="R39" s="115" t="s">
        <v>394</v>
      </c>
      <c r="S39" s="115" t="s">
        <v>394</v>
      </c>
      <c r="T39" s="115" t="s">
        <v>394</v>
      </c>
      <c r="U39" s="115" t="s">
        <v>394</v>
      </c>
      <c r="V39" s="115" t="s">
        <v>394</v>
      </c>
      <c r="W39" s="115" t="s">
        <v>394</v>
      </c>
      <c r="X39" s="115" t="s">
        <v>394</v>
      </c>
      <c r="Y39" s="115" t="s">
        <v>394</v>
      </c>
      <c r="Z39" s="116" t="s">
        <v>394</v>
      </c>
      <c r="AA39" s="151" t="s">
        <v>539</v>
      </c>
    </row>
    <row r="40" spans="1:27" ht="15.75" thickBot="1">
      <c r="A40" s="152"/>
      <c r="B40" s="152"/>
      <c r="C40" s="117" t="s">
        <v>443</v>
      </c>
      <c r="D40" s="117" t="s">
        <v>444</v>
      </c>
      <c r="E40" s="117" t="s">
        <v>445</v>
      </c>
      <c r="F40" s="117" t="s">
        <v>446</v>
      </c>
      <c r="G40" s="117" t="s">
        <v>447</v>
      </c>
      <c r="H40" s="117" t="s">
        <v>448</v>
      </c>
      <c r="I40" s="117" t="s">
        <v>449</v>
      </c>
      <c r="J40" s="117" t="s">
        <v>450</v>
      </c>
      <c r="K40" s="117" t="s">
        <v>451</v>
      </c>
      <c r="L40" s="117" t="s">
        <v>452</v>
      </c>
      <c r="M40" s="117" t="s">
        <v>453</v>
      </c>
      <c r="N40" s="117" t="s">
        <v>454</v>
      </c>
      <c r="O40" s="117" t="s">
        <v>455</v>
      </c>
      <c r="P40" s="117" t="s">
        <v>456</v>
      </c>
      <c r="Q40" s="117" t="s">
        <v>457</v>
      </c>
      <c r="R40" s="117" t="s">
        <v>458</v>
      </c>
      <c r="S40" s="117" t="s">
        <v>459</v>
      </c>
      <c r="T40" s="117" t="s">
        <v>460</v>
      </c>
      <c r="U40" s="117" t="s">
        <v>461</v>
      </c>
      <c r="V40" s="117" t="s">
        <v>462</v>
      </c>
      <c r="W40" s="117" t="s">
        <v>463</v>
      </c>
      <c r="X40" s="117" t="s">
        <v>464</v>
      </c>
      <c r="Y40" s="117" t="s">
        <v>465</v>
      </c>
      <c r="Z40" s="118" t="s">
        <v>466</v>
      </c>
      <c r="AA40" s="152"/>
    </row>
    <row r="41" spans="1:27">
      <c r="A41" s="151">
        <v>3</v>
      </c>
      <c r="B41" s="151" t="s">
        <v>539</v>
      </c>
      <c r="C41" s="115" t="s">
        <v>394</v>
      </c>
      <c r="D41" s="115" t="s">
        <v>394</v>
      </c>
      <c r="E41" s="115" t="s">
        <v>394</v>
      </c>
      <c r="F41" s="115" t="s">
        <v>394</v>
      </c>
      <c r="G41" s="115" t="s">
        <v>394</v>
      </c>
      <c r="H41" s="115" t="s">
        <v>394</v>
      </c>
      <c r="I41" s="115" t="s">
        <v>394</v>
      </c>
      <c r="J41" s="115" t="s">
        <v>394</v>
      </c>
      <c r="K41" s="115" t="s">
        <v>394</v>
      </c>
      <c r="L41" s="115" t="s">
        <v>394</v>
      </c>
      <c r="M41" s="115" t="s">
        <v>394</v>
      </c>
      <c r="N41" s="115" t="s">
        <v>394</v>
      </c>
      <c r="O41" s="115" t="s">
        <v>394</v>
      </c>
      <c r="P41" s="115" t="s">
        <v>394</v>
      </c>
      <c r="Q41" s="115" t="s">
        <v>394</v>
      </c>
      <c r="R41" s="115" t="s">
        <v>394</v>
      </c>
      <c r="S41" s="115" t="s">
        <v>394</v>
      </c>
      <c r="T41" s="115" t="s">
        <v>394</v>
      </c>
      <c r="U41" s="115" t="s">
        <v>394</v>
      </c>
      <c r="V41" s="115" t="s">
        <v>394</v>
      </c>
      <c r="W41" s="115" t="s">
        <v>394</v>
      </c>
      <c r="X41" s="115" t="s">
        <v>394</v>
      </c>
      <c r="Y41" s="115" t="s">
        <v>394</v>
      </c>
      <c r="Z41" s="116" t="s">
        <v>394</v>
      </c>
      <c r="AA41" s="151" t="s">
        <v>539</v>
      </c>
    </row>
    <row r="42" spans="1:27">
      <c r="A42" s="152"/>
      <c r="B42" s="152"/>
      <c r="C42" s="113" t="s">
        <v>467</v>
      </c>
      <c r="D42" s="113" t="s">
        <v>468</v>
      </c>
      <c r="E42" s="113" t="s">
        <v>469</v>
      </c>
      <c r="F42" s="113" t="s">
        <v>470</v>
      </c>
      <c r="G42" s="113" t="s">
        <v>471</v>
      </c>
      <c r="H42" s="113" t="s">
        <v>472</v>
      </c>
      <c r="I42" s="113" t="s">
        <v>473</v>
      </c>
      <c r="J42" s="113" t="s">
        <v>474</v>
      </c>
      <c r="K42" s="113" t="s">
        <v>475</v>
      </c>
      <c r="L42" s="113" t="s">
        <v>476</v>
      </c>
      <c r="M42" s="113" t="s">
        <v>477</v>
      </c>
      <c r="N42" s="113" t="s">
        <v>478</v>
      </c>
      <c r="O42" s="113" t="s">
        <v>479</v>
      </c>
      <c r="P42" s="113" t="s">
        <v>480</v>
      </c>
      <c r="Q42" s="113" t="s">
        <v>481</v>
      </c>
      <c r="R42" s="113" t="s">
        <v>482</v>
      </c>
      <c r="S42" s="113" t="s">
        <v>483</v>
      </c>
      <c r="T42" s="113" t="s">
        <v>484</v>
      </c>
      <c r="U42" s="113" t="s">
        <v>485</v>
      </c>
      <c r="V42" s="113" t="s">
        <v>486</v>
      </c>
      <c r="W42" s="113" t="s">
        <v>487</v>
      </c>
      <c r="X42" s="113" t="s">
        <v>488</v>
      </c>
      <c r="Y42" s="113" t="s">
        <v>489</v>
      </c>
      <c r="Z42" s="114" t="s">
        <v>490</v>
      </c>
      <c r="AA42" s="152"/>
    </row>
    <row r="43" spans="1:27">
      <c r="A43" s="151">
        <v>2</v>
      </c>
      <c r="B43" s="151" t="s">
        <v>539</v>
      </c>
      <c r="C43" s="115" t="s">
        <v>394</v>
      </c>
      <c r="D43" s="115" t="s">
        <v>394</v>
      </c>
      <c r="E43" s="115" t="s">
        <v>394</v>
      </c>
      <c r="F43" s="115" t="s">
        <v>394</v>
      </c>
      <c r="G43" s="115" t="s">
        <v>394</v>
      </c>
      <c r="H43" s="115" t="s">
        <v>394</v>
      </c>
      <c r="I43" s="115" t="s">
        <v>394</v>
      </c>
      <c r="J43" s="115" t="s">
        <v>394</v>
      </c>
      <c r="K43" s="115" t="s">
        <v>394</v>
      </c>
      <c r="L43" s="115" t="s">
        <v>394</v>
      </c>
      <c r="M43" s="115" t="s">
        <v>394</v>
      </c>
      <c r="N43" s="115" t="s">
        <v>394</v>
      </c>
      <c r="O43" s="115" t="s">
        <v>394</v>
      </c>
      <c r="P43" s="115" t="s">
        <v>394</v>
      </c>
      <c r="Q43" s="115" t="s">
        <v>394</v>
      </c>
      <c r="R43" s="115" t="s">
        <v>394</v>
      </c>
      <c r="S43" s="115" t="s">
        <v>394</v>
      </c>
      <c r="T43" s="115" t="s">
        <v>394</v>
      </c>
      <c r="U43" s="115" t="s">
        <v>394</v>
      </c>
      <c r="V43" s="115" t="s">
        <v>394</v>
      </c>
      <c r="W43" s="115" t="s">
        <v>394</v>
      </c>
      <c r="X43" s="115" t="s">
        <v>394</v>
      </c>
      <c r="Y43" s="115" t="s">
        <v>394</v>
      </c>
      <c r="Z43" s="116" t="s">
        <v>394</v>
      </c>
      <c r="AA43" s="151" t="s">
        <v>539</v>
      </c>
    </row>
    <row r="44" spans="1:27">
      <c r="A44" s="152"/>
      <c r="B44" s="152"/>
      <c r="C44" s="113" t="s">
        <v>491</v>
      </c>
      <c r="D44" s="113" t="s">
        <v>492</v>
      </c>
      <c r="E44" s="113" t="s">
        <v>493</v>
      </c>
      <c r="F44" s="113" t="s">
        <v>494</v>
      </c>
      <c r="G44" s="113" t="s">
        <v>495</v>
      </c>
      <c r="H44" s="113" t="s">
        <v>496</v>
      </c>
      <c r="I44" s="113" t="s">
        <v>497</v>
      </c>
      <c r="J44" s="113" t="s">
        <v>498</v>
      </c>
      <c r="K44" s="113" t="s">
        <v>499</v>
      </c>
      <c r="L44" s="113" t="s">
        <v>500</v>
      </c>
      <c r="M44" s="113" t="s">
        <v>501</v>
      </c>
      <c r="N44" s="113" t="s">
        <v>502</v>
      </c>
      <c r="O44" s="113" t="s">
        <v>503</v>
      </c>
      <c r="P44" s="113" t="s">
        <v>504</v>
      </c>
      <c r="Q44" s="113" t="s">
        <v>505</v>
      </c>
      <c r="R44" s="113" t="s">
        <v>506</v>
      </c>
      <c r="S44" s="113" t="s">
        <v>507</v>
      </c>
      <c r="T44" s="113" t="s">
        <v>508</v>
      </c>
      <c r="U44" s="113" t="s">
        <v>509</v>
      </c>
      <c r="V44" s="113" t="s">
        <v>510</v>
      </c>
      <c r="W44" s="113" t="s">
        <v>511</v>
      </c>
      <c r="X44" s="113" t="s">
        <v>512</v>
      </c>
      <c r="Y44" s="113" t="s">
        <v>513</v>
      </c>
      <c r="Z44" s="114" t="s">
        <v>514</v>
      </c>
      <c r="AA44" s="152"/>
    </row>
    <row r="45" spans="1:27">
      <c r="A45" s="151">
        <v>1</v>
      </c>
      <c r="B45" s="151" t="s">
        <v>539</v>
      </c>
      <c r="C45" s="115" t="s">
        <v>394</v>
      </c>
      <c r="D45" s="115" t="s">
        <v>394</v>
      </c>
      <c r="E45" s="115" t="s">
        <v>394</v>
      </c>
      <c r="F45" s="115" t="s">
        <v>394</v>
      </c>
      <c r="G45" s="115" t="s">
        <v>394</v>
      </c>
      <c r="H45" s="115" t="s">
        <v>394</v>
      </c>
      <c r="I45" s="115" t="s">
        <v>394</v>
      </c>
      <c r="J45" s="115" t="s">
        <v>394</v>
      </c>
      <c r="K45" s="115" t="s">
        <v>394</v>
      </c>
      <c r="L45" s="115" t="s">
        <v>394</v>
      </c>
      <c r="M45" s="115" t="s">
        <v>394</v>
      </c>
      <c r="N45" s="115" t="s">
        <v>394</v>
      </c>
      <c r="O45" s="115" t="s">
        <v>394</v>
      </c>
      <c r="P45" s="115" t="s">
        <v>394</v>
      </c>
      <c r="Q45" s="115" t="s">
        <v>394</v>
      </c>
      <c r="R45" s="115" t="s">
        <v>394</v>
      </c>
      <c r="S45" s="115" t="s">
        <v>394</v>
      </c>
      <c r="T45" s="115" t="s">
        <v>394</v>
      </c>
      <c r="U45" s="115" t="s">
        <v>394</v>
      </c>
      <c r="V45" s="115" t="s">
        <v>394</v>
      </c>
      <c r="W45" s="115" t="s">
        <v>394</v>
      </c>
      <c r="X45" s="115" t="s">
        <v>394</v>
      </c>
      <c r="Y45" s="115" t="s">
        <v>394</v>
      </c>
      <c r="Z45" s="116" t="s">
        <v>394</v>
      </c>
      <c r="AA45" s="151" t="s">
        <v>539</v>
      </c>
    </row>
    <row r="46" spans="1:27" ht="15.75" thickBot="1">
      <c r="A46" s="152"/>
      <c r="B46" s="152"/>
      <c r="C46" s="117" t="s">
        <v>515</v>
      </c>
      <c r="D46" s="117" t="s">
        <v>516</v>
      </c>
      <c r="E46" s="117" t="s">
        <v>517</v>
      </c>
      <c r="F46" s="117" t="s">
        <v>518</v>
      </c>
      <c r="G46" s="117" t="s">
        <v>519</v>
      </c>
      <c r="H46" s="117" t="s">
        <v>520</v>
      </c>
      <c r="I46" s="117" t="s">
        <v>521</v>
      </c>
      <c r="J46" s="117" t="s">
        <v>522</v>
      </c>
      <c r="K46" s="117" t="s">
        <v>523</v>
      </c>
      <c r="L46" s="117" t="s">
        <v>524</v>
      </c>
      <c r="M46" s="117" t="s">
        <v>525</v>
      </c>
      <c r="N46" s="117" t="s">
        <v>526</v>
      </c>
      <c r="O46" s="117" t="s">
        <v>527</v>
      </c>
      <c r="P46" s="117" t="s">
        <v>528</v>
      </c>
      <c r="Q46" s="117" t="s">
        <v>529</v>
      </c>
      <c r="R46" s="117" t="s">
        <v>530</v>
      </c>
      <c r="S46" s="117" t="s">
        <v>531</v>
      </c>
      <c r="T46" s="117" t="s">
        <v>532</v>
      </c>
      <c r="U46" s="117" t="s">
        <v>533</v>
      </c>
      <c r="V46" s="117" t="s">
        <v>534</v>
      </c>
      <c r="W46" s="117" t="s">
        <v>535</v>
      </c>
      <c r="X46" s="117" t="s">
        <v>536</v>
      </c>
      <c r="Y46" s="117" t="s">
        <v>537</v>
      </c>
      <c r="Z46" s="118" t="s">
        <v>538</v>
      </c>
      <c r="AA46" s="152"/>
    </row>
    <row r="47" spans="1:27">
      <c r="B47" s="151"/>
      <c r="C47" s="151">
        <v>1</v>
      </c>
      <c r="D47" s="151">
        <v>2</v>
      </c>
      <c r="E47" s="151">
        <v>3</v>
      </c>
      <c r="F47" s="151">
        <v>4</v>
      </c>
      <c r="G47" s="151">
        <v>5</v>
      </c>
      <c r="H47" s="151">
        <v>6</v>
      </c>
      <c r="I47" s="151">
        <v>7</v>
      </c>
      <c r="J47" s="151">
        <v>8</v>
      </c>
      <c r="K47" s="151">
        <v>9</v>
      </c>
      <c r="L47" s="151">
        <v>10</v>
      </c>
      <c r="M47" s="151">
        <v>11</v>
      </c>
      <c r="N47" s="151">
        <v>12</v>
      </c>
      <c r="O47" s="151">
        <v>13</v>
      </c>
      <c r="P47" s="151">
        <v>14</v>
      </c>
      <c r="Q47" s="151">
        <v>15</v>
      </c>
      <c r="R47" s="151">
        <v>16</v>
      </c>
      <c r="S47" s="151">
        <v>17</v>
      </c>
      <c r="T47" s="151">
        <v>18</v>
      </c>
      <c r="U47" s="151">
        <v>19</v>
      </c>
      <c r="V47" s="151">
        <v>20</v>
      </c>
      <c r="W47" s="151">
        <v>21</v>
      </c>
      <c r="X47" s="151">
        <v>22</v>
      </c>
      <c r="Y47" s="151">
        <v>23</v>
      </c>
      <c r="Z47" s="151">
        <v>24</v>
      </c>
      <c r="AA47" s="151"/>
    </row>
    <row r="48" spans="1:27"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</row>
  </sheetData>
  <mergeCells count="44">
    <mergeCell ref="B35:B36"/>
    <mergeCell ref="AA35:AA36"/>
    <mergeCell ref="B37:B38"/>
    <mergeCell ref="AA37:AA38"/>
    <mergeCell ref="N47:N48"/>
    <mergeCell ref="O47:O48"/>
    <mergeCell ref="B39:B40"/>
    <mergeCell ref="AA39:AA40"/>
    <mergeCell ref="B41:B42"/>
    <mergeCell ref="AA41:AA42"/>
    <mergeCell ref="B43:B44"/>
    <mergeCell ref="AA43:AA44"/>
    <mergeCell ref="S47:S48"/>
    <mergeCell ref="T47:T48"/>
    <mergeCell ref="B45:B46"/>
    <mergeCell ref="AA45:AA46"/>
    <mergeCell ref="J47:J48"/>
    <mergeCell ref="K47:K48"/>
    <mergeCell ref="B47:B48"/>
    <mergeCell ref="C47:C48"/>
    <mergeCell ref="D47:D48"/>
    <mergeCell ref="E47:E48"/>
    <mergeCell ref="F47:F48"/>
    <mergeCell ref="AA47:AA48"/>
    <mergeCell ref="A35:A36"/>
    <mergeCell ref="A37:A38"/>
    <mergeCell ref="A39:A40"/>
    <mergeCell ref="A41:A42"/>
    <mergeCell ref="A43:A44"/>
    <mergeCell ref="A45:A46"/>
    <mergeCell ref="U47:U48"/>
    <mergeCell ref="V47:V48"/>
    <mergeCell ref="W47:W48"/>
    <mergeCell ref="X47:X48"/>
    <mergeCell ref="Y47:Y48"/>
    <mergeCell ref="P47:P48"/>
    <mergeCell ref="G47:G48"/>
    <mergeCell ref="H47:H48"/>
    <mergeCell ref="I47:I48"/>
    <mergeCell ref="Q47:Q48"/>
    <mergeCell ref="R47:R48"/>
    <mergeCell ref="L47:L48"/>
    <mergeCell ref="M47:M48"/>
    <mergeCell ref="Z47:Z4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7"/>
  </sheetPr>
  <dimension ref="A1:B13"/>
  <sheetViews>
    <sheetView workbookViewId="0">
      <selection activeCell="H16" sqref="H16"/>
    </sheetView>
  </sheetViews>
  <sheetFormatPr baseColWidth="10" defaultRowHeight="15"/>
  <cols>
    <col min="1" max="1" width="16.140625" bestFit="1" customWidth="1"/>
    <col min="2" max="2" width="12.85546875" bestFit="1" customWidth="1"/>
  </cols>
  <sheetData>
    <row r="1" spans="1:2">
      <c r="A1" t="s">
        <v>34</v>
      </c>
      <c r="B1" t="s">
        <v>35</v>
      </c>
    </row>
    <row r="2" spans="1:2">
      <c r="A2" s="101" t="s">
        <v>139</v>
      </c>
      <c r="B2" s="105" t="s">
        <v>157</v>
      </c>
    </row>
    <row r="3" spans="1:2">
      <c r="A3" s="101" t="s">
        <v>140</v>
      </c>
      <c r="B3" s="105" t="s">
        <v>156</v>
      </c>
    </row>
    <row r="4" spans="1:2">
      <c r="A4" s="105" t="s">
        <v>158</v>
      </c>
      <c r="B4" s="101" t="s">
        <v>141</v>
      </c>
    </row>
    <row r="5" spans="1:2">
      <c r="A5" s="105" t="s">
        <v>159</v>
      </c>
      <c r="B5" s="101" t="s">
        <v>142</v>
      </c>
    </row>
    <row r="6" spans="1:2">
      <c r="A6" s="105" t="s">
        <v>160</v>
      </c>
      <c r="B6" s="101" t="s">
        <v>143</v>
      </c>
    </row>
    <row r="7" spans="1:2">
      <c r="A7" s="105" t="s">
        <v>161</v>
      </c>
      <c r="B7" s="101" t="s">
        <v>144</v>
      </c>
    </row>
    <row r="8" spans="1:2">
      <c r="A8" s="105" t="s">
        <v>162</v>
      </c>
      <c r="B8" s="101" t="s">
        <v>145</v>
      </c>
    </row>
    <row r="9" spans="1:2">
      <c r="A9" s="105" t="s">
        <v>163</v>
      </c>
      <c r="B9" s="101" t="s">
        <v>146</v>
      </c>
    </row>
    <row r="10" spans="1:2">
      <c r="A10" s="105" t="s">
        <v>164</v>
      </c>
      <c r="B10" s="101" t="s">
        <v>147</v>
      </c>
    </row>
    <row r="11" spans="1:2">
      <c r="A11" s="105" t="s">
        <v>165</v>
      </c>
      <c r="B11" s="101" t="s">
        <v>148</v>
      </c>
    </row>
    <row r="12" spans="1:2">
      <c r="A12" s="105" t="s">
        <v>166</v>
      </c>
      <c r="B12" s="101" t="s">
        <v>149</v>
      </c>
    </row>
    <row r="13" spans="1:2">
      <c r="A13" s="105" t="s">
        <v>167</v>
      </c>
      <c r="B13" s="101" t="s">
        <v>150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I22"/>
  <sheetViews>
    <sheetView topLeftCell="A4" workbookViewId="0">
      <selection activeCell="J24" sqref="J24"/>
    </sheetView>
  </sheetViews>
  <sheetFormatPr baseColWidth="10" defaultRowHeight="15"/>
  <cols>
    <col min="3" max="3" width="19.28515625" customWidth="1"/>
  </cols>
  <sheetData>
    <row r="1" spans="1:9">
      <c r="A1" s="162" t="s">
        <v>49</v>
      </c>
      <c r="B1" s="162"/>
      <c r="C1" s="162"/>
      <c r="D1" s="162"/>
      <c r="E1" s="162"/>
      <c r="F1" s="162"/>
    </row>
    <row r="2" spans="1:9">
      <c r="A2" s="162"/>
      <c r="B2" s="162"/>
      <c r="C2" s="162"/>
      <c r="D2" s="162"/>
      <c r="E2" s="162"/>
      <c r="F2" s="162"/>
    </row>
    <row r="3" spans="1:9">
      <c r="A3" s="162"/>
      <c r="B3" s="162"/>
      <c r="C3" s="162"/>
      <c r="D3" s="162"/>
      <c r="E3" s="162"/>
      <c r="F3" s="162"/>
    </row>
    <row r="4" spans="1:9">
      <c r="A4" t="s">
        <v>50</v>
      </c>
    </row>
    <row r="5" spans="1:9" ht="28.5" customHeight="1">
      <c r="A5" s="163" t="s">
        <v>36</v>
      </c>
      <c r="B5" s="163"/>
      <c r="C5" s="163"/>
      <c r="D5" s="164" t="s">
        <v>37</v>
      </c>
      <c r="E5" s="164"/>
      <c r="F5" s="164" t="s">
        <v>38</v>
      </c>
      <c r="G5" s="164"/>
      <c r="H5" s="164" t="s">
        <v>39</v>
      </c>
      <c r="I5" s="164"/>
    </row>
    <row r="6" spans="1:9" ht="22.5" customHeight="1">
      <c r="A6" s="155" t="s">
        <v>40</v>
      </c>
      <c r="B6" s="155"/>
      <c r="C6" s="155"/>
      <c r="D6" s="156" t="s">
        <v>575</v>
      </c>
      <c r="E6" s="156"/>
      <c r="F6" s="156"/>
      <c r="G6" s="156"/>
      <c r="H6" s="156"/>
      <c r="I6" s="156"/>
    </row>
    <row r="7" spans="1:9" ht="25.5" customHeight="1">
      <c r="A7" s="161" t="s">
        <v>41</v>
      </c>
      <c r="B7" s="161"/>
      <c r="C7" s="161"/>
      <c r="D7" s="156" t="s">
        <v>582</v>
      </c>
      <c r="E7" s="156"/>
      <c r="F7" s="156"/>
      <c r="G7" s="156"/>
      <c r="H7" s="156"/>
      <c r="I7" s="156"/>
    </row>
    <row r="8" spans="1:9" ht="18.75" customHeight="1">
      <c r="A8" s="155" t="s">
        <v>42</v>
      </c>
      <c r="B8" s="155"/>
      <c r="C8" s="155"/>
      <c r="D8" s="156" t="s">
        <v>581</v>
      </c>
      <c r="E8" s="156"/>
      <c r="F8" s="156"/>
      <c r="G8" s="156"/>
      <c r="H8" s="156"/>
      <c r="I8" s="156"/>
    </row>
    <row r="9" spans="1:9">
      <c r="A9" s="155" t="s">
        <v>43</v>
      </c>
      <c r="B9" s="155"/>
      <c r="C9" s="155"/>
      <c r="D9" s="156" t="s">
        <v>576</v>
      </c>
      <c r="E9" s="156"/>
      <c r="F9" s="156"/>
      <c r="G9" s="156"/>
      <c r="H9" s="156"/>
      <c r="I9" s="156"/>
    </row>
    <row r="10" spans="1:9">
      <c r="A10" s="155" t="s">
        <v>44</v>
      </c>
      <c r="B10" s="155"/>
      <c r="C10" s="155"/>
      <c r="D10" s="156" t="s">
        <v>577</v>
      </c>
      <c r="E10" s="156"/>
      <c r="F10" s="156"/>
      <c r="G10" s="156"/>
      <c r="H10" s="156"/>
      <c r="I10" s="156"/>
    </row>
    <row r="11" spans="1:9">
      <c r="A11" s="155" t="s">
        <v>45</v>
      </c>
      <c r="B11" s="155"/>
      <c r="C11" s="155"/>
      <c r="D11" s="160" t="s">
        <v>580</v>
      </c>
      <c r="E11" s="156"/>
      <c r="F11" s="156"/>
      <c r="G11" s="156"/>
      <c r="H11" s="156"/>
      <c r="I11" s="156"/>
    </row>
    <row r="12" spans="1:9">
      <c r="A12" s="155" t="s">
        <v>46</v>
      </c>
      <c r="B12" s="155"/>
      <c r="C12" s="155"/>
      <c r="D12" s="156">
        <v>8.3000000000000007</v>
      </c>
      <c r="E12" s="156"/>
      <c r="F12" s="156"/>
      <c r="G12" s="156"/>
      <c r="H12" s="156"/>
      <c r="I12" s="156"/>
    </row>
    <row r="13" spans="1:9">
      <c r="A13" s="155" t="s">
        <v>47</v>
      </c>
      <c r="B13" s="155"/>
      <c r="C13" s="155"/>
      <c r="D13" s="156" t="s">
        <v>578</v>
      </c>
      <c r="E13" s="156"/>
      <c r="F13" s="156"/>
      <c r="G13" s="156"/>
      <c r="H13" s="156"/>
      <c r="I13" s="156"/>
    </row>
    <row r="14" spans="1:9">
      <c r="A14" s="157" t="s">
        <v>48</v>
      </c>
      <c r="B14" s="158"/>
      <c r="C14" s="159"/>
      <c r="D14" s="156" t="s">
        <v>579</v>
      </c>
      <c r="E14" s="156"/>
      <c r="F14" s="156"/>
      <c r="G14" s="156"/>
      <c r="H14" s="156"/>
      <c r="I14" s="156"/>
    </row>
    <row r="16" spans="1:9">
      <c r="A16" t="s">
        <v>51</v>
      </c>
    </row>
    <row r="18" spans="1:3">
      <c r="A18" s="153" t="s">
        <v>36</v>
      </c>
      <c r="B18" s="153"/>
      <c r="C18" s="12" t="s">
        <v>55</v>
      </c>
    </row>
    <row r="19" spans="1:3">
      <c r="A19" s="154" t="s">
        <v>52</v>
      </c>
      <c r="B19" s="154"/>
      <c r="C19" s="13"/>
    </row>
    <row r="20" spans="1:3">
      <c r="A20" s="154" t="s">
        <v>53</v>
      </c>
      <c r="B20" s="154"/>
      <c r="C20" s="13" t="s">
        <v>574</v>
      </c>
    </row>
    <row r="21" spans="1:3">
      <c r="A21" s="154" t="s">
        <v>54</v>
      </c>
      <c r="B21" s="154"/>
      <c r="C21" s="13"/>
    </row>
    <row r="22" spans="1:3">
      <c r="A22" s="154" t="s">
        <v>94</v>
      </c>
      <c r="B22" s="154"/>
      <c r="C22" s="13" t="s">
        <v>573</v>
      </c>
    </row>
  </sheetData>
  <mergeCells count="46">
    <mergeCell ref="A6:C6"/>
    <mergeCell ref="D6:E6"/>
    <mergeCell ref="F6:G6"/>
    <mergeCell ref="H6:I6"/>
    <mergeCell ref="A1:F3"/>
    <mergeCell ref="A5:C5"/>
    <mergeCell ref="D5:E5"/>
    <mergeCell ref="F5:G5"/>
    <mergeCell ref="H5:I5"/>
    <mergeCell ref="A7:C7"/>
    <mergeCell ref="D7:E7"/>
    <mergeCell ref="F7:G7"/>
    <mergeCell ref="H7:I7"/>
    <mergeCell ref="A8:C8"/>
    <mergeCell ref="D8:E8"/>
    <mergeCell ref="F8:G8"/>
    <mergeCell ref="H8:I8"/>
    <mergeCell ref="A9:C9"/>
    <mergeCell ref="D9:E9"/>
    <mergeCell ref="F9:G9"/>
    <mergeCell ref="H9:I9"/>
    <mergeCell ref="A10:C10"/>
    <mergeCell ref="D10:E10"/>
    <mergeCell ref="F10:G10"/>
    <mergeCell ref="H10:I10"/>
    <mergeCell ref="A11:C11"/>
    <mergeCell ref="D11:E11"/>
    <mergeCell ref="F11:G11"/>
    <mergeCell ref="H11:I11"/>
    <mergeCell ref="A12:C12"/>
    <mergeCell ref="D12:E12"/>
    <mergeCell ref="F12:G12"/>
    <mergeCell ref="H12:I12"/>
    <mergeCell ref="A13:C13"/>
    <mergeCell ref="D13:E13"/>
    <mergeCell ref="F13:G13"/>
    <mergeCell ref="H13:I13"/>
    <mergeCell ref="D14:E14"/>
    <mergeCell ref="F14:G14"/>
    <mergeCell ref="H14:I14"/>
    <mergeCell ref="A14:C14"/>
    <mergeCell ref="A18:B18"/>
    <mergeCell ref="A19:B19"/>
    <mergeCell ref="A20:B20"/>
    <mergeCell ref="A21:B21"/>
    <mergeCell ref="A22:B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0000"/>
  </sheetPr>
  <dimension ref="A1:Y31"/>
  <sheetViews>
    <sheetView zoomScale="85" zoomScaleNormal="85" workbookViewId="0">
      <selection activeCell="N22" sqref="N22"/>
    </sheetView>
  </sheetViews>
  <sheetFormatPr baseColWidth="10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14"/>
      <c r="D1" s="14"/>
      <c r="E1" s="14"/>
      <c r="F1" s="14"/>
      <c r="G1" s="15"/>
      <c r="H1" s="182" t="s">
        <v>56</v>
      </c>
      <c r="I1" s="182"/>
      <c r="J1" s="182"/>
      <c r="K1" s="183" t="s">
        <v>57</v>
      </c>
      <c r="L1" s="182"/>
      <c r="M1" s="182"/>
      <c r="N1" s="182"/>
      <c r="O1" s="182"/>
      <c r="P1" s="182"/>
      <c r="Q1" s="182"/>
      <c r="R1" s="182"/>
      <c r="S1" s="184" t="s">
        <v>58</v>
      </c>
      <c r="T1" s="185"/>
      <c r="U1" s="186" t="s">
        <v>59</v>
      </c>
      <c r="V1" s="186"/>
      <c r="W1" s="187"/>
      <c r="X1" s="16"/>
      <c r="Y1" s="17"/>
    </row>
    <row r="2" spans="1:25" ht="16.5" thickTop="1" thickBot="1">
      <c r="A2" s="18" t="s">
        <v>60</v>
      </c>
      <c r="B2" s="19" t="s">
        <v>61</v>
      </c>
      <c r="C2" s="19" t="s">
        <v>62</v>
      </c>
      <c r="D2" s="19" t="s">
        <v>63</v>
      </c>
      <c r="E2" s="19" t="s">
        <v>64</v>
      </c>
      <c r="F2" s="19" t="s">
        <v>65</v>
      </c>
      <c r="G2" s="19" t="s">
        <v>66</v>
      </c>
      <c r="H2" s="20" t="s">
        <v>67</v>
      </c>
      <c r="I2" s="21" t="s">
        <v>68</v>
      </c>
      <c r="J2" s="22" t="s">
        <v>69</v>
      </c>
      <c r="K2" s="23" t="s">
        <v>67</v>
      </c>
      <c r="L2" s="24" t="s">
        <v>70</v>
      </c>
      <c r="M2" s="25" t="s">
        <v>68</v>
      </c>
      <c r="N2" s="26" t="s">
        <v>69</v>
      </c>
      <c r="O2" s="24" t="s">
        <v>71</v>
      </c>
      <c r="P2" s="25" t="s">
        <v>72</v>
      </c>
      <c r="Q2" s="27" t="s">
        <v>73</v>
      </c>
      <c r="R2" s="28" t="s">
        <v>74</v>
      </c>
      <c r="S2" s="24" t="s">
        <v>75</v>
      </c>
      <c r="T2" s="29" t="s">
        <v>76</v>
      </c>
      <c r="U2" s="18" t="s">
        <v>77</v>
      </c>
      <c r="V2" s="26" t="s">
        <v>78</v>
      </c>
      <c r="W2" s="24" t="s">
        <v>79</v>
      </c>
      <c r="X2" s="29" t="s">
        <v>80</v>
      </c>
      <c r="Y2" s="30" t="s">
        <v>81</v>
      </c>
    </row>
    <row r="3" spans="1:25" ht="15.75" thickTop="1">
      <c r="A3" s="31" t="s">
        <v>571</v>
      </c>
      <c r="B3" s="32">
        <v>43201</v>
      </c>
      <c r="C3" s="33" t="s">
        <v>583</v>
      </c>
      <c r="D3" s="33" t="s">
        <v>584</v>
      </c>
      <c r="E3" s="31" t="s">
        <v>136</v>
      </c>
      <c r="F3" s="31" t="s">
        <v>139</v>
      </c>
      <c r="G3" s="174"/>
      <c r="H3" s="34"/>
      <c r="I3" s="188">
        <v>1863</v>
      </c>
      <c r="J3" s="189"/>
      <c r="K3" s="103"/>
      <c r="L3" s="36"/>
      <c r="M3" s="176">
        <v>372</v>
      </c>
      <c r="N3" s="177"/>
      <c r="O3" s="37">
        <v>372</v>
      </c>
      <c r="P3" s="176">
        <v>44</v>
      </c>
      <c r="Q3" s="177"/>
      <c r="R3" s="38">
        <v>44</v>
      </c>
      <c r="S3" s="39">
        <v>2643.5483870967746</v>
      </c>
      <c r="T3" s="39">
        <v>3.513429132016447</v>
      </c>
      <c r="U3" s="176"/>
      <c r="V3" s="177"/>
      <c r="W3" s="40"/>
      <c r="X3" s="40">
        <v>2.8109999999999999</v>
      </c>
      <c r="Y3" s="41">
        <v>0.80007306092629082</v>
      </c>
    </row>
    <row r="4" spans="1:25">
      <c r="A4" s="42" t="s">
        <v>571</v>
      </c>
      <c r="B4" s="43">
        <v>43201</v>
      </c>
      <c r="C4" s="44" t="s">
        <v>585</v>
      </c>
      <c r="D4" s="44" t="s">
        <v>586</v>
      </c>
      <c r="E4" s="42" t="s">
        <v>136</v>
      </c>
      <c r="F4" s="42" t="s">
        <v>572</v>
      </c>
      <c r="G4" s="174"/>
      <c r="H4" s="45"/>
      <c r="I4" s="171">
        <v>1823</v>
      </c>
      <c r="J4" s="172"/>
      <c r="K4" s="104"/>
      <c r="L4" s="47"/>
      <c r="M4" s="171">
        <v>364</v>
      </c>
      <c r="N4" s="172"/>
      <c r="O4" s="48">
        <v>364</v>
      </c>
      <c r="P4" s="171">
        <v>38</v>
      </c>
      <c r="Q4" s="172"/>
      <c r="R4" s="49">
        <v>38</v>
      </c>
      <c r="S4" s="50">
        <v>2283.131868131868</v>
      </c>
      <c r="T4" s="50">
        <v>3.6445613479918912</v>
      </c>
      <c r="U4" s="171"/>
      <c r="V4" s="172"/>
      <c r="W4" s="51"/>
      <c r="X4" s="51">
        <v>3.4729999999999999</v>
      </c>
      <c r="Y4" s="52">
        <v>0.95292674985799874</v>
      </c>
    </row>
    <row r="5" spans="1:25">
      <c r="A5" s="42"/>
      <c r="B5" s="43"/>
      <c r="C5" s="44"/>
      <c r="D5" s="44"/>
      <c r="E5" s="42"/>
      <c r="F5" s="42"/>
      <c r="G5" s="174"/>
      <c r="H5" s="45"/>
      <c r="I5" s="171"/>
      <c r="J5" s="172"/>
      <c r="K5" s="46"/>
      <c r="L5" s="53"/>
      <c r="M5" s="180"/>
      <c r="N5" s="181"/>
      <c r="O5" s="54"/>
      <c r="P5" s="180"/>
      <c r="Q5" s="181"/>
      <c r="R5" s="55"/>
      <c r="S5" s="56"/>
      <c r="T5" s="56"/>
      <c r="U5" s="180"/>
      <c r="V5" s="181"/>
      <c r="W5" s="57"/>
      <c r="X5" s="57"/>
      <c r="Y5" s="58"/>
    </row>
    <row r="6" spans="1:25">
      <c r="A6" s="42"/>
      <c r="B6" s="43"/>
      <c r="C6" s="44"/>
      <c r="D6" s="44"/>
      <c r="E6" s="42"/>
      <c r="F6" s="42"/>
      <c r="G6" s="174"/>
      <c r="H6" s="59"/>
      <c r="I6" s="171"/>
      <c r="J6" s="172"/>
      <c r="K6" s="46"/>
      <c r="L6" s="48"/>
      <c r="M6" s="169"/>
      <c r="N6" s="170"/>
      <c r="O6" s="48"/>
      <c r="P6" s="169"/>
      <c r="Q6" s="170"/>
      <c r="R6" s="60"/>
      <c r="S6" s="61"/>
      <c r="T6" s="61"/>
      <c r="U6" s="169"/>
      <c r="V6" s="170"/>
      <c r="W6" s="51"/>
      <c r="X6" s="51"/>
      <c r="Y6" s="52"/>
    </row>
    <row r="7" spans="1:25">
      <c r="A7" s="42"/>
      <c r="B7" s="43"/>
      <c r="C7" s="44"/>
      <c r="D7" s="44"/>
      <c r="E7" s="42"/>
      <c r="F7" s="42"/>
      <c r="G7" s="174"/>
      <c r="H7" s="45"/>
      <c r="I7" s="171"/>
      <c r="J7" s="172"/>
      <c r="K7" s="46"/>
      <c r="L7" s="48"/>
      <c r="M7" s="169"/>
      <c r="N7" s="170"/>
      <c r="O7" s="48"/>
      <c r="P7" s="169"/>
      <c r="Q7" s="170"/>
      <c r="R7" s="60"/>
      <c r="S7" s="61"/>
      <c r="T7" s="61"/>
      <c r="U7" s="169"/>
      <c r="V7" s="170"/>
      <c r="W7" s="51"/>
      <c r="X7" s="51"/>
      <c r="Y7" s="52"/>
    </row>
    <row r="8" spans="1:25" ht="15.75" thickBot="1">
      <c r="A8" s="62"/>
      <c r="B8" s="63"/>
      <c r="C8" s="64"/>
      <c r="D8" s="64"/>
      <c r="E8" s="62"/>
      <c r="F8" s="62"/>
      <c r="G8" s="175"/>
      <c r="H8" s="65"/>
      <c r="I8" s="165"/>
      <c r="J8" s="166"/>
      <c r="K8" s="66"/>
      <c r="L8" s="67"/>
      <c r="M8" s="167"/>
      <c r="N8" s="168"/>
      <c r="O8" s="67"/>
      <c r="P8" s="167"/>
      <c r="Q8" s="168"/>
      <c r="R8" s="68"/>
      <c r="S8" s="69"/>
      <c r="T8" s="69"/>
      <c r="U8" s="167"/>
      <c r="V8" s="168"/>
      <c r="W8" s="70"/>
      <c r="X8" s="70"/>
      <c r="Y8" s="71"/>
    </row>
    <row r="9" spans="1:25" ht="15.75" thickTop="1">
      <c r="A9" s="31"/>
      <c r="B9" s="32"/>
      <c r="C9" s="33"/>
      <c r="D9" s="33"/>
      <c r="E9" s="31"/>
      <c r="F9" s="31"/>
      <c r="G9" s="173"/>
      <c r="H9" s="34"/>
      <c r="I9" s="176"/>
      <c r="J9" s="177"/>
      <c r="K9" s="35"/>
      <c r="L9" s="72"/>
      <c r="M9" s="178"/>
      <c r="N9" s="179"/>
      <c r="O9" s="72"/>
      <c r="P9" s="178"/>
      <c r="Q9" s="179"/>
      <c r="R9" s="73"/>
      <c r="S9" s="74"/>
      <c r="T9" s="74"/>
      <c r="U9" s="178"/>
      <c r="V9" s="179"/>
      <c r="W9" s="75"/>
      <c r="X9" s="75"/>
      <c r="Y9" s="76"/>
    </row>
    <row r="10" spans="1:25">
      <c r="A10" s="42"/>
      <c r="B10" s="43"/>
      <c r="C10" s="44"/>
      <c r="D10" s="44"/>
      <c r="E10" s="42"/>
      <c r="F10" s="42"/>
      <c r="G10" s="174"/>
      <c r="H10" s="45"/>
      <c r="I10" s="171"/>
      <c r="J10" s="172"/>
      <c r="K10" s="46"/>
      <c r="L10" s="48"/>
      <c r="M10" s="169"/>
      <c r="N10" s="170"/>
      <c r="O10" s="48"/>
      <c r="P10" s="169"/>
      <c r="Q10" s="170"/>
      <c r="R10" s="60"/>
      <c r="S10" s="61"/>
      <c r="T10" s="77"/>
      <c r="U10" s="169"/>
      <c r="V10" s="170"/>
      <c r="W10" s="51"/>
      <c r="X10" s="51"/>
      <c r="Y10" s="52"/>
    </row>
    <row r="11" spans="1:25">
      <c r="A11" s="42"/>
      <c r="B11" s="43"/>
      <c r="C11" s="44"/>
      <c r="D11" s="44"/>
      <c r="E11" s="42"/>
      <c r="F11" s="42"/>
      <c r="G11" s="174"/>
      <c r="H11" s="45"/>
      <c r="I11" s="171"/>
      <c r="J11" s="172"/>
      <c r="K11" s="46"/>
      <c r="L11" s="48"/>
      <c r="M11" s="169"/>
      <c r="N11" s="170"/>
      <c r="O11" s="48"/>
      <c r="P11" s="169"/>
      <c r="Q11" s="170"/>
      <c r="R11" s="60"/>
      <c r="S11" s="61"/>
      <c r="T11" s="77"/>
      <c r="U11" s="169"/>
      <c r="V11" s="170"/>
      <c r="W11" s="51"/>
      <c r="X11" s="51"/>
      <c r="Y11" s="52"/>
    </row>
    <row r="12" spans="1:25">
      <c r="A12" s="42"/>
      <c r="B12" s="43"/>
      <c r="C12" s="44"/>
      <c r="D12" s="44"/>
      <c r="E12" s="42"/>
      <c r="F12" s="42"/>
      <c r="G12" s="174"/>
      <c r="H12" s="45"/>
      <c r="I12" s="171"/>
      <c r="J12" s="172"/>
      <c r="K12" s="46"/>
      <c r="L12" s="48"/>
      <c r="M12" s="169"/>
      <c r="N12" s="170"/>
      <c r="O12" s="48"/>
      <c r="P12" s="169"/>
      <c r="Q12" s="170"/>
      <c r="R12" s="60"/>
      <c r="S12" s="61"/>
      <c r="T12" s="61"/>
      <c r="U12" s="169"/>
      <c r="V12" s="170"/>
      <c r="W12" s="51"/>
      <c r="X12" s="51"/>
      <c r="Y12" s="52"/>
    </row>
    <row r="13" spans="1:25">
      <c r="A13" s="42"/>
      <c r="B13" s="43"/>
      <c r="C13" s="44"/>
      <c r="D13" s="44"/>
      <c r="E13" s="42"/>
      <c r="F13" s="42"/>
      <c r="G13" s="174"/>
      <c r="H13" s="45"/>
      <c r="I13" s="171"/>
      <c r="J13" s="172"/>
      <c r="K13" s="46"/>
      <c r="L13" s="48"/>
      <c r="M13" s="169"/>
      <c r="N13" s="170"/>
      <c r="O13" s="48"/>
      <c r="P13" s="169"/>
      <c r="Q13" s="170"/>
      <c r="R13" s="60"/>
      <c r="S13" s="61"/>
      <c r="T13" s="61"/>
      <c r="U13" s="169"/>
      <c r="V13" s="170"/>
      <c r="W13" s="51"/>
      <c r="X13" s="51"/>
      <c r="Y13" s="52"/>
    </row>
    <row r="14" spans="1:25" ht="15.75" thickBot="1">
      <c r="A14" s="62"/>
      <c r="B14" s="63"/>
      <c r="C14" s="64"/>
      <c r="D14" s="64"/>
      <c r="E14" s="62"/>
      <c r="F14" s="62"/>
      <c r="G14" s="175"/>
      <c r="H14" s="78"/>
      <c r="I14" s="165"/>
      <c r="J14" s="166"/>
      <c r="K14" s="79"/>
      <c r="L14" s="67"/>
      <c r="M14" s="167"/>
      <c r="N14" s="168"/>
      <c r="O14" s="67"/>
      <c r="P14" s="167"/>
      <c r="Q14" s="168"/>
      <c r="R14" s="68"/>
      <c r="S14" s="69"/>
      <c r="T14" s="69"/>
      <c r="U14" s="167"/>
      <c r="V14" s="168"/>
      <c r="W14" s="70"/>
      <c r="X14" s="70"/>
      <c r="Y14" s="71"/>
    </row>
    <row r="15" spans="1:25" ht="15.75" thickTop="1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1"/>
      <c r="T15" s="81"/>
      <c r="U15" s="80"/>
      <c r="V15" s="80"/>
      <c r="W15" s="81"/>
      <c r="X15" s="81"/>
      <c r="Y15" s="81"/>
    </row>
    <row r="16" spans="1:25">
      <c r="A16" s="80"/>
      <c r="C16" s="80"/>
      <c r="D16" s="80"/>
      <c r="E16" s="80"/>
      <c r="F16" s="80"/>
      <c r="R16" s="80"/>
      <c r="S16" s="81"/>
      <c r="T16" s="81"/>
      <c r="U16" s="80"/>
      <c r="V16" s="80"/>
      <c r="W16" s="81"/>
      <c r="X16" s="81"/>
      <c r="Y16" s="81"/>
    </row>
    <row r="17" spans="1:25">
      <c r="A17" s="82" t="s">
        <v>82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1"/>
      <c r="T17" s="81"/>
      <c r="U17" s="80"/>
      <c r="V17" s="80"/>
      <c r="W17" s="81"/>
      <c r="X17" s="81"/>
      <c r="Y17" s="81"/>
    </row>
    <row r="18" spans="1:25">
      <c r="A18" s="83" t="s">
        <v>83</v>
      </c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1"/>
      <c r="T18" s="81"/>
      <c r="U18" s="80"/>
      <c r="V18" s="80"/>
      <c r="W18" s="81"/>
      <c r="X18" s="81"/>
      <c r="Y18" s="81"/>
    </row>
    <row r="19" spans="1:25">
      <c r="A19" s="83" t="s">
        <v>84</v>
      </c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1"/>
      <c r="T19" s="81"/>
      <c r="U19" s="80"/>
      <c r="V19" s="80"/>
      <c r="W19" s="81"/>
      <c r="X19" s="81"/>
      <c r="Y19" s="81"/>
    </row>
    <row r="20" spans="1:25">
      <c r="A20" s="83" t="s">
        <v>85</v>
      </c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1"/>
      <c r="T20" s="81"/>
      <c r="U20" s="80"/>
      <c r="V20" s="80"/>
      <c r="W20" s="81"/>
      <c r="X20" s="81"/>
      <c r="Y20" s="81"/>
    </row>
    <row r="21" spans="1:25">
      <c r="A21" s="82" t="s">
        <v>86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1"/>
      <c r="T21" s="81"/>
      <c r="U21" s="80"/>
      <c r="V21" s="80"/>
      <c r="W21" s="81"/>
      <c r="X21" s="81"/>
      <c r="Y21" s="81"/>
    </row>
    <row r="22" spans="1:25">
      <c r="A22" s="82" t="s">
        <v>87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1"/>
      <c r="T22" s="81"/>
      <c r="U22" s="80"/>
      <c r="V22" s="80"/>
      <c r="W22" s="81"/>
      <c r="X22" s="81"/>
      <c r="Y22" s="81"/>
    </row>
    <row r="23" spans="1:25">
      <c r="A23" s="82" t="s">
        <v>88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1"/>
      <c r="T23" s="81"/>
      <c r="U23" s="80"/>
      <c r="V23" s="80"/>
      <c r="W23" s="81"/>
      <c r="X23" s="81"/>
      <c r="Y23" s="81"/>
    </row>
    <row r="24" spans="1:25">
      <c r="A24" s="83" t="s">
        <v>89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1"/>
      <c r="T24" s="81"/>
      <c r="U24" s="80"/>
      <c r="V24" s="80"/>
      <c r="W24" s="81"/>
      <c r="X24" s="81"/>
      <c r="Y24" s="81"/>
    </row>
    <row r="25" spans="1:25">
      <c r="A25" s="83" t="s">
        <v>90</v>
      </c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1"/>
      <c r="T25" s="81"/>
      <c r="U25" s="80"/>
      <c r="V25" s="80"/>
      <c r="W25" s="81"/>
      <c r="X25" s="81"/>
      <c r="Y25" s="81"/>
    </row>
    <row r="26" spans="1:25">
      <c r="A26" s="83" t="s">
        <v>91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1"/>
      <c r="T26" s="81"/>
      <c r="U26" s="80"/>
      <c r="V26" s="80"/>
      <c r="W26" s="81"/>
      <c r="X26" s="81"/>
      <c r="Y26" s="81"/>
    </row>
    <row r="27" spans="1:25">
      <c r="A27" s="83" t="s">
        <v>92</v>
      </c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1"/>
      <c r="P27" s="80"/>
      <c r="Q27" s="80"/>
      <c r="R27" s="80"/>
      <c r="S27" s="81"/>
      <c r="T27" s="81"/>
      <c r="U27" s="80"/>
      <c r="V27" s="80"/>
      <c r="W27" s="81"/>
      <c r="X27" s="81"/>
      <c r="Y27" s="81"/>
    </row>
    <row r="28" spans="1:25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1"/>
      <c r="P28" s="80"/>
      <c r="Q28" s="80"/>
      <c r="R28" s="80"/>
      <c r="S28" s="81"/>
      <c r="T28" s="81"/>
      <c r="U28" s="80"/>
      <c r="V28" s="80"/>
      <c r="W28" s="81"/>
      <c r="X28" s="81"/>
      <c r="Y28" s="81"/>
    </row>
    <row r="29" spans="1:25">
      <c r="A29" s="80" t="s">
        <v>93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1"/>
      <c r="P29" s="80"/>
      <c r="Q29" s="80"/>
      <c r="R29" s="80"/>
      <c r="S29" s="81"/>
      <c r="T29" s="81"/>
      <c r="U29" s="80"/>
      <c r="V29" s="80"/>
      <c r="W29" s="81"/>
      <c r="X29" s="81"/>
      <c r="Y29" s="81"/>
    </row>
    <row r="30" spans="1:25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1"/>
      <c r="P30" s="80"/>
      <c r="Q30" s="80"/>
      <c r="R30" s="80"/>
      <c r="S30" s="81"/>
      <c r="T30" s="81"/>
      <c r="U30" s="80"/>
      <c r="V30" s="80"/>
      <c r="W30" s="81"/>
      <c r="X30" s="81"/>
      <c r="Y30" s="81"/>
    </row>
    <row r="31" spans="1:25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1"/>
      <c r="P31" s="80"/>
      <c r="Q31" s="80"/>
      <c r="R31" s="80"/>
      <c r="S31" s="81"/>
      <c r="T31" s="81"/>
      <c r="U31" s="80"/>
      <c r="V31" s="80"/>
      <c r="W31" s="81"/>
      <c r="X31" s="81"/>
      <c r="Y31" s="81"/>
    </row>
  </sheetData>
  <mergeCells count="54">
    <mergeCell ref="H1:J1"/>
    <mergeCell ref="K1:R1"/>
    <mergeCell ref="S1:T1"/>
    <mergeCell ref="U1:W1"/>
    <mergeCell ref="G3:G8"/>
    <mergeCell ref="I3:J3"/>
    <mergeCell ref="M3:N3"/>
    <mergeCell ref="P3:Q3"/>
    <mergeCell ref="U3:V3"/>
    <mergeCell ref="I4:J4"/>
    <mergeCell ref="M4:N4"/>
    <mergeCell ref="P4:Q4"/>
    <mergeCell ref="U4:V4"/>
    <mergeCell ref="I5:J5"/>
    <mergeCell ref="M5:N5"/>
    <mergeCell ref="P5:Q5"/>
    <mergeCell ref="U5:V5"/>
    <mergeCell ref="I6:J6"/>
    <mergeCell ref="M6:N6"/>
    <mergeCell ref="P6:Q6"/>
    <mergeCell ref="U6:V6"/>
    <mergeCell ref="I7:J7"/>
    <mergeCell ref="M7:N7"/>
    <mergeCell ref="P7:Q7"/>
    <mergeCell ref="U7:V7"/>
    <mergeCell ref="I8:J8"/>
    <mergeCell ref="M8:N8"/>
    <mergeCell ref="P8:Q8"/>
    <mergeCell ref="U8:V8"/>
    <mergeCell ref="G9:G14"/>
    <mergeCell ref="I9:J9"/>
    <mergeCell ref="M9:N9"/>
    <mergeCell ref="P9:Q9"/>
    <mergeCell ref="U9:V9"/>
    <mergeCell ref="I10:J10"/>
    <mergeCell ref="M10:N10"/>
    <mergeCell ref="P10:Q10"/>
    <mergeCell ref="U10:V10"/>
    <mergeCell ref="I11:J11"/>
    <mergeCell ref="M11:N11"/>
    <mergeCell ref="P11:Q11"/>
    <mergeCell ref="U11:V11"/>
    <mergeCell ref="I12:J12"/>
    <mergeCell ref="M12:N12"/>
    <mergeCell ref="P12:Q12"/>
    <mergeCell ref="I14:J14"/>
    <mergeCell ref="M14:N14"/>
    <mergeCell ref="P14:Q14"/>
    <mergeCell ref="U14:V14"/>
    <mergeCell ref="U12:V12"/>
    <mergeCell ref="I13:J13"/>
    <mergeCell ref="M13:N13"/>
    <mergeCell ref="P13:Q13"/>
    <mergeCell ref="U13:V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0000"/>
  </sheetPr>
  <dimension ref="A1:AC25"/>
  <sheetViews>
    <sheetView zoomScale="85" zoomScaleNormal="85" workbookViewId="0">
      <pane xSplit="13" ySplit="1" topLeftCell="N2" activePane="bottomRight" state="frozen"/>
      <selection pane="topRight" activeCell="N1" sqref="N1"/>
      <selection pane="bottomLeft" activeCell="A2" sqref="A2"/>
      <selection pane="bottomRight" activeCell="L31" sqref="L31"/>
    </sheetView>
  </sheetViews>
  <sheetFormatPr baseColWidth="10" defaultRowHeight="15"/>
  <cols>
    <col min="1" max="1" width="10" customWidth="1"/>
    <col min="2" max="2" width="10.28515625" bestFit="1" customWidth="1"/>
    <col min="3" max="3" width="10.42578125" customWidth="1"/>
    <col min="4" max="4" width="12.140625" customWidth="1"/>
    <col min="5" max="5" width="10.7109375" bestFit="1" customWidth="1"/>
    <col min="6" max="6" width="12" bestFit="1" customWidth="1"/>
    <col min="7" max="7" width="11.28515625" style="110" customWidth="1"/>
    <col min="8" max="8" width="9.140625" bestFit="1" customWidth="1"/>
    <col min="9" max="9" width="10.42578125" bestFit="1" customWidth="1"/>
    <col min="10" max="10" width="9.42578125" bestFit="1" customWidth="1"/>
    <col min="11" max="11" width="13.85546875" bestFit="1" customWidth="1"/>
    <col min="12" max="12" width="12.5703125" bestFit="1" customWidth="1"/>
    <col min="13" max="13" width="10" customWidth="1"/>
    <col min="14" max="14" width="8.7109375" bestFit="1" customWidth="1"/>
    <col min="15" max="15" width="13" customWidth="1"/>
    <col min="16" max="17" width="7.7109375" customWidth="1"/>
    <col min="18" max="18" width="9.85546875" bestFit="1" customWidth="1"/>
    <col min="19" max="19" width="9.5703125" customWidth="1"/>
    <col min="20" max="20" width="7.140625" bestFit="1" customWidth="1"/>
    <col min="21" max="21" width="9" bestFit="1" customWidth="1"/>
    <col min="22" max="22" width="11" bestFit="1" customWidth="1"/>
    <col min="23" max="23" width="5.140625" bestFit="1" customWidth="1"/>
    <col min="24" max="24" width="8.28515625" bestFit="1" customWidth="1"/>
    <col min="25" max="25" width="6.42578125" customWidth="1"/>
    <col min="26" max="26" width="6.85546875" bestFit="1" customWidth="1"/>
    <col min="27" max="27" width="6" bestFit="1" customWidth="1"/>
    <col min="28" max="28" width="6.42578125" bestFit="1" customWidth="1"/>
    <col min="29" max="29" width="8" customWidth="1"/>
  </cols>
  <sheetData>
    <row r="1" spans="1:29" s="95" customFormat="1" ht="51">
      <c r="A1" s="88" t="s">
        <v>95</v>
      </c>
      <c r="B1" s="88" t="s">
        <v>96</v>
      </c>
      <c r="C1" s="88" t="s">
        <v>97</v>
      </c>
      <c r="D1" s="88" t="s">
        <v>98</v>
      </c>
      <c r="E1" s="88" t="s">
        <v>99</v>
      </c>
      <c r="F1" s="88" t="s">
        <v>100</v>
      </c>
      <c r="G1" s="88" t="s">
        <v>101</v>
      </c>
      <c r="H1" s="88" t="s">
        <v>64</v>
      </c>
      <c r="I1" s="88" t="s">
        <v>124</v>
      </c>
      <c r="J1" s="88" t="s">
        <v>125</v>
      </c>
      <c r="K1" s="88" t="s">
        <v>126</v>
      </c>
      <c r="L1" s="88" t="s">
        <v>102</v>
      </c>
      <c r="M1" s="88" t="s">
        <v>103</v>
      </c>
      <c r="N1" s="89" t="s">
        <v>104</v>
      </c>
      <c r="O1" s="87" t="s">
        <v>127</v>
      </c>
      <c r="P1" s="90" t="s">
        <v>117</v>
      </c>
      <c r="Q1" s="90" t="s">
        <v>133</v>
      </c>
      <c r="R1" s="91" t="s">
        <v>128</v>
      </c>
      <c r="S1" s="91" t="s">
        <v>155</v>
      </c>
      <c r="T1" s="92" t="s">
        <v>129</v>
      </c>
      <c r="U1" s="91" t="s">
        <v>130</v>
      </c>
      <c r="V1" s="92" t="s">
        <v>118</v>
      </c>
      <c r="W1" s="93" t="s">
        <v>131</v>
      </c>
      <c r="X1" s="92" t="s">
        <v>119</v>
      </c>
      <c r="Y1" s="91" t="s">
        <v>132</v>
      </c>
      <c r="Z1" s="92" t="s">
        <v>120</v>
      </c>
      <c r="AA1" s="92" t="s">
        <v>121</v>
      </c>
      <c r="AB1" s="92" t="s">
        <v>122</v>
      </c>
      <c r="AC1" s="94" t="s">
        <v>123</v>
      </c>
    </row>
    <row r="2" spans="1:29">
      <c r="A2" s="101" t="s">
        <v>153</v>
      </c>
      <c r="B2" t="s">
        <v>152</v>
      </c>
      <c r="C2" s="101" t="s">
        <v>151</v>
      </c>
      <c r="D2" s="108">
        <v>42982</v>
      </c>
      <c r="F2" s="108">
        <v>43297</v>
      </c>
      <c r="G2" s="109" t="s">
        <v>370</v>
      </c>
      <c r="H2" t="s">
        <v>136</v>
      </c>
      <c r="I2">
        <v>1</v>
      </c>
      <c r="J2">
        <v>1</v>
      </c>
      <c r="L2" s="101" t="s">
        <v>139</v>
      </c>
      <c r="M2" t="s">
        <v>154</v>
      </c>
      <c r="N2">
        <v>16.8</v>
      </c>
      <c r="O2" s="107"/>
      <c r="Q2">
        <v>40.090000000000003</v>
      </c>
      <c r="W2">
        <v>6.5</v>
      </c>
      <c r="X2">
        <v>5.7</v>
      </c>
      <c r="Y2">
        <v>52.2</v>
      </c>
      <c r="Z2">
        <v>14.6</v>
      </c>
      <c r="AA2">
        <v>30.5</v>
      </c>
      <c r="AB2">
        <v>10.199999999999999</v>
      </c>
    </row>
    <row r="3" spans="1:29">
      <c r="A3" s="101" t="s">
        <v>153</v>
      </c>
      <c r="B3" t="s">
        <v>152</v>
      </c>
      <c r="C3" s="101" t="s">
        <v>151</v>
      </c>
      <c r="D3" s="108">
        <v>42982</v>
      </c>
      <c r="F3" s="108">
        <v>43297</v>
      </c>
      <c r="G3" s="109" t="s">
        <v>371</v>
      </c>
      <c r="H3" t="s">
        <v>136</v>
      </c>
      <c r="I3">
        <v>2</v>
      </c>
      <c r="J3">
        <v>1</v>
      </c>
      <c r="L3" s="101" t="s">
        <v>139</v>
      </c>
      <c r="M3" t="s">
        <v>154</v>
      </c>
      <c r="N3">
        <v>16.8</v>
      </c>
      <c r="O3" s="148">
        <v>0.80007306092629082</v>
      </c>
      <c r="Q3">
        <v>29.92</v>
      </c>
      <c r="W3">
        <v>4.8499999999999996</v>
      </c>
      <c r="X3">
        <v>5.7</v>
      </c>
      <c r="Y3">
        <v>49.3</v>
      </c>
      <c r="Z3">
        <v>16.8</v>
      </c>
      <c r="AA3">
        <v>33.1</v>
      </c>
      <c r="AB3">
        <v>8.8000000000000007</v>
      </c>
    </row>
    <row r="4" spans="1:29">
      <c r="A4" s="101" t="s">
        <v>153</v>
      </c>
      <c r="B4" t="s">
        <v>152</v>
      </c>
      <c r="C4" s="101" t="s">
        <v>151</v>
      </c>
      <c r="D4" s="108">
        <v>42982</v>
      </c>
      <c r="F4" s="108">
        <v>43297</v>
      </c>
      <c r="G4" s="109" t="s">
        <v>372</v>
      </c>
      <c r="H4" t="s">
        <v>136</v>
      </c>
      <c r="I4">
        <v>1</v>
      </c>
      <c r="J4">
        <v>2</v>
      </c>
      <c r="L4" s="101" t="s">
        <v>140</v>
      </c>
      <c r="M4" t="s">
        <v>154</v>
      </c>
      <c r="N4">
        <v>16.8</v>
      </c>
      <c r="O4" s="148"/>
      <c r="Q4">
        <v>29.95</v>
      </c>
      <c r="W4">
        <v>4.8499999999999996</v>
      </c>
      <c r="X4">
        <v>5.6</v>
      </c>
      <c r="Y4">
        <v>51.3</v>
      </c>
      <c r="Z4">
        <v>17</v>
      </c>
      <c r="AA4">
        <v>34.9</v>
      </c>
      <c r="AB4">
        <v>10.3</v>
      </c>
    </row>
    <row r="5" spans="1:29">
      <c r="A5" s="101" t="s">
        <v>153</v>
      </c>
      <c r="B5" t="s">
        <v>152</v>
      </c>
      <c r="C5" s="101" t="s">
        <v>151</v>
      </c>
      <c r="D5" s="108">
        <v>42982</v>
      </c>
      <c r="F5" s="108">
        <v>43297</v>
      </c>
      <c r="G5" s="109" t="s">
        <v>373</v>
      </c>
      <c r="H5" t="s">
        <v>136</v>
      </c>
      <c r="I5">
        <v>2</v>
      </c>
      <c r="J5">
        <v>2</v>
      </c>
      <c r="L5" s="101" t="s">
        <v>140</v>
      </c>
      <c r="M5" t="s">
        <v>154</v>
      </c>
      <c r="N5">
        <v>16.8</v>
      </c>
      <c r="O5" s="148">
        <v>0.95292674985799874</v>
      </c>
      <c r="Q5">
        <v>29.3</v>
      </c>
      <c r="W5">
        <v>4.75</v>
      </c>
      <c r="X5">
        <v>5.7</v>
      </c>
      <c r="Y5">
        <v>50.6</v>
      </c>
      <c r="Z5">
        <v>17.3</v>
      </c>
      <c r="AA5">
        <v>35</v>
      </c>
      <c r="AB5">
        <v>9.1</v>
      </c>
    </row>
    <row r="6" spans="1:29">
      <c r="A6" s="101" t="s">
        <v>153</v>
      </c>
      <c r="B6" t="s">
        <v>152</v>
      </c>
      <c r="C6" s="101" t="s">
        <v>151</v>
      </c>
      <c r="D6" s="108">
        <v>42982</v>
      </c>
      <c r="F6" s="108">
        <v>43297</v>
      </c>
      <c r="G6" s="109" t="s">
        <v>374</v>
      </c>
      <c r="H6" t="s">
        <v>136</v>
      </c>
      <c r="I6">
        <v>1</v>
      </c>
      <c r="J6">
        <v>24</v>
      </c>
      <c r="L6" s="101" t="s">
        <v>141</v>
      </c>
      <c r="M6" t="s">
        <v>154</v>
      </c>
      <c r="N6">
        <v>16.8</v>
      </c>
      <c r="Q6">
        <v>32.799999999999997</v>
      </c>
      <c r="W6">
        <v>5.3</v>
      </c>
      <c r="X6">
        <v>5.4</v>
      </c>
      <c r="Y6">
        <v>51.3</v>
      </c>
      <c r="Z6">
        <v>15.5</v>
      </c>
      <c r="AA6">
        <v>31.8</v>
      </c>
      <c r="AB6">
        <v>9.6</v>
      </c>
    </row>
    <row r="7" spans="1:29">
      <c r="A7" s="101" t="s">
        <v>153</v>
      </c>
      <c r="B7" t="s">
        <v>152</v>
      </c>
      <c r="C7" s="101" t="s">
        <v>151</v>
      </c>
      <c r="D7" s="108">
        <v>42982</v>
      </c>
      <c r="F7" s="108">
        <v>43297</v>
      </c>
      <c r="G7" s="109" t="s">
        <v>375</v>
      </c>
      <c r="H7" t="s">
        <v>136</v>
      </c>
      <c r="I7">
        <v>2</v>
      </c>
      <c r="J7">
        <v>24</v>
      </c>
      <c r="L7" s="101" t="s">
        <v>141</v>
      </c>
      <c r="M7" t="s">
        <v>154</v>
      </c>
      <c r="N7">
        <v>16.8</v>
      </c>
      <c r="Q7">
        <v>32.21</v>
      </c>
      <c r="W7">
        <v>5.2</v>
      </c>
      <c r="X7">
        <v>5.3</v>
      </c>
      <c r="Y7">
        <v>51.4</v>
      </c>
      <c r="Z7">
        <v>15.7</v>
      </c>
      <c r="AA7">
        <v>32.299999999999997</v>
      </c>
      <c r="AB7">
        <v>10.199999999999999</v>
      </c>
    </row>
    <row r="8" spans="1:29">
      <c r="A8" s="101" t="s">
        <v>153</v>
      </c>
      <c r="B8" t="s">
        <v>152</v>
      </c>
      <c r="C8" s="101" t="s">
        <v>151</v>
      </c>
      <c r="D8" s="108">
        <v>42982</v>
      </c>
      <c r="F8" s="108">
        <v>43297</v>
      </c>
      <c r="G8" s="109" t="s">
        <v>376</v>
      </c>
      <c r="H8" t="s">
        <v>136</v>
      </c>
      <c r="I8">
        <v>1</v>
      </c>
      <c r="J8">
        <v>25</v>
      </c>
      <c r="L8" s="101" t="s">
        <v>142</v>
      </c>
      <c r="M8" t="s">
        <v>154</v>
      </c>
      <c r="N8">
        <v>16.8</v>
      </c>
      <c r="Q8">
        <v>29.7</v>
      </c>
      <c r="W8">
        <v>4.8</v>
      </c>
      <c r="X8">
        <v>5.4</v>
      </c>
      <c r="Y8">
        <v>49.4</v>
      </c>
      <c r="Z8">
        <v>18.3</v>
      </c>
      <c r="AA8">
        <v>36.200000000000003</v>
      </c>
      <c r="AB8">
        <v>18.8</v>
      </c>
    </row>
    <row r="9" spans="1:29">
      <c r="A9" s="101" t="s">
        <v>153</v>
      </c>
      <c r="B9" t="s">
        <v>152</v>
      </c>
      <c r="C9" s="101" t="s">
        <v>151</v>
      </c>
      <c r="D9" s="108">
        <v>42982</v>
      </c>
      <c r="F9" s="108">
        <v>43297</v>
      </c>
      <c r="G9" s="109" t="s">
        <v>377</v>
      </c>
      <c r="H9" t="s">
        <v>136</v>
      </c>
      <c r="I9">
        <v>2</v>
      </c>
      <c r="J9">
        <v>25</v>
      </c>
      <c r="L9" s="101" t="s">
        <v>142</v>
      </c>
      <c r="M9" t="s">
        <v>154</v>
      </c>
      <c r="N9">
        <v>16.8</v>
      </c>
      <c r="Q9">
        <v>31.15</v>
      </c>
      <c r="W9">
        <v>5.05</v>
      </c>
      <c r="X9">
        <v>5.7</v>
      </c>
      <c r="Y9">
        <v>49.7</v>
      </c>
      <c r="Z9">
        <v>18.600000000000001</v>
      </c>
      <c r="AA9">
        <v>37</v>
      </c>
      <c r="AB9">
        <v>14.4</v>
      </c>
    </row>
    <row r="10" spans="1:29">
      <c r="A10" s="101" t="s">
        <v>153</v>
      </c>
      <c r="B10" t="s">
        <v>152</v>
      </c>
      <c r="C10" s="101" t="s">
        <v>151</v>
      </c>
      <c r="D10" s="108">
        <v>42982</v>
      </c>
      <c r="F10" s="108">
        <v>43297</v>
      </c>
      <c r="G10" s="109" t="s">
        <v>378</v>
      </c>
      <c r="H10" t="s">
        <v>136</v>
      </c>
      <c r="I10">
        <v>1</v>
      </c>
      <c r="J10">
        <v>26</v>
      </c>
      <c r="L10" s="101" t="s">
        <v>143</v>
      </c>
      <c r="M10" t="s">
        <v>154</v>
      </c>
      <c r="N10">
        <v>16.8</v>
      </c>
      <c r="Q10">
        <v>33.07</v>
      </c>
      <c r="W10">
        <v>5.35</v>
      </c>
      <c r="X10">
        <v>5.5</v>
      </c>
      <c r="Y10">
        <v>52.9</v>
      </c>
      <c r="Z10">
        <v>15.4</v>
      </c>
      <c r="AA10">
        <v>32.700000000000003</v>
      </c>
      <c r="AB10">
        <v>8.6999999999999993</v>
      </c>
    </row>
    <row r="11" spans="1:29">
      <c r="A11" s="101" t="s">
        <v>153</v>
      </c>
      <c r="B11" t="s">
        <v>152</v>
      </c>
      <c r="C11" s="101" t="s">
        <v>151</v>
      </c>
      <c r="D11" s="108">
        <v>42982</v>
      </c>
      <c r="F11" s="108">
        <v>43297</v>
      </c>
      <c r="G11" s="109" t="s">
        <v>379</v>
      </c>
      <c r="H11" t="s">
        <v>136</v>
      </c>
      <c r="I11">
        <v>2</v>
      </c>
      <c r="J11">
        <v>26</v>
      </c>
      <c r="L11" s="101" t="s">
        <v>143</v>
      </c>
      <c r="M11" t="s">
        <v>154</v>
      </c>
      <c r="N11">
        <v>16.8</v>
      </c>
      <c r="Q11">
        <v>37.36</v>
      </c>
      <c r="W11">
        <v>6.05</v>
      </c>
      <c r="X11">
        <v>5.6</v>
      </c>
      <c r="Y11">
        <v>52.7</v>
      </c>
      <c r="Z11">
        <v>15.7</v>
      </c>
      <c r="AA11">
        <v>33.200000000000003</v>
      </c>
      <c r="AB11">
        <v>11.2</v>
      </c>
    </row>
    <row r="12" spans="1:29">
      <c r="A12" s="101" t="s">
        <v>153</v>
      </c>
      <c r="B12" t="s">
        <v>152</v>
      </c>
      <c r="C12" s="101" t="s">
        <v>151</v>
      </c>
      <c r="D12" s="108">
        <v>42982</v>
      </c>
      <c r="F12" s="108">
        <v>43297</v>
      </c>
      <c r="G12" s="109" t="s">
        <v>380</v>
      </c>
      <c r="H12" t="s">
        <v>136</v>
      </c>
      <c r="I12">
        <v>1</v>
      </c>
      <c r="J12">
        <v>27</v>
      </c>
      <c r="L12" s="101" t="s">
        <v>144</v>
      </c>
      <c r="M12" t="s">
        <v>154</v>
      </c>
      <c r="N12">
        <v>16.8</v>
      </c>
      <c r="Q12">
        <v>15.68</v>
      </c>
      <c r="W12">
        <v>2.5499999999999998</v>
      </c>
      <c r="X12">
        <v>6</v>
      </c>
      <c r="Y12">
        <v>50.3</v>
      </c>
      <c r="Z12">
        <v>16.899999999999999</v>
      </c>
      <c r="AA12">
        <v>34</v>
      </c>
      <c r="AB12">
        <v>8.6999999999999993</v>
      </c>
    </row>
    <row r="13" spans="1:29">
      <c r="A13" s="101" t="s">
        <v>153</v>
      </c>
      <c r="B13" t="s">
        <v>152</v>
      </c>
      <c r="C13" s="101" t="s">
        <v>151</v>
      </c>
      <c r="D13" s="108">
        <v>42982</v>
      </c>
      <c r="F13" s="108">
        <v>43297</v>
      </c>
      <c r="G13" s="109" t="s">
        <v>381</v>
      </c>
      <c r="H13" t="s">
        <v>136</v>
      </c>
      <c r="I13">
        <v>2</v>
      </c>
      <c r="J13">
        <v>27</v>
      </c>
      <c r="L13" s="101" t="s">
        <v>144</v>
      </c>
      <c r="M13" t="s">
        <v>154</v>
      </c>
      <c r="N13">
        <v>16.8</v>
      </c>
      <c r="Q13">
        <v>20.36</v>
      </c>
      <c r="W13">
        <v>3.3</v>
      </c>
      <c r="X13">
        <v>5.7</v>
      </c>
      <c r="Y13">
        <v>50.9</v>
      </c>
      <c r="Z13">
        <v>16.5</v>
      </c>
      <c r="AA13">
        <v>33.6</v>
      </c>
      <c r="AB13">
        <v>12.2</v>
      </c>
    </row>
    <row r="14" spans="1:29">
      <c r="A14" s="101" t="s">
        <v>153</v>
      </c>
      <c r="B14" t="s">
        <v>152</v>
      </c>
      <c r="C14" s="101" t="s">
        <v>151</v>
      </c>
      <c r="D14" s="108">
        <v>42982</v>
      </c>
      <c r="F14" s="108">
        <v>43297</v>
      </c>
      <c r="G14" s="109" t="s">
        <v>382</v>
      </c>
      <c r="H14" t="s">
        <v>136</v>
      </c>
      <c r="I14">
        <v>1</v>
      </c>
      <c r="J14">
        <v>28</v>
      </c>
      <c r="L14" s="101" t="s">
        <v>145</v>
      </c>
      <c r="M14" t="s">
        <v>154</v>
      </c>
      <c r="N14">
        <v>16.8</v>
      </c>
      <c r="Q14">
        <v>41.02</v>
      </c>
      <c r="W14">
        <v>6.65</v>
      </c>
      <c r="X14">
        <v>5.7</v>
      </c>
      <c r="Y14">
        <v>50</v>
      </c>
      <c r="Z14">
        <v>17.7</v>
      </c>
      <c r="AA14">
        <v>35.4</v>
      </c>
      <c r="AB14">
        <v>12.1</v>
      </c>
    </row>
    <row r="15" spans="1:29">
      <c r="A15" s="101" t="s">
        <v>153</v>
      </c>
      <c r="B15" t="s">
        <v>152</v>
      </c>
      <c r="C15" s="101" t="s">
        <v>151</v>
      </c>
      <c r="D15" s="108">
        <v>42982</v>
      </c>
      <c r="F15" s="108">
        <v>43297</v>
      </c>
      <c r="G15" s="109" t="s">
        <v>383</v>
      </c>
      <c r="H15" t="s">
        <v>136</v>
      </c>
      <c r="I15">
        <v>2</v>
      </c>
      <c r="J15">
        <v>28</v>
      </c>
      <c r="L15" s="101" t="s">
        <v>145</v>
      </c>
      <c r="M15" t="s">
        <v>154</v>
      </c>
      <c r="N15">
        <v>16.8</v>
      </c>
      <c r="Q15">
        <v>38.590000000000003</v>
      </c>
      <c r="W15">
        <v>6.25</v>
      </c>
      <c r="X15">
        <v>5.6</v>
      </c>
      <c r="Y15">
        <v>51</v>
      </c>
      <c r="Z15">
        <v>15.9</v>
      </c>
      <c r="AA15">
        <v>32.4</v>
      </c>
      <c r="AB15">
        <v>6.4</v>
      </c>
    </row>
    <row r="16" spans="1:29">
      <c r="A16" s="101" t="s">
        <v>153</v>
      </c>
      <c r="B16" t="s">
        <v>152</v>
      </c>
      <c r="C16" s="101" t="s">
        <v>151</v>
      </c>
      <c r="D16" s="108">
        <v>42982</v>
      </c>
      <c r="F16" s="108">
        <v>43297</v>
      </c>
      <c r="G16" s="109" t="s">
        <v>384</v>
      </c>
      <c r="H16" t="s">
        <v>136</v>
      </c>
      <c r="I16">
        <v>1</v>
      </c>
      <c r="J16">
        <v>29</v>
      </c>
      <c r="L16" s="101" t="s">
        <v>146</v>
      </c>
      <c r="M16" t="s">
        <v>154</v>
      </c>
      <c r="N16">
        <v>16.8</v>
      </c>
      <c r="Q16">
        <v>37.36</v>
      </c>
      <c r="W16">
        <v>6.05</v>
      </c>
      <c r="X16">
        <v>5.6</v>
      </c>
      <c r="Y16">
        <v>52</v>
      </c>
      <c r="Z16">
        <v>15.6</v>
      </c>
      <c r="AA16">
        <v>32.5</v>
      </c>
      <c r="AB16">
        <v>16.5</v>
      </c>
    </row>
    <row r="17" spans="1:28">
      <c r="A17" s="101" t="s">
        <v>153</v>
      </c>
      <c r="B17" t="s">
        <v>152</v>
      </c>
      <c r="C17" s="101" t="s">
        <v>151</v>
      </c>
      <c r="D17" s="108">
        <v>42982</v>
      </c>
      <c r="F17" s="108">
        <v>43297</v>
      </c>
      <c r="G17" s="109" t="s">
        <v>385</v>
      </c>
      <c r="H17" t="s">
        <v>136</v>
      </c>
      <c r="I17">
        <v>2</v>
      </c>
      <c r="J17">
        <v>29</v>
      </c>
      <c r="L17" s="101" t="s">
        <v>146</v>
      </c>
      <c r="M17" t="s">
        <v>154</v>
      </c>
      <c r="N17">
        <v>16.8</v>
      </c>
      <c r="Q17">
        <v>30.74</v>
      </c>
      <c r="W17">
        <v>5</v>
      </c>
      <c r="X17">
        <v>6</v>
      </c>
      <c r="Y17">
        <v>51.9</v>
      </c>
      <c r="Z17">
        <v>15</v>
      </c>
      <c r="AA17">
        <v>31.2</v>
      </c>
      <c r="AB17">
        <v>9.1</v>
      </c>
    </row>
    <row r="18" spans="1:28">
      <c r="A18" s="101" t="s">
        <v>153</v>
      </c>
      <c r="B18" t="s">
        <v>152</v>
      </c>
      <c r="C18" s="101" t="s">
        <v>151</v>
      </c>
      <c r="D18" s="108">
        <v>42982</v>
      </c>
      <c r="F18" s="108">
        <v>43297</v>
      </c>
      <c r="G18" s="109" t="s">
        <v>386</v>
      </c>
      <c r="H18" t="s">
        <v>136</v>
      </c>
      <c r="I18">
        <v>1</v>
      </c>
      <c r="J18">
        <v>30</v>
      </c>
      <c r="L18" s="101" t="s">
        <v>147</v>
      </c>
      <c r="M18" t="s">
        <v>154</v>
      </c>
      <c r="N18">
        <v>16.8</v>
      </c>
      <c r="Q18">
        <v>32.380000000000003</v>
      </c>
      <c r="W18">
        <v>5.25</v>
      </c>
      <c r="X18">
        <v>5.7</v>
      </c>
      <c r="Y18">
        <v>51.9</v>
      </c>
      <c r="Z18">
        <v>15</v>
      </c>
      <c r="AA18">
        <v>31.2</v>
      </c>
      <c r="AB18">
        <v>8.5</v>
      </c>
    </row>
    <row r="19" spans="1:28">
      <c r="A19" s="101" t="s">
        <v>153</v>
      </c>
      <c r="B19" t="s">
        <v>152</v>
      </c>
      <c r="C19" s="101" t="s">
        <v>151</v>
      </c>
      <c r="D19" s="108">
        <v>42982</v>
      </c>
      <c r="F19" s="108">
        <v>43297</v>
      </c>
      <c r="G19" s="109" t="s">
        <v>387</v>
      </c>
      <c r="H19" t="s">
        <v>136</v>
      </c>
      <c r="I19">
        <v>2</v>
      </c>
      <c r="J19">
        <v>30</v>
      </c>
      <c r="L19" s="101" t="s">
        <v>147</v>
      </c>
      <c r="M19" t="s">
        <v>154</v>
      </c>
      <c r="N19">
        <v>16.8</v>
      </c>
      <c r="Q19">
        <v>34.340000000000003</v>
      </c>
      <c r="W19">
        <v>5.55</v>
      </c>
      <c r="X19">
        <v>5.4</v>
      </c>
    </row>
    <row r="20" spans="1:28">
      <c r="A20" s="101" t="s">
        <v>153</v>
      </c>
      <c r="B20" t="s">
        <v>152</v>
      </c>
      <c r="C20" s="101" t="s">
        <v>151</v>
      </c>
      <c r="D20" s="108">
        <v>42982</v>
      </c>
      <c r="F20" s="108">
        <v>43297</v>
      </c>
      <c r="G20" s="109" t="s">
        <v>388</v>
      </c>
      <c r="H20" t="s">
        <v>136</v>
      </c>
      <c r="I20">
        <v>1</v>
      </c>
      <c r="J20">
        <v>31</v>
      </c>
      <c r="L20" s="101" t="s">
        <v>148</v>
      </c>
      <c r="M20" t="s">
        <v>154</v>
      </c>
      <c r="N20">
        <v>16.8</v>
      </c>
      <c r="Q20">
        <v>34.51</v>
      </c>
      <c r="W20">
        <v>5.6</v>
      </c>
      <c r="X20">
        <v>5.8</v>
      </c>
      <c r="Y20">
        <v>50.5</v>
      </c>
      <c r="Z20">
        <v>16.7</v>
      </c>
      <c r="AA20">
        <v>33.700000000000003</v>
      </c>
      <c r="AB20">
        <v>13.6</v>
      </c>
    </row>
    <row r="21" spans="1:28">
      <c r="A21" s="101" t="s">
        <v>153</v>
      </c>
      <c r="B21" t="s">
        <v>152</v>
      </c>
      <c r="C21" s="101" t="s">
        <v>151</v>
      </c>
      <c r="D21" s="108">
        <v>42982</v>
      </c>
      <c r="F21" s="108">
        <v>43297</v>
      </c>
      <c r="G21" s="109" t="s">
        <v>389</v>
      </c>
      <c r="H21" t="s">
        <v>136</v>
      </c>
      <c r="I21">
        <v>2</v>
      </c>
      <c r="J21">
        <v>31</v>
      </c>
      <c r="L21" s="101" t="s">
        <v>148</v>
      </c>
      <c r="M21" t="s">
        <v>154</v>
      </c>
      <c r="N21">
        <v>16.8</v>
      </c>
      <c r="Q21">
        <v>34.200000000000003</v>
      </c>
      <c r="W21">
        <v>5.55</v>
      </c>
      <c r="X21">
        <v>5.8</v>
      </c>
      <c r="Y21">
        <v>52.3</v>
      </c>
      <c r="Z21">
        <v>15.2</v>
      </c>
      <c r="AA21">
        <v>31.9</v>
      </c>
      <c r="AB21">
        <v>12.1</v>
      </c>
    </row>
    <row r="22" spans="1:28">
      <c r="A22" s="101" t="s">
        <v>153</v>
      </c>
      <c r="B22" t="s">
        <v>152</v>
      </c>
      <c r="C22" s="101" t="s">
        <v>151</v>
      </c>
      <c r="D22" s="108">
        <v>42982</v>
      </c>
      <c r="F22" s="108">
        <v>43297</v>
      </c>
      <c r="G22" s="109" t="s">
        <v>390</v>
      </c>
      <c r="H22" t="s">
        <v>136</v>
      </c>
      <c r="I22">
        <v>1</v>
      </c>
      <c r="J22">
        <v>32</v>
      </c>
      <c r="L22" s="101" t="s">
        <v>149</v>
      </c>
      <c r="M22" t="s">
        <v>154</v>
      </c>
      <c r="N22">
        <v>16.8</v>
      </c>
      <c r="Q22">
        <v>31.52</v>
      </c>
      <c r="W22">
        <v>5.0999999999999996</v>
      </c>
      <c r="X22">
        <v>5.5</v>
      </c>
      <c r="Y22">
        <v>50.7</v>
      </c>
      <c r="Z22">
        <v>16.600000000000001</v>
      </c>
      <c r="AA22">
        <v>33.700000000000003</v>
      </c>
      <c r="AB22">
        <v>14.8</v>
      </c>
    </row>
    <row r="23" spans="1:28">
      <c r="A23" s="101" t="s">
        <v>153</v>
      </c>
      <c r="B23" t="s">
        <v>152</v>
      </c>
      <c r="C23" s="101" t="s">
        <v>151</v>
      </c>
      <c r="D23" s="108">
        <v>42982</v>
      </c>
      <c r="F23" s="108">
        <v>43297</v>
      </c>
      <c r="G23" s="109" t="s">
        <v>391</v>
      </c>
      <c r="H23" t="s">
        <v>136</v>
      </c>
      <c r="I23">
        <v>2</v>
      </c>
      <c r="J23">
        <v>32</v>
      </c>
      <c r="L23" s="101" t="s">
        <v>149</v>
      </c>
      <c r="M23" t="s">
        <v>154</v>
      </c>
      <c r="N23">
        <v>16.8</v>
      </c>
      <c r="Q23">
        <v>35.159999999999997</v>
      </c>
      <c r="W23">
        <v>5.7</v>
      </c>
      <c r="X23">
        <v>5.7</v>
      </c>
      <c r="Y23">
        <v>52.1</v>
      </c>
      <c r="Z23">
        <v>15</v>
      </c>
      <c r="AA23">
        <v>31.3</v>
      </c>
      <c r="AB23">
        <v>9.1</v>
      </c>
    </row>
    <row r="24" spans="1:28">
      <c r="A24" s="101" t="s">
        <v>153</v>
      </c>
      <c r="B24" t="s">
        <v>152</v>
      </c>
      <c r="C24" s="101" t="s">
        <v>151</v>
      </c>
      <c r="D24" s="108">
        <v>42982</v>
      </c>
      <c r="F24" s="108">
        <v>43297</v>
      </c>
      <c r="G24" s="109" t="s">
        <v>392</v>
      </c>
      <c r="H24" t="s">
        <v>136</v>
      </c>
      <c r="I24">
        <v>1</v>
      </c>
      <c r="J24">
        <v>33</v>
      </c>
      <c r="L24" s="101" t="s">
        <v>150</v>
      </c>
      <c r="M24" t="s">
        <v>154</v>
      </c>
      <c r="N24">
        <v>16.8</v>
      </c>
      <c r="Q24">
        <v>35.35</v>
      </c>
      <c r="W24">
        <v>5.75</v>
      </c>
      <c r="X24">
        <v>6</v>
      </c>
      <c r="Y24">
        <v>50.2</v>
      </c>
      <c r="Z24">
        <v>16.3</v>
      </c>
      <c r="AA24">
        <v>32.700000000000003</v>
      </c>
      <c r="AB24">
        <v>16.399999999999999</v>
      </c>
    </row>
    <row r="25" spans="1:28">
      <c r="A25" s="101" t="s">
        <v>153</v>
      </c>
      <c r="B25" t="s">
        <v>152</v>
      </c>
      <c r="C25" s="101" t="s">
        <v>151</v>
      </c>
      <c r="D25" s="108">
        <v>42982</v>
      </c>
      <c r="F25" s="108">
        <v>43297</v>
      </c>
      <c r="G25" s="109" t="s">
        <v>393</v>
      </c>
      <c r="H25" t="s">
        <v>136</v>
      </c>
      <c r="I25">
        <v>2</v>
      </c>
      <c r="J25">
        <v>33</v>
      </c>
      <c r="L25" s="101" t="s">
        <v>150</v>
      </c>
      <c r="M25" t="s">
        <v>154</v>
      </c>
      <c r="N25">
        <v>16.8</v>
      </c>
      <c r="Q25">
        <v>32.9</v>
      </c>
      <c r="W25">
        <v>5.35</v>
      </c>
      <c r="X25">
        <v>6</v>
      </c>
      <c r="Y25">
        <v>50.4</v>
      </c>
      <c r="Z25">
        <v>15.8</v>
      </c>
      <c r="AA25">
        <v>31.9</v>
      </c>
      <c r="AB25">
        <v>11.5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9"/>
  </sheetPr>
  <dimension ref="A1:F335"/>
  <sheetViews>
    <sheetView workbookViewId="0">
      <selection activeCell="I31" sqref="I31"/>
    </sheetView>
  </sheetViews>
  <sheetFormatPr baseColWidth="10" defaultRowHeight="15"/>
  <cols>
    <col min="4" max="4" width="12.42578125" customWidth="1"/>
    <col min="5" max="5" width="14.5703125" customWidth="1"/>
    <col min="6" max="6" width="18.28515625" customWidth="1"/>
  </cols>
  <sheetData>
    <row r="1" spans="1:6" ht="45">
      <c r="A1" s="106" t="s">
        <v>368</v>
      </c>
      <c r="B1" s="106" t="s">
        <v>367</v>
      </c>
      <c r="C1" s="106" t="s">
        <v>168</v>
      </c>
      <c r="D1" s="106" t="s">
        <v>366</v>
      </c>
      <c r="E1" s="106" t="s">
        <v>365</v>
      </c>
      <c r="F1" s="106" t="s">
        <v>369</v>
      </c>
    </row>
    <row r="2" spans="1:6">
      <c r="A2">
        <v>2017</v>
      </c>
      <c r="B2" t="s">
        <v>199</v>
      </c>
      <c r="C2" t="s">
        <v>169</v>
      </c>
      <c r="D2">
        <v>20.9</v>
      </c>
      <c r="E2">
        <v>8.8000000000000007</v>
      </c>
      <c r="F2">
        <v>0</v>
      </c>
    </row>
    <row r="3" spans="1:6">
      <c r="A3">
        <v>2017</v>
      </c>
      <c r="B3" t="s">
        <v>199</v>
      </c>
      <c r="C3" t="s">
        <v>170</v>
      </c>
      <c r="D3">
        <v>20.8</v>
      </c>
      <c r="E3">
        <v>11</v>
      </c>
      <c r="F3">
        <v>0.2</v>
      </c>
    </row>
    <row r="4" spans="1:6">
      <c r="A4">
        <v>2017</v>
      </c>
      <c r="B4" t="s">
        <v>199</v>
      </c>
      <c r="C4" t="s">
        <v>171</v>
      </c>
      <c r="D4">
        <v>20.9</v>
      </c>
      <c r="E4">
        <v>5.8</v>
      </c>
      <c r="F4">
        <v>0.2</v>
      </c>
    </row>
    <row r="5" spans="1:6">
      <c r="A5">
        <v>2017</v>
      </c>
      <c r="B5" t="s">
        <v>199</v>
      </c>
      <c r="C5" t="s">
        <v>172</v>
      </c>
      <c r="D5">
        <v>24.7</v>
      </c>
      <c r="E5">
        <v>14.2</v>
      </c>
      <c r="F5">
        <v>0</v>
      </c>
    </row>
    <row r="6" spans="1:6">
      <c r="A6">
        <v>2017</v>
      </c>
      <c r="B6" t="s">
        <v>199</v>
      </c>
      <c r="C6" t="s">
        <v>173</v>
      </c>
      <c r="D6">
        <v>24.8</v>
      </c>
      <c r="E6">
        <v>15.3</v>
      </c>
      <c r="F6">
        <v>0</v>
      </c>
    </row>
    <row r="7" spans="1:6">
      <c r="A7">
        <v>2017</v>
      </c>
      <c r="B7" t="s">
        <v>199</v>
      </c>
      <c r="C7" t="s">
        <v>174</v>
      </c>
      <c r="D7">
        <v>20</v>
      </c>
      <c r="E7">
        <v>14</v>
      </c>
      <c r="F7">
        <v>0</v>
      </c>
    </row>
    <row r="8" spans="1:6">
      <c r="A8">
        <v>2017</v>
      </c>
      <c r="B8" t="s">
        <v>199</v>
      </c>
      <c r="C8" t="s">
        <v>175</v>
      </c>
      <c r="D8">
        <v>19</v>
      </c>
      <c r="E8">
        <v>9.9</v>
      </c>
      <c r="F8">
        <v>0</v>
      </c>
    </row>
    <row r="9" spans="1:6">
      <c r="A9">
        <v>2017</v>
      </c>
      <c r="B9" t="s">
        <v>199</v>
      </c>
      <c r="C9" t="s">
        <v>176</v>
      </c>
      <c r="D9">
        <v>18.3</v>
      </c>
      <c r="E9">
        <v>10.3</v>
      </c>
      <c r="F9">
        <v>16.100000000000001</v>
      </c>
    </row>
    <row r="10" spans="1:6">
      <c r="A10">
        <v>2017</v>
      </c>
      <c r="B10" t="s">
        <v>199</v>
      </c>
      <c r="C10" t="s">
        <v>177</v>
      </c>
      <c r="D10">
        <v>18.399999999999999</v>
      </c>
      <c r="E10">
        <v>12.2</v>
      </c>
      <c r="F10">
        <v>5.4</v>
      </c>
    </row>
    <row r="11" spans="1:6">
      <c r="A11">
        <v>2017</v>
      </c>
      <c r="B11" t="s">
        <v>199</v>
      </c>
      <c r="C11" t="s">
        <v>178</v>
      </c>
      <c r="D11">
        <v>15.9</v>
      </c>
      <c r="E11">
        <v>6.9</v>
      </c>
      <c r="F11">
        <v>1.6</v>
      </c>
    </row>
    <row r="12" spans="1:6">
      <c r="A12">
        <v>2017</v>
      </c>
      <c r="B12" t="s">
        <v>199</v>
      </c>
      <c r="C12" t="s">
        <v>179</v>
      </c>
      <c r="D12">
        <v>18.399999999999999</v>
      </c>
      <c r="E12">
        <v>12.2</v>
      </c>
      <c r="F12">
        <v>0</v>
      </c>
    </row>
    <row r="13" spans="1:6">
      <c r="A13">
        <v>2017</v>
      </c>
      <c r="B13" t="s">
        <v>199</v>
      </c>
      <c r="C13" t="s">
        <v>180</v>
      </c>
      <c r="D13">
        <v>18.399999999999999</v>
      </c>
      <c r="E13">
        <v>11.4</v>
      </c>
      <c r="F13">
        <v>0.6</v>
      </c>
    </row>
    <row r="14" spans="1:6">
      <c r="A14">
        <v>2017</v>
      </c>
      <c r="B14" t="s">
        <v>199</v>
      </c>
      <c r="C14" t="s">
        <v>181</v>
      </c>
      <c r="D14">
        <v>18.399999999999999</v>
      </c>
      <c r="E14">
        <v>11</v>
      </c>
      <c r="F14">
        <v>61.5</v>
      </c>
    </row>
    <row r="15" spans="1:6">
      <c r="A15">
        <v>2017</v>
      </c>
      <c r="B15" t="s">
        <v>199</v>
      </c>
      <c r="C15" t="s">
        <v>182</v>
      </c>
      <c r="D15">
        <v>15.8</v>
      </c>
      <c r="E15">
        <v>10.4</v>
      </c>
      <c r="F15">
        <v>1</v>
      </c>
    </row>
    <row r="16" spans="1:6">
      <c r="A16">
        <v>2017</v>
      </c>
      <c r="B16" t="s">
        <v>199</v>
      </c>
      <c r="C16" t="s">
        <v>183</v>
      </c>
      <c r="D16">
        <v>17.2</v>
      </c>
      <c r="E16">
        <v>8.1999999999999993</v>
      </c>
      <c r="F16">
        <v>0.2</v>
      </c>
    </row>
    <row r="17" spans="1:6">
      <c r="A17">
        <v>2017</v>
      </c>
      <c r="B17" t="s">
        <v>199</v>
      </c>
      <c r="C17" t="s">
        <v>184</v>
      </c>
      <c r="D17">
        <v>15.5</v>
      </c>
      <c r="E17">
        <v>4.8</v>
      </c>
      <c r="F17">
        <v>0</v>
      </c>
    </row>
    <row r="18" spans="1:6">
      <c r="A18">
        <v>2017</v>
      </c>
      <c r="B18" t="s">
        <v>199</v>
      </c>
      <c r="C18" t="s">
        <v>185</v>
      </c>
      <c r="D18">
        <v>14.1</v>
      </c>
      <c r="E18">
        <v>5.2</v>
      </c>
      <c r="F18">
        <v>10.3</v>
      </c>
    </row>
    <row r="19" spans="1:6">
      <c r="A19">
        <v>2017</v>
      </c>
      <c r="B19" t="s">
        <v>199</v>
      </c>
      <c r="C19" t="s">
        <v>186</v>
      </c>
      <c r="D19">
        <v>15.5</v>
      </c>
      <c r="E19">
        <v>6</v>
      </c>
      <c r="F19">
        <v>0.8</v>
      </c>
    </row>
    <row r="20" spans="1:6">
      <c r="A20">
        <v>2017</v>
      </c>
      <c r="B20" t="s">
        <v>199</v>
      </c>
      <c r="C20" t="s">
        <v>187</v>
      </c>
      <c r="D20">
        <v>16.100000000000001</v>
      </c>
      <c r="E20">
        <v>6.7</v>
      </c>
      <c r="F20">
        <v>8.1</v>
      </c>
    </row>
    <row r="21" spans="1:6">
      <c r="A21">
        <v>2017</v>
      </c>
      <c r="B21" t="s">
        <v>199</v>
      </c>
      <c r="C21" t="s">
        <v>188</v>
      </c>
      <c r="D21">
        <v>17.5</v>
      </c>
      <c r="E21">
        <v>4.8</v>
      </c>
      <c r="F21">
        <v>0</v>
      </c>
    </row>
    <row r="22" spans="1:6">
      <c r="A22">
        <v>2017</v>
      </c>
      <c r="B22" t="s">
        <v>199</v>
      </c>
      <c r="C22" t="s">
        <v>189</v>
      </c>
      <c r="D22">
        <v>20.100000000000001</v>
      </c>
      <c r="E22">
        <v>6.8</v>
      </c>
      <c r="F22">
        <v>0</v>
      </c>
    </row>
    <row r="23" spans="1:6">
      <c r="A23">
        <v>2017</v>
      </c>
      <c r="B23" t="s">
        <v>199</v>
      </c>
      <c r="C23" t="s">
        <v>190</v>
      </c>
      <c r="D23">
        <v>21.1</v>
      </c>
      <c r="E23">
        <v>6.5</v>
      </c>
      <c r="F23">
        <v>0.4</v>
      </c>
    </row>
    <row r="24" spans="1:6">
      <c r="A24">
        <v>2017</v>
      </c>
      <c r="B24" t="s">
        <v>199</v>
      </c>
      <c r="C24" t="s">
        <v>191</v>
      </c>
      <c r="D24">
        <v>19.8</v>
      </c>
      <c r="E24">
        <v>7.6</v>
      </c>
      <c r="F24">
        <v>0.2</v>
      </c>
    </row>
    <row r="25" spans="1:6">
      <c r="A25">
        <v>2017</v>
      </c>
      <c r="B25" t="s">
        <v>199</v>
      </c>
      <c r="C25" t="s">
        <v>192</v>
      </c>
      <c r="D25">
        <v>21.8</v>
      </c>
      <c r="E25">
        <v>7.1</v>
      </c>
      <c r="F25">
        <v>0</v>
      </c>
    </row>
    <row r="26" spans="1:6">
      <c r="A26">
        <v>2017</v>
      </c>
      <c r="B26" t="s">
        <v>199</v>
      </c>
      <c r="C26" t="s">
        <v>193</v>
      </c>
      <c r="D26">
        <v>20.8</v>
      </c>
      <c r="E26">
        <v>8.5</v>
      </c>
      <c r="F26">
        <v>0.4</v>
      </c>
    </row>
    <row r="27" spans="1:6">
      <c r="A27">
        <v>2017</v>
      </c>
      <c r="B27" t="s">
        <v>199</v>
      </c>
      <c r="C27" t="s">
        <v>194</v>
      </c>
      <c r="D27">
        <v>20.2</v>
      </c>
      <c r="E27">
        <v>13.1</v>
      </c>
      <c r="F27">
        <v>0.8</v>
      </c>
    </row>
    <row r="28" spans="1:6">
      <c r="A28">
        <v>2017</v>
      </c>
      <c r="B28" t="s">
        <v>199</v>
      </c>
      <c r="C28" t="s">
        <v>195</v>
      </c>
      <c r="D28">
        <v>21.1</v>
      </c>
      <c r="E28">
        <v>7.8</v>
      </c>
      <c r="F28">
        <v>0.2</v>
      </c>
    </row>
    <row r="29" spans="1:6">
      <c r="A29">
        <v>2017</v>
      </c>
      <c r="B29" t="s">
        <v>199</v>
      </c>
      <c r="C29" t="s">
        <v>196</v>
      </c>
      <c r="D29">
        <v>21.7</v>
      </c>
      <c r="E29">
        <v>12.2</v>
      </c>
      <c r="F29">
        <v>1.8</v>
      </c>
    </row>
    <row r="30" spans="1:6">
      <c r="A30">
        <v>2017</v>
      </c>
      <c r="B30" t="s">
        <v>199</v>
      </c>
      <c r="C30" t="s">
        <v>197</v>
      </c>
      <c r="D30">
        <v>24.8</v>
      </c>
      <c r="E30">
        <v>14.2</v>
      </c>
      <c r="F30">
        <v>8.5</v>
      </c>
    </row>
    <row r="31" spans="1:6">
      <c r="A31">
        <v>2017</v>
      </c>
      <c r="B31" t="s">
        <v>199</v>
      </c>
      <c r="C31" t="s">
        <v>198</v>
      </c>
      <c r="D31">
        <v>16.2</v>
      </c>
      <c r="E31">
        <v>12.4</v>
      </c>
      <c r="F31">
        <v>10.5</v>
      </c>
    </row>
    <row r="32" spans="1:6">
      <c r="A32">
        <v>2017</v>
      </c>
      <c r="B32" t="s">
        <v>231</v>
      </c>
      <c r="C32" t="s">
        <v>200</v>
      </c>
      <c r="D32">
        <v>16.8</v>
      </c>
      <c r="E32">
        <v>8.5</v>
      </c>
      <c r="F32">
        <v>0.4</v>
      </c>
    </row>
    <row r="33" spans="1:6">
      <c r="A33">
        <v>2017</v>
      </c>
      <c r="B33" t="s">
        <v>231</v>
      </c>
      <c r="C33" t="s">
        <v>201</v>
      </c>
      <c r="D33">
        <v>18.100000000000001</v>
      </c>
      <c r="E33">
        <v>13.5</v>
      </c>
      <c r="F33">
        <v>6.9</v>
      </c>
    </row>
    <row r="34" spans="1:6">
      <c r="A34">
        <v>2017</v>
      </c>
      <c r="B34" t="s">
        <v>231</v>
      </c>
      <c r="C34" t="s">
        <v>202</v>
      </c>
      <c r="D34">
        <v>16.2</v>
      </c>
      <c r="E34">
        <v>10.199999999999999</v>
      </c>
      <c r="F34">
        <v>0</v>
      </c>
    </row>
    <row r="35" spans="1:6">
      <c r="A35">
        <v>2017</v>
      </c>
      <c r="B35" t="s">
        <v>231</v>
      </c>
      <c r="C35" t="s">
        <v>203</v>
      </c>
      <c r="D35">
        <v>17.100000000000001</v>
      </c>
      <c r="E35">
        <v>5.9</v>
      </c>
      <c r="F35">
        <v>0.2</v>
      </c>
    </row>
    <row r="36" spans="1:6">
      <c r="A36">
        <v>2017</v>
      </c>
      <c r="B36" t="s">
        <v>231</v>
      </c>
      <c r="C36" t="s">
        <v>204</v>
      </c>
      <c r="D36">
        <v>15.1</v>
      </c>
      <c r="E36">
        <v>7.2</v>
      </c>
      <c r="F36">
        <v>1.6</v>
      </c>
    </row>
    <row r="37" spans="1:6">
      <c r="A37">
        <v>2017</v>
      </c>
      <c r="B37" t="s">
        <v>231</v>
      </c>
      <c r="C37" t="s">
        <v>205</v>
      </c>
      <c r="D37">
        <v>14.6</v>
      </c>
      <c r="E37">
        <v>4.7</v>
      </c>
      <c r="F37">
        <v>0.2</v>
      </c>
    </row>
    <row r="38" spans="1:6">
      <c r="A38">
        <v>2017</v>
      </c>
      <c r="B38" t="s">
        <v>231</v>
      </c>
      <c r="C38" t="s">
        <v>206</v>
      </c>
      <c r="D38">
        <v>15</v>
      </c>
      <c r="E38">
        <v>1.8</v>
      </c>
      <c r="F38">
        <v>1</v>
      </c>
    </row>
    <row r="39" spans="1:6">
      <c r="A39">
        <v>2017</v>
      </c>
      <c r="B39" t="s">
        <v>231</v>
      </c>
      <c r="C39" t="s">
        <v>207</v>
      </c>
      <c r="D39">
        <v>15.5</v>
      </c>
      <c r="E39">
        <v>10.4</v>
      </c>
      <c r="F39">
        <v>2.4</v>
      </c>
    </row>
    <row r="40" spans="1:6">
      <c r="A40">
        <v>2017</v>
      </c>
      <c r="B40" t="s">
        <v>231</v>
      </c>
      <c r="C40" t="s">
        <v>208</v>
      </c>
      <c r="D40">
        <v>17.600000000000001</v>
      </c>
      <c r="E40">
        <v>9.6999999999999993</v>
      </c>
      <c r="F40">
        <v>1.2</v>
      </c>
    </row>
    <row r="41" spans="1:6">
      <c r="A41">
        <v>2017</v>
      </c>
      <c r="B41" t="s">
        <v>231</v>
      </c>
      <c r="C41" t="s">
        <v>209</v>
      </c>
      <c r="D41">
        <v>16.100000000000001</v>
      </c>
      <c r="E41">
        <v>9.6999999999999993</v>
      </c>
      <c r="F41">
        <v>0</v>
      </c>
    </row>
    <row r="42" spans="1:6">
      <c r="A42">
        <v>2017</v>
      </c>
      <c r="B42" t="s">
        <v>231</v>
      </c>
      <c r="C42" t="s">
        <v>210</v>
      </c>
      <c r="D42">
        <v>19.2</v>
      </c>
      <c r="E42">
        <v>8.6</v>
      </c>
      <c r="F42">
        <v>0</v>
      </c>
    </row>
    <row r="43" spans="1:6">
      <c r="A43">
        <v>2017</v>
      </c>
      <c r="B43" t="s">
        <v>231</v>
      </c>
      <c r="C43" t="s">
        <v>211</v>
      </c>
      <c r="D43">
        <v>19.5</v>
      </c>
      <c r="E43">
        <v>11.7</v>
      </c>
      <c r="F43">
        <v>0.4</v>
      </c>
    </row>
    <row r="44" spans="1:6">
      <c r="A44">
        <v>2017</v>
      </c>
      <c r="B44" t="s">
        <v>231</v>
      </c>
      <c r="C44" t="s">
        <v>212</v>
      </c>
      <c r="D44">
        <v>20.9</v>
      </c>
      <c r="E44">
        <v>9.5</v>
      </c>
      <c r="F44">
        <v>0.2</v>
      </c>
    </row>
    <row r="45" spans="1:6">
      <c r="A45">
        <v>2017</v>
      </c>
      <c r="B45" t="s">
        <v>231</v>
      </c>
      <c r="C45" t="s">
        <v>213</v>
      </c>
      <c r="D45">
        <v>22.5</v>
      </c>
      <c r="E45">
        <v>7.4</v>
      </c>
      <c r="F45">
        <v>0.2</v>
      </c>
    </row>
    <row r="46" spans="1:6">
      <c r="A46">
        <v>2017</v>
      </c>
      <c r="B46" t="s">
        <v>231</v>
      </c>
      <c r="C46" t="s">
        <v>214</v>
      </c>
      <c r="D46">
        <v>22.3</v>
      </c>
      <c r="E46">
        <v>10</v>
      </c>
      <c r="F46">
        <v>0</v>
      </c>
    </row>
    <row r="47" spans="1:6">
      <c r="A47">
        <v>2017</v>
      </c>
      <c r="B47" t="s">
        <v>231</v>
      </c>
      <c r="C47" t="s">
        <v>215</v>
      </c>
      <c r="D47">
        <v>23.6</v>
      </c>
      <c r="E47">
        <v>11.8</v>
      </c>
      <c r="F47">
        <v>0</v>
      </c>
    </row>
    <row r="48" spans="1:6">
      <c r="A48">
        <v>2017</v>
      </c>
      <c r="B48" t="s">
        <v>231</v>
      </c>
      <c r="C48" t="s">
        <v>216</v>
      </c>
      <c r="D48">
        <v>23.4</v>
      </c>
      <c r="E48">
        <v>11.3</v>
      </c>
      <c r="F48">
        <v>0</v>
      </c>
    </row>
    <row r="49" spans="1:6">
      <c r="A49">
        <v>2017</v>
      </c>
      <c r="B49" t="s">
        <v>231</v>
      </c>
      <c r="C49" t="s">
        <v>217</v>
      </c>
      <c r="D49">
        <v>21</v>
      </c>
      <c r="E49">
        <v>9</v>
      </c>
      <c r="F49">
        <v>0</v>
      </c>
    </row>
    <row r="50" spans="1:6">
      <c r="A50">
        <v>2017</v>
      </c>
      <c r="B50" t="s">
        <v>231</v>
      </c>
      <c r="C50" t="s">
        <v>218</v>
      </c>
      <c r="D50">
        <v>22.9</v>
      </c>
      <c r="E50">
        <v>10.4</v>
      </c>
      <c r="F50">
        <v>0.8</v>
      </c>
    </row>
    <row r="51" spans="1:6">
      <c r="A51">
        <v>2017</v>
      </c>
      <c r="B51" t="s">
        <v>231</v>
      </c>
      <c r="C51" t="s">
        <v>219</v>
      </c>
      <c r="D51">
        <v>16.100000000000001</v>
      </c>
      <c r="E51">
        <v>9.6999999999999993</v>
      </c>
      <c r="F51">
        <v>0.4</v>
      </c>
    </row>
    <row r="52" spans="1:6">
      <c r="A52">
        <v>2017</v>
      </c>
      <c r="B52" t="s">
        <v>231</v>
      </c>
      <c r="C52" t="s">
        <v>220</v>
      </c>
      <c r="D52">
        <v>15.4</v>
      </c>
      <c r="E52">
        <v>7.9</v>
      </c>
      <c r="F52">
        <v>1.2</v>
      </c>
    </row>
    <row r="53" spans="1:6">
      <c r="A53">
        <v>2017</v>
      </c>
      <c r="B53" t="s">
        <v>231</v>
      </c>
      <c r="C53" t="s">
        <v>221</v>
      </c>
      <c r="D53">
        <v>13.2</v>
      </c>
      <c r="E53">
        <v>7.7</v>
      </c>
      <c r="F53">
        <v>3.2</v>
      </c>
    </row>
    <row r="54" spans="1:6">
      <c r="A54">
        <v>2017</v>
      </c>
      <c r="B54" t="s">
        <v>231</v>
      </c>
      <c r="C54" t="s">
        <v>222</v>
      </c>
      <c r="D54">
        <v>12.4</v>
      </c>
      <c r="E54">
        <v>8.1999999999999993</v>
      </c>
      <c r="F54">
        <v>0.4</v>
      </c>
    </row>
    <row r="55" spans="1:6">
      <c r="A55">
        <v>2017</v>
      </c>
      <c r="B55" t="s">
        <v>231</v>
      </c>
      <c r="C55" t="s">
        <v>223</v>
      </c>
      <c r="D55">
        <v>15.4</v>
      </c>
      <c r="E55">
        <v>11.5</v>
      </c>
      <c r="F55">
        <v>1</v>
      </c>
    </row>
    <row r="56" spans="1:6">
      <c r="A56">
        <v>2017</v>
      </c>
      <c r="B56" t="s">
        <v>231</v>
      </c>
      <c r="C56" t="s">
        <v>224</v>
      </c>
      <c r="D56">
        <v>15.8</v>
      </c>
      <c r="E56">
        <v>12</v>
      </c>
      <c r="F56">
        <v>0.4</v>
      </c>
    </row>
    <row r="57" spans="1:6">
      <c r="A57">
        <v>2017</v>
      </c>
      <c r="B57" t="s">
        <v>231</v>
      </c>
      <c r="C57" t="s">
        <v>225</v>
      </c>
      <c r="D57">
        <v>13.7</v>
      </c>
      <c r="E57">
        <v>8.4</v>
      </c>
      <c r="F57">
        <v>0.4</v>
      </c>
    </row>
    <row r="58" spans="1:6">
      <c r="A58">
        <v>2017</v>
      </c>
      <c r="B58" t="s">
        <v>231</v>
      </c>
      <c r="C58" t="s">
        <v>226</v>
      </c>
      <c r="D58">
        <v>15</v>
      </c>
      <c r="E58">
        <v>8.6999999999999993</v>
      </c>
      <c r="F58">
        <v>0.8</v>
      </c>
    </row>
    <row r="59" spans="1:6">
      <c r="A59">
        <v>2017</v>
      </c>
      <c r="B59" t="s">
        <v>231</v>
      </c>
      <c r="C59" t="s">
        <v>227</v>
      </c>
      <c r="D59">
        <v>12.5</v>
      </c>
      <c r="E59">
        <v>3.2</v>
      </c>
      <c r="F59">
        <v>0</v>
      </c>
    </row>
    <row r="60" spans="1:6">
      <c r="A60">
        <v>2017</v>
      </c>
      <c r="B60" t="s">
        <v>231</v>
      </c>
      <c r="C60" t="s">
        <v>228</v>
      </c>
      <c r="D60">
        <v>14.5</v>
      </c>
      <c r="E60">
        <v>7.4</v>
      </c>
      <c r="F60">
        <v>2</v>
      </c>
    </row>
    <row r="61" spans="1:6">
      <c r="A61">
        <v>2017</v>
      </c>
      <c r="B61" t="s">
        <v>231</v>
      </c>
      <c r="C61" t="s">
        <v>229</v>
      </c>
      <c r="D61">
        <v>10.6</v>
      </c>
      <c r="E61">
        <v>2.2999999999999998</v>
      </c>
      <c r="F61">
        <v>0.2</v>
      </c>
    </row>
    <row r="62" spans="1:6">
      <c r="A62">
        <v>2017</v>
      </c>
      <c r="B62" t="s">
        <v>231</v>
      </c>
      <c r="C62" t="s">
        <v>230</v>
      </c>
      <c r="D62">
        <v>11.3</v>
      </c>
      <c r="E62">
        <v>0.4</v>
      </c>
      <c r="F62">
        <v>0.2</v>
      </c>
    </row>
    <row r="63" spans="1:6">
      <c r="A63">
        <v>2017</v>
      </c>
      <c r="B63" t="s">
        <v>262</v>
      </c>
      <c r="C63" t="s">
        <v>232</v>
      </c>
      <c r="D63">
        <v>15.5</v>
      </c>
      <c r="E63">
        <v>2.9</v>
      </c>
      <c r="F63">
        <v>0</v>
      </c>
    </row>
    <row r="64" spans="1:6">
      <c r="A64">
        <v>2017</v>
      </c>
      <c r="B64" t="s">
        <v>262</v>
      </c>
      <c r="C64" t="s">
        <v>233</v>
      </c>
      <c r="D64">
        <v>11.9</v>
      </c>
      <c r="E64">
        <v>4.9000000000000004</v>
      </c>
      <c r="F64">
        <v>0</v>
      </c>
    </row>
    <row r="65" spans="1:6">
      <c r="A65">
        <v>2017</v>
      </c>
      <c r="B65" t="s">
        <v>262</v>
      </c>
      <c r="C65" t="s">
        <v>234</v>
      </c>
      <c r="D65">
        <v>14.5</v>
      </c>
      <c r="E65">
        <v>6.2</v>
      </c>
      <c r="F65">
        <v>0</v>
      </c>
    </row>
    <row r="66" spans="1:6">
      <c r="A66">
        <v>2017</v>
      </c>
      <c r="B66" t="s">
        <v>262</v>
      </c>
      <c r="C66" t="s">
        <v>235</v>
      </c>
      <c r="D66">
        <v>17.600000000000001</v>
      </c>
      <c r="E66">
        <v>6.8</v>
      </c>
      <c r="F66">
        <v>3.8</v>
      </c>
    </row>
    <row r="67" spans="1:6">
      <c r="A67">
        <v>2017</v>
      </c>
      <c r="B67" t="s">
        <v>262</v>
      </c>
      <c r="C67" t="s">
        <v>236</v>
      </c>
      <c r="D67">
        <v>10</v>
      </c>
      <c r="E67">
        <v>4</v>
      </c>
      <c r="F67">
        <v>0.6</v>
      </c>
    </row>
    <row r="68" spans="1:6">
      <c r="A68">
        <v>2017</v>
      </c>
      <c r="B68" t="s">
        <v>262</v>
      </c>
      <c r="C68" t="s">
        <v>237</v>
      </c>
      <c r="D68">
        <v>9.1999999999999993</v>
      </c>
      <c r="E68">
        <v>-0.2</v>
      </c>
      <c r="F68">
        <v>0</v>
      </c>
    </row>
    <row r="69" spans="1:6">
      <c r="A69">
        <v>2017</v>
      </c>
      <c r="B69" t="s">
        <v>262</v>
      </c>
      <c r="C69" t="s">
        <v>238</v>
      </c>
      <c r="D69">
        <v>8.4</v>
      </c>
      <c r="E69">
        <v>-0.8</v>
      </c>
      <c r="F69">
        <v>0.4</v>
      </c>
    </row>
    <row r="70" spans="1:6">
      <c r="A70">
        <v>2017</v>
      </c>
      <c r="B70" t="s">
        <v>262</v>
      </c>
      <c r="C70" t="s">
        <v>239</v>
      </c>
      <c r="D70">
        <v>6.9</v>
      </c>
      <c r="E70">
        <v>3.6</v>
      </c>
      <c r="F70">
        <v>0</v>
      </c>
    </row>
    <row r="71" spans="1:6">
      <c r="A71">
        <v>2017</v>
      </c>
      <c r="B71" t="s">
        <v>262</v>
      </c>
      <c r="C71" t="s">
        <v>240</v>
      </c>
      <c r="D71">
        <v>7.7</v>
      </c>
      <c r="E71">
        <v>4</v>
      </c>
      <c r="F71">
        <v>0</v>
      </c>
    </row>
    <row r="72" spans="1:6">
      <c r="A72">
        <v>2017</v>
      </c>
      <c r="B72" t="s">
        <v>262</v>
      </c>
      <c r="C72" t="s">
        <v>241</v>
      </c>
      <c r="D72">
        <v>10.7</v>
      </c>
      <c r="E72">
        <v>2.4</v>
      </c>
      <c r="F72">
        <v>1.6</v>
      </c>
    </row>
    <row r="73" spans="1:6">
      <c r="A73">
        <v>2017</v>
      </c>
      <c r="B73" t="s">
        <v>262</v>
      </c>
      <c r="C73" t="s">
        <v>242</v>
      </c>
      <c r="D73">
        <v>11.6</v>
      </c>
      <c r="E73">
        <v>5.6</v>
      </c>
      <c r="F73">
        <v>13.8</v>
      </c>
    </row>
    <row r="74" spans="1:6">
      <c r="A74">
        <v>2017</v>
      </c>
      <c r="B74" t="s">
        <v>262</v>
      </c>
      <c r="C74" t="s">
        <v>243</v>
      </c>
      <c r="D74">
        <v>11.1</v>
      </c>
      <c r="E74">
        <v>3.9</v>
      </c>
      <c r="F74">
        <v>8.1999999999999993</v>
      </c>
    </row>
    <row r="75" spans="1:6">
      <c r="A75">
        <v>2017</v>
      </c>
      <c r="B75" t="s">
        <v>262</v>
      </c>
      <c r="C75" t="s">
        <v>244</v>
      </c>
      <c r="D75">
        <v>8.3000000000000007</v>
      </c>
      <c r="E75">
        <v>3.5</v>
      </c>
      <c r="F75">
        <v>0</v>
      </c>
    </row>
    <row r="76" spans="1:6">
      <c r="A76">
        <v>2017</v>
      </c>
      <c r="B76" t="s">
        <v>262</v>
      </c>
      <c r="C76" t="s">
        <v>245</v>
      </c>
      <c r="D76">
        <v>3.5</v>
      </c>
      <c r="E76">
        <v>-0.5</v>
      </c>
      <c r="F76">
        <v>0</v>
      </c>
    </row>
    <row r="77" spans="1:6">
      <c r="A77">
        <v>2017</v>
      </c>
      <c r="B77" t="s">
        <v>262</v>
      </c>
      <c r="C77" t="s">
        <v>246</v>
      </c>
      <c r="D77">
        <v>8.3000000000000007</v>
      </c>
      <c r="E77">
        <v>0.1</v>
      </c>
      <c r="F77">
        <v>0</v>
      </c>
    </row>
    <row r="78" spans="1:6">
      <c r="A78">
        <v>2017</v>
      </c>
      <c r="B78" t="s">
        <v>262</v>
      </c>
      <c r="C78" t="s">
        <v>247</v>
      </c>
      <c r="D78">
        <v>6.9</v>
      </c>
      <c r="E78">
        <v>-0.7</v>
      </c>
      <c r="F78">
        <v>0</v>
      </c>
    </row>
    <row r="79" spans="1:6">
      <c r="A79">
        <v>2017</v>
      </c>
      <c r="B79" t="s">
        <v>262</v>
      </c>
      <c r="C79" t="s">
        <v>248</v>
      </c>
      <c r="D79">
        <v>7.6</v>
      </c>
      <c r="E79">
        <v>3.7</v>
      </c>
      <c r="F79">
        <v>0</v>
      </c>
    </row>
    <row r="80" spans="1:6">
      <c r="A80">
        <v>2017</v>
      </c>
      <c r="B80" t="s">
        <v>262</v>
      </c>
      <c r="C80" t="s">
        <v>249</v>
      </c>
      <c r="D80">
        <v>6.4</v>
      </c>
      <c r="E80">
        <v>-3.5</v>
      </c>
      <c r="F80">
        <v>0.2</v>
      </c>
    </row>
    <row r="81" spans="1:6">
      <c r="A81">
        <v>2017</v>
      </c>
      <c r="B81" t="s">
        <v>262</v>
      </c>
      <c r="C81" t="s">
        <v>250</v>
      </c>
      <c r="D81">
        <v>7.7</v>
      </c>
      <c r="E81">
        <v>1.4</v>
      </c>
      <c r="F81">
        <v>0</v>
      </c>
    </row>
    <row r="82" spans="1:6">
      <c r="A82">
        <v>2017</v>
      </c>
      <c r="B82" t="s">
        <v>262</v>
      </c>
      <c r="C82" t="s">
        <v>251</v>
      </c>
      <c r="D82">
        <v>8.1999999999999993</v>
      </c>
      <c r="E82">
        <v>-1.7</v>
      </c>
      <c r="F82">
        <v>0</v>
      </c>
    </row>
    <row r="83" spans="1:6">
      <c r="A83">
        <v>2017</v>
      </c>
      <c r="B83" t="s">
        <v>262</v>
      </c>
      <c r="C83" t="s">
        <v>252</v>
      </c>
      <c r="D83">
        <v>8.9</v>
      </c>
      <c r="E83">
        <v>7</v>
      </c>
      <c r="F83">
        <v>0</v>
      </c>
    </row>
    <row r="84" spans="1:6">
      <c r="A84">
        <v>2017</v>
      </c>
      <c r="B84" t="s">
        <v>262</v>
      </c>
      <c r="C84" t="s">
        <v>253</v>
      </c>
      <c r="D84">
        <v>13.1</v>
      </c>
      <c r="E84">
        <v>3.8</v>
      </c>
      <c r="F84">
        <v>0</v>
      </c>
    </row>
    <row r="85" spans="1:6">
      <c r="A85">
        <v>2017</v>
      </c>
      <c r="B85" t="s">
        <v>262</v>
      </c>
      <c r="C85" t="s">
        <v>254</v>
      </c>
      <c r="D85">
        <v>15.3</v>
      </c>
      <c r="E85">
        <v>6.6</v>
      </c>
      <c r="F85">
        <v>0.8</v>
      </c>
    </row>
    <row r="86" spans="1:6">
      <c r="A86">
        <v>2017</v>
      </c>
      <c r="B86" t="s">
        <v>262</v>
      </c>
      <c r="C86" t="s">
        <v>255</v>
      </c>
      <c r="D86">
        <v>12.7</v>
      </c>
      <c r="E86">
        <v>8.8000000000000007</v>
      </c>
      <c r="F86">
        <v>3.6</v>
      </c>
    </row>
    <row r="87" spans="1:6">
      <c r="A87">
        <v>2017</v>
      </c>
      <c r="B87" t="s">
        <v>262</v>
      </c>
      <c r="C87" t="s">
        <v>256</v>
      </c>
      <c r="D87">
        <v>6.8</v>
      </c>
      <c r="E87">
        <v>1.8</v>
      </c>
      <c r="F87">
        <v>2.4</v>
      </c>
    </row>
    <row r="88" spans="1:6">
      <c r="A88">
        <v>2017</v>
      </c>
      <c r="B88" t="s">
        <v>262</v>
      </c>
      <c r="C88" t="s">
        <v>257</v>
      </c>
      <c r="D88">
        <v>6.1</v>
      </c>
      <c r="E88">
        <v>-1.5</v>
      </c>
      <c r="F88">
        <v>0.4</v>
      </c>
    </row>
    <row r="89" spans="1:6">
      <c r="A89">
        <v>2017</v>
      </c>
      <c r="B89" t="s">
        <v>262</v>
      </c>
      <c r="C89" t="s">
        <v>258</v>
      </c>
      <c r="D89">
        <v>7.1</v>
      </c>
      <c r="E89">
        <v>1.9</v>
      </c>
      <c r="F89">
        <v>7.7</v>
      </c>
    </row>
    <row r="90" spans="1:6">
      <c r="A90">
        <v>2017</v>
      </c>
      <c r="B90" t="s">
        <v>262</v>
      </c>
      <c r="C90" t="s">
        <v>259</v>
      </c>
      <c r="D90">
        <v>7.5</v>
      </c>
      <c r="E90">
        <v>2.7</v>
      </c>
      <c r="F90">
        <v>0</v>
      </c>
    </row>
    <row r="91" spans="1:6">
      <c r="A91">
        <v>2017</v>
      </c>
      <c r="B91" t="s">
        <v>262</v>
      </c>
      <c r="C91" t="s">
        <v>260</v>
      </c>
      <c r="D91">
        <v>2.9</v>
      </c>
      <c r="E91">
        <v>0.1</v>
      </c>
      <c r="F91">
        <v>0</v>
      </c>
    </row>
    <row r="92" spans="1:6">
      <c r="A92">
        <v>2017</v>
      </c>
      <c r="B92" t="s">
        <v>262</v>
      </c>
      <c r="C92" t="s">
        <v>261</v>
      </c>
      <c r="D92">
        <v>4.5999999999999996</v>
      </c>
      <c r="E92">
        <v>-0.3</v>
      </c>
      <c r="F92">
        <v>0.4</v>
      </c>
    </row>
    <row r="93" spans="1:6">
      <c r="A93">
        <v>2017</v>
      </c>
      <c r="B93" t="s">
        <v>264</v>
      </c>
      <c r="C93" t="s">
        <v>169</v>
      </c>
      <c r="D93">
        <v>3.6</v>
      </c>
      <c r="E93">
        <v>0.2</v>
      </c>
      <c r="F93">
        <v>1.4</v>
      </c>
    </row>
    <row r="94" spans="1:6">
      <c r="A94">
        <v>2017</v>
      </c>
      <c r="B94" t="s">
        <v>264</v>
      </c>
      <c r="C94" t="s">
        <v>170</v>
      </c>
      <c r="D94">
        <v>1.8</v>
      </c>
      <c r="E94">
        <v>-2.7</v>
      </c>
      <c r="F94">
        <v>0</v>
      </c>
    </row>
    <row r="95" spans="1:6">
      <c r="A95">
        <v>2017</v>
      </c>
      <c r="B95" t="s">
        <v>264</v>
      </c>
      <c r="C95" t="s">
        <v>171</v>
      </c>
      <c r="D95">
        <v>1.2</v>
      </c>
      <c r="E95">
        <v>-4.3</v>
      </c>
      <c r="F95">
        <v>0</v>
      </c>
    </row>
    <row r="96" spans="1:6">
      <c r="A96">
        <v>2017</v>
      </c>
      <c r="B96" t="s">
        <v>264</v>
      </c>
      <c r="C96" t="s">
        <v>172</v>
      </c>
      <c r="D96">
        <v>4.5999999999999996</v>
      </c>
      <c r="E96">
        <v>-0.3</v>
      </c>
      <c r="F96">
        <v>0</v>
      </c>
    </row>
    <row r="97" spans="1:6">
      <c r="A97">
        <v>2017</v>
      </c>
      <c r="B97" t="s">
        <v>264</v>
      </c>
      <c r="C97" t="s">
        <v>173</v>
      </c>
      <c r="D97">
        <v>4.3</v>
      </c>
      <c r="E97">
        <v>1.4</v>
      </c>
      <c r="F97">
        <v>0</v>
      </c>
    </row>
    <row r="98" spans="1:6">
      <c r="A98">
        <v>2017</v>
      </c>
      <c r="B98" t="s">
        <v>264</v>
      </c>
      <c r="C98" t="s">
        <v>174</v>
      </c>
      <c r="D98">
        <v>4.5</v>
      </c>
      <c r="E98">
        <v>0.8</v>
      </c>
      <c r="F98">
        <v>0</v>
      </c>
    </row>
    <row r="99" spans="1:6">
      <c r="A99">
        <v>2017</v>
      </c>
      <c r="B99" t="s">
        <v>264</v>
      </c>
      <c r="C99" t="s">
        <v>175</v>
      </c>
      <c r="D99">
        <v>7.3</v>
      </c>
      <c r="E99">
        <v>-0.5</v>
      </c>
      <c r="F99">
        <v>3</v>
      </c>
    </row>
    <row r="100" spans="1:6">
      <c r="A100">
        <v>2017</v>
      </c>
      <c r="B100" t="s">
        <v>264</v>
      </c>
      <c r="C100" t="s">
        <v>176</v>
      </c>
      <c r="D100">
        <v>5.0999999999999996</v>
      </c>
      <c r="E100">
        <v>0.5</v>
      </c>
      <c r="F100">
        <v>1.4</v>
      </c>
    </row>
    <row r="101" spans="1:6">
      <c r="A101">
        <v>2017</v>
      </c>
      <c r="B101" t="s">
        <v>264</v>
      </c>
      <c r="C101" t="s">
        <v>177</v>
      </c>
      <c r="D101">
        <v>2.9</v>
      </c>
      <c r="E101">
        <v>-1.5</v>
      </c>
      <c r="F101">
        <v>0</v>
      </c>
    </row>
    <row r="102" spans="1:6">
      <c r="A102">
        <v>2017</v>
      </c>
      <c r="B102" t="s">
        <v>264</v>
      </c>
      <c r="C102" t="s">
        <v>178</v>
      </c>
      <c r="D102">
        <v>9.1999999999999993</v>
      </c>
      <c r="E102">
        <v>-0.1</v>
      </c>
      <c r="F102">
        <v>0</v>
      </c>
    </row>
    <row r="103" spans="1:6">
      <c r="A103">
        <v>2017</v>
      </c>
      <c r="B103" t="s">
        <v>264</v>
      </c>
      <c r="C103" t="s">
        <v>179</v>
      </c>
      <c r="D103">
        <v>10.1</v>
      </c>
      <c r="E103">
        <v>4.8</v>
      </c>
      <c r="F103">
        <v>0</v>
      </c>
    </row>
    <row r="104" spans="1:6">
      <c r="A104">
        <v>2017</v>
      </c>
      <c r="B104" t="s">
        <v>264</v>
      </c>
      <c r="C104" t="s">
        <v>180</v>
      </c>
      <c r="D104">
        <v>4.5</v>
      </c>
      <c r="E104">
        <v>-0.1</v>
      </c>
      <c r="F104">
        <v>2.2000000000000002</v>
      </c>
    </row>
    <row r="105" spans="1:6">
      <c r="A105">
        <v>2017</v>
      </c>
      <c r="B105" t="s">
        <v>264</v>
      </c>
      <c r="C105" t="s">
        <v>181</v>
      </c>
      <c r="D105">
        <v>8.1</v>
      </c>
      <c r="E105">
        <v>1.3</v>
      </c>
      <c r="F105">
        <v>11</v>
      </c>
    </row>
    <row r="106" spans="1:6">
      <c r="A106">
        <v>2017</v>
      </c>
      <c r="B106" t="s">
        <v>264</v>
      </c>
      <c r="C106" t="s">
        <v>182</v>
      </c>
      <c r="D106">
        <v>6.4</v>
      </c>
      <c r="E106">
        <v>3.5</v>
      </c>
      <c r="F106">
        <v>0.8</v>
      </c>
    </row>
    <row r="107" spans="1:6">
      <c r="A107">
        <v>2017</v>
      </c>
      <c r="B107" t="s">
        <v>264</v>
      </c>
      <c r="C107" t="s">
        <v>183</v>
      </c>
      <c r="D107">
        <v>5.4</v>
      </c>
      <c r="E107">
        <v>2.6</v>
      </c>
      <c r="F107">
        <v>2.8</v>
      </c>
    </row>
    <row r="108" spans="1:6">
      <c r="A108">
        <v>2017</v>
      </c>
      <c r="B108" t="s">
        <v>264</v>
      </c>
      <c r="C108" t="s">
        <v>184</v>
      </c>
      <c r="D108">
        <v>4.5</v>
      </c>
      <c r="E108">
        <v>1.9</v>
      </c>
      <c r="F108">
        <v>0</v>
      </c>
    </row>
    <row r="109" spans="1:6">
      <c r="A109">
        <v>2017</v>
      </c>
      <c r="B109" t="s">
        <v>264</v>
      </c>
      <c r="C109" t="s">
        <v>185</v>
      </c>
      <c r="D109">
        <v>5.6</v>
      </c>
      <c r="E109">
        <v>-1.5</v>
      </c>
      <c r="F109">
        <v>1.6</v>
      </c>
    </row>
    <row r="110" spans="1:6">
      <c r="A110">
        <v>2017</v>
      </c>
      <c r="B110" t="s">
        <v>264</v>
      </c>
      <c r="C110" t="s">
        <v>186</v>
      </c>
      <c r="D110">
        <v>6.5</v>
      </c>
      <c r="E110">
        <v>-0.2</v>
      </c>
      <c r="F110">
        <v>0</v>
      </c>
    </row>
    <row r="111" spans="1:6">
      <c r="A111">
        <v>2017</v>
      </c>
      <c r="B111" t="s">
        <v>264</v>
      </c>
      <c r="C111" t="s">
        <v>187</v>
      </c>
      <c r="D111">
        <v>6.2</v>
      </c>
      <c r="E111">
        <v>2.2999999999999998</v>
      </c>
      <c r="F111">
        <v>2.2000000000000002</v>
      </c>
    </row>
    <row r="112" spans="1:6">
      <c r="A112">
        <v>2017</v>
      </c>
      <c r="B112" t="s">
        <v>264</v>
      </c>
      <c r="C112" t="s">
        <v>188</v>
      </c>
      <c r="D112">
        <v>7.2</v>
      </c>
      <c r="E112">
        <v>3.1</v>
      </c>
      <c r="F112">
        <v>0.6</v>
      </c>
    </row>
    <row r="113" spans="1:6">
      <c r="A113">
        <v>2017</v>
      </c>
      <c r="B113" t="s">
        <v>264</v>
      </c>
      <c r="C113" t="s">
        <v>189</v>
      </c>
      <c r="D113">
        <v>9.1999999999999993</v>
      </c>
      <c r="E113">
        <v>6.2</v>
      </c>
      <c r="F113">
        <v>2.6</v>
      </c>
    </row>
    <row r="114" spans="1:6">
      <c r="A114">
        <v>2017</v>
      </c>
      <c r="B114" t="s">
        <v>264</v>
      </c>
      <c r="C114" t="s">
        <v>190</v>
      </c>
      <c r="D114">
        <v>9.3000000000000007</v>
      </c>
      <c r="E114">
        <v>7.7</v>
      </c>
      <c r="F114">
        <v>0.2</v>
      </c>
    </row>
    <row r="115" spans="1:6">
      <c r="A115">
        <v>2017</v>
      </c>
      <c r="B115" t="s">
        <v>264</v>
      </c>
      <c r="C115" t="s">
        <v>191</v>
      </c>
      <c r="D115">
        <v>8.6</v>
      </c>
      <c r="E115">
        <v>7.4</v>
      </c>
      <c r="F115">
        <v>0.2</v>
      </c>
    </row>
    <row r="116" spans="1:6">
      <c r="A116">
        <v>2017</v>
      </c>
      <c r="B116" t="s">
        <v>264</v>
      </c>
      <c r="C116" t="s">
        <v>192</v>
      </c>
      <c r="D116">
        <v>7.7</v>
      </c>
      <c r="E116">
        <v>6.6</v>
      </c>
      <c r="F116">
        <v>0.6</v>
      </c>
    </row>
    <row r="117" spans="1:6">
      <c r="A117">
        <v>2017</v>
      </c>
      <c r="B117" t="s">
        <v>264</v>
      </c>
      <c r="C117" t="s">
        <v>193</v>
      </c>
      <c r="D117">
        <v>7.7</v>
      </c>
      <c r="E117">
        <v>2.5</v>
      </c>
      <c r="F117">
        <v>0.4</v>
      </c>
    </row>
    <row r="118" spans="1:6">
      <c r="A118">
        <v>2017</v>
      </c>
      <c r="B118" t="s">
        <v>264</v>
      </c>
      <c r="C118" t="s">
        <v>194</v>
      </c>
      <c r="D118">
        <v>7.3</v>
      </c>
      <c r="E118">
        <v>1.5</v>
      </c>
      <c r="F118">
        <v>8.1999999999999993</v>
      </c>
    </row>
    <row r="119" spans="1:6">
      <c r="A119">
        <v>2017</v>
      </c>
      <c r="B119" t="s">
        <v>264</v>
      </c>
      <c r="C119" t="s">
        <v>195</v>
      </c>
      <c r="D119">
        <v>6.8</v>
      </c>
      <c r="E119">
        <v>3</v>
      </c>
      <c r="F119">
        <v>1.5</v>
      </c>
    </row>
    <row r="120" spans="1:6">
      <c r="A120">
        <v>2017</v>
      </c>
      <c r="B120" t="s">
        <v>264</v>
      </c>
      <c r="C120" t="s">
        <v>196</v>
      </c>
      <c r="D120">
        <v>3.1</v>
      </c>
      <c r="E120">
        <v>-1.3</v>
      </c>
      <c r="F120">
        <v>0</v>
      </c>
    </row>
    <row r="121" spans="1:6">
      <c r="A121">
        <v>2017</v>
      </c>
      <c r="B121" t="s">
        <v>264</v>
      </c>
      <c r="C121" t="s">
        <v>197</v>
      </c>
      <c r="D121">
        <v>8</v>
      </c>
      <c r="E121">
        <v>-2.6</v>
      </c>
      <c r="F121">
        <v>16.2</v>
      </c>
    </row>
    <row r="122" spans="1:6">
      <c r="A122">
        <v>2017</v>
      </c>
      <c r="B122" t="s">
        <v>264</v>
      </c>
      <c r="C122" t="s">
        <v>198</v>
      </c>
      <c r="D122">
        <v>13.6</v>
      </c>
      <c r="E122">
        <v>1.7</v>
      </c>
      <c r="F122">
        <v>1</v>
      </c>
    </row>
    <row r="123" spans="1:6">
      <c r="A123">
        <v>2017</v>
      </c>
      <c r="B123" t="s">
        <v>264</v>
      </c>
      <c r="C123" t="s">
        <v>263</v>
      </c>
      <c r="D123">
        <v>14.1</v>
      </c>
      <c r="E123">
        <v>11.1</v>
      </c>
      <c r="F123">
        <v>1</v>
      </c>
    </row>
    <row r="124" spans="1:6">
      <c r="A124">
        <v>2018</v>
      </c>
      <c r="B124" t="s">
        <v>296</v>
      </c>
      <c r="C124" t="s">
        <v>265</v>
      </c>
      <c r="D124">
        <v>7.9</v>
      </c>
      <c r="E124">
        <v>5.2</v>
      </c>
      <c r="F124">
        <v>8.1999999999999993</v>
      </c>
    </row>
    <row r="125" spans="1:6">
      <c r="A125">
        <v>2018</v>
      </c>
      <c r="B125" t="s">
        <v>296</v>
      </c>
      <c r="C125" t="s">
        <v>266</v>
      </c>
      <c r="D125">
        <v>12.8</v>
      </c>
      <c r="E125">
        <v>3.1</v>
      </c>
      <c r="F125">
        <v>6.9</v>
      </c>
    </row>
    <row r="126" spans="1:6">
      <c r="A126">
        <v>2018</v>
      </c>
      <c r="B126" t="s">
        <v>296</v>
      </c>
      <c r="C126" t="s">
        <v>267</v>
      </c>
      <c r="D126">
        <v>10.7</v>
      </c>
      <c r="E126">
        <v>6.7</v>
      </c>
      <c r="F126">
        <v>1.8</v>
      </c>
    </row>
    <row r="127" spans="1:6">
      <c r="A127">
        <v>2018</v>
      </c>
      <c r="B127" t="s">
        <v>296</v>
      </c>
      <c r="C127" t="s">
        <v>268</v>
      </c>
      <c r="D127">
        <v>12.9</v>
      </c>
      <c r="E127">
        <v>6.7</v>
      </c>
      <c r="F127">
        <v>9</v>
      </c>
    </row>
    <row r="128" spans="1:6">
      <c r="A128">
        <v>2018</v>
      </c>
      <c r="B128" t="s">
        <v>296</v>
      </c>
      <c r="C128" t="s">
        <v>269</v>
      </c>
      <c r="D128">
        <v>9.9</v>
      </c>
      <c r="E128">
        <v>8.1999999999999993</v>
      </c>
      <c r="F128">
        <v>1.4</v>
      </c>
    </row>
    <row r="129" spans="1:6">
      <c r="A129">
        <v>2018</v>
      </c>
      <c r="B129" t="s">
        <v>296</v>
      </c>
      <c r="C129" t="s">
        <v>270</v>
      </c>
      <c r="D129">
        <v>7.9</v>
      </c>
      <c r="E129">
        <v>5.8</v>
      </c>
      <c r="F129">
        <v>3</v>
      </c>
    </row>
    <row r="130" spans="1:6">
      <c r="A130">
        <v>2018</v>
      </c>
      <c r="B130" t="s">
        <v>296</v>
      </c>
      <c r="C130" t="s">
        <v>271</v>
      </c>
      <c r="D130">
        <v>7</v>
      </c>
      <c r="E130">
        <v>5.9</v>
      </c>
      <c r="F130">
        <v>0</v>
      </c>
    </row>
    <row r="131" spans="1:6">
      <c r="A131">
        <v>2018</v>
      </c>
      <c r="B131" t="s">
        <v>296</v>
      </c>
      <c r="C131" t="s">
        <v>272</v>
      </c>
      <c r="D131">
        <v>8</v>
      </c>
      <c r="E131">
        <v>4.4000000000000004</v>
      </c>
      <c r="F131">
        <v>0</v>
      </c>
    </row>
    <row r="132" spans="1:6">
      <c r="A132">
        <v>2018</v>
      </c>
      <c r="B132" t="s">
        <v>296</v>
      </c>
      <c r="C132" t="s">
        <v>273</v>
      </c>
      <c r="D132">
        <v>9.6</v>
      </c>
      <c r="E132">
        <v>2.2000000000000002</v>
      </c>
      <c r="F132">
        <v>1.2</v>
      </c>
    </row>
    <row r="133" spans="1:6">
      <c r="A133">
        <v>2018</v>
      </c>
      <c r="B133" t="s">
        <v>296</v>
      </c>
      <c r="C133" t="s">
        <v>274</v>
      </c>
      <c r="D133">
        <v>7.6</v>
      </c>
      <c r="E133">
        <v>4.5</v>
      </c>
      <c r="F133">
        <v>7.1</v>
      </c>
    </row>
    <row r="134" spans="1:6">
      <c r="A134">
        <v>2018</v>
      </c>
      <c r="B134" t="s">
        <v>296</v>
      </c>
      <c r="C134" t="s">
        <v>275</v>
      </c>
      <c r="D134">
        <v>7</v>
      </c>
      <c r="E134">
        <v>3.2</v>
      </c>
      <c r="F134">
        <v>0</v>
      </c>
    </row>
    <row r="135" spans="1:6">
      <c r="A135">
        <v>2018</v>
      </c>
      <c r="B135" t="s">
        <v>296</v>
      </c>
      <c r="C135" t="s">
        <v>276</v>
      </c>
      <c r="D135">
        <v>7</v>
      </c>
      <c r="E135">
        <v>4.5999999999999996</v>
      </c>
      <c r="F135">
        <v>0</v>
      </c>
    </row>
    <row r="136" spans="1:6">
      <c r="A136">
        <v>2018</v>
      </c>
      <c r="B136" t="s">
        <v>296</v>
      </c>
      <c r="C136" t="s">
        <v>277</v>
      </c>
      <c r="D136">
        <v>6</v>
      </c>
      <c r="E136">
        <v>1</v>
      </c>
      <c r="F136">
        <v>0</v>
      </c>
    </row>
    <row r="137" spans="1:6">
      <c r="A137">
        <v>2018</v>
      </c>
      <c r="B137" t="s">
        <v>296</v>
      </c>
      <c r="C137" t="s">
        <v>278</v>
      </c>
      <c r="D137">
        <v>8.8000000000000007</v>
      </c>
      <c r="E137">
        <v>0.6</v>
      </c>
      <c r="F137">
        <v>0</v>
      </c>
    </row>
    <row r="138" spans="1:6">
      <c r="A138">
        <v>2018</v>
      </c>
      <c r="B138" t="s">
        <v>296</v>
      </c>
      <c r="C138" t="s">
        <v>279</v>
      </c>
      <c r="D138">
        <v>8.6999999999999993</v>
      </c>
      <c r="E138">
        <v>2.7</v>
      </c>
      <c r="F138">
        <v>10.7</v>
      </c>
    </row>
    <row r="139" spans="1:6">
      <c r="A139">
        <v>2018</v>
      </c>
      <c r="B139" t="s">
        <v>296</v>
      </c>
      <c r="C139" t="s">
        <v>280</v>
      </c>
      <c r="D139">
        <v>9.5</v>
      </c>
      <c r="E139">
        <v>4.7</v>
      </c>
      <c r="F139">
        <v>4</v>
      </c>
    </row>
    <row r="140" spans="1:6">
      <c r="A140">
        <v>2018</v>
      </c>
      <c r="B140" t="s">
        <v>296</v>
      </c>
      <c r="C140" t="s">
        <v>281</v>
      </c>
      <c r="D140">
        <v>7.1</v>
      </c>
      <c r="E140">
        <v>1.9</v>
      </c>
      <c r="F140">
        <v>5.2</v>
      </c>
    </row>
    <row r="141" spans="1:6">
      <c r="A141">
        <v>2018</v>
      </c>
      <c r="B141" t="s">
        <v>296</v>
      </c>
      <c r="C141" t="s">
        <v>282</v>
      </c>
      <c r="D141">
        <v>10.1</v>
      </c>
      <c r="E141">
        <v>3.3</v>
      </c>
      <c r="F141">
        <v>3.4</v>
      </c>
    </row>
    <row r="142" spans="1:6">
      <c r="A142">
        <v>2018</v>
      </c>
      <c r="B142" t="s">
        <v>296</v>
      </c>
      <c r="C142" t="s">
        <v>283</v>
      </c>
      <c r="D142">
        <v>6</v>
      </c>
      <c r="E142">
        <v>1.8</v>
      </c>
      <c r="F142">
        <v>1.4</v>
      </c>
    </row>
    <row r="143" spans="1:6">
      <c r="A143">
        <v>2018</v>
      </c>
      <c r="B143" t="s">
        <v>296</v>
      </c>
      <c r="C143" t="s">
        <v>284</v>
      </c>
      <c r="D143">
        <v>8.5</v>
      </c>
      <c r="E143">
        <v>0.1</v>
      </c>
      <c r="F143">
        <v>3.8</v>
      </c>
    </row>
    <row r="144" spans="1:6">
      <c r="A144">
        <v>2018</v>
      </c>
      <c r="B144" t="s">
        <v>296</v>
      </c>
      <c r="C144" t="s">
        <v>285</v>
      </c>
      <c r="D144">
        <v>10.8</v>
      </c>
      <c r="E144">
        <v>2.2999999999999998</v>
      </c>
      <c r="F144">
        <v>13.7</v>
      </c>
    </row>
    <row r="145" spans="1:6">
      <c r="A145">
        <v>2018</v>
      </c>
      <c r="B145" t="s">
        <v>296</v>
      </c>
      <c r="C145" t="s">
        <v>286</v>
      </c>
      <c r="D145">
        <v>12.1</v>
      </c>
      <c r="E145">
        <v>2.9</v>
      </c>
      <c r="F145">
        <v>6.7</v>
      </c>
    </row>
    <row r="146" spans="1:6">
      <c r="A146">
        <v>2018</v>
      </c>
      <c r="B146" t="s">
        <v>296</v>
      </c>
      <c r="C146" t="s">
        <v>287</v>
      </c>
      <c r="D146">
        <v>10.3</v>
      </c>
      <c r="E146">
        <v>6.6</v>
      </c>
      <c r="F146">
        <v>0</v>
      </c>
    </row>
    <row r="147" spans="1:6">
      <c r="A147">
        <v>2018</v>
      </c>
      <c r="B147" t="s">
        <v>296</v>
      </c>
      <c r="C147" t="s">
        <v>288</v>
      </c>
      <c r="D147">
        <v>11.8</v>
      </c>
      <c r="E147">
        <v>8.6</v>
      </c>
      <c r="F147">
        <v>4</v>
      </c>
    </row>
    <row r="148" spans="1:6">
      <c r="A148">
        <v>2018</v>
      </c>
      <c r="B148" t="s">
        <v>296</v>
      </c>
      <c r="C148" t="s">
        <v>289</v>
      </c>
      <c r="D148">
        <v>8.9</v>
      </c>
      <c r="E148">
        <v>6.4</v>
      </c>
      <c r="F148">
        <v>1</v>
      </c>
    </row>
    <row r="149" spans="1:6">
      <c r="A149">
        <v>2018</v>
      </c>
      <c r="B149" t="s">
        <v>296</v>
      </c>
      <c r="C149" t="s">
        <v>290</v>
      </c>
      <c r="D149">
        <v>7.5</v>
      </c>
      <c r="E149">
        <v>5.0999999999999996</v>
      </c>
      <c r="F149">
        <v>0</v>
      </c>
    </row>
    <row r="150" spans="1:6">
      <c r="A150">
        <v>2018</v>
      </c>
      <c r="B150" t="s">
        <v>296</v>
      </c>
      <c r="C150" t="s">
        <v>291</v>
      </c>
      <c r="D150">
        <v>4.2</v>
      </c>
      <c r="E150">
        <v>2.6</v>
      </c>
      <c r="F150">
        <v>0.4</v>
      </c>
    </row>
    <row r="151" spans="1:6">
      <c r="A151">
        <v>2018</v>
      </c>
      <c r="B151" t="s">
        <v>296</v>
      </c>
      <c r="C151" t="s">
        <v>292</v>
      </c>
      <c r="D151">
        <v>8</v>
      </c>
      <c r="E151">
        <v>3</v>
      </c>
      <c r="F151">
        <v>0</v>
      </c>
    </row>
    <row r="152" spans="1:6">
      <c r="A152">
        <v>2018</v>
      </c>
      <c r="B152" t="s">
        <v>296</v>
      </c>
      <c r="C152" t="s">
        <v>293</v>
      </c>
      <c r="D152">
        <v>9.5</v>
      </c>
      <c r="E152">
        <v>7.2</v>
      </c>
      <c r="F152">
        <v>0</v>
      </c>
    </row>
    <row r="153" spans="1:6">
      <c r="A153">
        <v>2018</v>
      </c>
      <c r="B153" t="s">
        <v>296</v>
      </c>
      <c r="C153" t="s">
        <v>294</v>
      </c>
      <c r="D153">
        <v>9.9</v>
      </c>
      <c r="E153">
        <v>7.4</v>
      </c>
      <c r="F153">
        <v>0.4</v>
      </c>
    </row>
    <row r="154" spans="1:6">
      <c r="A154">
        <v>2018</v>
      </c>
      <c r="B154" t="s">
        <v>296</v>
      </c>
      <c r="C154" t="s">
        <v>295</v>
      </c>
      <c r="D154">
        <v>7.6</v>
      </c>
      <c r="E154">
        <v>6.7</v>
      </c>
      <c r="F154">
        <v>12.7</v>
      </c>
    </row>
    <row r="155" spans="1:6">
      <c r="A155">
        <v>2018</v>
      </c>
      <c r="B155" t="s">
        <v>325</v>
      </c>
      <c r="C155" t="s">
        <v>297</v>
      </c>
      <c r="D155">
        <v>5.3</v>
      </c>
      <c r="E155">
        <v>0.1</v>
      </c>
      <c r="F155">
        <v>0.8</v>
      </c>
    </row>
    <row r="156" spans="1:6">
      <c r="A156">
        <v>2018</v>
      </c>
      <c r="B156" t="s">
        <v>325</v>
      </c>
      <c r="C156" t="s">
        <v>298</v>
      </c>
      <c r="D156">
        <v>5.6</v>
      </c>
      <c r="E156">
        <v>-0.3</v>
      </c>
      <c r="F156">
        <v>0.2</v>
      </c>
    </row>
    <row r="157" spans="1:6">
      <c r="A157">
        <v>2018</v>
      </c>
      <c r="B157" t="s">
        <v>325</v>
      </c>
      <c r="C157" t="s">
        <v>299</v>
      </c>
      <c r="D157">
        <v>4.3</v>
      </c>
      <c r="E157">
        <v>0.6</v>
      </c>
      <c r="F157">
        <v>5</v>
      </c>
    </row>
    <row r="158" spans="1:6">
      <c r="A158">
        <v>2018</v>
      </c>
      <c r="B158" t="s">
        <v>325</v>
      </c>
      <c r="C158" t="s">
        <v>300</v>
      </c>
      <c r="D158">
        <v>2.2999999999999998</v>
      </c>
      <c r="E158">
        <v>-0.3</v>
      </c>
      <c r="F158">
        <v>0</v>
      </c>
    </row>
    <row r="159" spans="1:6">
      <c r="A159">
        <v>2018</v>
      </c>
      <c r="B159" t="s">
        <v>325</v>
      </c>
      <c r="C159" t="s">
        <v>301</v>
      </c>
      <c r="D159">
        <v>2</v>
      </c>
      <c r="E159">
        <v>-3.2</v>
      </c>
      <c r="F159">
        <v>0</v>
      </c>
    </row>
    <row r="160" spans="1:6">
      <c r="A160">
        <v>2018</v>
      </c>
      <c r="B160" t="s">
        <v>325</v>
      </c>
      <c r="C160" t="s">
        <v>302</v>
      </c>
      <c r="D160">
        <v>0.8</v>
      </c>
      <c r="E160">
        <v>-0.3</v>
      </c>
      <c r="F160">
        <v>2.6</v>
      </c>
    </row>
    <row r="161" spans="1:6">
      <c r="A161">
        <v>2018</v>
      </c>
      <c r="B161" t="s">
        <v>325</v>
      </c>
      <c r="C161" t="s">
        <v>303</v>
      </c>
      <c r="D161">
        <v>-0.6</v>
      </c>
      <c r="E161">
        <v>-1.8</v>
      </c>
      <c r="F161">
        <v>3.6</v>
      </c>
    </row>
    <row r="162" spans="1:6">
      <c r="A162">
        <v>2018</v>
      </c>
      <c r="B162" t="s">
        <v>325</v>
      </c>
      <c r="C162" t="s">
        <v>304</v>
      </c>
      <c r="D162">
        <v>-1.2</v>
      </c>
      <c r="E162">
        <v>-6.9</v>
      </c>
      <c r="F162">
        <v>3.2</v>
      </c>
    </row>
    <row r="163" spans="1:6">
      <c r="A163">
        <v>2018</v>
      </c>
      <c r="B163" t="s">
        <v>325</v>
      </c>
      <c r="C163" t="s">
        <v>305</v>
      </c>
      <c r="D163">
        <v>0.6</v>
      </c>
      <c r="E163">
        <v>-7.2</v>
      </c>
      <c r="F163">
        <v>0.4</v>
      </c>
    </row>
    <row r="164" spans="1:6">
      <c r="A164">
        <v>2018</v>
      </c>
      <c r="B164" t="s">
        <v>325</v>
      </c>
      <c r="C164" t="s">
        <v>306</v>
      </c>
      <c r="D164">
        <v>2.2999999999999998</v>
      </c>
      <c r="E164">
        <v>-1.6</v>
      </c>
      <c r="F164">
        <v>4</v>
      </c>
    </row>
    <row r="165" spans="1:6">
      <c r="A165">
        <v>2018</v>
      </c>
      <c r="B165" t="s">
        <v>325</v>
      </c>
      <c r="C165" t="s">
        <v>307</v>
      </c>
      <c r="D165">
        <v>6.7</v>
      </c>
      <c r="E165">
        <v>-1.2</v>
      </c>
      <c r="F165">
        <v>1</v>
      </c>
    </row>
    <row r="166" spans="1:6">
      <c r="A166">
        <v>2018</v>
      </c>
      <c r="B166" t="s">
        <v>325</v>
      </c>
      <c r="C166" t="s">
        <v>308</v>
      </c>
      <c r="D166">
        <v>5.2</v>
      </c>
      <c r="E166">
        <v>-1.7</v>
      </c>
      <c r="F166">
        <v>0</v>
      </c>
    </row>
    <row r="167" spans="1:6">
      <c r="A167">
        <v>2018</v>
      </c>
      <c r="B167" t="s">
        <v>325</v>
      </c>
      <c r="C167" t="s">
        <v>309</v>
      </c>
      <c r="D167">
        <v>4.8</v>
      </c>
      <c r="E167">
        <v>-3.1</v>
      </c>
      <c r="F167">
        <v>0</v>
      </c>
    </row>
    <row r="168" spans="1:6">
      <c r="A168">
        <v>2018</v>
      </c>
      <c r="B168" t="s">
        <v>325</v>
      </c>
      <c r="C168" t="s">
        <v>310</v>
      </c>
      <c r="D168">
        <v>6.3</v>
      </c>
      <c r="E168">
        <v>-2.1</v>
      </c>
      <c r="F168">
        <v>7.1</v>
      </c>
    </row>
    <row r="169" spans="1:6">
      <c r="A169">
        <v>2018</v>
      </c>
      <c r="B169" t="s">
        <v>325</v>
      </c>
      <c r="C169" t="s">
        <v>311</v>
      </c>
      <c r="D169">
        <v>10.8</v>
      </c>
      <c r="E169">
        <v>2.4</v>
      </c>
      <c r="F169">
        <v>4.5999999999999996</v>
      </c>
    </row>
    <row r="170" spans="1:6">
      <c r="A170">
        <v>2018</v>
      </c>
      <c r="B170" t="s">
        <v>325</v>
      </c>
      <c r="C170" t="s">
        <v>312</v>
      </c>
      <c r="D170">
        <v>9</v>
      </c>
      <c r="E170">
        <v>1.9</v>
      </c>
      <c r="F170">
        <v>1</v>
      </c>
    </row>
    <row r="171" spans="1:6">
      <c r="A171">
        <v>2018</v>
      </c>
      <c r="B171" t="s">
        <v>325</v>
      </c>
      <c r="C171" t="s">
        <v>313</v>
      </c>
      <c r="D171">
        <v>5.8</v>
      </c>
      <c r="E171">
        <v>1.4</v>
      </c>
      <c r="F171">
        <v>1.8</v>
      </c>
    </row>
    <row r="172" spans="1:6">
      <c r="A172">
        <v>2018</v>
      </c>
      <c r="B172" t="s">
        <v>325</v>
      </c>
      <c r="C172" t="s">
        <v>314</v>
      </c>
      <c r="D172">
        <v>6.9</v>
      </c>
      <c r="E172">
        <v>-0.9</v>
      </c>
      <c r="F172">
        <v>0</v>
      </c>
    </row>
    <row r="173" spans="1:6">
      <c r="A173">
        <v>2018</v>
      </c>
      <c r="B173" t="s">
        <v>325</v>
      </c>
      <c r="C173" t="s">
        <v>315</v>
      </c>
      <c r="D173">
        <v>3.8</v>
      </c>
      <c r="E173">
        <v>-3.8</v>
      </c>
      <c r="F173">
        <v>0</v>
      </c>
    </row>
    <row r="174" spans="1:6">
      <c r="A174">
        <v>2018</v>
      </c>
      <c r="B174" t="s">
        <v>325</v>
      </c>
      <c r="C174" t="s">
        <v>316</v>
      </c>
      <c r="D174">
        <v>4.5</v>
      </c>
      <c r="E174">
        <v>0.2</v>
      </c>
      <c r="F174">
        <v>0</v>
      </c>
    </row>
    <row r="175" spans="1:6">
      <c r="A175">
        <v>2018</v>
      </c>
      <c r="B175" t="s">
        <v>325</v>
      </c>
      <c r="C175" t="s">
        <v>317</v>
      </c>
      <c r="D175">
        <v>4.8</v>
      </c>
      <c r="E175">
        <v>-3.5</v>
      </c>
      <c r="F175">
        <v>0</v>
      </c>
    </row>
    <row r="176" spans="1:6">
      <c r="A176">
        <v>2018</v>
      </c>
      <c r="B176" t="s">
        <v>325</v>
      </c>
      <c r="C176" t="s">
        <v>318</v>
      </c>
      <c r="D176">
        <v>4.5</v>
      </c>
      <c r="E176">
        <v>-3.5</v>
      </c>
      <c r="F176">
        <v>0</v>
      </c>
    </row>
    <row r="177" spans="1:6">
      <c r="A177">
        <v>2018</v>
      </c>
      <c r="B177" t="s">
        <v>325</v>
      </c>
      <c r="C177" t="s">
        <v>319</v>
      </c>
      <c r="D177">
        <v>3.5</v>
      </c>
      <c r="E177">
        <v>-4.3</v>
      </c>
      <c r="F177">
        <v>0</v>
      </c>
    </row>
    <row r="178" spans="1:6">
      <c r="A178">
        <v>2018</v>
      </c>
      <c r="B178" t="s">
        <v>325</v>
      </c>
      <c r="C178" t="s">
        <v>320</v>
      </c>
      <c r="D178">
        <v>5.4</v>
      </c>
      <c r="E178">
        <v>-4.2</v>
      </c>
      <c r="F178">
        <v>0</v>
      </c>
    </row>
    <row r="179" spans="1:6">
      <c r="A179">
        <v>2018</v>
      </c>
      <c r="B179" t="s">
        <v>325</v>
      </c>
      <c r="C179" t="s">
        <v>321</v>
      </c>
      <c r="D179">
        <v>1.4</v>
      </c>
      <c r="E179">
        <v>-4.9000000000000004</v>
      </c>
      <c r="F179">
        <v>0</v>
      </c>
    </row>
    <row r="180" spans="1:6">
      <c r="A180">
        <v>2018</v>
      </c>
      <c r="B180" t="s">
        <v>325</v>
      </c>
      <c r="C180" t="s">
        <v>322</v>
      </c>
      <c r="D180">
        <v>-1.3</v>
      </c>
      <c r="E180">
        <v>-7.2</v>
      </c>
      <c r="F180">
        <v>0</v>
      </c>
    </row>
    <row r="181" spans="1:6">
      <c r="A181">
        <v>2018</v>
      </c>
      <c r="B181" t="s">
        <v>325</v>
      </c>
      <c r="C181" t="s">
        <v>323</v>
      </c>
      <c r="D181">
        <v>-2.9</v>
      </c>
      <c r="E181">
        <v>-8.1999999999999993</v>
      </c>
      <c r="F181">
        <v>0</v>
      </c>
    </row>
    <row r="182" spans="1:6">
      <c r="A182">
        <v>2018</v>
      </c>
      <c r="B182" t="s">
        <v>325</v>
      </c>
      <c r="C182" t="s">
        <v>324</v>
      </c>
      <c r="D182">
        <v>-1.3</v>
      </c>
      <c r="E182">
        <v>-12.1</v>
      </c>
      <c r="F182">
        <v>0</v>
      </c>
    </row>
    <row r="183" spans="1:6">
      <c r="A183">
        <v>2018</v>
      </c>
      <c r="B183" t="s">
        <v>329</v>
      </c>
      <c r="C183" t="s">
        <v>297</v>
      </c>
      <c r="D183">
        <v>2.1</v>
      </c>
      <c r="E183">
        <v>-5.8</v>
      </c>
      <c r="F183">
        <v>0</v>
      </c>
    </row>
    <row r="184" spans="1:6">
      <c r="A184">
        <v>2018</v>
      </c>
      <c r="B184" t="s">
        <v>329</v>
      </c>
      <c r="C184" t="s">
        <v>298</v>
      </c>
      <c r="D184">
        <v>7.6</v>
      </c>
      <c r="E184">
        <v>-1.2</v>
      </c>
      <c r="F184">
        <v>2.8</v>
      </c>
    </row>
    <row r="185" spans="1:6">
      <c r="A185">
        <v>2018</v>
      </c>
      <c r="B185" t="s">
        <v>329</v>
      </c>
      <c r="C185" t="s">
        <v>299</v>
      </c>
      <c r="D185">
        <v>6.5</v>
      </c>
      <c r="E185">
        <v>-1.2</v>
      </c>
      <c r="F185">
        <v>0.8</v>
      </c>
    </row>
    <row r="186" spans="1:6">
      <c r="A186">
        <v>2018</v>
      </c>
      <c r="B186" t="s">
        <v>329</v>
      </c>
      <c r="C186" t="s">
        <v>300</v>
      </c>
      <c r="D186">
        <v>9.3000000000000007</v>
      </c>
      <c r="E186">
        <v>1.5</v>
      </c>
      <c r="F186">
        <v>2</v>
      </c>
    </row>
    <row r="187" spans="1:6">
      <c r="A187">
        <v>2018</v>
      </c>
      <c r="B187" t="s">
        <v>329</v>
      </c>
      <c r="C187" t="s">
        <v>301</v>
      </c>
      <c r="D187">
        <v>13.8</v>
      </c>
      <c r="E187">
        <v>1.2</v>
      </c>
      <c r="F187">
        <v>0.6</v>
      </c>
    </row>
    <row r="188" spans="1:6">
      <c r="A188">
        <v>2018</v>
      </c>
      <c r="B188" t="s">
        <v>329</v>
      </c>
      <c r="C188" t="s">
        <v>302</v>
      </c>
      <c r="D188">
        <v>11.4</v>
      </c>
      <c r="E188">
        <v>3.4</v>
      </c>
      <c r="F188">
        <v>0.2</v>
      </c>
    </row>
    <row r="189" spans="1:6">
      <c r="A189">
        <v>2018</v>
      </c>
      <c r="B189" t="s">
        <v>329</v>
      </c>
      <c r="C189" t="s">
        <v>303</v>
      </c>
      <c r="D189">
        <v>9.1</v>
      </c>
      <c r="E189">
        <v>3.6</v>
      </c>
      <c r="F189">
        <v>2.8</v>
      </c>
    </row>
    <row r="190" spans="1:6">
      <c r="A190">
        <v>2018</v>
      </c>
      <c r="B190" t="s">
        <v>329</v>
      </c>
      <c r="C190" t="s">
        <v>304</v>
      </c>
      <c r="D190">
        <v>12.5</v>
      </c>
      <c r="E190">
        <v>1.1000000000000001</v>
      </c>
      <c r="F190">
        <v>0.2</v>
      </c>
    </row>
    <row r="191" spans="1:6">
      <c r="A191">
        <v>2018</v>
      </c>
      <c r="B191" t="s">
        <v>329</v>
      </c>
      <c r="C191" t="s">
        <v>305</v>
      </c>
      <c r="D191">
        <v>13.2</v>
      </c>
      <c r="E191">
        <v>3.9</v>
      </c>
      <c r="F191">
        <v>0.4</v>
      </c>
    </row>
    <row r="192" spans="1:6">
      <c r="A192">
        <v>2018</v>
      </c>
      <c r="B192" t="s">
        <v>329</v>
      </c>
      <c r="C192" t="s">
        <v>306</v>
      </c>
      <c r="D192">
        <v>16.899999999999999</v>
      </c>
      <c r="E192">
        <v>9.9</v>
      </c>
      <c r="F192">
        <v>3.2</v>
      </c>
    </row>
    <row r="193" spans="1:6">
      <c r="A193">
        <v>2018</v>
      </c>
      <c r="B193" t="s">
        <v>329</v>
      </c>
      <c r="C193" t="s">
        <v>307</v>
      </c>
      <c r="D193">
        <v>17.899999999999999</v>
      </c>
      <c r="E193">
        <v>9.4</v>
      </c>
      <c r="F193">
        <v>2.8</v>
      </c>
    </row>
    <row r="194" spans="1:6">
      <c r="A194">
        <v>2018</v>
      </c>
      <c r="B194" t="s">
        <v>329</v>
      </c>
      <c r="C194" t="s">
        <v>308</v>
      </c>
      <c r="D194">
        <v>13</v>
      </c>
      <c r="E194">
        <v>6.7</v>
      </c>
      <c r="F194">
        <v>4.4000000000000004</v>
      </c>
    </row>
    <row r="195" spans="1:6">
      <c r="A195">
        <v>2018</v>
      </c>
      <c r="B195" t="s">
        <v>329</v>
      </c>
      <c r="C195" t="s">
        <v>309</v>
      </c>
      <c r="D195">
        <v>10</v>
      </c>
      <c r="E195">
        <v>6.7</v>
      </c>
      <c r="F195">
        <v>0.2</v>
      </c>
    </row>
    <row r="196" spans="1:6">
      <c r="A196">
        <v>2018</v>
      </c>
      <c r="B196" t="s">
        <v>329</v>
      </c>
      <c r="C196" t="s">
        <v>310</v>
      </c>
      <c r="D196">
        <v>13.6</v>
      </c>
      <c r="E196">
        <v>2.7</v>
      </c>
      <c r="F196">
        <v>0.2</v>
      </c>
    </row>
    <row r="197" spans="1:6">
      <c r="A197">
        <v>2018</v>
      </c>
      <c r="B197" t="s">
        <v>329</v>
      </c>
      <c r="C197" t="s">
        <v>311</v>
      </c>
      <c r="D197">
        <v>10.8</v>
      </c>
      <c r="E197">
        <v>6.7</v>
      </c>
      <c r="F197">
        <v>9.9</v>
      </c>
    </row>
    <row r="198" spans="1:6">
      <c r="A198">
        <v>2018</v>
      </c>
      <c r="B198" t="s">
        <v>329</v>
      </c>
      <c r="C198" t="s">
        <v>312</v>
      </c>
      <c r="D198">
        <v>13.1</v>
      </c>
      <c r="E198">
        <v>5.9</v>
      </c>
      <c r="F198">
        <v>11.1</v>
      </c>
    </row>
    <row r="199" spans="1:6">
      <c r="A199">
        <v>2018</v>
      </c>
      <c r="B199" t="s">
        <v>329</v>
      </c>
      <c r="C199" t="s">
        <v>313</v>
      </c>
      <c r="D199">
        <v>6.3</v>
      </c>
      <c r="E199">
        <v>1.1000000000000001</v>
      </c>
      <c r="F199">
        <v>10.7</v>
      </c>
    </row>
    <row r="200" spans="1:6">
      <c r="A200">
        <v>2018</v>
      </c>
      <c r="B200" t="s">
        <v>329</v>
      </c>
      <c r="C200" t="s">
        <v>314</v>
      </c>
      <c r="D200">
        <v>-0.7</v>
      </c>
      <c r="E200">
        <v>-2.9</v>
      </c>
      <c r="F200">
        <v>0.2</v>
      </c>
    </row>
    <row r="201" spans="1:6">
      <c r="A201">
        <v>2018</v>
      </c>
      <c r="B201" t="s">
        <v>329</v>
      </c>
      <c r="C201" t="s">
        <v>315</v>
      </c>
      <c r="D201">
        <v>0.9</v>
      </c>
      <c r="E201">
        <v>-2.6</v>
      </c>
      <c r="F201">
        <v>0.4</v>
      </c>
    </row>
    <row r="202" spans="1:6">
      <c r="A202">
        <v>2018</v>
      </c>
      <c r="B202" t="s">
        <v>329</v>
      </c>
      <c r="C202" t="s">
        <v>316</v>
      </c>
      <c r="D202">
        <v>6.6</v>
      </c>
      <c r="E202">
        <v>-3.3</v>
      </c>
      <c r="F202">
        <v>0</v>
      </c>
    </row>
    <row r="203" spans="1:6">
      <c r="A203">
        <v>2018</v>
      </c>
      <c r="B203" t="s">
        <v>329</v>
      </c>
      <c r="C203" t="s">
        <v>317</v>
      </c>
      <c r="D203">
        <v>6.5</v>
      </c>
      <c r="E203">
        <v>-2.6</v>
      </c>
      <c r="F203">
        <v>0</v>
      </c>
    </row>
    <row r="204" spans="1:6">
      <c r="A204">
        <v>2018</v>
      </c>
      <c r="B204" t="s">
        <v>329</v>
      </c>
      <c r="C204" t="s">
        <v>318</v>
      </c>
      <c r="D204">
        <v>6.1</v>
      </c>
      <c r="E204">
        <v>-1.8</v>
      </c>
      <c r="F204">
        <v>0.4</v>
      </c>
    </row>
    <row r="205" spans="1:6">
      <c r="A205">
        <v>2018</v>
      </c>
      <c r="B205" t="s">
        <v>329</v>
      </c>
      <c r="C205" t="s">
        <v>319</v>
      </c>
      <c r="D205">
        <v>7.5</v>
      </c>
      <c r="E205">
        <v>3.4</v>
      </c>
      <c r="F205">
        <v>0</v>
      </c>
    </row>
    <row r="206" spans="1:6">
      <c r="A206">
        <v>2018</v>
      </c>
      <c r="B206" t="s">
        <v>329</v>
      </c>
      <c r="C206" t="s">
        <v>320</v>
      </c>
      <c r="D206">
        <v>13.8</v>
      </c>
      <c r="E206">
        <v>0.2</v>
      </c>
      <c r="F206">
        <v>0</v>
      </c>
    </row>
    <row r="207" spans="1:6">
      <c r="A207">
        <v>2018</v>
      </c>
      <c r="B207" t="s">
        <v>329</v>
      </c>
      <c r="C207" t="s">
        <v>321</v>
      </c>
      <c r="D207">
        <v>14.8</v>
      </c>
      <c r="E207">
        <v>-0.6</v>
      </c>
      <c r="F207">
        <v>0</v>
      </c>
    </row>
    <row r="208" spans="1:6">
      <c r="A208">
        <v>2018</v>
      </c>
      <c r="B208" t="s">
        <v>329</v>
      </c>
      <c r="C208" t="s">
        <v>322</v>
      </c>
      <c r="D208">
        <v>11</v>
      </c>
      <c r="E208">
        <v>5.5</v>
      </c>
      <c r="F208">
        <v>1.4</v>
      </c>
    </row>
    <row r="209" spans="1:6">
      <c r="A209">
        <v>2018</v>
      </c>
      <c r="B209" t="s">
        <v>329</v>
      </c>
      <c r="C209" t="s">
        <v>323</v>
      </c>
      <c r="D209">
        <v>9.8000000000000007</v>
      </c>
      <c r="E209">
        <v>3.8</v>
      </c>
      <c r="F209">
        <v>4.4000000000000004</v>
      </c>
    </row>
    <row r="210" spans="1:6">
      <c r="A210">
        <v>2018</v>
      </c>
      <c r="B210" t="s">
        <v>329</v>
      </c>
      <c r="C210" t="s">
        <v>324</v>
      </c>
      <c r="D210">
        <v>13.6</v>
      </c>
      <c r="E210">
        <v>5.8</v>
      </c>
      <c r="F210">
        <v>8.3000000000000007</v>
      </c>
    </row>
    <row r="211" spans="1:6">
      <c r="A211">
        <v>2018</v>
      </c>
      <c r="B211" t="s">
        <v>329</v>
      </c>
      <c r="C211" t="s">
        <v>326</v>
      </c>
      <c r="D211">
        <v>11.9</v>
      </c>
      <c r="E211">
        <v>0.4</v>
      </c>
      <c r="F211">
        <v>0</v>
      </c>
    </row>
    <row r="212" spans="1:6">
      <c r="A212">
        <v>2018</v>
      </c>
      <c r="B212" t="s">
        <v>329</v>
      </c>
      <c r="C212" t="s">
        <v>327</v>
      </c>
      <c r="D212">
        <v>11.5</v>
      </c>
      <c r="E212">
        <v>2.8</v>
      </c>
      <c r="F212">
        <v>2.2000000000000002</v>
      </c>
    </row>
    <row r="213" spans="1:6">
      <c r="A213">
        <v>2018</v>
      </c>
      <c r="B213" t="s">
        <v>329</v>
      </c>
      <c r="C213" t="s">
        <v>328</v>
      </c>
      <c r="D213">
        <v>12.7</v>
      </c>
      <c r="E213">
        <v>0.6</v>
      </c>
      <c r="F213">
        <v>0.2</v>
      </c>
    </row>
    <row r="214" spans="1:6">
      <c r="A214">
        <v>2018</v>
      </c>
      <c r="B214" t="s">
        <v>330</v>
      </c>
      <c r="C214" t="s">
        <v>200</v>
      </c>
      <c r="D214">
        <v>9.9</v>
      </c>
      <c r="E214">
        <v>4.3</v>
      </c>
      <c r="F214">
        <v>0.2</v>
      </c>
    </row>
    <row r="215" spans="1:6">
      <c r="A215">
        <v>2018</v>
      </c>
      <c r="B215" t="s">
        <v>330</v>
      </c>
      <c r="C215" t="s">
        <v>201</v>
      </c>
      <c r="D215">
        <v>13.7</v>
      </c>
      <c r="E215">
        <v>3.8</v>
      </c>
      <c r="F215">
        <v>0.6</v>
      </c>
    </row>
    <row r="216" spans="1:6">
      <c r="A216">
        <v>2018</v>
      </c>
      <c r="B216" t="s">
        <v>330</v>
      </c>
      <c r="C216" t="s">
        <v>202</v>
      </c>
      <c r="D216">
        <v>15.2</v>
      </c>
      <c r="E216">
        <v>7.9</v>
      </c>
      <c r="F216">
        <v>6.2</v>
      </c>
    </row>
    <row r="217" spans="1:6">
      <c r="A217">
        <v>2018</v>
      </c>
      <c r="B217" t="s">
        <v>330</v>
      </c>
      <c r="C217" t="s">
        <v>203</v>
      </c>
      <c r="D217">
        <v>15.1</v>
      </c>
      <c r="E217">
        <v>7.5</v>
      </c>
      <c r="F217">
        <v>10.5</v>
      </c>
    </row>
    <row r="218" spans="1:6">
      <c r="A218">
        <v>2018</v>
      </c>
      <c r="B218" t="s">
        <v>330</v>
      </c>
      <c r="C218" t="s">
        <v>204</v>
      </c>
      <c r="D218">
        <v>10.9</v>
      </c>
      <c r="E218">
        <v>7.3</v>
      </c>
      <c r="F218">
        <v>0</v>
      </c>
    </row>
    <row r="219" spans="1:6">
      <c r="A219">
        <v>2018</v>
      </c>
      <c r="B219" t="s">
        <v>330</v>
      </c>
      <c r="C219" t="s">
        <v>205</v>
      </c>
      <c r="D219">
        <v>18.5</v>
      </c>
      <c r="E219">
        <v>2.7</v>
      </c>
      <c r="F219">
        <v>0</v>
      </c>
    </row>
    <row r="220" spans="1:6">
      <c r="A220">
        <v>2018</v>
      </c>
      <c r="B220" t="s">
        <v>330</v>
      </c>
      <c r="C220" t="s">
        <v>206</v>
      </c>
      <c r="D220">
        <v>21.4</v>
      </c>
      <c r="E220">
        <v>7.6</v>
      </c>
      <c r="F220">
        <v>0</v>
      </c>
    </row>
    <row r="221" spans="1:6">
      <c r="A221">
        <v>2018</v>
      </c>
      <c r="B221" t="s">
        <v>330</v>
      </c>
      <c r="C221" t="s">
        <v>207</v>
      </c>
      <c r="D221">
        <v>23.4</v>
      </c>
      <c r="E221">
        <v>9.6999999999999993</v>
      </c>
      <c r="F221">
        <v>0.2</v>
      </c>
    </row>
    <row r="222" spans="1:6">
      <c r="A222">
        <v>2018</v>
      </c>
      <c r="B222" t="s">
        <v>330</v>
      </c>
      <c r="C222" t="s">
        <v>208</v>
      </c>
      <c r="D222">
        <v>16.600000000000001</v>
      </c>
      <c r="E222">
        <v>11.1</v>
      </c>
      <c r="F222">
        <v>1</v>
      </c>
    </row>
    <row r="223" spans="1:6">
      <c r="A223">
        <v>2018</v>
      </c>
      <c r="B223" t="s">
        <v>330</v>
      </c>
      <c r="C223" t="s">
        <v>209</v>
      </c>
      <c r="D223">
        <v>15.7</v>
      </c>
      <c r="E223">
        <v>8.3000000000000007</v>
      </c>
      <c r="F223">
        <v>1</v>
      </c>
    </row>
    <row r="224" spans="1:6">
      <c r="A224">
        <v>2018</v>
      </c>
      <c r="B224" t="s">
        <v>330</v>
      </c>
      <c r="C224" t="s">
        <v>210</v>
      </c>
      <c r="D224">
        <v>18.100000000000001</v>
      </c>
      <c r="E224">
        <v>3.6</v>
      </c>
      <c r="F224">
        <v>0</v>
      </c>
    </row>
    <row r="225" spans="1:6">
      <c r="A225">
        <v>2018</v>
      </c>
      <c r="B225" t="s">
        <v>330</v>
      </c>
      <c r="C225" t="s">
        <v>211</v>
      </c>
      <c r="D225">
        <v>14.1</v>
      </c>
      <c r="E225">
        <v>8.1</v>
      </c>
      <c r="F225">
        <v>0</v>
      </c>
    </row>
    <row r="226" spans="1:6">
      <c r="A226">
        <v>2018</v>
      </c>
      <c r="B226" t="s">
        <v>330</v>
      </c>
      <c r="C226" t="s">
        <v>212</v>
      </c>
      <c r="D226">
        <v>17.7</v>
      </c>
      <c r="E226">
        <v>4.3</v>
      </c>
      <c r="F226">
        <v>0</v>
      </c>
    </row>
    <row r="227" spans="1:6">
      <c r="A227">
        <v>2018</v>
      </c>
      <c r="B227" t="s">
        <v>330</v>
      </c>
      <c r="C227" t="s">
        <v>213</v>
      </c>
      <c r="D227">
        <v>17.100000000000001</v>
      </c>
      <c r="E227">
        <v>6.2</v>
      </c>
      <c r="F227">
        <v>0.4</v>
      </c>
    </row>
    <row r="228" spans="1:6">
      <c r="A228">
        <v>2018</v>
      </c>
      <c r="B228" t="s">
        <v>330</v>
      </c>
      <c r="C228" t="s">
        <v>214</v>
      </c>
      <c r="D228">
        <v>17.600000000000001</v>
      </c>
      <c r="E228">
        <v>6.2</v>
      </c>
      <c r="F228">
        <v>0.2</v>
      </c>
    </row>
    <row r="229" spans="1:6">
      <c r="A229">
        <v>2018</v>
      </c>
      <c r="B229" t="s">
        <v>330</v>
      </c>
      <c r="C229" t="s">
        <v>215</v>
      </c>
      <c r="D229">
        <v>17.2</v>
      </c>
      <c r="E229">
        <v>6</v>
      </c>
      <c r="F229">
        <v>0</v>
      </c>
    </row>
    <row r="230" spans="1:6">
      <c r="A230">
        <v>2018</v>
      </c>
      <c r="B230" t="s">
        <v>330</v>
      </c>
      <c r="C230" t="s">
        <v>216</v>
      </c>
      <c r="D230">
        <v>20.399999999999999</v>
      </c>
      <c r="E230">
        <v>5.0999999999999996</v>
      </c>
      <c r="F230">
        <v>0</v>
      </c>
    </row>
    <row r="231" spans="1:6">
      <c r="A231">
        <v>2018</v>
      </c>
      <c r="B231" t="s">
        <v>330</v>
      </c>
      <c r="C231" t="s">
        <v>217</v>
      </c>
      <c r="D231">
        <v>25.3</v>
      </c>
      <c r="E231">
        <v>7.6</v>
      </c>
      <c r="F231">
        <v>0</v>
      </c>
    </row>
    <row r="232" spans="1:6">
      <c r="A232">
        <v>2018</v>
      </c>
      <c r="B232" t="s">
        <v>330</v>
      </c>
      <c r="C232" t="s">
        <v>218</v>
      </c>
      <c r="D232">
        <v>26.4</v>
      </c>
      <c r="E232">
        <v>11.2</v>
      </c>
      <c r="F232">
        <v>0</v>
      </c>
    </row>
    <row r="233" spans="1:6">
      <c r="A233">
        <v>2018</v>
      </c>
      <c r="B233" t="s">
        <v>330</v>
      </c>
      <c r="C233" t="s">
        <v>219</v>
      </c>
      <c r="D233">
        <v>27.6</v>
      </c>
      <c r="E233">
        <v>13.2</v>
      </c>
      <c r="F233">
        <v>0</v>
      </c>
    </row>
    <row r="234" spans="1:6">
      <c r="A234">
        <v>2018</v>
      </c>
      <c r="B234" t="s">
        <v>330</v>
      </c>
      <c r="C234" t="s">
        <v>220</v>
      </c>
      <c r="D234">
        <v>27.2</v>
      </c>
      <c r="E234">
        <v>13.2</v>
      </c>
      <c r="F234">
        <v>0</v>
      </c>
    </row>
    <row r="235" spans="1:6">
      <c r="A235">
        <v>2018</v>
      </c>
      <c r="B235" t="s">
        <v>330</v>
      </c>
      <c r="C235" t="s">
        <v>221</v>
      </c>
      <c r="D235">
        <v>24.8</v>
      </c>
      <c r="E235">
        <v>12.8</v>
      </c>
      <c r="F235">
        <v>0</v>
      </c>
    </row>
    <row r="236" spans="1:6">
      <c r="A236">
        <v>2018</v>
      </c>
      <c r="B236" t="s">
        <v>330</v>
      </c>
      <c r="C236" t="s">
        <v>222</v>
      </c>
      <c r="D236">
        <v>18.8</v>
      </c>
      <c r="E236">
        <v>13.3</v>
      </c>
      <c r="F236">
        <v>0</v>
      </c>
    </row>
    <row r="237" spans="1:6">
      <c r="A237">
        <v>2018</v>
      </c>
      <c r="B237" t="s">
        <v>330</v>
      </c>
      <c r="C237" t="s">
        <v>223</v>
      </c>
      <c r="D237">
        <v>19.100000000000001</v>
      </c>
      <c r="E237">
        <v>7.9</v>
      </c>
      <c r="F237">
        <v>0</v>
      </c>
    </row>
    <row r="238" spans="1:6">
      <c r="A238">
        <v>2018</v>
      </c>
      <c r="B238" t="s">
        <v>330</v>
      </c>
      <c r="C238" t="s">
        <v>224</v>
      </c>
      <c r="D238">
        <v>16.600000000000001</v>
      </c>
      <c r="E238">
        <v>8.8000000000000007</v>
      </c>
      <c r="F238">
        <v>0.2</v>
      </c>
    </row>
    <row r="239" spans="1:6">
      <c r="A239">
        <v>2018</v>
      </c>
      <c r="B239" t="s">
        <v>330</v>
      </c>
      <c r="C239" t="s">
        <v>225</v>
      </c>
      <c r="D239">
        <v>15.3</v>
      </c>
      <c r="E239">
        <v>4.4000000000000004</v>
      </c>
      <c r="F239">
        <v>0</v>
      </c>
    </row>
    <row r="240" spans="1:6">
      <c r="A240">
        <v>2018</v>
      </c>
      <c r="B240" t="s">
        <v>330</v>
      </c>
      <c r="C240" t="s">
        <v>226</v>
      </c>
      <c r="D240">
        <v>19.7</v>
      </c>
      <c r="E240">
        <v>4.0999999999999996</v>
      </c>
      <c r="F240">
        <v>0</v>
      </c>
    </row>
    <row r="241" spans="1:6">
      <c r="A241">
        <v>2018</v>
      </c>
      <c r="B241" t="s">
        <v>330</v>
      </c>
      <c r="C241" t="s">
        <v>227</v>
      </c>
      <c r="D241">
        <v>15.3</v>
      </c>
      <c r="E241">
        <v>8.4</v>
      </c>
      <c r="F241">
        <v>7.1</v>
      </c>
    </row>
    <row r="242" spans="1:6">
      <c r="A242">
        <v>2018</v>
      </c>
      <c r="B242" t="s">
        <v>330</v>
      </c>
      <c r="C242" t="s">
        <v>228</v>
      </c>
      <c r="D242">
        <v>13</v>
      </c>
      <c r="E242">
        <v>6.3</v>
      </c>
      <c r="F242">
        <v>17.100000000000001</v>
      </c>
    </row>
    <row r="243" spans="1:6">
      <c r="A243">
        <v>2018</v>
      </c>
      <c r="B243" t="s">
        <v>330</v>
      </c>
      <c r="C243" t="s">
        <v>229</v>
      </c>
      <c r="D243">
        <v>9.6999999999999993</v>
      </c>
      <c r="E243">
        <v>5.6</v>
      </c>
      <c r="F243">
        <v>2.4</v>
      </c>
    </row>
    <row r="244" spans="1:6">
      <c r="A244">
        <v>2018</v>
      </c>
      <c r="B244" t="s">
        <v>362</v>
      </c>
      <c r="C244" t="s">
        <v>331</v>
      </c>
      <c r="D244">
        <v>12.5</v>
      </c>
      <c r="E244">
        <v>3.2</v>
      </c>
      <c r="F244">
        <v>0</v>
      </c>
    </row>
    <row r="245" spans="1:6">
      <c r="A245">
        <v>2018</v>
      </c>
      <c r="B245" t="s">
        <v>362</v>
      </c>
      <c r="C245" t="s">
        <v>332</v>
      </c>
      <c r="D245">
        <v>16.8</v>
      </c>
      <c r="E245">
        <v>2.8</v>
      </c>
      <c r="F245">
        <v>0.2</v>
      </c>
    </row>
    <row r="246" spans="1:6">
      <c r="A246">
        <v>2018</v>
      </c>
      <c r="B246" t="s">
        <v>362</v>
      </c>
      <c r="C246" t="s">
        <v>333</v>
      </c>
      <c r="D246">
        <v>15.9</v>
      </c>
      <c r="E246">
        <v>7.7</v>
      </c>
      <c r="F246">
        <v>0</v>
      </c>
    </row>
    <row r="247" spans="1:6">
      <c r="A247">
        <v>2018</v>
      </c>
      <c r="B247" t="s">
        <v>362</v>
      </c>
      <c r="C247" t="s">
        <v>334</v>
      </c>
      <c r="D247">
        <v>19.7</v>
      </c>
      <c r="E247">
        <v>4.7</v>
      </c>
      <c r="F247">
        <v>0</v>
      </c>
    </row>
    <row r="248" spans="1:6">
      <c r="A248">
        <v>2018</v>
      </c>
      <c r="B248" t="s">
        <v>362</v>
      </c>
      <c r="C248" t="s">
        <v>335</v>
      </c>
      <c r="D248">
        <v>23.7</v>
      </c>
      <c r="E248">
        <v>8.1</v>
      </c>
      <c r="F248">
        <v>0</v>
      </c>
    </row>
    <row r="249" spans="1:6">
      <c r="A249">
        <v>2018</v>
      </c>
      <c r="B249" t="s">
        <v>362</v>
      </c>
      <c r="C249" t="s">
        <v>336</v>
      </c>
      <c r="D249">
        <v>25.9</v>
      </c>
      <c r="E249">
        <v>9.8000000000000007</v>
      </c>
      <c r="F249">
        <v>0</v>
      </c>
    </row>
    <row r="250" spans="1:6">
      <c r="A250">
        <v>2018</v>
      </c>
      <c r="B250" t="s">
        <v>362</v>
      </c>
      <c r="C250" t="s">
        <v>337</v>
      </c>
      <c r="D250">
        <v>24.7</v>
      </c>
      <c r="E250">
        <v>8.5</v>
      </c>
      <c r="F250">
        <v>0</v>
      </c>
    </row>
    <row r="251" spans="1:6">
      <c r="A251">
        <v>2018</v>
      </c>
      <c r="B251" t="s">
        <v>362</v>
      </c>
      <c r="C251" t="s">
        <v>338</v>
      </c>
      <c r="D251">
        <v>26</v>
      </c>
      <c r="E251">
        <v>9.5</v>
      </c>
      <c r="F251">
        <v>0</v>
      </c>
    </row>
    <row r="252" spans="1:6">
      <c r="A252">
        <v>2018</v>
      </c>
      <c r="B252" t="s">
        <v>362</v>
      </c>
      <c r="C252" t="s">
        <v>339</v>
      </c>
      <c r="D252">
        <v>24</v>
      </c>
      <c r="E252">
        <v>10.7</v>
      </c>
      <c r="F252">
        <v>0</v>
      </c>
    </row>
    <row r="253" spans="1:6">
      <c r="A253">
        <v>2018</v>
      </c>
      <c r="B253" t="s">
        <v>362</v>
      </c>
      <c r="C253" t="s">
        <v>340</v>
      </c>
      <c r="D253">
        <v>17.3</v>
      </c>
      <c r="E253">
        <v>11.1</v>
      </c>
      <c r="F253">
        <v>0.2</v>
      </c>
    </row>
    <row r="254" spans="1:6">
      <c r="A254">
        <v>2018</v>
      </c>
      <c r="B254" t="s">
        <v>362</v>
      </c>
      <c r="C254" t="s">
        <v>341</v>
      </c>
      <c r="D254">
        <v>21.5</v>
      </c>
      <c r="E254">
        <v>5.8</v>
      </c>
      <c r="F254">
        <v>0</v>
      </c>
    </row>
    <row r="255" spans="1:6">
      <c r="A255">
        <v>2018</v>
      </c>
      <c r="B255" t="s">
        <v>362</v>
      </c>
      <c r="C255" t="s">
        <v>342</v>
      </c>
      <c r="D255">
        <v>23.5</v>
      </c>
      <c r="E255">
        <v>9.6</v>
      </c>
      <c r="F255">
        <v>5.6</v>
      </c>
    </row>
    <row r="256" spans="1:6">
      <c r="A256">
        <v>2018</v>
      </c>
      <c r="B256" t="s">
        <v>362</v>
      </c>
      <c r="C256" t="s">
        <v>343</v>
      </c>
      <c r="D256">
        <v>10.9</v>
      </c>
      <c r="E256">
        <v>8.5</v>
      </c>
      <c r="F256">
        <v>14.3</v>
      </c>
    </row>
    <row r="257" spans="1:6">
      <c r="A257">
        <v>2018</v>
      </c>
      <c r="B257" t="s">
        <v>362</v>
      </c>
      <c r="C257" t="s">
        <v>344</v>
      </c>
      <c r="D257">
        <v>13.3</v>
      </c>
      <c r="E257">
        <v>9.6999999999999993</v>
      </c>
      <c r="F257">
        <v>6.2</v>
      </c>
    </row>
    <row r="258" spans="1:6">
      <c r="A258">
        <v>2018</v>
      </c>
      <c r="B258" t="s">
        <v>362</v>
      </c>
      <c r="C258" t="s">
        <v>345</v>
      </c>
      <c r="D258">
        <v>20.8</v>
      </c>
      <c r="E258">
        <v>10.8</v>
      </c>
      <c r="F258">
        <v>0.2</v>
      </c>
    </row>
    <row r="259" spans="1:6">
      <c r="A259">
        <v>2018</v>
      </c>
      <c r="B259" t="s">
        <v>362</v>
      </c>
      <c r="C259" t="s">
        <v>346</v>
      </c>
      <c r="D259">
        <v>21</v>
      </c>
      <c r="E259">
        <v>8.6999999999999993</v>
      </c>
      <c r="F259">
        <v>0.4</v>
      </c>
    </row>
    <row r="260" spans="1:6">
      <c r="A260">
        <v>2018</v>
      </c>
      <c r="B260" t="s">
        <v>362</v>
      </c>
      <c r="C260" t="s">
        <v>347</v>
      </c>
      <c r="D260">
        <v>18.600000000000001</v>
      </c>
      <c r="E260">
        <v>10.7</v>
      </c>
      <c r="F260">
        <v>0</v>
      </c>
    </row>
    <row r="261" spans="1:6">
      <c r="A261">
        <v>2018</v>
      </c>
      <c r="B261" t="s">
        <v>362</v>
      </c>
      <c r="C261" t="s">
        <v>348</v>
      </c>
      <c r="D261">
        <v>18.3</v>
      </c>
      <c r="E261">
        <v>5.4</v>
      </c>
      <c r="F261">
        <v>0</v>
      </c>
    </row>
    <row r="262" spans="1:6">
      <c r="A262">
        <v>2018</v>
      </c>
      <c r="B262" t="s">
        <v>362</v>
      </c>
      <c r="C262" t="s">
        <v>349</v>
      </c>
      <c r="D262">
        <v>19.2</v>
      </c>
      <c r="E262">
        <v>5.5</v>
      </c>
      <c r="F262">
        <v>0</v>
      </c>
    </row>
    <row r="263" spans="1:6">
      <c r="A263">
        <v>2018</v>
      </c>
      <c r="B263" t="s">
        <v>362</v>
      </c>
      <c r="C263" t="s">
        <v>350</v>
      </c>
      <c r="D263">
        <v>22.2</v>
      </c>
      <c r="E263">
        <v>6</v>
      </c>
      <c r="F263">
        <v>0</v>
      </c>
    </row>
    <row r="264" spans="1:6">
      <c r="A264">
        <v>2018</v>
      </c>
      <c r="B264" t="s">
        <v>362</v>
      </c>
      <c r="C264" t="s">
        <v>351</v>
      </c>
      <c r="D264">
        <v>24</v>
      </c>
      <c r="E264">
        <v>8.5</v>
      </c>
      <c r="F264">
        <v>0</v>
      </c>
    </row>
    <row r="265" spans="1:6">
      <c r="A265">
        <v>2018</v>
      </c>
      <c r="B265" t="s">
        <v>362</v>
      </c>
      <c r="C265" t="s">
        <v>352</v>
      </c>
      <c r="D265">
        <v>24.3</v>
      </c>
      <c r="E265">
        <v>13.4</v>
      </c>
      <c r="F265">
        <v>0</v>
      </c>
    </row>
    <row r="266" spans="1:6">
      <c r="A266">
        <v>2018</v>
      </c>
      <c r="B266" t="s">
        <v>362</v>
      </c>
      <c r="C266" t="s">
        <v>353</v>
      </c>
      <c r="D266">
        <v>22.6</v>
      </c>
      <c r="E266">
        <v>12</v>
      </c>
      <c r="F266">
        <v>0</v>
      </c>
    </row>
    <row r="267" spans="1:6">
      <c r="A267">
        <v>2018</v>
      </c>
      <c r="B267" t="s">
        <v>362</v>
      </c>
      <c r="C267" t="s">
        <v>354</v>
      </c>
      <c r="D267">
        <v>24.9</v>
      </c>
      <c r="E267">
        <v>11.1</v>
      </c>
      <c r="F267">
        <v>0</v>
      </c>
    </row>
    <row r="268" spans="1:6">
      <c r="A268">
        <v>2018</v>
      </c>
      <c r="B268" t="s">
        <v>362</v>
      </c>
      <c r="C268" t="s">
        <v>355</v>
      </c>
      <c r="D268">
        <v>26.3</v>
      </c>
      <c r="E268">
        <v>11.9</v>
      </c>
      <c r="F268">
        <v>0</v>
      </c>
    </row>
    <row r="269" spans="1:6">
      <c r="A269">
        <v>2018</v>
      </c>
      <c r="B269" t="s">
        <v>362</v>
      </c>
      <c r="C269" t="s">
        <v>356</v>
      </c>
      <c r="D269">
        <v>28</v>
      </c>
      <c r="E269">
        <v>14</v>
      </c>
      <c r="F269">
        <v>0</v>
      </c>
    </row>
    <row r="270" spans="1:6">
      <c r="A270">
        <v>2018</v>
      </c>
      <c r="B270" t="s">
        <v>362</v>
      </c>
      <c r="C270" t="s">
        <v>357</v>
      </c>
      <c r="D270">
        <v>28.8</v>
      </c>
      <c r="E270">
        <v>16.2</v>
      </c>
      <c r="F270">
        <v>0</v>
      </c>
    </row>
    <row r="271" spans="1:6">
      <c r="A271">
        <v>2018</v>
      </c>
      <c r="B271" t="s">
        <v>362</v>
      </c>
      <c r="C271" t="s">
        <v>358</v>
      </c>
      <c r="D271">
        <v>25.6</v>
      </c>
      <c r="E271">
        <v>16.2</v>
      </c>
      <c r="F271">
        <v>0</v>
      </c>
    </row>
    <row r="272" spans="1:6">
      <c r="A272">
        <v>2018</v>
      </c>
      <c r="B272" t="s">
        <v>362</v>
      </c>
      <c r="C272" t="s">
        <v>359</v>
      </c>
      <c r="D272">
        <v>26.7</v>
      </c>
      <c r="E272">
        <v>13.4</v>
      </c>
      <c r="F272">
        <v>0</v>
      </c>
    </row>
    <row r="273" spans="1:6">
      <c r="A273">
        <v>2018</v>
      </c>
      <c r="B273" t="s">
        <v>362</v>
      </c>
      <c r="C273" t="s">
        <v>360</v>
      </c>
      <c r="D273">
        <v>27.6</v>
      </c>
      <c r="E273">
        <v>12.9</v>
      </c>
      <c r="F273">
        <v>6.2</v>
      </c>
    </row>
    <row r="274" spans="1:6">
      <c r="A274">
        <v>2018</v>
      </c>
      <c r="B274" t="s">
        <v>362</v>
      </c>
      <c r="C274" t="s">
        <v>361</v>
      </c>
      <c r="D274">
        <v>25.1</v>
      </c>
      <c r="E274">
        <v>15.2</v>
      </c>
      <c r="F274">
        <v>1.2</v>
      </c>
    </row>
    <row r="275" spans="1:6">
      <c r="A275">
        <v>2018</v>
      </c>
      <c r="B275" t="s">
        <v>363</v>
      </c>
      <c r="C275" t="s">
        <v>169</v>
      </c>
      <c r="D275">
        <v>22.8</v>
      </c>
      <c r="E275">
        <v>14.7</v>
      </c>
      <c r="F275">
        <v>0.2</v>
      </c>
    </row>
    <row r="276" spans="1:6">
      <c r="A276">
        <v>2018</v>
      </c>
      <c r="B276" t="s">
        <v>363</v>
      </c>
      <c r="C276" t="s">
        <v>170</v>
      </c>
      <c r="D276">
        <v>24.8</v>
      </c>
      <c r="E276">
        <v>14.8</v>
      </c>
      <c r="F276">
        <v>0</v>
      </c>
    </row>
    <row r="277" spans="1:6">
      <c r="A277">
        <v>2018</v>
      </c>
      <c r="B277" t="s">
        <v>363</v>
      </c>
      <c r="C277" t="s">
        <v>171</v>
      </c>
      <c r="D277">
        <v>25.3</v>
      </c>
      <c r="E277">
        <v>12.8</v>
      </c>
      <c r="F277">
        <v>0</v>
      </c>
    </row>
    <row r="278" spans="1:6">
      <c r="A278">
        <v>2018</v>
      </c>
      <c r="B278" t="s">
        <v>363</v>
      </c>
      <c r="C278" t="s">
        <v>172</v>
      </c>
      <c r="D278">
        <v>26.9</v>
      </c>
      <c r="E278">
        <v>16</v>
      </c>
      <c r="F278">
        <v>0</v>
      </c>
    </row>
    <row r="279" spans="1:6">
      <c r="A279">
        <v>2018</v>
      </c>
      <c r="B279" t="s">
        <v>363</v>
      </c>
      <c r="C279" t="s">
        <v>173</v>
      </c>
      <c r="D279">
        <v>26.6</v>
      </c>
      <c r="E279">
        <v>17</v>
      </c>
      <c r="F279">
        <v>0</v>
      </c>
    </row>
    <row r="280" spans="1:6">
      <c r="A280">
        <v>2018</v>
      </c>
      <c r="B280" t="s">
        <v>363</v>
      </c>
      <c r="C280" t="s">
        <v>174</v>
      </c>
      <c r="D280">
        <v>27.4</v>
      </c>
      <c r="E280">
        <v>16.100000000000001</v>
      </c>
      <c r="F280">
        <v>3</v>
      </c>
    </row>
    <row r="281" spans="1:6">
      <c r="A281">
        <v>2018</v>
      </c>
      <c r="B281" t="s">
        <v>363</v>
      </c>
      <c r="C281" t="s">
        <v>175</v>
      </c>
      <c r="D281">
        <v>25.9</v>
      </c>
      <c r="E281">
        <v>14.2</v>
      </c>
      <c r="F281">
        <v>0</v>
      </c>
    </row>
    <row r="282" spans="1:6">
      <c r="A282">
        <v>2018</v>
      </c>
      <c r="B282" t="s">
        <v>363</v>
      </c>
      <c r="C282" t="s">
        <v>176</v>
      </c>
      <c r="D282">
        <v>26</v>
      </c>
      <c r="E282">
        <v>13.8</v>
      </c>
      <c r="F282">
        <v>0</v>
      </c>
    </row>
    <row r="283" spans="1:6">
      <c r="A283">
        <v>2018</v>
      </c>
      <c r="B283" t="s">
        <v>363</v>
      </c>
      <c r="C283" t="s">
        <v>177</v>
      </c>
      <c r="D283">
        <v>27.6</v>
      </c>
      <c r="E283">
        <v>15.2</v>
      </c>
      <c r="F283">
        <v>0.2</v>
      </c>
    </row>
    <row r="284" spans="1:6">
      <c r="A284">
        <v>2018</v>
      </c>
      <c r="B284" t="s">
        <v>363</v>
      </c>
      <c r="C284" t="s">
        <v>178</v>
      </c>
      <c r="D284">
        <v>26.9</v>
      </c>
      <c r="E284">
        <v>16</v>
      </c>
      <c r="F284">
        <v>0.2</v>
      </c>
    </row>
    <row r="285" spans="1:6">
      <c r="A285">
        <v>2018</v>
      </c>
      <c r="B285" t="s">
        <v>363</v>
      </c>
      <c r="C285" t="s">
        <v>179</v>
      </c>
      <c r="D285">
        <v>20.9</v>
      </c>
      <c r="E285">
        <v>16</v>
      </c>
      <c r="F285">
        <v>9</v>
      </c>
    </row>
    <row r="286" spans="1:6">
      <c r="A286">
        <v>2018</v>
      </c>
      <c r="B286" t="s">
        <v>363</v>
      </c>
      <c r="C286" t="s">
        <v>180</v>
      </c>
      <c r="D286">
        <v>18.2</v>
      </c>
      <c r="E286">
        <v>14</v>
      </c>
      <c r="F286">
        <v>0.8</v>
      </c>
    </row>
    <row r="287" spans="1:6">
      <c r="A287">
        <v>2018</v>
      </c>
      <c r="B287" t="s">
        <v>363</v>
      </c>
      <c r="C287" t="s">
        <v>181</v>
      </c>
      <c r="D287">
        <v>18.3</v>
      </c>
      <c r="E287">
        <v>11.8</v>
      </c>
      <c r="F287">
        <v>0</v>
      </c>
    </row>
    <row r="288" spans="1:6">
      <c r="A288">
        <v>2018</v>
      </c>
      <c r="B288" t="s">
        <v>363</v>
      </c>
      <c r="C288" t="s">
        <v>182</v>
      </c>
      <c r="D288">
        <v>21.4</v>
      </c>
      <c r="E288">
        <v>6.6</v>
      </c>
      <c r="F288">
        <v>0.6</v>
      </c>
    </row>
    <row r="289" spans="1:6">
      <c r="A289">
        <v>2018</v>
      </c>
      <c r="B289" t="s">
        <v>363</v>
      </c>
      <c r="C289" t="s">
        <v>183</v>
      </c>
      <c r="D289">
        <v>25</v>
      </c>
      <c r="E289">
        <v>14.6</v>
      </c>
      <c r="F289">
        <v>0</v>
      </c>
    </row>
    <row r="290" spans="1:6">
      <c r="A290">
        <v>2018</v>
      </c>
      <c r="B290" t="s">
        <v>363</v>
      </c>
      <c r="C290" t="s">
        <v>184</v>
      </c>
      <c r="D290">
        <v>23.9</v>
      </c>
      <c r="E290">
        <v>12.7</v>
      </c>
      <c r="F290">
        <v>0.4</v>
      </c>
    </row>
    <row r="291" spans="1:6">
      <c r="A291">
        <v>2018</v>
      </c>
      <c r="B291" t="s">
        <v>363</v>
      </c>
      <c r="C291" t="s">
        <v>185</v>
      </c>
      <c r="D291">
        <v>21.1</v>
      </c>
      <c r="E291">
        <v>12.4</v>
      </c>
      <c r="F291">
        <v>0</v>
      </c>
    </row>
    <row r="292" spans="1:6">
      <c r="A292">
        <v>2018</v>
      </c>
      <c r="B292" t="s">
        <v>363</v>
      </c>
      <c r="C292" t="s">
        <v>186</v>
      </c>
      <c r="D292">
        <v>23.1</v>
      </c>
      <c r="E292">
        <v>11.2</v>
      </c>
      <c r="F292">
        <v>0</v>
      </c>
    </row>
    <row r="293" spans="1:6">
      <c r="A293">
        <v>2018</v>
      </c>
      <c r="B293" t="s">
        <v>363</v>
      </c>
      <c r="C293" t="s">
        <v>187</v>
      </c>
      <c r="D293">
        <v>24.8</v>
      </c>
      <c r="E293">
        <v>12.4</v>
      </c>
      <c r="F293">
        <v>0.2</v>
      </c>
    </row>
    <row r="294" spans="1:6">
      <c r="A294">
        <v>2018</v>
      </c>
      <c r="B294" t="s">
        <v>363</v>
      </c>
      <c r="C294" t="s">
        <v>188</v>
      </c>
      <c r="D294">
        <v>28.5</v>
      </c>
      <c r="E294">
        <v>11.3</v>
      </c>
      <c r="F294">
        <v>0</v>
      </c>
    </row>
    <row r="295" spans="1:6">
      <c r="A295">
        <v>2018</v>
      </c>
      <c r="B295" t="s">
        <v>363</v>
      </c>
      <c r="C295" t="s">
        <v>189</v>
      </c>
      <c r="D295">
        <v>21.6</v>
      </c>
      <c r="E295">
        <v>12.8</v>
      </c>
      <c r="F295">
        <v>0</v>
      </c>
    </row>
    <row r="296" spans="1:6">
      <c r="A296">
        <v>2018</v>
      </c>
      <c r="B296" t="s">
        <v>363</v>
      </c>
      <c r="C296" t="s">
        <v>190</v>
      </c>
      <c r="D296">
        <v>20.8</v>
      </c>
      <c r="E296">
        <v>4.3</v>
      </c>
      <c r="F296">
        <v>0</v>
      </c>
    </row>
    <row r="297" spans="1:6">
      <c r="A297">
        <v>2018</v>
      </c>
      <c r="B297" t="s">
        <v>363</v>
      </c>
      <c r="C297" t="s">
        <v>191</v>
      </c>
      <c r="D297">
        <v>21.2</v>
      </c>
      <c r="E297">
        <v>6.3</v>
      </c>
      <c r="F297">
        <v>0</v>
      </c>
    </row>
    <row r="298" spans="1:6">
      <c r="A298">
        <v>2018</v>
      </c>
      <c r="B298" t="s">
        <v>363</v>
      </c>
      <c r="C298" t="s">
        <v>192</v>
      </c>
      <c r="D298">
        <v>21.5</v>
      </c>
      <c r="E298">
        <v>9</v>
      </c>
      <c r="F298">
        <v>0</v>
      </c>
    </row>
    <row r="299" spans="1:6">
      <c r="A299">
        <v>2018</v>
      </c>
      <c r="B299" t="s">
        <v>363</v>
      </c>
      <c r="C299" t="s">
        <v>193</v>
      </c>
      <c r="D299">
        <v>23.5</v>
      </c>
      <c r="E299">
        <v>10.199999999999999</v>
      </c>
      <c r="F299">
        <v>0</v>
      </c>
    </row>
    <row r="300" spans="1:6">
      <c r="A300">
        <v>2018</v>
      </c>
      <c r="B300" t="s">
        <v>363</v>
      </c>
      <c r="C300" t="s">
        <v>194</v>
      </c>
      <c r="D300">
        <v>26.9</v>
      </c>
      <c r="E300">
        <v>11.1</v>
      </c>
      <c r="F300">
        <v>0</v>
      </c>
    </row>
    <row r="301" spans="1:6">
      <c r="A301">
        <v>2018</v>
      </c>
      <c r="B301" t="s">
        <v>363</v>
      </c>
      <c r="C301" t="s">
        <v>195</v>
      </c>
      <c r="D301">
        <v>28.1</v>
      </c>
      <c r="E301">
        <v>12</v>
      </c>
      <c r="F301">
        <v>0</v>
      </c>
    </row>
    <row r="302" spans="1:6">
      <c r="A302">
        <v>2018</v>
      </c>
      <c r="B302" t="s">
        <v>363</v>
      </c>
      <c r="C302" t="s">
        <v>196</v>
      </c>
      <c r="D302">
        <v>27.1</v>
      </c>
      <c r="E302">
        <v>11.9</v>
      </c>
      <c r="F302">
        <v>0</v>
      </c>
    </row>
    <row r="303" spans="1:6">
      <c r="A303">
        <v>2018</v>
      </c>
      <c r="B303" t="s">
        <v>363</v>
      </c>
      <c r="C303" t="s">
        <v>197</v>
      </c>
      <c r="D303">
        <v>29.2</v>
      </c>
      <c r="E303">
        <v>14.1</v>
      </c>
      <c r="F303">
        <v>0</v>
      </c>
    </row>
    <row r="304" spans="1:6">
      <c r="A304">
        <v>2018</v>
      </c>
      <c r="B304" t="s">
        <v>363</v>
      </c>
      <c r="C304" t="s">
        <v>198</v>
      </c>
      <c r="D304">
        <v>32.4</v>
      </c>
      <c r="E304">
        <v>15</v>
      </c>
      <c r="F304">
        <v>0</v>
      </c>
    </row>
    <row r="305" spans="1:6">
      <c r="A305">
        <v>2018</v>
      </c>
      <c r="B305" t="s">
        <v>364</v>
      </c>
      <c r="C305" t="s">
        <v>200</v>
      </c>
      <c r="D305">
        <v>31.4</v>
      </c>
      <c r="E305">
        <v>17.3</v>
      </c>
      <c r="F305">
        <v>0</v>
      </c>
    </row>
    <row r="306" spans="1:6">
      <c r="A306">
        <v>2018</v>
      </c>
      <c r="B306" t="s">
        <v>364</v>
      </c>
      <c r="C306" t="s">
        <v>201</v>
      </c>
      <c r="D306">
        <v>31.1</v>
      </c>
      <c r="E306">
        <v>13.6</v>
      </c>
      <c r="F306">
        <v>0.2</v>
      </c>
    </row>
    <row r="307" spans="1:6">
      <c r="A307">
        <v>2018</v>
      </c>
      <c r="B307" t="s">
        <v>364</v>
      </c>
      <c r="C307" t="s">
        <v>202</v>
      </c>
      <c r="D307">
        <v>29.6</v>
      </c>
      <c r="E307">
        <v>14.6</v>
      </c>
      <c r="F307">
        <v>0</v>
      </c>
    </row>
    <row r="308" spans="1:6">
      <c r="A308">
        <v>2018</v>
      </c>
      <c r="B308" t="s">
        <v>364</v>
      </c>
      <c r="C308" t="s">
        <v>203</v>
      </c>
      <c r="D308">
        <v>29.6</v>
      </c>
      <c r="E308">
        <v>15</v>
      </c>
      <c r="F308">
        <v>0</v>
      </c>
    </row>
    <row r="309" spans="1:6">
      <c r="A309">
        <v>2018</v>
      </c>
      <c r="B309" t="s">
        <v>364</v>
      </c>
      <c r="C309" t="s">
        <v>204</v>
      </c>
      <c r="D309">
        <v>24.2</v>
      </c>
      <c r="E309">
        <v>15.4</v>
      </c>
      <c r="F309">
        <v>0.8</v>
      </c>
    </row>
    <row r="310" spans="1:6">
      <c r="A310">
        <v>2018</v>
      </c>
      <c r="B310" t="s">
        <v>364</v>
      </c>
      <c r="C310" t="s">
        <v>205</v>
      </c>
      <c r="D310">
        <v>28.2</v>
      </c>
      <c r="E310">
        <v>14.8</v>
      </c>
      <c r="F310">
        <v>0</v>
      </c>
    </row>
    <row r="311" spans="1:6">
      <c r="A311">
        <v>2018</v>
      </c>
      <c r="B311" t="s">
        <v>364</v>
      </c>
      <c r="C311" t="s">
        <v>206</v>
      </c>
      <c r="D311">
        <v>29.2</v>
      </c>
      <c r="E311">
        <v>16</v>
      </c>
      <c r="F311">
        <v>0</v>
      </c>
    </row>
    <row r="312" spans="1:6">
      <c r="A312">
        <v>2018</v>
      </c>
      <c r="B312" t="s">
        <v>364</v>
      </c>
      <c r="C312" t="s">
        <v>207</v>
      </c>
      <c r="D312">
        <v>26.2</v>
      </c>
      <c r="E312">
        <v>15.2</v>
      </c>
      <c r="F312">
        <v>0</v>
      </c>
    </row>
    <row r="313" spans="1:6">
      <c r="A313">
        <v>2018</v>
      </c>
      <c r="B313" t="s">
        <v>364</v>
      </c>
      <c r="C313" t="s">
        <v>208</v>
      </c>
      <c r="D313">
        <v>26.8</v>
      </c>
      <c r="E313">
        <v>13.4</v>
      </c>
      <c r="F313">
        <v>0</v>
      </c>
    </row>
    <row r="314" spans="1:6">
      <c r="A314">
        <v>2018</v>
      </c>
      <c r="B314" t="s">
        <v>364</v>
      </c>
      <c r="C314" t="s">
        <v>209</v>
      </c>
      <c r="D314">
        <v>21.5</v>
      </c>
      <c r="E314">
        <v>15.3</v>
      </c>
      <c r="F314">
        <v>0</v>
      </c>
    </row>
    <row r="315" spans="1:6">
      <c r="A315">
        <v>2018</v>
      </c>
      <c r="B315" t="s">
        <v>364</v>
      </c>
      <c r="C315" t="s">
        <v>210</v>
      </c>
      <c r="D315">
        <v>23.2</v>
      </c>
      <c r="E315">
        <v>13</v>
      </c>
      <c r="F315">
        <v>0</v>
      </c>
    </row>
    <row r="316" spans="1:6">
      <c r="A316">
        <v>2018</v>
      </c>
      <c r="B316" t="s">
        <v>364</v>
      </c>
      <c r="C316" t="s">
        <v>211</v>
      </c>
      <c r="D316">
        <v>24.8</v>
      </c>
      <c r="E316">
        <v>11.5</v>
      </c>
      <c r="F316">
        <v>0</v>
      </c>
    </row>
    <row r="317" spans="1:6">
      <c r="A317">
        <v>2018</v>
      </c>
      <c r="B317" t="s">
        <v>364</v>
      </c>
      <c r="C317" t="s">
        <v>212</v>
      </c>
      <c r="D317">
        <v>29.1</v>
      </c>
      <c r="E317">
        <v>14.6</v>
      </c>
      <c r="F317">
        <v>0</v>
      </c>
    </row>
    <row r="318" spans="1:6">
      <c r="A318">
        <v>2018</v>
      </c>
      <c r="B318" t="s">
        <v>364</v>
      </c>
      <c r="C318" t="s">
        <v>213</v>
      </c>
      <c r="D318">
        <v>30.6</v>
      </c>
      <c r="E318">
        <v>15.5</v>
      </c>
      <c r="F318">
        <v>3.2</v>
      </c>
    </row>
    <row r="319" spans="1:6">
      <c r="A319">
        <v>2018</v>
      </c>
      <c r="B319" t="s">
        <v>364</v>
      </c>
      <c r="C319" t="s">
        <v>214</v>
      </c>
      <c r="D319">
        <v>29.1</v>
      </c>
      <c r="E319">
        <v>16.399999999999999</v>
      </c>
      <c r="F319">
        <v>1.1000000000000001</v>
      </c>
    </row>
    <row r="320" spans="1:6">
      <c r="A320">
        <v>2018</v>
      </c>
      <c r="B320" t="s">
        <v>364</v>
      </c>
      <c r="C320" t="s">
        <v>215</v>
      </c>
      <c r="D320">
        <v>30.8</v>
      </c>
      <c r="E320">
        <v>14.1</v>
      </c>
      <c r="F320">
        <v>0</v>
      </c>
    </row>
    <row r="321" spans="1:6">
      <c r="A321">
        <v>2018</v>
      </c>
      <c r="B321" t="s">
        <v>364</v>
      </c>
      <c r="C321" t="s">
        <v>216</v>
      </c>
      <c r="D321">
        <v>27.4</v>
      </c>
      <c r="E321">
        <v>13.5</v>
      </c>
      <c r="F321">
        <v>0</v>
      </c>
    </row>
    <row r="322" spans="1:6">
      <c r="A322">
        <v>2018</v>
      </c>
      <c r="B322" t="s">
        <v>364</v>
      </c>
      <c r="C322" t="s">
        <v>217</v>
      </c>
      <c r="D322">
        <v>28.1</v>
      </c>
      <c r="E322">
        <v>14.5</v>
      </c>
      <c r="F322">
        <v>0</v>
      </c>
    </row>
    <row r="323" spans="1:6">
      <c r="A323">
        <v>2018</v>
      </c>
      <c r="B323" t="s">
        <v>364</v>
      </c>
      <c r="C323" t="s">
        <v>218</v>
      </c>
      <c r="D323">
        <v>29.4</v>
      </c>
      <c r="E323">
        <v>14.6</v>
      </c>
      <c r="F323">
        <v>0</v>
      </c>
    </row>
    <row r="324" spans="1:6">
      <c r="A324">
        <v>2018</v>
      </c>
      <c r="B324" t="s">
        <v>364</v>
      </c>
      <c r="C324" t="s">
        <v>219</v>
      </c>
      <c r="D324">
        <v>26.6</v>
      </c>
      <c r="E324">
        <v>15.9</v>
      </c>
      <c r="F324">
        <v>7.3</v>
      </c>
    </row>
    <row r="325" spans="1:6">
      <c r="A325">
        <v>2018</v>
      </c>
      <c r="B325" t="s">
        <v>364</v>
      </c>
      <c r="C325" t="s">
        <v>220</v>
      </c>
      <c r="D325">
        <v>24.8</v>
      </c>
      <c r="E325">
        <v>15</v>
      </c>
      <c r="F325">
        <v>0</v>
      </c>
    </row>
    <row r="326" spans="1:6">
      <c r="A326">
        <v>2018</v>
      </c>
      <c r="B326" t="s">
        <v>364</v>
      </c>
      <c r="C326" t="s">
        <v>221</v>
      </c>
      <c r="D326">
        <v>27.4</v>
      </c>
      <c r="E326">
        <v>13</v>
      </c>
      <c r="F326">
        <v>0</v>
      </c>
    </row>
    <row r="327" spans="1:6">
      <c r="A327">
        <v>2018</v>
      </c>
      <c r="B327" t="s">
        <v>364</v>
      </c>
      <c r="C327" t="s">
        <v>222</v>
      </c>
      <c r="D327">
        <v>30.9</v>
      </c>
      <c r="E327">
        <v>16.3</v>
      </c>
      <c r="F327">
        <v>0</v>
      </c>
    </row>
    <row r="328" spans="1:6">
      <c r="A328">
        <v>2018</v>
      </c>
      <c r="B328" t="s">
        <v>364</v>
      </c>
      <c r="C328" t="s">
        <v>223</v>
      </c>
      <c r="D328">
        <v>32</v>
      </c>
      <c r="E328">
        <v>16.600000000000001</v>
      </c>
      <c r="F328">
        <v>0</v>
      </c>
    </row>
    <row r="329" spans="1:6">
      <c r="A329">
        <v>2018</v>
      </c>
      <c r="B329" t="s">
        <v>364</v>
      </c>
      <c r="C329" t="s">
        <v>224</v>
      </c>
      <c r="D329">
        <v>33.9</v>
      </c>
      <c r="E329">
        <v>19.5</v>
      </c>
      <c r="F329">
        <v>0</v>
      </c>
    </row>
    <row r="330" spans="1:6">
      <c r="A330">
        <v>2018</v>
      </c>
      <c r="B330" t="s">
        <v>364</v>
      </c>
      <c r="C330" t="s">
        <v>225</v>
      </c>
      <c r="D330">
        <v>35.9</v>
      </c>
      <c r="E330">
        <v>19.399999999999999</v>
      </c>
      <c r="F330">
        <v>0</v>
      </c>
    </row>
    <row r="331" spans="1:6">
      <c r="A331">
        <v>2018</v>
      </c>
      <c r="B331" t="s">
        <v>364</v>
      </c>
      <c r="C331" t="s">
        <v>226</v>
      </c>
      <c r="D331">
        <v>36.799999999999997</v>
      </c>
      <c r="E331">
        <v>20.3</v>
      </c>
      <c r="F331">
        <v>3.6</v>
      </c>
    </row>
    <row r="332" spans="1:6">
      <c r="A332">
        <v>2018</v>
      </c>
      <c r="B332" t="s">
        <v>364</v>
      </c>
      <c r="C332" t="s">
        <v>227</v>
      </c>
      <c r="D332">
        <v>27</v>
      </c>
      <c r="E332">
        <v>17.899999999999999</v>
      </c>
      <c r="F332">
        <v>0</v>
      </c>
    </row>
    <row r="333" spans="1:6">
      <c r="A333">
        <v>2018</v>
      </c>
      <c r="B333" t="s">
        <v>364</v>
      </c>
      <c r="C333" t="s">
        <v>228</v>
      </c>
      <c r="D333">
        <v>29.7</v>
      </c>
      <c r="E333">
        <v>15</v>
      </c>
      <c r="F333">
        <v>0</v>
      </c>
    </row>
    <row r="334" spans="1:6">
      <c r="A334">
        <v>2018</v>
      </c>
      <c r="B334" t="s">
        <v>364</v>
      </c>
      <c r="C334" t="s">
        <v>229</v>
      </c>
      <c r="D334">
        <v>29.6</v>
      </c>
      <c r="E334">
        <v>16.100000000000001</v>
      </c>
      <c r="F334">
        <v>0</v>
      </c>
    </row>
    <row r="335" spans="1:6">
      <c r="A335">
        <v>2018</v>
      </c>
      <c r="B335" t="s">
        <v>364</v>
      </c>
      <c r="C335" t="s">
        <v>230</v>
      </c>
      <c r="D335">
        <v>30.2</v>
      </c>
      <c r="E335">
        <v>17.399999999999999</v>
      </c>
      <c r="F33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X20"/>
  <sheetViews>
    <sheetView tabSelected="1" workbookViewId="0">
      <selection activeCell="K30" sqref="K30"/>
    </sheetView>
  </sheetViews>
  <sheetFormatPr baseColWidth="10" defaultRowHeight="15"/>
  <cols>
    <col min="1" max="1" width="11.42578125" customWidth="1"/>
    <col min="2" max="2" width="10.7109375" bestFit="1" customWidth="1"/>
    <col min="3" max="3" width="13" bestFit="1" customWidth="1"/>
    <col min="4" max="4" width="8.42578125" customWidth="1"/>
    <col min="5" max="5" width="7.7109375" customWidth="1"/>
    <col min="6" max="7" width="9.140625" customWidth="1"/>
    <col min="8" max="21" width="8.28515625" customWidth="1"/>
    <col min="22" max="22" width="42.42578125" customWidth="1"/>
  </cols>
  <sheetData>
    <row r="1" spans="1:24">
      <c r="A1" s="122" t="s">
        <v>542</v>
      </c>
      <c r="J1" s="123"/>
      <c r="T1" s="123"/>
      <c r="U1" s="124"/>
      <c r="V1" s="125"/>
    </row>
    <row r="2" spans="1:24">
      <c r="A2" s="122" t="s">
        <v>570</v>
      </c>
      <c r="J2" s="123"/>
      <c r="T2" s="123"/>
      <c r="U2" s="124"/>
      <c r="V2" s="125"/>
    </row>
    <row r="3" spans="1:24">
      <c r="A3" s="122" t="s">
        <v>569</v>
      </c>
      <c r="J3" s="123"/>
      <c r="T3" s="123"/>
      <c r="U3" s="124"/>
      <c r="V3" s="125"/>
    </row>
    <row r="4" spans="1:24">
      <c r="A4" s="122" t="s">
        <v>543</v>
      </c>
      <c r="H4" s="126" t="s">
        <v>544</v>
      </c>
      <c r="I4" s="126"/>
      <c r="J4" s="154" t="s">
        <v>545</v>
      </c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27" t="s">
        <v>546</v>
      </c>
      <c r="W4" s="128"/>
    </row>
    <row r="5" spans="1:24" ht="126.75" customHeight="1">
      <c r="A5" s="129" t="s">
        <v>547</v>
      </c>
      <c r="B5" s="129" t="s">
        <v>61</v>
      </c>
      <c r="C5" s="129" t="s">
        <v>65</v>
      </c>
      <c r="D5" s="129" t="s">
        <v>548</v>
      </c>
      <c r="E5" s="129" t="s">
        <v>549</v>
      </c>
      <c r="F5" s="129" t="s">
        <v>550</v>
      </c>
      <c r="G5" s="129" t="s">
        <v>551</v>
      </c>
      <c r="H5" s="130" t="s">
        <v>552</v>
      </c>
      <c r="I5" s="130" t="s">
        <v>553</v>
      </c>
      <c r="J5" s="131" t="s">
        <v>554</v>
      </c>
      <c r="K5" s="131" t="s">
        <v>555</v>
      </c>
      <c r="L5" s="131" t="s">
        <v>556</v>
      </c>
      <c r="M5" s="131" t="s">
        <v>557</v>
      </c>
      <c r="N5" s="131" t="s">
        <v>558</v>
      </c>
      <c r="O5" s="131" t="s">
        <v>559</v>
      </c>
      <c r="P5" s="131" t="s">
        <v>560</v>
      </c>
      <c r="Q5" s="132" t="s">
        <v>561</v>
      </c>
      <c r="R5" s="132" t="s">
        <v>562</v>
      </c>
      <c r="S5" s="132" t="s">
        <v>563</v>
      </c>
      <c r="T5" s="132" t="s">
        <v>564</v>
      </c>
      <c r="U5" s="133" t="s">
        <v>565</v>
      </c>
      <c r="V5" s="134" t="s">
        <v>566</v>
      </c>
      <c r="W5" s="135" t="s">
        <v>567</v>
      </c>
      <c r="X5" s="129" t="s">
        <v>8</v>
      </c>
    </row>
    <row r="6" spans="1:24" ht="14.25" customHeight="1">
      <c r="A6" s="102" t="s">
        <v>568</v>
      </c>
      <c r="B6" s="136">
        <v>43201</v>
      </c>
      <c r="C6" s="102" t="s">
        <v>139</v>
      </c>
      <c r="D6" s="137" t="s">
        <v>371</v>
      </c>
      <c r="E6" s="102" t="s">
        <v>136</v>
      </c>
      <c r="F6" s="102">
        <v>2</v>
      </c>
      <c r="G6" s="138"/>
      <c r="H6" s="139"/>
      <c r="I6" s="138">
        <v>1863</v>
      </c>
      <c r="J6" s="138"/>
      <c r="K6" s="140">
        <v>372</v>
      </c>
      <c r="L6" s="138"/>
      <c r="M6" s="140">
        <v>372</v>
      </c>
      <c r="N6" s="138"/>
      <c r="O6" s="13">
        <v>44</v>
      </c>
      <c r="P6" s="138"/>
      <c r="Q6" s="141">
        <v>2.8109999999999999</v>
      </c>
      <c r="R6" s="142">
        <f>(((((SUM(O6:P6))/(SUM(M6:N6))))*(I6+K6))/1000)*10000</f>
        <v>2643.5483870967746</v>
      </c>
      <c r="S6" s="142">
        <f>4.48*((R6/1000)^(-0.25))</f>
        <v>3.513429132016447</v>
      </c>
      <c r="T6" s="142">
        <f>(Q6)/(S6)</f>
        <v>0.80007306092629082</v>
      </c>
      <c r="U6" s="140"/>
      <c r="V6" s="143"/>
      <c r="W6" s="142"/>
      <c r="X6" s="144"/>
    </row>
    <row r="7" spans="1:24" ht="14.25" customHeight="1">
      <c r="A7" s="102" t="s">
        <v>568</v>
      </c>
      <c r="B7" s="136">
        <v>43201</v>
      </c>
      <c r="C7" s="102" t="s">
        <v>140</v>
      </c>
      <c r="D7" s="137" t="s">
        <v>373</v>
      </c>
      <c r="E7" s="102" t="s">
        <v>136</v>
      </c>
      <c r="F7" s="102">
        <v>2</v>
      </c>
      <c r="G7" s="138"/>
      <c r="H7" s="139"/>
      <c r="I7" s="138">
        <v>1823</v>
      </c>
      <c r="J7" s="138"/>
      <c r="K7" s="140">
        <v>364</v>
      </c>
      <c r="L7" s="138"/>
      <c r="M7" s="140">
        <v>364</v>
      </c>
      <c r="N7" s="138"/>
      <c r="O7" s="13">
        <v>38</v>
      </c>
      <c r="P7" s="138"/>
      <c r="Q7" s="141">
        <v>3.4729999999999999</v>
      </c>
      <c r="R7" s="142">
        <f t="shared" ref="R7" si="0">(((((SUM(O7:P7))/(SUM(M7:N7))))*(I7+K7))/1000)*10000</f>
        <v>2283.131868131868</v>
      </c>
      <c r="S7" s="142">
        <f t="shared" ref="S7" si="1">4.48*((R7/1000)^(-0.25))</f>
        <v>3.6445613479918912</v>
      </c>
      <c r="T7" s="142">
        <f t="shared" ref="T7" si="2">(Q7)/(S7)</f>
        <v>0.95292674985799874</v>
      </c>
      <c r="U7" s="140"/>
      <c r="V7" s="143"/>
      <c r="W7" s="142"/>
      <c r="X7" s="145"/>
    </row>
    <row r="18" spans="6:6">
      <c r="F18" s="146"/>
    </row>
    <row r="19" spans="6:6">
      <c r="F19" s="147"/>
    </row>
    <row r="20" spans="6:6">
      <c r="F20" s="147"/>
    </row>
  </sheetData>
  <mergeCells count="1">
    <mergeCell ref="J4:U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READ_ME</vt:lpstr>
      <vt:lpstr>TRIAL</vt:lpstr>
      <vt:lpstr>Parcellaire_Data</vt:lpstr>
      <vt:lpstr>Plant_Material</vt:lpstr>
      <vt:lpstr>SOIL_DATA</vt:lpstr>
      <vt:lpstr>INN_DATA</vt:lpstr>
      <vt:lpstr>PHENO_DATA</vt:lpstr>
      <vt:lpstr>METEO_DATA</vt:lpstr>
      <vt:lpstr>INN3 calcul</vt:lpstr>
    </vt:vector>
  </TitlesOfParts>
  <Company>INRA - RENNES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DDugue</cp:lastModifiedBy>
  <dcterms:created xsi:type="dcterms:W3CDTF">2018-02-01T08:48:39Z</dcterms:created>
  <dcterms:modified xsi:type="dcterms:W3CDTF">2018-10-24T08:56:54Z</dcterms:modified>
</cp:coreProperties>
</file>