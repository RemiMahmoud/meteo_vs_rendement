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_RAW_DATA_EPHESIS\02_RAPSODYN\03_RAPSO - WP3 AUTRES\R2018\"/>
    </mc:Choice>
  </mc:AlternateContent>
  <bookViews>
    <workbookView xWindow="0" yWindow="0" windowWidth="19200" windowHeight="10860"/>
  </bookViews>
  <sheets>
    <sheet name="Feuil1" sheetId="1" r:id="rId1"/>
  </sheets>
  <definedNames>
    <definedName name="_xlnm._FilterDatabase" localSheetId="0" hidden="1">Feuil1!$A$3:$P$3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  <c r="P14" i="1"/>
  <c r="P15" i="1"/>
  <c r="P4" i="1"/>
  <c r="O5" i="1"/>
  <c r="O6" i="1"/>
  <c r="O7" i="1"/>
  <c r="O8" i="1"/>
  <c r="O9" i="1"/>
  <c r="O10" i="1"/>
  <c r="O11" i="1"/>
  <c r="O12" i="1"/>
  <c r="O13" i="1"/>
  <c r="O14" i="1"/>
  <c r="O15" i="1"/>
  <c r="O4" i="1"/>
</calcChain>
</file>

<file path=xl/sharedStrings.xml><?xml version="1.0" encoding="utf-8"?>
<sst xmlns="http://schemas.openxmlformats.org/spreadsheetml/2006/main" count="101" uniqueCount="50">
  <si>
    <t>Rendement Aviso-Montego canopy A</t>
  </si>
  <si>
    <t>etq</t>
  </si>
  <si>
    <t>essais</t>
  </si>
  <si>
    <t>Programme</t>
  </si>
  <si>
    <t>Génotype</t>
  </si>
  <si>
    <t>x-y</t>
  </si>
  <si>
    <t>x</t>
  </si>
  <si>
    <t>y</t>
  </si>
  <si>
    <t>REP</t>
  </si>
  <si>
    <t>N</t>
  </si>
  <si>
    <t>code barre</t>
  </si>
  <si>
    <t>Y6_CanopyA</t>
  </si>
  <si>
    <t>Rapsodyn</t>
  </si>
  <si>
    <t>Montego</t>
  </si>
  <si>
    <t>17-115</t>
  </si>
  <si>
    <t>REP1</t>
  </si>
  <si>
    <t>N1</t>
  </si>
  <si>
    <t>CA_Y6_Rec_17-115</t>
  </si>
  <si>
    <t>Aviso</t>
  </si>
  <si>
    <t>18-109</t>
  </si>
  <si>
    <t>CA_Y6_Rec_18-109</t>
  </si>
  <si>
    <t>19-101</t>
  </si>
  <si>
    <t>REP2</t>
  </si>
  <si>
    <t>CA_Y6_Rec_19-101</t>
  </si>
  <si>
    <t>20-98</t>
  </si>
  <si>
    <t>CA_Y6_Rec_20-98</t>
  </si>
  <si>
    <t>21-115</t>
  </si>
  <si>
    <t>REP3</t>
  </si>
  <si>
    <t>CA_Y6_Rec_21-115</t>
  </si>
  <si>
    <t>22-115</t>
  </si>
  <si>
    <t>CA_Y6_Rec_22-115</t>
  </si>
  <si>
    <t>17-95</t>
  </si>
  <si>
    <t>N2</t>
  </si>
  <si>
    <t>CA_Y6_Rec_17-95</t>
  </si>
  <si>
    <t>18-101</t>
  </si>
  <si>
    <t>CA_Y6_Rec_18-101</t>
  </si>
  <si>
    <t>19-112</t>
  </si>
  <si>
    <t>CA_Y6_Rec_19-112</t>
  </si>
  <si>
    <t>20-109</t>
  </si>
  <si>
    <t>CA_Y6_Rec_20-109</t>
  </si>
  <si>
    <t>21-104</t>
  </si>
  <si>
    <t>CA_Y6_Rec_21-104</t>
  </si>
  <si>
    <t>22-101</t>
  </si>
  <si>
    <t>CA_Y6_Rec_22-101</t>
  </si>
  <si>
    <t>Plot (Kg)</t>
  </si>
  <si>
    <t>Plot surface</t>
  </si>
  <si>
    <t>SEEDH20</t>
  </si>
  <si>
    <t>Impurtés</t>
  </si>
  <si>
    <t>SY</t>
  </si>
  <si>
    <t>SY9%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</si>
</sst>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49" fontId="0" fillId="2" borderId="2" xfId="0" applyNumberFormat="1" applyFill="1" applyBorder="1" applyAlignment="1">
      <alignment horizontal="center"/>
    </xf>
    <xf numFmtId="2" fontId="0" fillId="0" borderId="0" xfId="0" applyNumberFormat="1"/>
    <xf numFmtId="49" fontId="0" fillId="3" borderId="2" xfId="0" applyNumberFormat="1" applyFill="1" applyBorder="1" applyAlignment="1">
      <alignment horizontal="center"/>
    </xf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workbookViewId="0">
      <selection activeCell="H21" sqref="H21"/>
    </sheetView>
  </sheetViews>
  <sheetFormatPr baseColWidth="10" defaultRowHeight="15" x14ac:dyDescent="0.25"/>
  <cols>
    <col min="11" max="11" width="15.42578125" customWidth="1"/>
    <col min="12" max="12" width="20.42578125" customWidth="1"/>
  </cols>
  <sheetData>
    <row r="1" spans="1:16" x14ac:dyDescent="0.25">
      <c r="A1" t="s">
        <v>0</v>
      </c>
    </row>
    <row r="3" spans="1:1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3" t="s">
        <v>44</v>
      </c>
      <c r="L3" s="3" t="s">
        <v>45</v>
      </c>
      <c r="M3" s="3" t="s">
        <v>46</v>
      </c>
      <c r="N3" s="3" t="s">
        <v>47</v>
      </c>
      <c r="O3" s="5" t="s">
        <v>48</v>
      </c>
      <c r="P3" s="3" t="s">
        <v>49</v>
      </c>
    </row>
    <row r="4" spans="1:16" x14ac:dyDescent="0.25">
      <c r="A4" s="1">
        <v>1</v>
      </c>
      <c r="B4" s="1" t="s">
        <v>11</v>
      </c>
      <c r="C4" s="1" t="s">
        <v>12</v>
      </c>
      <c r="D4" s="1" t="s">
        <v>13</v>
      </c>
      <c r="E4" s="1" t="s">
        <v>14</v>
      </c>
      <c r="F4" s="1">
        <v>17</v>
      </c>
      <c r="G4" s="1">
        <v>115</v>
      </c>
      <c r="H4" s="1" t="s">
        <v>15</v>
      </c>
      <c r="I4" s="1" t="s">
        <v>16</v>
      </c>
      <c r="J4" s="2" t="s">
        <v>17</v>
      </c>
      <c r="K4">
        <v>1.57</v>
      </c>
      <c r="L4">
        <v>6.75</v>
      </c>
      <c r="M4">
        <v>7.1</v>
      </c>
      <c r="N4">
        <v>7.7</v>
      </c>
      <c r="O4" s="6">
        <f>(K4/L4)*(((100-M4)/100)*((100-N4)/100))*100</f>
        <v>19.944047259259261</v>
      </c>
      <c r="P4" s="4">
        <f>(K4/L4)*(((100-M4)/(100-9))*((100-N4)/(100-2)))*100</f>
        <v>22.363811683403522</v>
      </c>
    </row>
    <row r="5" spans="1:16" x14ac:dyDescent="0.25">
      <c r="A5" s="1">
        <v>1</v>
      </c>
      <c r="B5" s="1" t="s">
        <v>11</v>
      </c>
      <c r="C5" s="1" t="s">
        <v>12</v>
      </c>
      <c r="D5" s="1" t="s">
        <v>18</v>
      </c>
      <c r="E5" s="1" t="s">
        <v>19</v>
      </c>
      <c r="F5" s="1">
        <v>18</v>
      </c>
      <c r="G5" s="1">
        <v>109</v>
      </c>
      <c r="H5" s="1" t="s">
        <v>15</v>
      </c>
      <c r="I5" s="1" t="s">
        <v>16</v>
      </c>
      <c r="J5" s="2" t="s">
        <v>20</v>
      </c>
      <c r="K5">
        <v>1.34</v>
      </c>
      <c r="L5">
        <v>6.75</v>
      </c>
      <c r="M5">
        <v>7.1</v>
      </c>
      <c r="N5">
        <v>5.58</v>
      </c>
      <c r="O5" s="6">
        <f t="shared" ref="O5:O15" si="0">(K5/L5)*(((100-M5)/100)*((100-N5)/100))*100</f>
        <v>17.413286103703708</v>
      </c>
      <c r="P5" s="4">
        <f t="shared" ref="P5:P15" si="1">(K5/L5)*(((100-M5)/(100-9))*((100-N5)/(100-2)))*100</f>
        <v>19.525999219223714</v>
      </c>
    </row>
    <row r="6" spans="1:16" x14ac:dyDescent="0.25">
      <c r="A6" s="1">
        <v>1</v>
      </c>
      <c r="B6" s="1" t="s">
        <v>11</v>
      </c>
      <c r="C6" s="1" t="s">
        <v>12</v>
      </c>
      <c r="D6" s="1" t="s">
        <v>13</v>
      </c>
      <c r="E6" s="1" t="s">
        <v>21</v>
      </c>
      <c r="F6" s="1">
        <v>19</v>
      </c>
      <c r="G6" s="1">
        <v>101</v>
      </c>
      <c r="H6" s="1" t="s">
        <v>22</v>
      </c>
      <c r="I6" s="1" t="s">
        <v>16</v>
      </c>
      <c r="J6" s="2" t="s">
        <v>23</v>
      </c>
      <c r="K6">
        <v>1.82</v>
      </c>
      <c r="L6">
        <v>6.75</v>
      </c>
      <c r="M6">
        <v>7.1</v>
      </c>
      <c r="N6">
        <v>10.51</v>
      </c>
      <c r="O6" s="6">
        <f t="shared" si="0"/>
        <v>22.415985511111113</v>
      </c>
      <c r="P6" s="4">
        <f t="shared" si="1"/>
        <v>25.13566439909297</v>
      </c>
    </row>
    <row r="7" spans="1:16" x14ac:dyDescent="0.25">
      <c r="A7" s="1">
        <v>1</v>
      </c>
      <c r="B7" s="1" t="s">
        <v>11</v>
      </c>
      <c r="C7" s="1" t="s">
        <v>12</v>
      </c>
      <c r="D7" s="1" t="s">
        <v>18</v>
      </c>
      <c r="E7" s="1" t="s">
        <v>24</v>
      </c>
      <c r="F7" s="1">
        <v>20</v>
      </c>
      <c r="G7" s="1">
        <v>98</v>
      </c>
      <c r="H7" s="1" t="s">
        <v>22</v>
      </c>
      <c r="I7" s="1" t="s">
        <v>16</v>
      </c>
      <c r="J7" s="2" t="s">
        <v>25</v>
      </c>
      <c r="K7">
        <v>1.9</v>
      </c>
      <c r="L7">
        <v>6.75</v>
      </c>
      <c r="M7">
        <v>7.1</v>
      </c>
      <c r="N7">
        <v>9.5299999999999994</v>
      </c>
      <c r="O7" s="6">
        <f t="shared" si="0"/>
        <v>23.657569925925923</v>
      </c>
      <c r="P7" s="4">
        <f t="shared" si="1"/>
        <v>26.527887335642436</v>
      </c>
    </row>
    <row r="8" spans="1:16" x14ac:dyDescent="0.25">
      <c r="A8" s="1">
        <v>1</v>
      </c>
      <c r="B8" s="1" t="s">
        <v>11</v>
      </c>
      <c r="C8" s="1" t="s">
        <v>12</v>
      </c>
      <c r="D8" s="1" t="s">
        <v>18</v>
      </c>
      <c r="E8" s="1" t="s">
        <v>26</v>
      </c>
      <c r="F8" s="1">
        <v>21</v>
      </c>
      <c r="G8" s="1">
        <v>115</v>
      </c>
      <c r="H8" s="1" t="s">
        <v>27</v>
      </c>
      <c r="I8" s="1" t="s">
        <v>16</v>
      </c>
      <c r="J8" s="2" t="s">
        <v>28</v>
      </c>
      <c r="K8">
        <v>1.44</v>
      </c>
      <c r="L8">
        <v>6.75</v>
      </c>
      <c r="M8">
        <v>7.1</v>
      </c>
      <c r="N8">
        <v>8.94</v>
      </c>
      <c r="O8" s="6">
        <f t="shared" si="0"/>
        <v>18.046877866666669</v>
      </c>
      <c r="P8" s="4">
        <f t="shared" si="1"/>
        <v>20.236463183075429</v>
      </c>
    </row>
    <row r="9" spans="1:16" x14ac:dyDescent="0.25">
      <c r="A9" s="1">
        <v>1</v>
      </c>
      <c r="B9" s="1" t="s">
        <v>11</v>
      </c>
      <c r="C9" s="1" t="s">
        <v>12</v>
      </c>
      <c r="D9" s="1" t="s">
        <v>13</v>
      </c>
      <c r="E9" s="1" t="s">
        <v>29</v>
      </c>
      <c r="F9" s="1">
        <v>22</v>
      </c>
      <c r="G9" s="1">
        <v>115</v>
      </c>
      <c r="H9" s="1" t="s">
        <v>27</v>
      </c>
      <c r="I9" s="1" t="s">
        <v>16</v>
      </c>
      <c r="J9" s="2" t="s">
        <v>30</v>
      </c>
      <c r="K9">
        <v>1.58</v>
      </c>
      <c r="L9">
        <v>6.75</v>
      </c>
      <c r="M9">
        <v>7.1</v>
      </c>
      <c r="N9">
        <v>5.16</v>
      </c>
      <c r="O9" s="6">
        <f t="shared" si="0"/>
        <v>20.623414637037037</v>
      </c>
      <c r="P9" s="4">
        <f t="shared" si="1"/>
        <v>23.125605109931648</v>
      </c>
    </row>
    <row r="10" spans="1:16" x14ac:dyDescent="0.25">
      <c r="A10" s="1">
        <v>1</v>
      </c>
      <c r="B10" s="1" t="s">
        <v>11</v>
      </c>
      <c r="C10" s="1" t="s">
        <v>12</v>
      </c>
      <c r="D10" s="1" t="s">
        <v>13</v>
      </c>
      <c r="E10" s="1" t="s">
        <v>31</v>
      </c>
      <c r="F10" s="1">
        <v>17</v>
      </c>
      <c r="G10" s="1">
        <v>95</v>
      </c>
      <c r="H10" s="1" t="s">
        <v>15</v>
      </c>
      <c r="I10" s="1" t="s">
        <v>32</v>
      </c>
      <c r="J10" s="2" t="s">
        <v>33</v>
      </c>
      <c r="K10">
        <v>2.14</v>
      </c>
      <c r="L10">
        <v>6.75</v>
      </c>
      <c r="M10">
        <v>7.1</v>
      </c>
      <c r="N10">
        <v>4.03</v>
      </c>
      <c r="O10" s="6">
        <f t="shared" si="0"/>
        <v>28.265795288888889</v>
      </c>
      <c r="P10" s="4">
        <f t="shared" si="1"/>
        <v>31.695217861503583</v>
      </c>
    </row>
    <row r="11" spans="1:16" x14ac:dyDescent="0.25">
      <c r="A11" s="1">
        <v>1</v>
      </c>
      <c r="B11" s="1" t="s">
        <v>11</v>
      </c>
      <c r="C11" s="1" t="s">
        <v>12</v>
      </c>
      <c r="D11" s="1" t="s">
        <v>18</v>
      </c>
      <c r="E11" s="1" t="s">
        <v>34</v>
      </c>
      <c r="F11" s="1">
        <v>18</v>
      </c>
      <c r="G11" s="1">
        <v>101</v>
      </c>
      <c r="H11" s="1" t="s">
        <v>15</v>
      </c>
      <c r="I11" s="1" t="s">
        <v>32</v>
      </c>
      <c r="J11" s="2" t="s">
        <v>35</v>
      </c>
      <c r="K11">
        <v>1.87</v>
      </c>
      <c r="L11">
        <v>6.75</v>
      </c>
      <c r="M11">
        <v>7.1</v>
      </c>
      <c r="N11">
        <v>5.71</v>
      </c>
      <c r="O11" s="6">
        <f t="shared" si="0"/>
        <v>24.267172844444445</v>
      </c>
      <c r="P11" s="4">
        <f t="shared" si="1"/>
        <v>27.211451944880523</v>
      </c>
    </row>
    <row r="12" spans="1:16" x14ac:dyDescent="0.25">
      <c r="A12" s="1">
        <v>1</v>
      </c>
      <c r="B12" s="1" t="s">
        <v>11</v>
      </c>
      <c r="C12" s="1" t="s">
        <v>12</v>
      </c>
      <c r="D12" s="1" t="s">
        <v>18</v>
      </c>
      <c r="E12" s="1" t="s">
        <v>36</v>
      </c>
      <c r="F12" s="1">
        <v>19</v>
      </c>
      <c r="G12" s="1">
        <v>112</v>
      </c>
      <c r="H12" s="1" t="s">
        <v>22</v>
      </c>
      <c r="I12" s="1" t="s">
        <v>32</v>
      </c>
      <c r="J12" s="2" t="s">
        <v>37</v>
      </c>
      <c r="K12">
        <v>1.9</v>
      </c>
      <c r="L12">
        <v>6.75</v>
      </c>
      <c r="M12">
        <v>7.1</v>
      </c>
      <c r="N12">
        <v>13.92</v>
      </c>
      <c r="O12" s="6">
        <f t="shared" si="0"/>
        <v>22.509601185185183</v>
      </c>
      <c r="P12" s="4">
        <f t="shared" si="1"/>
        <v>25.240638243087226</v>
      </c>
    </row>
    <row r="13" spans="1:16" x14ac:dyDescent="0.25">
      <c r="A13" s="1">
        <v>1</v>
      </c>
      <c r="B13" s="1" t="s">
        <v>11</v>
      </c>
      <c r="C13" s="1" t="s">
        <v>12</v>
      </c>
      <c r="D13" s="1" t="s">
        <v>13</v>
      </c>
      <c r="E13" s="1" t="s">
        <v>38</v>
      </c>
      <c r="F13" s="1">
        <v>20</v>
      </c>
      <c r="G13" s="1">
        <v>109</v>
      </c>
      <c r="H13" s="1" t="s">
        <v>22</v>
      </c>
      <c r="I13" s="1" t="s">
        <v>32</v>
      </c>
      <c r="J13" s="2" t="s">
        <v>39</v>
      </c>
      <c r="K13">
        <v>2.06</v>
      </c>
      <c r="L13">
        <v>6.75</v>
      </c>
      <c r="M13">
        <v>7.1</v>
      </c>
      <c r="N13">
        <v>5.53</v>
      </c>
      <c r="O13" s="6">
        <f t="shared" si="0"/>
        <v>26.783854488888892</v>
      </c>
      <c r="P13" s="4">
        <f t="shared" si="1"/>
        <v>30.033476663925647</v>
      </c>
    </row>
    <row r="14" spans="1:16" x14ac:dyDescent="0.25">
      <c r="A14" s="1">
        <v>1</v>
      </c>
      <c r="B14" s="1" t="s">
        <v>11</v>
      </c>
      <c r="C14" s="1" t="s">
        <v>12</v>
      </c>
      <c r="D14" s="1" t="s">
        <v>18</v>
      </c>
      <c r="E14" s="1" t="s">
        <v>40</v>
      </c>
      <c r="F14" s="1">
        <v>21</v>
      </c>
      <c r="G14" s="1">
        <v>104</v>
      </c>
      <c r="H14" s="1" t="s">
        <v>27</v>
      </c>
      <c r="I14" s="1" t="s">
        <v>32</v>
      </c>
      <c r="J14" s="2" t="s">
        <v>41</v>
      </c>
      <c r="K14">
        <v>1.74</v>
      </c>
      <c r="L14">
        <v>6.75</v>
      </c>
      <c r="M14">
        <v>7.1</v>
      </c>
      <c r="N14">
        <v>6.67</v>
      </c>
      <c r="O14" s="6">
        <f t="shared" si="0"/>
        <v>22.350253599999998</v>
      </c>
      <c r="P14" s="4">
        <f t="shared" si="1"/>
        <v>25.061957389549228</v>
      </c>
    </row>
    <row r="15" spans="1:16" x14ac:dyDescent="0.25">
      <c r="A15" s="1">
        <v>1</v>
      </c>
      <c r="B15" s="1" t="s">
        <v>11</v>
      </c>
      <c r="C15" s="1" t="s">
        <v>12</v>
      </c>
      <c r="D15" s="1" t="s">
        <v>13</v>
      </c>
      <c r="E15" s="1" t="s">
        <v>42</v>
      </c>
      <c r="F15" s="1">
        <v>22</v>
      </c>
      <c r="G15" s="1">
        <v>101</v>
      </c>
      <c r="H15" s="1" t="s">
        <v>27</v>
      </c>
      <c r="I15" s="1" t="s">
        <v>32</v>
      </c>
      <c r="J15" s="2" t="s">
        <v>43</v>
      </c>
      <c r="K15">
        <v>1.92</v>
      </c>
      <c r="L15">
        <v>6.75</v>
      </c>
      <c r="M15">
        <v>7.1</v>
      </c>
      <c r="N15">
        <v>4.83</v>
      </c>
      <c r="O15" s="6">
        <f t="shared" si="0"/>
        <v>25.148566755555557</v>
      </c>
      <c r="P15" s="4">
        <f t="shared" si="1"/>
        <v>28.199783309660866</v>
      </c>
    </row>
  </sheetData>
  <autoFilter ref="A3:P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adminigepp</dc:creator>
  <cp:lastModifiedBy>adminigepp</cp:lastModifiedBy>
  <dcterms:created xsi:type="dcterms:W3CDTF">2019-12-04T13:40:07Z</dcterms:created>
  <dcterms:modified xsi:type="dcterms:W3CDTF">2020-10-13T15:06:21Z</dcterms:modified>
</cp:coreProperties>
</file>