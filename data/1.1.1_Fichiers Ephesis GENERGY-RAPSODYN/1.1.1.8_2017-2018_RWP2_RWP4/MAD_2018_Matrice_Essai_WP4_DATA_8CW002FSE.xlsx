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esktop\RECHERCHE\RAPSODYN\WP4\2018\"/>
    </mc:Choice>
  </mc:AlternateContent>
  <bookViews>
    <workbookView xWindow="-15" yWindow="3960" windowWidth="19230" windowHeight="3975" activeTab="5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62913"/>
</workbook>
</file>

<file path=xl/calcChain.xml><?xml version="1.0" encoding="utf-8"?>
<calcChain xmlns="http://schemas.openxmlformats.org/spreadsheetml/2006/main">
  <c r="O4" i="6" l="1"/>
  <c r="N4" i="6"/>
  <c r="P4" i="6" s="1"/>
  <c r="Q4" i="6" s="1"/>
  <c r="R4" i="6" s="1"/>
  <c r="S4" i="6" s="1"/>
  <c r="O3" i="6"/>
  <c r="N3" i="6"/>
  <c r="P3" i="6" l="1"/>
  <c r="Q3" i="6" s="1"/>
  <c r="R3" i="6" s="1"/>
  <c r="S3" i="6" s="1"/>
</calcChain>
</file>

<file path=xl/comments1.xml><?xml version="1.0" encoding="utf-8"?>
<comments xmlns="http://schemas.openxmlformats.org/spreadsheetml/2006/main">
  <authors>
    <author>younous</author>
  </authors>
  <commentList>
    <comment ref="H1" authorId="0" shapeId="0">
      <text>
        <r>
          <rPr>
            <b/>
            <sz val="9"/>
            <color indexed="81"/>
            <rFont val="Tahoma"/>
            <charset val="1"/>
          </rPr>
          <t xml:space="preserve">N + ou N - </t>
        </r>
      </text>
    </comment>
    <comment ref="M1" authorId="0" shapeId="0">
      <text>
        <r>
          <rPr>
            <b/>
            <sz val="9"/>
            <color indexed="81"/>
            <rFont val="Tahoma"/>
            <charset val="1"/>
          </rPr>
          <t>Témoin ou génotype</t>
        </r>
      </text>
    </comment>
    <comment ref="N1" authorId="0" shapeId="0">
      <text>
        <r>
          <rPr>
            <b/>
            <sz val="9"/>
            <color indexed="81"/>
            <rFont val="Tahoma"/>
            <charset val="1"/>
          </rPr>
          <t xml:space="preserve">taille de la parcelle récoltée
</t>
        </r>
      </text>
    </comment>
    <comment ref="P1" authorId="0" shapeId="0">
      <text>
        <r>
          <rPr>
            <b/>
            <sz val="9"/>
            <color indexed="81"/>
            <rFont val="Tahoma"/>
            <charset val="1"/>
          </rPr>
          <t xml:space="preserve">Rendement à 0% d'humidité)
</t>
        </r>
      </text>
    </comment>
    <comment ref="Q1" authorId="0" shapeId="0">
      <text>
        <r>
          <rPr>
            <b/>
            <sz val="9"/>
            <color indexed="81"/>
            <rFont val="Tahoma"/>
            <charset val="1"/>
          </rPr>
          <t>rendement aux normes (9%)</t>
        </r>
      </text>
    </comment>
    <comment ref="R1" authorId="0" shapeId="0">
      <text>
        <r>
          <rPr>
            <b/>
            <sz val="9"/>
            <color indexed="81"/>
            <rFont val="Tahoma"/>
            <charset val="1"/>
          </rPr>
          <t>Peuplement parcellaire</t>
        </r>
      </text>
    </comment>
    <comment ref="S1" authorId="0" shapeId="0">
      <text>
        <r>
          <rPr>
            <b/>
            <sz val="9"/>
            <color indexed="81"/>
            <rFont val="Tahoma"/>
            <charset val="1"/>
          </rPr>
          <t>Mesure de vigeur sortie hiver</t>
        </r>
      </text>
    </comment>
    <comment ref="T1" authorId="0" shapeId="0">
      <text>
        <r>
          <rPr>
            <b/>
            <sz val="9"/>
            <color indexed="81"/>
            <rFont val="Tahoma"/>
            <charset val="1"/>
          </rPr>
          <t>DTF en nombre de jour</t>
        </r>
      </text>
    </comment>
    <comment ref="U1" authorId="0" shapeId="0">
      <text>
        <r>
          <rPr>
            <b/>
            <sz val="9"/>
            <color indexed="81"/>
            <rFont val="Tahoma"/>
            <charset val="1"/>
          </rPr>
          <t>Hauteur Plante</t>
        </r>
      </text>
    </comment>
    <comment ref="V1" authorId="0" shapeId="0">
      <text>
        <r>
          <rPr>
            <b/>
            <sz val="9"/>
            <color indexed="81"/>
            <rFont val="Tahoma"/>
            <charset val="1"/>
          </rPr>
          <t>Fin Floraison</t>
        </r>
      </text>
    </comment>
    <comment ref="W1" authorId="0" shapeId="0">
      <text>
        <r>
          <rPr>
            <b/>
            <sz val="9"/>
            <color indexed="81"/>
            <rFont val="Tahoma"/>
            <charset val="1"/>
          </rPr>
          <t>Biomasse fraîche des grains récoltés</t>
        </r>
      </text>
    </comment>
    <comment ref="X1" authorId="0" shapeId="0">
      <text>
        <r>
          <rPr>
            <b/>
            <sz val="9"/>
            <color indexed="81"/>
            <rFont val="Tahoma"/>
            <charset val="1"/>
          </rPr>
          <t>teneur en eau du grain à la récolte</t>
        </r>
      </text>
    </comment>
    <comment ref="Y1" authorId="0" shapeId="0">
      <text>
        <r>
          <rPr>
            <b/>
            <sz val="9"/>
            <color indexed="81"/>
            <rFont val="Tahoma"/>
            <charset val="1"/>
          </rPr>
          <t>Teneur en huile des grains</t>
        </r>
      </text>
    </comment>
    <comment ref="Z1" authorId="0" shapeId="0">
      <text>
        <r>
          <rPr>
            <b/>
            <sz val="9"/>
            <color indexed="81"/>
            <rFont val="Tahoma"/>
            <charset val="1"/>
          </rPr>
          <t>Teneur en protéines des grains</t>
        </r>
      </text>
    </comment>
    <comment ref="AA1" authorId="0" shapeId="0">
      <text>
        <r>
          <rPr>
            <b/>
            <sz val="9"/>
            <color indexed="81"/>
            <rFont val="Tahoma"/>
            <charset val="1"/>
          </rPr>
          <t>Teneur en protéine de la graine deshuilée</t>
        </r>
      </text>
    </comment>
    <comment ref="AB1" authorId="0" shapeId="0">
      <text>
        <r>
          <rPr>
            <b/>
            <sz val="9"/>
            <color indexed="81"/>
            <rFont val="Tahoma"/>
            <charset val="1"/>
          </rPr>
          <t>Teneur en glucosinolate</t>
        </r>
      </text>
    </comment>
    <comment ref="AC1" authorId="0" shapeId="0">
      <text>
        <r>
          <rPr>
            <sz val="9"/>
            <color indexed="81"/>
            <rFont val="Tahoma"/>
            <charset val="1"/>
          </rPr>
          <t>Poids de 1000 grains</t>
        </r>
      </text>
    </comment>
  </commentList>
</comments>
</file>

<file path=xl/sharedStrings.xml><?xml version="1.0" encoding="utf-8"?>
<sst xmlns="http://schemas.openxmlformats.org/spreadsheetml/2006/main" count="329" uniqueCount="203">
  <si>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</si>
  <si>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</si>
  <si>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</si>
  <si>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</si>
  <si>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</si>
  <si>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</si>
  <si>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</si>
  <si>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</si>
  <si>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</si>
  <si>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</si>
  <si>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</si>
  <si>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</si>
  <si>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</si>
  <si>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</si>
  <si>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</si>
  <si>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</si>
  <si>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</si>
  <si>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</si>
  <si>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</si>
  <si>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</si>
  <si>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</si>
  <si>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</si>
  <si>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</si>
  <si>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</si>
  <si>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</si>
  <si>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</si>
  <si>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</si>
  <si>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</si>
  <si>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</si>
  <si>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</si>
  <si>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</si>
  <si>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</si>
  <si>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</si>
  <si>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</si>
  <si>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</si>
  <si>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</si>
  <si>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</si>
  <si>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</si>
  <si>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</si>
  <si>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</si>
  <si>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</si>
  <si>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</si>
  <si>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</si>
  <si>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</si>
  <si>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</si>
  <si>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</si>
  <si>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</si>
  <si>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</si>
  <si>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</si>
  <si>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</si>
  <si>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</si>
  <si>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</si>
  <si>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</si>
  <si>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</si>
  <si>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</si>
  <si>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</si>
  <si>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</si>
  <si>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</si>
  <si>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Manip</t>
  </si>
  <si>
    <t>Date</t>
  </si>
  <si>
    <t>Y</t>
  </si>
  <si>
    <t>X</t>
  </si>
  <si>
    <t>Modalite</t>
  </si>
  <si>
    <t>Genotype</t>
  </si>
  <si>
    <t>Stade</t>
  </si>
  <si>
    <t>Nbr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</si>
  <si>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</si>
  <si>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</si>
  <si>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</si>
  <si>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</si>
  <si>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</si>
  <si>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</si>
  <si>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</si>
  <si>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</si>
  <si>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</si>
  <si>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</si>
  <si>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</si>
  <si>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</si>
  <si>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</si>
  <si>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</si>
  <si>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</si>
  <si>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Annee</t>
  </si>
  <si>
    <t>Partenaire</t>
  </si>
  <si>
    <t>Lieu</t>
  </si>
  <si>
    <t>Jour_semis</t>
  </si>
  <si>
    <t>Jour_levee</t>
  </si>
  <si>
    <t>Jour_recolte</t>
  </si>
  <si>
    <t>YYXXX</t>
  </si>
  <si>
    <t>Code_RAPSO</t>
  </si>
  <si>
    <t>Statut</t>
  </si>
  <si>
    <t>Plot Size </t>
  </si>
  <si>
    <t>Objectif rendement</t>
  </si>
  <si>
    <t>Relicat post récolte</t>
  </si>
  <si>
    <t>besoins culture (7)</t>
  </si>
  <si>
    <t>Relicat sortie hiver</t>
  </si>
  <si>
    <t>Effet du précédent</t>
  </si>
  <si>
    <t>Azote absorbé hiver</t>
  </si>
  <si>
    <t>Mineralisation nette sortie hiver</t>
  </si>
  <si>
    <t>Utilisation engrais organiques</t>
  </si>
  <si>
    <t>Effet Prairie</t>
  </si>
  <si>
    <t>Fourniture du sol - Kg/Ha</t>
  </si>
  <si>
    <t>Apport necessaire théorique</t>
  </si>
  <si>
    <t>quantité N apporté</t>
  </si>
  <si>
    <t>SY</t>
  </si>
  <si>
    <t>VIGH</t>
  </si>
  <si>
    <t>End of flowering time (BBCH 69)</t>
  </si>
  <si>
    <t>SdMoist</t>
  </si>
  <si>
    <t>SdProt</t>
  </si>
  <si>
    <t>PNRD</t>
  </si>
  <si>
    <t>SdGLS</t>
  </si>
  <si>
    <t>TSW</t>
  </si>
  <si>
    <t>Répétition</t>
  </si>
  <si>
    <t>N° Entrée</t>
  </si>
  <si>
    <t>Numéro de lot</t>
  </si>
  <si>
    <t>INN 3</t>
  </si>
  <si>
    <t>Plantdens</t>
  </si>
  <si>
    <t>F1/FLO</t>
  </si>
  <si>
    <t>Plantsize</t>
  </si>
  <si>
    <t>PGF</t>
  </si>
  <si>
    <t>OIL</t>
  </si>
  <si>
    <r>
      <t xml:space="preserve">SY </t>
    </r>
    <r>
      <rPr>
        <b/>
        <vertAlign val="subscript"/>
        <sz val="10"/>
        <color indexed="10"/>
        <rFont val="Calibri"/>
        <family val="2"/>
      </rPr>
      <t xml:space="preserve">9%_ </t>
    </r>
  </si>
  <si>
    <t>Bilan</t>
  </si>
  <si>
    <t>N+</t>
  </si>
  <si>
    <t>N-</t>
  </si>
  <si>
    <t>ZXLC-7821-B</t>
  </si>
  <si>
    <t>Pendulum</t>
  </si>
  <si>
    <t>ZRLC-7779-B</t>
  </si>
  <si>
    <t>RAGT-01</t>
  </si>
  <si>
    <t>ZRLC-7782-B</t>
  </si>
  <si>
    <t>ZEGC-1506-B</t>
  </si>
  <si>
    <t>ES AGATHA</t>
  </si>
  <si>
    <t>ZRLC-7780-B</t>
  </si>
  <si>
    <t>ZVDC-0002-B</t>
  </si>
  <si>
    <t>AVISO</t>
  </si>
  <si>
    <t>ZYFC-0619-B</t>
  </si>
  <si>
    <t>ZVLC-7774-B</t>
  </si>
  <si>
    <t>AMILLIA</t>
  </si>
  <si>
    <t>ZEFC-0620-B</t>
  </si>
  <si>
    <t>ES VENUS</t>
  </si>
  <si>
    <t>ZYGC-1525-B</t>
  </si>
  <si>
    <t>ZVGC-1530-B</t>
  </si>
  <si>
    <t>PAMELA</t>
  </si>
  <si>
    <t>ZVIC-3296-B</t>
  </si>
  <si>
    <t>MONTEGO</t>
  </si>
  <si>
    <t>RAPSO_315</t>
  </si>
  <si>
    <t>RAPSO_294</t>
  </si>
  <si>
    <t>BRA_008</t>
  </si>
  <si>
    <t>RAPSO_305</t>
  </si>
  <si>
    <t>RAPSO_302</t>
  </si>
  <si>
    <t>RAPSO_312</t>
  </si>
  <si>
    <t>RAPSO_243</t>
  </si>
  <si>
    <t>RAPSO_472</t>
  </si>
  <si>
    <t>RAPSO_316</t>
  </si>
  <si>
    <t>RAPSO_317</t>
  </si>
  <si>
    <t>RAGT-03</t>
  </si>
  <si>
    <t>RAGT-02</t>
  </si>
  <si>
    <t>RAPSO_330</t>
  </si>
  <si>
    <t>SYN06</t>
  </si>
  <si>
    <t>RAPSO_325</t>
  </si>
  <si>
    <t>SYN01</t>
  </si>
  <si>
    <t>MATERIAL</t>
  </si>
  <si>
    <t>TRT</t>
  </si>
  <si>
    <t>MAS</t>
  </si>
  <si>
    <t>308</t>
  </si>
  <si>
    <t>527</t>
  </si>
  <si>
    <t>217</t>
  </si>
  <si>
    <t>606</t>
  </si>
  <si>
    <t>215</t>
  </si>
  <si>
    <t>623</t>
  </si>
  <si>
    <t>220</t>
  </si>
  <si>
    <t>507</t>
  </si>
  <si>
    <t>125</t>
  </si>
  <si>
    <t>601</t>
  </si>
  <si>
    <t>314</t>
  </si>
  <si>
    <t>423</t>
  </si>
  <si>
    <t>304</t>
  </si>
  <si>
    <t>518</t>
  </si>
  <si>
    <t>329</t>
  </si>
  <si>
    <t>406</t>
  </si>
  <si>
    <t>106</t>
  </si>
  <si>
    <t>618</t>
  </si>
  <si>
    <t>328</t>
  </si>
  <si>
    <t>414</t>
  </si>
  <si>
    <t>105</t>
  </si>
  <si>
    <t>428</t>
  </si>
  <si>
    <t>124</t>
  </si>
  <si>
    <t>613</t>
  </si>
  <si>
    <t>T</t>
  </si>
  <si>
    <t>f1</t>
  </si>
  <si>
    <t>MF</t>
  </si>
  <si>
    <t>MS</t>
  </si>
  <si>
    <t>N%_Dumas</t>
  </si>
  <si>
    <t>Taux_MS</t>
  </si>
  <si>
    <t>MF_Tot</t>
  </si>
  <si>
    <t>BS1</t>
  </si>
  <si>
    <t>BS2</t>
  </si>
  <si>
    <t>VCA</t>
  </si>
  <si>
    <t>8CW002FSE</t>
  </si>
  <si>
    <t>VILLEMARDY</t>
  </si>
  <si>
    <t>47.743214</t>
  </si>
  <si>
    <t>1.173572</t>
  </si>
  <si>
    <t>Maes Olivier</t>
  </si>
  <si>
    <t>maes@maisadour.com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</si>
</sst>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_(\$* #,##0.00_);_(\$* \(#,##0.00\);_(\$* \-??_);_(@_)"/>
    <numFmt numFmtId="165" formatCode="0.0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9"/>
      <name val="Geneva"/>
      <family val="2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0"/>
      <name val="Arial"/>
    </font>
    <font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bscript"/>
      <sz val="10"/>
      <color indexed="10"/>
      <name val="Calibri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70C0"/>
      <name val="Calibri"/>
      <family val="2"/>
    </font>
    <font>
      <u/>
      <sz val="11"/>
      <color theme="10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rgb="FF00B0F0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ck">
        <color indexed="64"/>
      </left>
      <right style="thin">
        <color rgb="FF000000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62">
    <xf numFmtId="0" fontId="0" fillId="0" borderId="0"/>
    <xf numFmtId="0" fontId="1" fillId="0" borderId="0"/>
    <xf numFmtId="0" fontId="11" fillId="0" borderId="0"/>
    <xf numFmtId="0" fontId="12" fillId="0" borderId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46" borderId="0" applyNumberFormat="0" applyBorder="0" applyAlignment="0" applyProtection="0"/>
    <xf numFmtId="0" fontId="29" fillId="49" borderId="0" applyNumberFormat="0" applyBorder="0" applyAlignment="0" applyProtection="0"/>
    <xf numFmtId="0" fontId="29" fillId="52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46" borderId="0" applyNumberFormat="0" applyBorder="0" applyAlignment="0" applyProtection="0"/>
    <xf numFmtId="0" fontId="29" fillId="49" borderId="0" applyNumberFormat="0" applyBorder="0" applyAlignment="0" applyProtection="0"/>
    <xf numFmtId="0" fontId="29" fillId="52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28" fillId="33" borderId="0" applyNumberFormat="0" applyBorder="0" applyAlignment="0" applyProtection="0"/>
    <xf numFmtId="0" fontId="28" fillId="37" borderId="0" applyNumberFormat="0" applyBorder="0" applyAlignment="0" applyProtection="0"/>
    <xf numFmtId="0" fontId="28" fillId="41" borderId="0" applyNumberFormat="0" applyBorder="0" applyAlignment="0" applyProtection="0"/>
    <xf numFmtId="0" fontId="30" fillId="53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53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28" fillId="38" borderId="0" applyNumberFormat="0" applyBorder="0" applyAlignment="0" applyProtection="0"/>
    <xf numFmtId="0" fontId="30" fillId="57" borderId="0" applyNumberFormat="0" applyBorder="0" applyAlignment="0" applyProtection="0"/>
    <xf numFmtId="0" fontId="30" fillId="58" borderId="0" applyNumberFormat="0" applyBorder="0" applyAlignment="0" applyProtection="0"/>
    <xf numFmtId="0" fontId="30" fillId="59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60" borderId="0" applyNumberFormat="0" applyBorder="0" applyAlignment="0" applyProtection="0"/>
    <xf numFmtId="0" fontId="30" fillId="57" borderId="0" applyNumberFormat="0" applyBorder="0" applyAlignment="0" applyProtection="0"/>
    <xf numFmtId="0" fontId="30" fillId="58" borderId="0" applyNumberFormat="0" applyBorder="0" applyAlignment="0" applyProtection="0"/>
    <xf numFmtId="0" fontId="30" fillId="59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60" borderId="0" applyNumberFormat="0" applyBorder="0" applyAlignment="0" applyProtection="0"/>
    <xf numFmtId="0" fontId="31" fillId="61" borderId="26" applyNumberFormat="0" applyAlignment="0" applyProtection="0"/>
    <xf numFmtId="0" fontId="31" fillId="61" borderId="26" applyNumberFormat="0" applyAlignment="0" applyProtection="0"/>
    <xf numFmtId="0" fontId="26" fillId="0" borderId="0" applyNumberFormat="0" applyFill="0" applyBorder="0" applyAlignment="0" applyProtection="0"/>
    <xf numFmtId="0" fontId="32" fillId="61" borderId="27" applyNumberFormat="0" applyAlignment="0" applyProtection="0"/>
    <xf numFmtId="0" fontId="32" fillId="61" borderId="27" applyNumberFormat="0" applyAlignment="0" applyProtection="0"/>
    <xf numFmtId="0" fontId="23" fillId="15" borderId="20" applyNumberFormat="0" applyAlignment="0" applyProtection="0"/>
    <xf numFmtId="0" fontId="24" fillId="0" borderId="22" applyNumberFormat="0" applyFill="0" applyAlignment="0" applyProtection="0"/>
    <xf numFmtId="0" fontId="29" fillId="17" borderId="24" applyNumberFormat="0" applyFont="0" applyAlignment="0" applyProtection="0"/>
    <xf numFmtId="164" fontId="29" fillId="0" borderId="0" applyFill="0" applyBorder="0" applyAlignment="0" applyProtection="0"/>
    <xf numFmtId="0" fontId="33" fillId="48" borderId="27" applyNumberFormat="0" applyAlignment="0" applyProtection="0"/>
    <xf numFmtId="0" fontId="33" fillId="48" borderId="27" applyNumberFormat="0" applyAlignment="0" applyProtection="0"/>
    <xf numFmtId="0" fontId="31" fillId="61" borderId="26" applyNumberFormat="0" applyAlignment="0" applyProtection="0"/>
    <xf numFmtId="0" fontId="31" fillId="61" borderId="26" applyNumberFormat="0" applyAlignment="0" applyProtection="0"/>
    <xf numFmtId="0" fontId="34" fillId="45" borderId="0" applyNumberFormat="0" applyBorder="0" applyAlignment="0" applyProtection="0"/>
    <xf numFmtId="0" fontId="33" fillId="48" borderId="27" applyNumberFormat="0" applyAlignment="0" applyProtection="0"/>
    <xf numFmtId="0" fontId="33" fillId="48" borderId="27" applyNumberFormat="0" applyAlignment="0" applyProtection="0"/>
    <xf numFmtId="0" fontId="21" fillId="14" borderId="20" applyNumberFormat="0" applyAlignment="0" applyProtection="0"/>
    <xf numFmtId="0" fontId="35" fillId="0" borderId="28" applyNumberFormat="0" applyFill="0" applyAlignment="0" applyProtection="0"/>
    <xf numFmtId="0" fontId="35" fillId="0" borderId="28" applyNumberFormat="0" applyFill="0" applyAlignment="0" applyProtection="0"/>
    <xf numFmtId="0" fontId="36" fillId="0" borderId="0" applyNumberFormat="0" applyFill="0" applyBorder="0" applyAlignment="0" applyProtection="0"/>
    <xf numFmtId="0" fontId="34" fillId="45" borderId="0" applyNumberFormat="0" applyBorder="0" applyAlignment="0" applyProtection="0"/>
    <xf numFmtId="0" fontId="19" fillId="12" borderId="0" applyNumberFormat="0" applyBorder="0" applyAlignment="0" applyProtection="0"/>
    <xf numFmtId="0" fontId="37" fillId="0" borderId="29" applyNumberFormat="0" applyFill="0" applyAlignment="0" applyProtection="0"/>
    <xf numFmtId="0" fontId="38" fillId="62" borderId="30" applyNumberFormat="0" applyAlignment="0" applyProtection="0"/>
    <xf numFmtId="0" fontId="11" fillId="0" borderId="0"/>
    <xf numFmtId="0" fontId="11" fillId="0" borderId="0"/>
    <xf numFmtId="0" fontId="39" fillId="0" borderId="31" applyNumberFormat="0" applyFill="0" applyAlignment="0" applyProtection="0"/>
    <xf numFmtId="0" fontId="40" fillId="0" borderId="32" applyNumberFormat="0" applyFill="0" applyAlignment="0" applyProtection="0"/>
    <xf numFmtId="0" fontId="41" fillId="0" borderId="33" applyNumberFormat="0" applyFill="0" applyAlignment="0" applyProtection="0"/>
    <xf numFmtId="0" fontId="41" fillId="0" borderId="0" applyNumberFormat="0" applyFill="0" applyBorder="0" applyAlignment="0" applyProtection="0"/>
    <xf numFmtId="0" fontId="42" fillId="63" borderId="0" applyNumberFormat="0" applyBorder="0" applyAlignment="0" applyProtection="0"/>
    <xf numFmtId="0" fontId="42" fillId="63" borderId="0" applyNumberFormat="0" applyBorder="0" applyAlignment="0" applyProtection="0"/>
    <xf numFmtId="0" fontId="20" fillId="13" borderId="0" applyNumberFormat="0" applyBorder="0" applyAlignment="0" applyProtection="0"/>
    <xf numFmtId="0" fontId="1" fillId="0" borderId="0"/>
    <xf numFmtId="0" fontId="11" fillId="0" borderId="0"/>
    <xf numFmtId="0" fontId="43" fillId="0" borderId="0"/>
    <xf numFmtId="0" fontId="43" fillId="0" borderId="0"/>
    <xf numFmtId="0" fontId="44" fillId="0" borderId="0"/>
    <xf numFmtId="0" fontId="11" fillId="0" borderId="0"/>
    <xf numFmtId="0" fontId="45" fillId="0" borderId="0"/>
    <xf numFmtId="0" fontId="11" fillId="0" borderId="0"/>
    <xf numFmtId="0" fontId="44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9" fillId="64" borderId="34" applyNumberFormat="0" applyFont="0" applyAlignment="0" applyProtection="0"/>
    <xf numFmtId="0" fontId="29" fillId="64" borderId="34" applyNumberFormat="0" applyFont="0" applyAlignment="0" applyProtection="0"/>
    <xf numFmtId="0" fontId="32" fillId="61" borderId="27" applyNumberFormat="0" applyAlignment="0" applyProtection="0"/>
    <xf numFmtId="0" fontId="32" fillId="61" borderId="27" applyNumberFormat="0" applyAlignment="0" applyProtection="0"/>
    <xf numFmtId="0" fontId="18" fillId="11" borderId="0" applyNumberFormat="0" applyBorder="0" applyAlignment="0" applyProtection="0"/>
    <xf numFmtId="0" fontId="46" fillId="44" borderId="0" applyNumberFormat="0" applyBorder="0" applyAlignment="0" applyProtection="0"/>
    <xf numFmtId="0" fontId="22" fillId="15" borderId="21" applyNumberFormat="0" applyAlignment="0" applyProtection="0"/>
    <xf numFmtId="0" fontId="35" fillId="0" borderId="28" applyNumberFormat="0" applyFill="0" applyAlignment="0" applyProtection="0"/>
    <xf numFmtId="0" fontId="35" fillId="0" borderId="28" applyNumberFormat="0" applyFill="0" applyAlignment="0" applyProtection="0"/>
    <xf numFmtId="0" fontId="3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9" fillId="0" borderId="31" applyNumberFormat="0" applyFill="0" applyAlignment="0" applyProtection="0"/>
    <xf numFmtId="0" fontId="40" fillId="0" borderId="32" applyNumberFormat="0" applyFill="0" applyAlignment="0" applyProtection="0"/>
    <xf numFmtId="0" fontId="41" fillId="0" borderId="33" applyNumberFormat="0" applyFill="0" applyAlignment="0" applyProtection="0"/>
    <xf numFmtId="0" fontId="41" fillId="0" borderId="0" applyNumberFormat="0" applyFill="0" applyBorder="0" applyAlignment="0" applyProtection="0"/>
    <xf numFmtId="0" fontId="29" fillId="64" borderId="34" applyNumberFormat="0" applyFont="0" applyAlignment="0" applyProtection="0"/>
    <xf numFmtId="0" fontId="29" fillId="64" borderId="34" applyNumberFormat="0" applyFont="0" applyAlignment="0" applyProtection="0"/>
    <xf numFmtId="0" fontId="25" fillId="16" borderId="23" applyNumberFormat="0" applyAlignment="0" applyProtection="0"/>
    <xf numFmtId="0" fontId="37" fillId="0" borderId="29" applyNumberFormat="0" applyFill="0" applyAlignment="0" applyProtection="0"/>
    <xf numFmtId="0" fontId="47" fillId="0" borderId="0" applyNumberFormat="0" applyFill="0" applyBorder="0" applyAlignment="0" applyProtection="0"/>
    <xf numFmtId="0" fontId="38" fillId="62" borderId="30" applyNumberFormat="0" applyAlignment="0" applyProtection="0"/>
    <xf numFmtId="0" fontId="46" fillId="44" borderId="0" applyNumberFormat="0" applyBorder="0" applyAlignment="0" applyProtection="0"/>
    <xf numFmtId="0" fontId="4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7" fillId="0" borderId="0" applyNumberFormat="0" applyFill="0" applyBorder="0" applyAlignment="0" applyProtection="0"/>
  </cellStyleXfs>
  <cellXfs count="116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7" fillId="6" borderId="9" xfId="2" applyFont="1" applyFill="1" applyBorder="1" applyAlignment="1">
      <alignment horizontal="center"/>
    </xf>
    <xf numFmtId="0" fontId="7" fillId="6" borderId="10" xfId="2" applyFont="1" applyFill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1" fillId="0" borderId="0" xfId="2"/>
    <xf numFmtId="0" fontId="7" fillId="0" borderId="0" xfId="2" applyFont="1"/>
    <xf numFmtId="0" fontId="11" fillId="0" borderId="0" xfId="2" applyFont="1"/>
    <xf numFmtId="0" fontId="0" fillId="8" borderId="4" xfId="0" applyFill="1" applyBorder="1"/>
    <xf numFmtId="0" fontId="0" fillId="8" borderId="4" xfId="0" applyFill="1" applyBorder="1" applyAlignment="1">
      <alignment wrapText="1"/>
    </xf>
    <xf numFmtId="0" fontId="9" fillId="10" borderId="1" xfId="0" applyFont="1" applyFill="1" applyBorder="1"/>
    <xf numFmtId="0" fontId="0" fillId="10" borderId="2" xfId="0" applyFill="1" applyBorder="1"/>
    <xf numFmtId="43" fontId="53" fillId="6" borderId="0" xfId="4" applyFont="1" applyFill="1" applyAlignment="1">
      <alignment horizontal="center" vertical="center" wrapText="1"/>
    </xf>
    <xf numFmtId="0" fontId="53" fillId="65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 textRotation="45"/>
    </xf>
    <xf numFmtId="0" fontId="54" fillId="42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 wrapText="1"/>
    </xf>
    <xf numFmtId="2" fontId="56" fillId="0" borderId="0" xfId="0" applyNumberFormat="1" applyFont="1" applyAlignment="1">
      <alignment horizontal="center" vertical="center"/>
    </xf>
    <xf numFmtId="0" fontId="53" fillId="67" borderId="0" xfId="0" applyFont="1" applyFill="1" applyAlignment="1">
      <alignment horizontal="center" vertical="center"/>
    </xf>
    <xf numFmtId="0" fontId="57" fillId="0" borderId="0" xfId="0" applyFont="1"/>
    <xf numFmtId="0" fontId="53" fillId="66" borderId="4" xfId="0" applyFont="1" applyFill="1" applyBorder="1" applyAlignment="1">
      <alignment horizontal="center" vertical="center" wrapText="1"/>
    </xf>
    <xf numFmtId="0" fontId="53" fillId="68" borderId="4" xfId="0" applyFont="1" applyFill="1" applyBorder="1" applyAlignment="1">
      <alignment horizontal="center" vertical="center" wrapText="1"/>
    </xf>
    <xf numFmtId="0" fontId="53" fillId="69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14" fontId="0" fillId="8" borderId="4" xfId="0" applyNumberFormat="1" applyFill="1" applyBorder="1"/>
    <xf numFmtId="0" fontId="57" fillId="0" borderId="4" xfId="0" applyFont="1" applyBorder="1" applyAlignment="1">
      <alignment horizontal="center" vertical="center"/>
    </xf>
    <xf numFmtId="0" fontId="58" fillId="0" borderId="4" xfId="0" applyFont="1" applyBorder="1" applyAlignment="1">
      <alignment horizontal="center" vertical="center"/>
    </xf>
    <xf numFmtId="0" fontId="59" fillId="0" borderId="4" xfId="160" applyFont="1" applyBorder="1" applyAlignment="1">
      <alignment horizontal="center" vertical="center"/>
    </xf>
    <xf numFmtId="0" fontId="58" fillId="0" borderId="4" xfId="0" applyFont="1" applyFill="1" applyBorder="1" applyAlignment="1">
      <alignment horizontal="center" vertical="center"/>
    </xf>
    <xf numFmtId="0" fontId="59" fillId="0" borderId="4" xfId="159" applyFont="1" applyBorder="1" applyAlignment="1">
      <alignment horizontal="center" vertical="center"/>
    </xf>
    <xf numFmtId="0" fontId="58" fillId="0" borderId="4" xfId="122" applyNumberFormat="1" applyFont="1" applyFill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0" fillId="0" borderId="0" xfId="0"/>
    <xf numFmtId="14" fontId="60" fillId="0" borderId="0" xfId="0" applyNumberFormat="1" applyFont="1" applyAlignment="1">
      <alignment horizontal="left"/>
    </xf>
    <xf numFmtId="0" fontId="62" fillId="0" borderId="44" xfId="110" applyFont="1" applyFill="1" applyBorder="1" applyAlignment="1" applyProtection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61" fillId="0" borderId="0" xfId="0" applyFont="1" applyBorder="1" applyAlignment="1">
      <alignment horizontal="center" vertical="center" wrapText="1"/>
    </xf>
    <xf numFmtId="0" fontId="62" fillId="0" borderId="0" xfId="110" applyFont="1" applyFill="1" applyBorder="1" applyAlignment="1" applyProtection="1">
      <alignment horizontal="center" vertical="center"/>
    </xf>
    <xf numFmtId="0" fontId="63" fillId="0" borderId="0" xfId="110" applyFont="1" applyFill="1" applyBorder="1" applyAlignment="1" applyProtection="1">
      <alignment horizontal="center" vertical="center"/>
    </xf>
    <xf numFmtId="0" fontId="13" fillId="0" borderId="0" xfId="0" applyFont="1" applyBorder="1" applyAlignment="1">
      <alignment vertical="center"/>
    </xf>
    <xf numFmtId="0" fontId="10" fillId="7" borderId="35" xfId="0" applyFont="1" applyFill="1" applyBorder="1" applyAlignment="1">
      <alignment horizontal="center" vertical="center"/>
    </xf>
    <xf numFmtId="0" fontId="10" fillId="7" borderId="45" xfId="0" applyFont="1" applyFill="1" applyBorder="1" applyAlignment="1">
      <alignment horizontal="center" vertical="center"/>
    </xf>
    <xf numFmtId="0" fontId="10" fillId="7" borderId="46" xfId="0" applyFont="1" applyFill="1" applyBorder="1" applyAlignment="1">
      <alignment horizontal="center" vertical="center"/>
    </xf>
    <xf numFmtId="165" fontId="61" fillId="0" borderId="15" xfId="0" applyNumberFormat="1" applyFont="1" applyFill="1" applyBorder="1" applyAlignment="1">
      <alignment horizontal="center" vertical="center" wrapText="1"/>
    </xf>
    <xf numFmtId="165" fontId="61" fillId="0" borderId="47" xfId="0" applyNumberFormat="1" applyFont="1" applyFill="1" applyBorder="1" applyAlignment="1">
      <alignment horizontal="center" vertical="center" wrapText="1"/>
    </xf>
    <xf numFmtId="49" fontId="64" fillId="5" borderId="11" xfId="0" applyNumberFormat="1" applyFont="1" applyFill="1" applyBorder="1" applyAlignment="1">
      <alignment vertical="center"/>
    </xf>
    <xf numFmtId="0" fontId="65" fillId="5" borderId="13" xfId="0" applyFont="1" applyFill="1" applyBorder="1" applyAlignment="1">
      <alignment vertical="center"/>
    </xf>
    <xf numFmtId="0" fontId="65" fillId="5" borderId="11" xfId="0" applyFont="1" applyFill="1" applyBorder="1" applyAlignment="1">
      <alignment horizontal="center" vertical="center"/>
    </xf>
    <xf numFmtId="2" fontId="65" fillId="5" borderId="11" xfId="0" applyNumberFormat="1" applyFont="1" applyFill="1" applyBorder="1" applyAlignment="1">
      <alignment horizontal="center" vertical="center"/>
    </xf>
    <xf numFmtId="0" fontId="0" fillId="0" borderId="40" xfId="0" applyBorder="1"/>
    <xf numFmtId="0" fontId="7" fillId="6" borderId="48" xfId="2" applyFont="1" applyFill="1" applyBorder="1" applyAlignment="1">
      <alignment horizontal="center"/>
    </xf>
    <xf numFmtId="0" fontId="10" fillId="7" borderId="49" xfId="0" applyFont="1" applyFill="1" applyBorder="1" applyAlignment="1">
      <alignment horizontal="center" vertical="center"/>
    </xf>
    <xf numFmtId="0" fontId="10" fillId="7" borderId="50" xfId="0" applyFont="1" applyFill="1" applyBorder="1" applyAlignment="1">
      <alignment horizontal="center" vertical="center"/>
    </xf>
    <xf numFmtId="0" fontId="63" fillId="0" borderId="4" xfId="110" applyFont="1" applyFill="1" applyBorder="1" applyAlignment="1" applyProtection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2" fontId="66" fillId="0" borderId="4" xfId="0" applyNumberFormat="1" applyFont="1" applyBorder="1" applyAlignment="1">
      <alignment horizontal="center" vertical="center"/>
    </xf>
    <xf numFmtId="2" fontId="66" fillId="70" borderId="4" xfId="0" applyNumberFormat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61" fillId="0" borderId="51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61" fillId="0" borderId="52" xfId="0" applyFont="1" applyBorder="1" applyAlignment="1">
      <alignment horizontal="center" vertical="center" wrapText="1"/>
    </xf>
    <xf numFmtId="0" fontId="62" fillId="0" borderId="52" xfId="110" applyFont="1" applyFill="1" applyBorder="1" applyAlignment="1" applyProtection="1">
      <alignment horizontal="center" vertical="center"/>
    </xf>
    <xf numFmtId="1" fontId="61" fillId="0" borderId="16" xfId="0" applyNumberFormat="1" applyFont="1" applyFill="1" applyBorder="1" applyAlignment="1">
      <alignment horizontal="center" vertical="center" wrapText="1"/>
    </xf>
    <xf numFmtId="165" fontId="61" fillId="0" borderId="53" xfId="0" applyNumberFormat="1" applyFont="1" applyFill="1" applyBorder="1" applyAlignment="1">
      <alignment horizontal="center" vertical="center" wrapText="1"/>
    </xf>
    <xf numFmtId="1" fontId="61" fillId="0" borderId="54" xfId="0" applyNumberFormat="1" applyFont="1" applyFill="1" applyBorder="1" applyAlignment="1">
      <alignment horizontal="center" vertical="center" wrapText="1"/>
    </xf>
    <xf numFmtId="165" fontId="61" fillId="0" borderId="42" xfId="0" applyNumberFormat="1" applyFont="1" applyFill="1" applyBorder="1" applyAlignment="1">
      <alignment horizontal="center" vertical="center" wrapText="1"/>
    </xf>
    <xf numFmtId="165" fontId="61" fillId="0" borderId="55" xfId="0" applyNumberFormat="1" applyFont="1" applyFill="1" applyBorder="1" applyAlignment="1">
      <alignment horizontal="center" vertical="center" wrapText="1"/>
    </xf>
    <xf numFmtId="1" fontId="61" fillId="0" borderId="41" xfId="0" applyNumberFormat="1" applyFont="1" applyFill="1" applyBorder="1" applyAlignment="1">
      <alignment horizontal="center" vertical="center" wrapText="1"/>
    </xf>
    <xf numFmtId="165" fontId="61" fillId="0" borderId="43" xfId="0" applyNumberFormat="1" applyFont="1" applyFill="1" applyBorder="1" applyAlignment="1">
      <alignment horizontal="center" vertical="center" wrapText="1"/>
    </xf>
    <xf numFmtId="0" fontId="0" fillId="0" borderId="43" xfId="0" applyBorder="1"/>
    <xf numFmtId="0" fontId="67" fillId="10" borderId="1" xfId="161" applyFill="1" applyBorder="1"/>
    <xf numFmtId="0" fontId="2" fillId="9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64" fillId="5" borderId="13" xfId="0" applyNumberFormat="1" applyFont="1" applyFill="1" applyBorder="1" applyAlignment="1">
      <alignment horizontal="center" vertical="center"/>
    </xf>
    <xf numFmtId="49" fontId="64" fillId="5" borderId="14" xfId="0" applyNumberFormat="1" applyFont="1" applyFill="1" applyBorder="1" applyAlignment="1">
      <alignment horizontal="center" vertical="center"/>
    </xf>
    <xf numFmtId="49" fontId="64" fillId="5" borderId="12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62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78"/>
    <cellStyle name="Avertissement 2" xfId="79"/>
    <cellStyle name="Berechnung" xfId="80"/>
    <cellStyle name="Berechnung 2" xfId="81"/>
    <cellStyle name="Calcul 2" xfId="82"/>
    <cellStyle name="Cellule liée 2" xfId="83"/>
    <cellStyle name="Commentaire 2" xfId="84"/>
    <cellStyle name="Currency 2" xfId="85"/>
    <cellStyle name="Dane wejściowe" xfId="86"/>
    <cellStyle name="Dane wejściowe 2" xfId="87"/>
    <cellStyle name="Dane wyjściowe" xfId="88"/>
    <cellStyle name="Dane wyjściowe 2" xfId="89"/>
    <cellStyle name="Dobry" xfId="90"/>
    <cellStyle name="Eingabe" xfId="91"/>
    <cellStyle name="Eingabe 2" xfId="92"/>
    <cellStyle name="Entrée 2" xfId="93"/>
    <cellStyle name="Ergebnis" xfId="94"/>
    <cellStyle name="Ergebnis 2" xfId="95"/>
    <cellStyle name="Erklärender Text" xfId="96"/>
    <cellStyle name="Gut" xfId="97"/>
    <cellStyle name="Insatisfaisant 2" xfId="98"/>
    <cellStyle name="Komórka połączona" xfId="99"/>
    <cellStyle name="Komórka zaznaczona" xfId="100"/>
    <cellStyle name="Lien hypertexte" xfId="161" builtinId="8"/>
    <cellStyle name="Milliers" xfId="4" builtinId="3"/>
    <cellStyle name="N1" xfId="101"/>
    <cellStyle name="N1 2" xfId="102"/>
    <cellStyle name="N1_TRIAL" xfId="156"/>
    <cellStyle name="Nagłówek 1" xfId="103"/>
    <cellStyle name="Nagłówek 2" xfId="104"/>
    <cellStyle name="Nagłówek 3" xfId="105"/>
    <cellStyle name="Nagłówek 4" xfId="106"/>
    <cellStyle name="Neutral" xfId="107"/>
    <cellStyle name="Neutralny" xfId="108"/>
    <cellStyle name="Neutre 2" xfId="109"/>
    <cellStyle name="Normal" xfId="0" builtinId="0"/>
    <cellStyle name="Normal 2" xfId="110"/>
    <cellStyle name="Normal 2 2" xfId="2"/>
    <cellStyle name="Normal 2 3" xfId="111"/>
    <cellStyle name="Normal 2 4" xfId="112"/>
    <cellStyle name="Normal 2 4 2" xfId="113"/>
    <cellStyle name="Normal 2 4 3" xfId="114"/>
    <cellStyle name="Normal 2 4_TRIAL" xfId="157"/>
    <cellStyle name="Normal 2 5" xfId="158"/>
    <cellStyle name="Normal 2 6" xfId="159"/>
    <cellStyle name="Normal 2 7" xfId="160"/>
    <cellStyle name="Normal 2_Bilan N" xfId="115"/>
    <cellStyle name="Normal 3" xfId="116"/>
    <cellStyle name="Normal 3 2" xfId="117"/>
    <cellStyle name="Normal 3 3" xfId="118"/>
    <cellStyle name="Normal 3_Bilan N" xfId="119"/>
    <cellStyle name="Normal 4" xfId="120"/>
    <cellStyle name="Normal 4 2" xfId="121"/>
    <cellStyle name="Normal 5" xfId="122"/>
    <cellStyle name="Normal 5 2" xfId="123"/>
    <cellStyle name="Normal 5_Feuil3" xfId="124"/>
    <cellStyle name="Normal 6" xfId="3"/>
    <cellStyle name="Normal 8 2 3" xfId="1"/>
    <cellStyle name="Notiz" xfId="125"/>
    <cellStyle name="Notiz 2" xfId="126"/>
    <cellStyle name="Obliczenia" xfId="127"/>
    <cellStyle name="Obliczenia 2" xfId="128"/>
    <cellStyle name="Satisfaisant 2" xfId="129"/>
    <cellStyle name="Schlecht" xfId="130"/>
    <cellStyle name="Sortie 2" xfId="131"/>
    <cellStyle name="Suma" xfId="132"/>
    <cellStyle name="Suma 2" xfId="133"/>
    <cellStyle name="Tekst objaśnienia" xfId="134"/>
    <cellStyle name="Tekst ostrzeżenia" xfId="135"/>
    <cellStyle name="Texte explicatif 2" xfId="136"/>
    <cellStyle name="Titre 2" xfId="137"/>
    <cellStyle name="Titre 1 2" xfId="138"/>
    <cellStyle name="Titre 2 2" xfId="139"/>
    <cellStyle name="Titre 3 2" xfId="140"/>
    <cellStyle name="Titre 4 2" xfId="141"/>
    <cellStyle name="Total 2" xfId="142"/>
    <cellStyle name="Tytuł" xfId="143"/>
    <cellStyle name="Überschrift" xfId="144"/>
    <cellStyle name="Überschrift 1" xfId="145"/>
    <cellStyle name="Überschrift 2" xfId="146"/>
    <cellStyle name="Überschrift 3" xfId="147"/>
    <cellStyle name="Überschrift 4" xfId="148"/>
    <cellStyle name="Uwaga" xfId="149"/>
    <cellStyle name="Uwaga 2" xfId="150"/>
    <cellStyle name="Vérification 2" xfId="151"/>
    <cellStyle name="Verknüpfte Zelle" xfId="152"/>
    <cellStyle name="Warnender Text" xfId="153"/>
    <cellStyle name="Zelle überprüfen" xfId="154"/>
    <cellStyle name="Zły" xfId="1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es@maisadou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3" sqref="B3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25" t="s">
        <v>201</v>
      </c>
    </row>
    <row r="4" spans="1:2" ht="15.75" thickBot="1">
      <c r="A4" s="9" t="s">
        <v>10</v>
      </c>
      <c r="B4" s="98" t="s">
        <v>202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26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23"/>
  <sheetViews>
    <sheetView zoomScale="85" zoomScaleNormal="85" workbookViewId="0">
      <selection activeCell="C6" sqref="C6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6.7109375" bestFit="1" customWidth="1"/>
    <col min="6" max="6" width="16.42578125" bestFit="1" customWidth="1"/>
    <col min="7" max="7" width="13.140625" bestFit="1" customWidth="1"/>
    <col min="9" max="9" width="9.42578125" bestFit="1" customWidth="1"/>
    <col min="10" max="10" width="12.28515625" bestFit="1" customWidth="1"/>
    <col min="11" max="11" width="12.5703125" bestFit="1" customWidth="1"/>
    <col min="12" max="12" width="9.7109375" bestFit="1" customWidth="1"/>
    <col min="13" max="13" width="10.28515625" bestFit="1" customWidth="1"/>
    <col min="14" max="14" width="11.85546875" bestFit="1" customWidth="1"/>
    <col min="15" max="16" width="9.42578125" bestFit="1" customWidth="1"/>
  </cols>
  <sheetData>
    <row r="1" spans="1:16" ht="38.25">
      <c r="A1" s="99" t="s">
        <v>17</v>
      </c>
      <c r="B1" s="99"/>
      <c r="D1" s="39" t="s">
        <v>121</v>
      </c>
      <c r="E1" s="37" t="s">
        <v>91</v>
      </c>
      <c r="F1" s="37" t="s">
        <v>92</v>
      </c>
      <c r="G1" s="37" t="s">
        <v>93</v>
      </c>
      <c r="H1" s="38" t="s">
        <v>94</v>
      </c>
      <c r="I1" s="38" t="s">
        <v>95</v>
      </c>
      <c r="J1" s="38" t="s">
        <v>96</v>
      </c>
      <c r="K1" s="38" t="s">
        <v>97</v>
      </c>
      <c r="L1" s="38" t="s">
        <v>98</v>
      </c>
      <c r="M1" s="38" t="s">
        <v>99</v>
      </c>
      <c r="N1" s="38" t="s">
        <v>100</v>
      </c>
      <c r="O1" s="38" t="s">
        <v>101</v>
      </c>
      <c r="P1" s="36" t="s">
        <v>102</v>
      </c>
    </row>
    <row r="2" spans="1:16">
      <c r="A2" s="23" t="s">
        <v>13</v>
      </c>
      <c r="B2" s="24" t="s">
        <v>197</v>
      </c>
      <c r="D2" t="s">
        <v>122</v>
      </c>
      <c r="E2" s="13">
        <v>40</v>
      </c>
      <c r="F2" s="13"/>
      <c r="G2" s="13">
        <v>280</v>
      </c>
      <c r="H2" s="13">
        <v>13</v>
      </c>
      <c r="I2" s="13">
        <v>-20</v>
      </c>
      <c r="J2" s="13">
        <v>60</v>
      </c>
      <c r="K2" s="13">
        <v>28</v>
      </c>
      <c r="L2" s="13"/>
      <c r="M2" s="13">
        <v>0</v>
      </c>
      <c r="N2" s="13"/>
      <c r="O2" s="13">
        <v>219</v>
      </c>
      <c r="P2" s="13">
        <v>130</v>
      </c>
    </row>
    <row r="3" spans="1:16">
      <c r="A3" s="23" t="s">
        <v>14</v>
      </c>
      <c r="B3" s="24"/>
      <c r="D3" t="s">
        <v>123</v>
      </c>
      <c r="E3" s="13">
        <v>25</v>
      </c>
      <c r="F3" s="13"/>
      <c r="G3" s="13">
        <v>175</v>
      </c>
      <c r="H3" s="13">
        <v>13</v>
      </c>
      <c r="I3" s="13">
        <v>-20</v>
      </c>
      <c r="J3" s="13">
        <v>60</v>
      </c>
      <c r="K3" s="13">
        <v>28</v>
      </c>
      <c r="L3" s="13"/>
      <c r="M3" s="13">
        <v>0</v>
      </c>
      <c r="N3" s="13"/>
      <c r="O3" s="13">
        <v>94</v>
      </c>
      <c r="P3" s="13">
        <v>0</v>
      </c>
    </row>
    <row r="4" spans="1:16">
      <c r="A4" s="23" t="s">
        <v>15</v>
      </c>
      <c r="B4" s="24"/>
    </row>
    <row r="5" spans="1:16">
      <c r="A5" s="23" t="s">
        <v>16</v>
      </c>
      <c r="B5" s="24"/>
    </row>
    <row r="6" spans="1:16">
      <c r="A6" s="23" t="s">
        <v>23</v>
      </c>
      <c r="B6" s="23"/>
    </row>
    <row r="7" spans="1:16">
      <c r="A7" s="23" t="s">
        <v>24</v>
      </c>
      <c r="B7" s="23"/>
    </row>
    <row r="8" spans="1:16">
      <c r="A8" s="23" t="s">
        <v>25</v>
      </c>
      <c r="B8" s="23"/>
    </row>
    <row r="10" spans="1:16">
      <c r="A10" s="99" t="s">
        <v>18</v>
      </c>
      <c r="B10" s="99"/>
    </row>
    <row r="11" spans="1:16">
      <c r="A11" s="23" t="s">
        <v>19</v>
      </c>
      <c r="B11" s="23" t="s">
        <v>198</v>
      </c>
    </row>
    <row r="12" spans="1:16">
      <c r="A12" s="23" t="s">
        <v>20</v>
      </c>
      <c r="B12" s="23" t="s">
        <v>199</v>
      </c>
    </row>
    <row r="13" spans="1:16">
      <c r="A13" s="23" t="s">
        <v>21</v>
      </c>
      <c r="B13" s="23" t="s">
        <v>200</v>
      </c>
    </row>
    <row r="15" spans="1:16">
      <c r="A15" s="99" t="s">
        <v>22</v>
      </c>
      <c r="B15" s="99"/>
    </row>
    <row r="16" spans="1:16">
      <c r="A16" s="23" t="s">
        <v>26</v>
      </c>
      <c r="B16" s="23"/>
    </row>
    <row r="17" spans="1:2">
      <c r="A17" s="23" t="s">
        <v>27</v>
      </c>
      <c r="B17" s="23"/>
    </row>
    <row r="18" spans="1:2">
      <c r="A18" s="23" t="s">
        <v>28</v>
      </c>
      <c r="B18" s="23"/>
    </row>
    <row r="19" spans="1:2">
      <c r="A19" s="23" t="s">
        <v>29</v>
      </c>
      <c r="B19" s="50">
        <v>42979</v>
      </c>
    </row>
    <row r="20" spans="1:2">
      <c r="A20" s="23" t="s">
        <v>30</v>
      </c>
      <c r="B20" s="23"/>
    </row>
    <row r="21" spans="1:2">
      <c r="A21" s="23" t="s">
        <v>31</v>
      </c>
      <c r="B21" s="23"/>
    </row>
    <row r="22" spans="1:2">
      <c r="A22" s="23" t="s">
        <v>32</v>
      </c>
      <c r="B22" s="23"/>
    </row>
    <row r="23" spans="1:2">
      <c r="A23" s="23" t="s">
        <v>33</v>
      </c>
      <c r="B23" s="50">
        <v>43290</v>
      </c>
    </row>
  </sheetData>
  <mergeCells count="3">
    <mergeCell ref="A1:B1"/>
    <mergeCell ref="A10:B10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AE8"/>
  <sheetViews>
    <sheetView workbookViewId="0">
      <selection activeCell="G13" sqref="G13"/>
    </sheetView>
  </sheetViews>
  <sheetFormatPr baseColWidth="10" defaultRowHeight="15"/>
  <cols>
    <col min="1" max="1" width="11.42578125" style="87"/>
    <col min="2" max="31" width="3" style="87" bestFit="1" customWidth="1"/>
    <col min="32" max="16384" width="11.42578125" style="87"/>
  </cols>
  <sheetData>
    <row r="2" spans="2:31" ht="15.75" thickBot="1"/>
    <row r="3" spans="2:31">
      <c r="B3" s="41">
        <v>5</v>
      </c>
      <c r="C3" s="42">
        <v>35</v>
      </c>
      <c r="D3" s="42">
        <v>65</v>
      </c>
      <c r="E3" s="42">
        <v>74</v>
      </c>
      <c r="F3" s="42">
        <v>75</v>
      </c>
      <c r="G3" s="42">
        <v>2</v>
      </c>
      <c r="H3" s="42">
        <v>54</v>
      </c>
      <c r="I3" s="42">
        <v>43</v>
      </c>
      <c r="J3" s="42">
        <v>28</v>
      </c>
      <c r="K3" s="42">
        <v>48</v>
      </c>
      <c r="L3" s="42">
        <v>38</v>
      </c>
      <c r="M3" s="42">
        <v>17</v>
      </c>
      <c r="N3" s="42">
        <v>12</v>
      </c>
      <c r="O3" s="42">
        <v>61</v>
      </c>
      <c r="P3" s="42">
        <v>42</v>
      </c>
      <c r="Q3" s="42">
        <v>73</v>
      </c>
      <c r="R3" s="42">
        <v>29</v>
      </c>
      <c r="S3" s="42">
        <v>9</v>
      </c>
      <c r="T3" s="42">
        <v>82</v>
      </c>
      <c r="U3" s="42">
        <v>80</v>
      </c>
      <c r="V3" s="42">
        <v>51</v>
      </c>
      <c r="W3" s="42">
        <v>46</v>
      </c>
      <c r="X3" s="42">
        <v>3</v>
      </c>
      <c r="Y3" s="42">
        <v>60</v>
      </c>
      <c r="Z3" s="42">
        <v>21</v>
      </c>
      <c r="AA3" s="42">
        <v>37</v>
      </c>
      <c r="AB3" s="42">
        <v>85</v>
      </c>
      <c r="AC3" s="42">
        <v>83</v>
      </c>
      <c r="AD3" s="42">
        <v>32</v>
      </c>
      <c r="AE3" s="43">
        <v>33</v>
      </c>
    </row>
    <row r="4" spans="2:31">
      <c r="B4" s="44">
        <v>49</v>
      </c>
      <c r="C4" s="40">
        <v>89</v>
      </c>
      <c r="D4" s="40">
        <v>72</v>
      </c>
      <c r="E4" s="40">
        <v>67</v>
      </c>
      <c r="F4" s="40">
        <v>34</v>
      </c>
      <c r="G4" s="40">
        <v>24</v>
      </c>
      <c r="H4" s="40">
        <v>4</v>
      </c>
      <c r="I4" s="40">
        <v>19</v>
      </c>
      <c r="J4" s="40">
        <v>78</v>
      </c>
      <c r="K4" s="40">
        <v>63</v>
      </c>
      <c r="L4" s="40">
        <v>86</v>
      </c>
      <c r="M4" s="40">
        <v>45</v>
      </c>
      <c r="N4" s="40">
        <v>15</v>
      </c>
      <c r="O4" s="40">
        <v>69</v>
      </c>
      <c r="P4" s="40">
        <v>59</v>
      </c>
      <c r="Q4" s="40">
        <v>20</v>
      </c>
      <c r="R4" s="40">
        <v>25</v>
      </c>
      <c r="S4" s="40">
        <v>7</v>
      </c>
      <c r="T4" s="40">
        <v>57</v>
      </c>
      <c r="U4" s="40">
        <v>66</v>
      </c>
      <c r="V4" s="40">
        <v>39</v>
      </c>
      <c r="W4" s="40">
        <v>71</v>
      </c>
      <c r="X4" s="40">
        <v>50</v>
      </c>
      <c r="Y4" s="40">
        <v>27</v>
      </c>
      <c r="Z4" s="40">
        <v>62</v>
      </c>
      <c r="AA4" s="40">
        <v>70</v>
      </c>
      <c r="AB4" s="40">
        <v>1</v>
      </c>
      <c r="AC4" s="40">
        <v>56</v>
      </c>
      <c r="AD4" s="40">
        <v>76</v>
      </c>
      <c r="AE4" s="45">
        <v>44</v>
      </c>
    </row>
    <row r="5" spans="2:31">
      <c r="B5" s="44">
        <v>40</v>
      </c>
      <c r="C5" s="40">
        <v>52</v>
      </c>
      <c r="D5" s="40">
        <v>22</v>
      </c>
      <c r="E5" s="40">
        <v>26</v>
      </c>
      <c r="F5" s="40">
        <v>31</v>
      </c>
      <c r="G5" s="40">
        <v>8</v>
      </c>
      <c r="H5" s="40">
        <v>87</v>
      </c>
      <c r="I5" s="40">
        <v>55</v>
      </c>
      <c r="J5" s="40">
        <v>30</v>
      </c>
      <c r="K5" s="40">
        <v>58</v>
      </c>
      <c r="L5" s="40">
        <v>84</v>
      </c>
      <c r="M5" s="40">
        <v>14</v>
      </c>
      <c r="N5" s="40">
        <v>81</v>
      </c>
      <c r="O5" s="40">
        <v>10</v>
      </c>
      <c r="P5" s="40">
        <v>79</v>
      </c>
      <c r="Q5" s="40">
        <v>18</v>
      </c>
      <c r="R5" s="40">
        <v>23</v>
      </c>
      <c r="S5" s="40">
        <v>77</v>
      </c>
      <c r="T5" s="40">
        <v>16</v>
      </c>
      <c r="U5" s="40">
        <v>64</v>
      </c>
      <c r="V5" s="40">
        <v>53</v>
      </c>
      <c r="W5" s="40">
        <v>88</v>
      </c>
      <c r="X5" s="40">
        <v>6</v>
      </c>
      <c r="Y5" s="40">
        <v>90</v>
      </c>
      <c r="Z5" s="40">
        <v>41</v>
      </c>
      <c r="AA5" s="40">
        <v>68</v>
      </c>
      <c r="AB5" s="40">
        <v>13</v>
      </c>
      <c r="AC5" s="40">
        <v>11</v>
      </c>
      <c r="AD5" s="40">
        <v>47</v>
      </c>
      <c r="AE5" s="45">
        <v>36</v>
      </c>
    </row>
    <row r="6" spans="2:31">
      <c r="B6" s="44">
        <v>50</v>
      </c>
      <c r="C6" s="40">
        <v>53</v>
      </c>
      <c r="D6" s="40">
        <v>64</v>
      </c>
      <c r="E6" s="40">
        <v>7</v>
      </c>
      <c r="F6" s="40">
        <v>60</v>
      </c>
      <c r="G6" s="40">
        <v>83</v>
      </c>
      <c r="H6" s="40">
        <v>46</v>
      </c>
      <c r="I6" s="40">
        <v>1</v>
      </c>
      <c r="J6" s="40">
        <v>90</v>
      </c>
      <c r="K6" s="40">
        <v>13</v>
      </c>
      <c r="L6" s="40">
        <v>36</v>
      </c>
      <c r="M6" s="40">
        <v>56</v>
      </c>
      <c r="N6" s="40">
        <v>47</v>
      </c>
      <c r="O6" s="40">
        <v>6</v>
      </c>
      <c r="P6" s="40">
        <v>70</v>
      </c>
      <c r="Q6" s="40">
        <v>67</v>
      </c>
      <c r="R6" s="40">
        <v>22</v>
      </c>
      <c r="S6" s="40">
        <v>54</v>
      </c>
      <c r="T6" s="40">
        <v>40</v>
      </c>
      <c r="U6" s="40">
        <v>43</v>
      </c>
      <c r="V6" s="40">
        <v>55</v>
      </c>
      <c r="W6" s="40">
        <v>65</v>
      </c>
      <c r="X6" s="40">
        <v>58</v>
      </c>
      <c r="Y6" s="40">
        <v>17</v>
      </c>
      <c r="Z6" s="40">
        <v>79</v>
      </c>
      <c r="AA6" s="40">
        <v>34</v>
      </c>
      <c r="AB6" s="40">
        <v>14</v>
      </c>
      <c r="AC6" s="40">
        <v>10</v>
      </c>
      <c r="AD6" s="40">
        <v>8</v>
      </c>
      <c r="AE6" s="45">
        <v>48</v>
      </c>
    </row>
    <row r="7" spans="2:31">
      <c r="B7" s="44">
        <v>20</v>
      </c>
      <c r="C7" s="40">
        <v>16</v>
      </c>
      <c r="D7" s="40">
        <v>23</v>
      </c>
      <c r="E7" s="40">
        <v>80</v>
      </c>
      <c r="F7" s="40">
        <v>51</v>
      </c>
      <c r="G7" s="40">
        <v>62</v>
      </c>
      <c r="H7" s="40">
        <v>27</v>
      </c>
      <c r="I7" s="40">
        <v>76</v>
      </c>
      <c r="J7" s="40">
        <v>21</v>
      </c>
      <c r="K7" s="40">
        <v>44</v>
      </c>
      <c r="L7" s="40">
        <v>73</v>
      </c>
      <c r="M7" s="40">
        <v>57</v>
      </c>
      <c r="N7" s="40">
        <v>66</v>
      </c>
      <c r="O7" s="40">
        <v>68</v>
      </c>
      <c r="P7" s="40">
        <v>3</v>
      </c>
      <c r="Q7" s="40">
        <v>31</v>
      </c>
      <c r="R7" s="40">
        <v>2</v>
      </c>
      <c r="S7" s="40">
        <v>42</v>
      </c>
      <c r="T7" s="40">
        <v>63</v>
      </c>
      <c r="U7" s="40">
        <v>4</v>
      </c>
      <c r="V7" s="40">
        <v>28</v>
      </c>
      <c r="W7" s="40">
        <v>45</v>
      </c>
      <c r="X7" s="40">
        <v>19</v>
      </c>
      <c r="Y7" s="40">
        <v>89</v>
      </c>
      <c r="Z7" s="40">
        <v>84</v>
      </c>
      <c r="AA7" s="40">
        <v>81</v>
      </c>
      <c r="AB7" s="40">
        <v>74</v>
      </c>
      <c r="AC7" s="40">
        <v>24</v>
      </c>
      <c r="AD7" s="40">
        <v>30</v>
      </c>
      <c r="AE7" s="45">
        <v>35</v>
      </c>
    </row>
    <row r="8" spans="2:31" ht="15.75" thickBot="1">
      <c r="B8" s="46">
        <v>71</v>
      </c>
      <c r="C8" s="47">
        <v>37</v>
      </c>
      <c r="D8" s="47">
        <v>85</v>
      </c>
      <c r="E8" s="47">
        <v>25</v>
      </c>
      <c r="F8" s="47">
        <v>11</v>
      </c>
      <c r="G8" s="47">
        <v>9</v>
      </c>
      <c r="H8" s="47">
        <v>18</v>
      </c>
      <c r="I8" s="47">
        <v>29</v>
      </c>
      <c r="J8" s="47">
        <v>77</v>
      </c>
      <c r="K8" s="47">
        <v>39</v>
      </c>
      <c r="L8" s="47">
        <v>41</v>
      </c>
      <c r="M8" s="47">
        <v>33</v>
      </c>
      <c r="N8" s="47">
        <v>32</v>
      </c>
      <c r="O8" s="47">
        <v>82</v>
      </c>
      <c r="P8" s="47">
        <v>88</v>
      </c>
      <c r="Q8" s="47">
        <v>61</v>
      </c>
      <c r="R8" s="47">
        <v>26</v>
      </c>
      <c r="S8" s="47">
        <v>86</v>
      </c>
      <c r="T8" s="47">
        <v>75</v>
      </c>
      <c r="U8" s="47">
        <v>38</v>
      </c>
      <c r="V8" s="47">
        <v>69</v>
      </c>
      <c r="W8" s="47">
        <v>72</v>
      </c>
      <c r="X8" s="47">
        <v>87</v>
      </c>
      <c r="Y8" s="47">
        <v>12</v>
      </c>
      <c r="Z8" s="47">
        <v>5</v>
      </c>
      <c r="AA8" s="47">
        <v>59</v>
      </c>
      <c r="AB8" s="47">
        <v>78</v>
      </c>
      <c r="AC8" s="47">
        <v>49</v>
      </c>
      <c r="AD8" s="47">
        <v>52</v>
      </c>
      <c r="AE8" s="48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3"/>
  <sheetViews>
    <sheetView workbookViewId="0">
      <selection activeCell="B25" sqref="B25"/>
    </sheetView>
  </sheetViews>
  <sheetFormatPr baseColWidth="10" defaultRowHeight="12.75"/>
  <cols>
    <col min="1" max="2" width="16.140625" style="49" bestFit="1" customWidth="1"/>
    <col min="3" max="3" width="12.85546875" style="49" bestFit="1" customWidth="1"/>
    <col min="4" max="16384" width="11.42578125" style="49"/>
  </cols>
  <sheetData>
    <row r="1" spans="1:4">
      <c r="A1" s="57" t="s">
        <v>160</v>
      </c>
      <c r="B1" s="57" t="s">
        <v>34</v>
      </c>
      <c r="C1" s="57" t="s">
        <v>35</v>
      </c>
      <c r="D1" s="57" t="s">
        <v>161</v>
      </c>
    </row>
    <row r="2" spans="1:4">
      <c r="A2" s="52" t="s">
        <v>128</v>
      </c>
      <c r="B2" s="52" t="s">
        <v>154</v>
      </c>
      <c r="C2" s="52" t="s">
        <v>153</v>
      </c>
      <c r="D2" s="53">
        <v>1</v>
      </c>
    </row>
    <row r="3" spans="1:4">
      <c r="A3" s="54" t="s">
        <v>124</v>
      </c>
      <c r="B3" s="54" t="s">
        <v>125</v>
      </c>
      <c r="C3" s="52" t="s">
        <v>151</v>
      </c>
      <c r="D3" s="53">
        <v>2</v>
      </c>
    </row>
    <row r="4" spans="1:4">
      <c r="A4" s="52" t="s">
        <v>134</v>
      </c>
      <c r="B4" s="52" t="s">
        <v>157</v>
      </c>
      <c r="C4" s="52" t="s">
        <v>156</v>
      </c>
      <c r="D4" s="53">
        <v>3</v>
      </c>
    </row>
    <row r="5" spans="1:4">
      <c r="A5" s="55" t="s">
        <v>135</v>
      </c>
      <c r="B5" s="55" t="s">
        <v>136</v>
      </c>
      <c r="C5" s="52" t="s">
        <v>147</v>
      </c>
      <c r="D5" s="53">
        <v>4</v>
      </c>
    </row>
    <row r="6" spans="1:4">
      <c r="A6" s="55" t="s">
        <v>137</v>
      </c>
      <c r="B6" s="55" t="s">
        <v>138</v>
      </c>
      <c r="C6" s="52" t="s">
        <v>148</v>
      </c>
      <c r="D6" s="53">
        <v>5</v>
      </c>
    </row>
    <row r="7" spans="1:4">
      <c r="A7" s="52" t="s">
        <v>139</v>
      </c>
      <c r="B7" s="52" t="s">
        <v>159</v>
      </c>
      <c r="C7" s="52" t="s">
        <v>158</v>
      </c>
      <c r="D7" s="53">
        <v>6</v>
      </c>
    </row>
    <row r="8" spans="1:4">
      <c r="A8" s="55" t="s">
        <v>140</v>
      </c>
      <c r="B8" s="55" t="s">
        <v>141</v>
      </c>
      <c r="C8" s="52" t="s">
        <v>149</v>
      </c>
      <c r="D8" s="53">
        <v>7</v>
      </c>
    </row>
    <row r="9" spans="1:4">
      <c r="A9" s="51" t="s">
        <v>126</v>
      </c>
      <c r="B9" s="51" t="s">
        <v>127</v>
      </c>
      <c r="C9" s="52" t="s">
        <v>144</v>
      </c>
      <c r="D9" s="53">
        <v>8</v>
      </c>
    </row>
    <row r="10" spans="1:4">
      <c r="A10" s="52" t="s">
        <v>131</v>
      </c>
      <c r="B10" s="52" t="s">
        <v>155</v>
      </c>
      <c r="C10" s="52" t="s">
        <v>152</v>
      </c>
      <c r="D10" s="53">
        <v>9</v>
      </c>
    </row>
    <row r="11" spans="1:4">
      <c r="A11" s="55" t="s">
        <v>129</v>
      </c>
      <c r="B11" s="55" t="s">
        <v>130</v>
      </c>
      <c r="C11" s="52" t="s">
        <v>145</v>
      </c>
      <c r="D11" s="53">
        <v>10</v>
      </c>
    </row>
    <row r="12" spans="1:4">
      <c r="A12" s="55" t="s">
        <v>132</v>
      </c>
      <c r="B12" s="55" t="s">
        <v>133</v>
      </c>
      <c r="C12" s="56" t="s">
        <v>146</v>
      </c>
      <c r="D12" s="53">
        <v>11</v>
      </c>
    </row>
    <row r="13" spans="1:4">
      <c r="A13" s="55" t="s">
        <v>142</v>
      </c>
      <c r="B13" s="55" t="s">
        <v>143</v>
      </c>
      <c r="C13" s="56" t="s">
        <v>150</v>
      </c>
      <c r="D13" s="53">
        <v>12</v>
      </c>
    </row>
  </sheetData>
  <sortState ref="C14:D37">
    <sortCondition ref="D14:D37"/>
  </sortState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I22"/>
  <sheetViews>
    <sheetView workbookViewId="0">
      <selection activeCell="F18" sqref="F18"/>
    </sheetView>
  </sheetViews>
  <sheetFormatPr baseColWidth="10" defaultRowHeight="15"/>
  <sheetData>
    <row r="1" spans="1:9">
      <c r="A1" s="102" t="s">
        <v>49</v>
      </c>
      <c r="B1" s="102"/>
      <c r="C1" s="102"/>
      <c r="D1" s="102"/>
      <c r="E1" s="102"/>
      <c r="F1" s="102"/>
    </row>
    <row r="2" spans="1:9">
      <c r="A2" s="102"/>
      <c r="B2" s="102"/>
      <c r="C2" s="102"/>
      <c r="D2" s="102"/>
      <c r="E2" s="102"/>
      <c r="F2" s="102"/>
    </row>
    <row r="3" spans="1:9">
      <c r="A3" s="102"/>
      <c r="B3" s="102"/>
      <c r="C3" s="102"/>
      <c r="D3" s="102"/>
      <c r="E3" s="102"/>
      <c r="F3" s="102"/>
    </row>
    <row r="4" spans="1:9">
      <c r="A4" t="s">
        <v>50</v>
      </c>
    </row>
    <row r="5" spans="1:9" ht="28.5" customHeight="1">
      <c r="A5" s="103" t="s">
        <v>36</v>
      </c>
      <c r="B5" s="103"/>
      <c r="C5" s="103"/>
      <c r="D5" s="104" t="s">
        <v>37</v>
      </c>
      <c r="E5" s="104"/>
      <c r="F5" s="104" t="s">
        <v>38</v>
      </c>
      <c r="G5" s="104"/>
      <c r="H5" s="104" t="s">
        <v>39</v>
      </c>
      <c r="I5" s="104"/>
    </row>
    <row r="6" spans="1:9" ht="22.5" customHeight="1">
      <c r="A6" s="100" t="s">
        <v>40</v>
      </c>
      <c r="B6" s="100"/>
      <c r="C6" s="100"/>
      <c r="D6" s="101"/>
      <c r="E6" s="101"/>
      <c r="F6" s="101"/>
      <c r="G6" s="101"/>
      <c r="H6" s="101"/>
      <c r="I6" s="101"/>
    </row>
    <row r="7" spans="1:9" ht="25.5" customHeight="1">
      <c r="A7" s="105" t="s">
        <v>41</v>
      </c>
      <c r="B7" s="105"/>
      <c r="C7" s="105"/>
      <c r="D7" s="101"/>
      <c r="E7" s="101"/>
      <c r="F7" s="101"/>
      <c r="G7" s="101"/>
      <c r="H7" s="101"/>
      <c r="I7" s="101"/>
    </row>
    <row r="8" spans="1:9" ht="18.75" customHeight="1">
      <c r="A8" s="100" t="s">
        <v>42</v>
      </c>
      <c r="B8" s="100"/>
      <c r="C8" s="100"/>
      <c r="D8" s="101"/>
      <c r="E8" s="101"/>
      <c r="F8" s="101"/>
      <c r="G8" s="101"/>
      <c r="H8" s="101"/>
      <c r="I8" s="101"/>
    </row>
    <row r="9" spans="1:9">
      <c r="A9" s="100" t="s">
        <v>43</v>
      </c>
      <c r="B9" s="100"/>
      <c r="C9" s="100"/>
      <c r="D9" s="101"/>
      <c r="E9" s="101"/>
      <c r="F9" s="101"/>
      <c r="G9" s="101"/>
      <c r="H9" s="101"/>
      <c r="I9" s="101"/>
    </row>
    <row r="10" spans="1:9">
      <c r="A10" s="100" t="s">
        <v>44</v>
      </c>
      <c r="B10" s="100"/>
      <c r="C10" s="100"/>
      <c r="D10" s="101"/>
      <c r="E10" s="101"/>
      <c r="F10" s="101"/>
      <c r="G10" s="101"/>
      <c r="H10" s="101"/>
      <c r="I10" s="101"/>
    </row>
    <row r="11" spans="1:9">
      <c r="A11" s="100" t="s">
        <v>45</v>
      </c>
      <c r="B11" s="100"/>
      <c r="C11" s="100"/>
      <c r="D11" s="101"/>
      <c r="E11" s="101"/>
      <c r="F11" s="101"/>
      <c r="G11" s="101"/>
      <c r="H11" s="101"/>
      <c r="I11" s="101"/>
    </row>
    <row r="12" spans="1:9">
      <c r="A12" s="100" t="s">
        <v>46</v>
      </c>
      <c r="B12" s="100"/>
      <c r="C12" s="100"/>
      <c r="D12" s="101"/>
      <c r="E12" s="101"/>
      <c r="F12" s="101"/>
      <c r="G12" s="101"/>
      <c r="H12" s="101"/>
      <c r="I12" s="101"/>
    </row>
    <row r="13" spans="1:9">
      <c r="A13" s="100" t="s">
        <v>47</v>
      </c>
      <c r="B13" s="100"/>
      <c r="C13" s="100"/>
      <c r="D13" s="101"/>
      <c r="E13" s="101"/>
      <c r="F13" s="101"/>
      <c r="G13" s="101"/>
      <c r="H13" s="101"/>
      <c r="I13" s="101"/>
    </row>
    <row r="14" spans="1:9">
      <c r="A14" s="106" t="s">
        <v>48</v>
      </c>
      <c r="B14" s="107"/>
      <c r="C14" s="108"/>
      <c r="D14" s="101"/>
      <c r="E14" s="101"/>
      <c r="F14" s="101"/>
      <c r="G14" s="101"/>
      <c r="H14" s="101"/>
      <c r="I14" s="101"/>
    </row>
    <row r="16" spans="1:9">
      <c r="A16" t="s">
        <v>51</v>
      </c>
    </row>
    <row r="18" spans="1:3">
      <c r="A18" s="109" t="s">
        <v>36</v>
      </c>
      <c r="B18" s="109"/>
      <c r="C18" s="12" t="s">
        <v>55</v>
      </c>
    </row>
    <row r="19" spans="1:3">
      <c r="A19" s="110" t="s">
        <v>52</v>
      </c>
      <c r="B19" s="110"/>
      <c r="C19" s="13"/>
    </row>
    <row r="20" spans="1:3">
      <c r="A20" s="110" t="s">
        <v>53</v>
      </c>
      <c r="B20" s="110"/>
      <c r="C20" s="13"/>
    </row>
    <row r="21" spans="1:3">
      <c r="A21" s="110" t="s">
        <v>54</v>
      </c>
      <c r="B21" s="110"/>
      <c r="C21" s="13"/>
    </row>
    <row r="22" spans="1:3">
      <c r="A22" s="110" t="s">
        <v>80</v>
      </c>
      <c r="B22" s="110"/>
      <c r="C22" s="13"/>
    </row>
  </sheetData>
  <mergeCells count="46">
    <mergeCell ref="A18:B18"/>
    <mergeCell ref="A19:B19"/>
    <mergeCell ref="A20:B20"/>
    <mergeCell ref="A21:B21"/>
    <mergeCell ref="A22:B22"/>
    <mergeCell ref="A13:C13"/>
    <mergeCell ref="D13:E13"/>
    <mergeCell ref="F13:G13"/>
    <mergeCell ref="H13:I13"/>
    <mergeCell ref="D14:E14"/>
    <mergeCell ref="F14:G14"/>
    <mergeCell ref="H14:I14"/>
    <mergeCell ref="A14:C14"/>
    <mergeCell ref="A11:C11"/>
    <mergeCell ref="D11:E11"/>
    <mergeCell ref="F11:G11"/>
    <mergeCell ref="H11:I11"/>
    <mergeCell ref="A12:C12"/>
    <mergeCell ref="D12:E12"/>
    <mergeCell ref="F12:G12"/>
    <mergeCell ref="H12:I12"/>
    <mergeCell ref="A9:C9"/>
    <mergeCell ref="D9:E9"/>
    <mergeCell ref="F9:G9"/>
    <mergeCell ref="H9:I9"/>
    <mergeCell ref="A10:C10"/>
    <mergeCell ref="D10:E10"/>
    <mergeCell ref="F10:G10"/>
    <mergeCell ref="H10:I10"/>
    <mergeCell ref="A7:C7"/>
    <mergeCell ref="D7:E7"/>
    <mergeCell ref="F7:G7"/>
    <mergeCell ref="H7:I7"/>
    <mergeCell ref="A8:C8"/>
    <mergeCell ref="D8:E8"/>
    <mergeCell ref="F8:G8"/>
    <mergeCell ref="H8:I8"/>
    <mergeCell ref="A6:C6"/>
    <mergeCell ref="D6:E6"/>
    <mergeCell ref="F6:G6"/>
    <mergeCell ref="H6:I6"/>
    <mergeCell ref="A1:F3"/>
    <mergeCell ref="A5:C5"/>
    <mergeCell ref="D5:E5"/>
    <mergeCell ref="F5:G5"/>
    <mergeCell ref="H5:I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27"/>
  <sheetViews>
    <sheetView tabSelected="1" workbookViewId="0">
      <selection activeCell="V14" sqref="V14"/>
    </sheetView>
  </sheetViews>
  <sheetFormatPr baseColWidth="10" defaultRowHeight="15"/>
  <cols>
    <col min="3" max="4" width="2.7109375" bestFit="1" customWidth="1"/>
    <col min="8" max="8" width="4.140625" bestFit="1" customWidth="1"/>
    <col min="9" max="9" width="5.28515625" bestFit="1" customWidth="1"/>
    <col min="10" max="10" width="5.5703125" bestFit="1" customWidth="1"/>
    <col min="11" max="11" width="4.140625" bestFit="1" customWidth="1"/>
    <col min="12" max="12" width="8.28515625" customWidth="1"/>
    <col min="13" max="13" width="11.28515625" customWidth="1"/>
  </cols>
  <sheetData>
    <row r="1" spans="1:20" ht="20.25" thickTop="1" thickBot="1">
      <c r="C1" s="14"/>
      <c r="D1" s="14"/>
      <c r="E1" s="14"/>
      <c r="F1" s="14"/>
      <c r="G1" s="15"/>
      <c r="H1" s="111" t="s">
        <v>57</v>
      </c>
      <c r="I1" s="113"/>
      <c r="J1" s="112"/>
      <c r="K1" s="111" t="s">
        <v>56</v>
      </c>
      <c r="L1" s="112"/>
      <c r="M1" s="71" t="s">
        <v>191</v>
      </c>
      <c r="N1" s="72" t="s">
        <v>192</v>
      </c>
      <c r="O1" s="73" t="s">
        <v>193</v>
      </c>
      <c r="P1" s="73" t="s">
        <v>194</v>
      </c>
      <c r="Q1" s="74" t="s">
        <v>195</v>
      </c>
      <c r="R1" s="73" t="s">
        <v>196</v>
      </c>
      <c r="S1" s="73" t="s">
        <v>66</v>
      </c>
    </row>
    <row r="2" spans="1:20" ht="16.5" thickTop="1" thickBot="1">
      <c r="A2" s="16" t="s">
        <v>58</v>
      </c>
      <c r="B2" s="17" t="s">
        <v>59</v>
      </c>
      <c r="C2" s="17" t="s">
        <v>60</v>
      </c>
      <c r="D2" s="76" t="s">
        <v>61</v>
      </c>
      <c r="E2" s="76" t="s">
        <v>62</v>
      </c>
      <c r="F2" s="76" t="s">
        <v>63</v>
      </c>
      <c r="G2" s="76" t="s">
        <v>64</v>
      </c>
      <c r="H2" s="66" t="s">
        <v>65</v>
      </c>
      <c r="I2" s="67" t="s">
        <v>189</v>
      </c>
      <c r="J2" s="68" t="s">
        <v>190</v>
      </c>
      <c r="K2" s="77" t="s">
        <v>65</v>
      </c>
      <c r="L2" s="78" t="s">
        <v>189</v>
      </c>
      <c r="M2" s="68"/>
      <c r="N2" s="68"/>
      <c r="O2" s="68"/>
      <c r="P2" s="68"/>
      <c r="Q2" s="68"/>
      <c r="R2" s="68"/>
      <c r="S2" s="68"/>
    </row>
    <row r="3" spans="1:20" ht="15.75" thickTop="1">
      <c r="A3" s="18"/>
      <c r="B3" s="59">
        <v>43214</v>
      </c>
      <c r="C3" s="85">
        <v>4</v>
      </c>
      <c r="D3" s="60">
        <v>28</v>
      </c>
      <c r="E3" s="19" t="s">
        <v>123</v>
      </c>
      <c r="F3" s="79" t="s">
        <v>133</v>
      </c>
      <c r="G3" s="114" t="s">
        <v>188</v>
      </c>
      <c r="H3" s="90">
        <v>6</v>
      </c>
      <c r="I3" s="69">
        <v>646.4</v>
      </c>
      <c r="J3" s="91">
        <v>75.400000000000006</v>
      </c>
      <c r="K3" s="90">
        <v>25</v>
      </c>
      <c r="L3" s="70">
        <v>2001</v>
      </c>
      <c r="M3" s="75">
        <v>2.1469999999999998</v>
      </c>
      <c r="N3" s="80">
        <f>+(J3/I3)</f>
        <v>0.1166460396039604</v>
      </c>
      <c r="O3" s="81">
        <f>+(I3+L3)</f>
        <v>2647.4</v>
      </c>
      <c r="P3" s="40">
        <f>+(N3*O3)</f>
        <v>308.80872524752476</v>
      </c>
      <c r="Q3" s="80">
        <f>+(P3*10^(-2))</f>
        <v>3.0880872524752476</v>
      </c>
      <c r="R3" s="82">
        <f>IF(Q3&lt;&gt;"",ROUND(4.48*P3^(-0.25),2),"")</f>
        <v>1.07</v>
      </c>
      <c r="S3" s="83">
        <f>+(M3/R3)</f>
        <v>2.0065420560747662</v>
      </c>
      <c r="T3">
        <v>1.1299999999999999</v>
      </c>
    </row>
    <row r="4" spans="1:20" ht="15.75" thickBot="1">
      <c r="A4" s="19"/>
      <c r="B4" s="59">
        <v>43214</v>
      </c>
      <c r="C4" s="88">
        <v>6</v>
      </c>
      <c r="D4" s="89">
        <v>13</v>
      </c>
      <c r="E4" s="19" t="s">
        <v>123</v>
      </c>
      <c r="F4" s="79" t="s">
        <v>143</v>
      </c>
      <c r="G4" s="114"/>
      <c r="H4" s="92">
        <v>6</v>
      </c>
      <c r="I4" s="93">
        <v>743.4</v>
      </c>
      <c r="J4" s="94">
        <v>103.5</v>
      </c>
      <c r="K4" s="95">
        <v>14</v>
      </c>
      <c r="L4" s="96">
        <v>1413.1</v>
      </c>
      <c r="M4" s="97">
        <v>2.6669999999999998</v>
      </c>
      <c r="N4" s="80">
        <f>+(J4/I4)</f>
        <v>0.13922518159806296</v>
      </c>
      <c r="O4" s="81">
        <f>+(I4+L4)</f>
        <v>2156.5</v>
      </c>
      <c r="P4" s="40">
        <f>+(N4*O4)</f>
        <v>300.23910411622279</v>
      </c>
      <c r="Q4" s="80">
        <f>+(P4*10^(-2))</f>
        <v>3.0023910411622281</v>
      </c>
      <c r="R4" s="82">
        <f>IF(Q4&lt;&gt;"",ROUND(4.48*P4^(-0.25),2),"")</f>
        <v>1.08</v>
      </c>
      <c r="S4" s="83">
        <f>+(M4/R4)</f>
        <v>2.4694444444444441</v>
      </c>
      <c r="T4">
        <v>1.39</v>
      </c>
    </row>
    <row r="5" spans="1:20" s="58" customFormat="1">
      <c r="A5" s="61"/>
      <c r="B5" s="59"/>
      <c r="C5" s="62"/>
      <c r="D5" s="63"/>
      <c r="E5" s="61"/>
      <c r="F5" s="64"/>
      <c r="G5" s="61"/>
      <c r="H5" s="61"/>
      <c r="I5" s="61"/>
      <c r="J5" s="61"/>
      <c r="K5" s="61"/>
      <c r="L5" s="65"/>
    </row>
    <row r="6" spans="1:20" s="58" customFormat="1">
      <c r="A6" s="61"/>
      <c r="B6" s="59"/>
      <c r="C6" s="62"/>
      <c r="D6" s="63"/>
      <c r="E6" s="61"/>
      <c r="F6" s="64"/>
      <c r="G6" s="61"/>
      <c r="H6" s="61"/>
      <c r="I6" s="61"/>
      <c r="J6" s="61"/>
      <c r="K6" s="61"/>
      <c r="L6" s="65"/>
    </row>
    <row r="7" spans="1:20" s="58" customFormat="1">
      <c r="A7" s="61"/>
      <c r="B7" s="59"/>
      <c r="C7" s="62"/>
      <c r="D7" s="63"/>
      <c r="E7" s="61"/>
      <c r="F7" s="64"/>
      <c r="G7" s="61"/>
      <c r="H7" s="61"/>
      <c r="I7" s="61"/>
      <c r="J7" s="61"/>
      <c r="K7" s="61"/>
      <c r="L7" s="65"/>
    </row>
    <row r="8" spans="1:20" s="58" customFormat="1">
      <c r="A8" s="61"/>
      <c r="B8" s="59"/>
      <c r="C8" s="62"/>
      <c r="D8" s="63"/>
      <c r="E8" s="61"/>
      <c r="F8" s="64"/>
      <c r="G8" s="61"/>
      <c r="H8" s="61"/>
      <c r="I8" s="61"/>
      <c r="J8" s="61"/>
      <c r="K8" s="61"/>
      <c r="L8" s="65"/>
    </row>
    <row r="9" spans="1:20" s="58" customFormat="1">
      <c r="A9" s="61"/>
      <c r="B9" s="59"/>
      <c r="C9" s="62"/>
      <c r="D9" s="63"/>
      <c r="E9" s="61"/>
      <c r="F9" s="64"/>
      <c r="G9" s="61"/>
      <c r="H9" s="61"/>
      <c r="I9" s="61"/>
      <c r="J9" s="61"/>
      <c r="K9" s="61"/>
      <c r="L9" s="65"/>
    </row>
    <row r="10" spans="1:2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20">
      <c r="A11" s="20"/>
      <c r="C11" s="20"/>
      <c r="D11" s="20"/>
      <c r="E11" s="20"/>
      <c r="F11" s="20"/>
    </row>
    <row r="12" spans="1:20">
      <c r="A12" s="21" t="s">
        <v>67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20">
      <c r="A13" s="22" t="s">
        <v>68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20">
      <c r="A14" s="22" t="s">
        <v>69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20">
      <c r="A15" s="22" t="s">
        <v>70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20">
      <c r="A16" s="21" t="s">
        <v>71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>
      <c r="A17" s="21" t="s">
        <v>72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>
      <c r="A18" s="21" t="s">
        <v>73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>
      <c r="A19" s="22" t="s">
        <v>74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>
      <c r="A20" s="22" t="s">
        <v>75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>
      <c r="A21" s="22" t="s">
        <v>76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>
      <c r="A22" s="22" t="s">
        <v>77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>
      <c r="A24" s="20" t="s">
        <v>78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</sheetData>
  <mergeCells count="3">
    <mergeCell ref="K1:L1"/>
    <mergeCell ref="H1:J1"/>
    <mergeCell ref="G3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J31"/>
  <sheetViews>
    <sheetView topLeftCell="G1" zoomScale="85" zoomScaleNormal="85" workbookViewId="0">
      <selection activeCell="P29" sqref="P29"/>
    </sheetView>
  </sheetViews>
  <sheetFormatPr baseColWidth="10" defaultRowHeight="15"/>
  <cols>
    <col min="1" max="1" width="6.85546875" bestFit="1" customWidth="1"/>
    <col min="2" max="2" width="10.28515625" bestFit="1" customWidth="1"/>
    <col min="3" max="3" width="12.140625" bestFit="1" customWidth="1"/>
    <col min="4" max="4" width="10.85546875" bestFit="1" customWidth="1"/>
    <col min="5" max="5" width="10.7109375" bestFit="1" customWidth="1"/>
    <col min="6" max="6" width="12" bestFit="1" customWidth="1"/>
    <col min="7" max="7" width="6.140625" bestFit="1" customWidth="1"/>
    <col min="8" max="8" width="9.140625" bestFit="1" customWidth="1"/>
    <col min="9" max="9" width="9.5703125" bestFit="1" customWidth="1"/>
    <col min="10" max="10" width="8.5703125" bestFit="1" customWidth="1"/>
    <col min="11" max="11" width="13.85546875" bestFit="1" customWidth="1"/>
    <col min="12" max="12" width="12.5703125" bestFit="1" customWidth="1"/>
    <col min="13" max="13" width="6.28515625" bestFit="1" customWidth="1"/>
    <col min="14" max="14" width="8.7109375" bestFit="1" customWidth="1"/>
    <col min="15" max="15" width="6.28515625" bestFit="1" customWidth="1"/>
    <col min="16" max="16" width="5" customWidth="1"/>
    <col min="17" max="17" width="6" bestFit="1" customWidth="1"/>
    <col min="18" max="18" width="9.85546875" bestFit="1" customWidth="1"/>
    <col min="19" max="19" width="5.5703125" bestFit="1" customWidth="1"/>
    <col min="20" max="20" width="7.140625" bestFit="1" customWidth="1"/>
    <col min="21" max="21" width="9" bestFit="1" customWidth="1"/>
    <col min="22" max="22" width="8.28515625" customWidth="1"/>
    <col min="23" max="23" width="5.140625" bestFit="1" customWidth="1"/>
    <col min="24" max="24" width="8.28515625" bestFit="1" customWidth="1"/>
    <col min="25" max="25" width="7.140625" bestFit="1" customWidth="1"/>
    <col min="26" max="26" width="7.140625" style="58" bestFit="1" customWidth="1"/>
    <col min="27" max="27" width="6" bestFit="1" customWidth="1"/>
    <col min="28" max="28" width="6.42578125" bestFit="1" customWidth="1"/>
    <col min="29" max="29" width="6.140625" customWidth="1"/>
  </cols>
  <sheetData>
    <row r="1" spans="1:29" s="35" customFormat="1" ht="63.75">
      <c r="A1" s="28" t="s">
        <v>81</v>
      </c>
      <c r="B1" s="28" t="s">
        <v>82</v>
      </c>
      <c r="C1" s="28" t="s">
        <v>83</v>
      </c>
      <c r="D1" s="28" t="s">
        <v>84</v>
      </c>
      <c r="E1" s="28" t="s">
        <v>85</v>
      </c>
      <c r="F1" s="28" t="s">
        <v>86</v>
      </c>
      <c r="G1" s="28" t="s">
        <v>87</v>
      </c>
      <c r="H1" s="28" t="s">
        <v>62</v>
      </c>
      <c r="I1" s="28" t="s">
        <v>111</v>
      </c>
      <c r="J1" s="28" t="s">
        <v>112</v>
      </c>
      <c r="K1" s="28" t="s">
        <v>113</v>
      </c>
      <c r="L1" s="28" t="s">
        <v>88</v>
      </c>
      <c r="M1" s="28" t="s">
        <v>89</v>
      </c>
      <c r="N1" s="29" t="s">
        <v>90</v>
      </c>
      <c r="O1" s="27" t="s">
        <v>114</v>
      </c>
      <c r="P1" s="30" t="s">
        <v>103</v>
      </c>
      <c r="Q1" s="30" t="s">
        <v>120</v>
      </c>
      <c r="R1" s="31" t="s">
        <v>115</v>
      </c>
      <c r="S1" s="31" t="s">
        <v>104</v>
      </c>
      <c r="T1" s="32" t="s">
        <v>116</v>
      </c>
      <c r="U1" s="31" t="s">
        <v>117</v>
      </c>
      <c r="V1" s="32" t="s">
        <v>105</v>
      </c>
      <c r="W1" s="33" t="s">
        <v>118</v>
      </c>
      <c r="X1" s="32" t="s">
        <v>106</v>
      </c>
      <c r="Y1" s="31" t="s">
        <v>119</v>
      </c>
      <c r="Z1" s="31" t="s">
        <v>107</v>
      </c>
      <c r="AA1" s="32" t="s">
        <v>108</v>
      </c>
      <c r="AB1" s="32" t="s">
        <v>109</v>
      </c>
      <c r="AC1" s="34" t="s">
        <v>110</v>
      </c>
    </row>
    <row r="2" spans="1:29">
      <c r="A2" s="40">
        <v>2018</v>
      </c>
      <c r="B2" s="40" t="s">
        <v>162</v>
      </c>
      <c r="C2" s="40" t="s">
        <v>198</v>
      </c>
      <c r="D2" s="84">
        <v>42979</v>
      </c>
      <c r="E2" s="84">
        <v>42988</v>
      </c>
      <c r="F2" s="84">
        <v>43290</v>
      </c>
      <c r="G2" s="40" t="s">
        <v>163</v>
      </c>
      <c r="H2" s="40" t="s">
        <v>123</v>
      </c>
      <c r="I2" s="40">
        <v>1</v>
      </c>
      <c r="J2" s="40">
        <v>1</v>
      </c>
      <c r="K2" s="40"/>
      <c r="L2" s="52" t="s">
        <v>153</v>
      </c>
      <c r="M2" s="40" t="s">
        <v>187</v>
      </c>
      <c r="N2" s="40">
        <v>16.7</v>
      </c>
      <c r="O2" s="40"/>
      <c r="P2" s="40"/>
      <c r="Q2" s="40">
        <v>28.39</v>
      </c>
      <c r="R2" s="40">
        <v>5</v>
      </c>
      <c r="S2" s="40">
        <v>7</v>
      </c>
      <c r="T2" s="40">
        <v>98</v>
      </c>
      <c r="U2" s="40">
        <v>145</v>
      </c>
      <c r="V2" s="40"/>
      <c r="W2" s="81">
        <v>4.7</v>
      </c>
      <c r="X2" s="81">
        <v>7.45</v>
      </c>
      <c r="Y2" s="81">
        <v>43.866999999999997</v>
      </c>
      <c r="Z2" s="81">
        <v>18.429903030395508</v>
      </c>
      <c r="AA2" s="81">
        <v>36.343000000000004</v>
      </c>
      <c r="AB2" s="81">
        <v>14.467000000000001</v>
      </c>
      <c r="AC2" s="81">
        <v>4.5599999999999996</v>
      </c>
    </row>
    <row r="3" spans="1:29">
      <c r="A3" s="40">
        <v>2018</v>
      </c>
      <c r="B3" s="40" t="s">
        <v>162</v>
      </c>
      <c r="C3" s="40" t="s">
        <v>198</v>
      </c>
      <c r="D3" s="84">
        <v>42979</v>
      </c>
      <c r="E3" s="84">
        <v>42988</v>
      </c>
      <c r="F3" s="84">
        <v>43290</v>
      </c>
      <c r="G3" s="40" t="s">
        <v>164</v>
      </c>
      <c r="H3" s="40" t="s">
        <v>123</v>
      </c>
      <c r="I3" s="40">
        <v>2</v>
      </c>
      <c r="J3" s="40">
        <v>1</v>
      </c>
      <c r="K3" s="40"/>
      <c r="L3" s="52" t="s">
        <v>153</v>
      </c>
      <c r="M3" s="40" t="s">
        <v>187</v>
      </c>
      <c r="N3" s="40">
        <v>16.7</v>
      </c>
      <c r="O3" s="40"/>
      <c r="P3" s="40"/>
      <c r="Q3" s="40">
        <v>30.82</v>
      </c>
      <c r="R3" s="40">
        <v>9</v>
      </c>
      <c r="S3" s="40">
        <v>7</v>
      </c>
      <c r="T3" s="40">
        <v>98</v>
      </c>
      <c r="U3" s="40">
        <v>155</v>
      </c>
      <c r="V3" s="40"/>
      <c r="W3" s="81">
        <v>5.05</v>
      </c>
      <c r="X3" s="81">
        <v>6.51</v>
      </c>
      <c r="Y3" s="81">
        <v>45.435000000000002</v>
      </c>
      <c r="Z3" s="81">
        <v>16.379816055297852</v>
      </c>
      <c r="AA3" s="81">
        <v>33.463000000000001</v>
      </c>
      <c r="AB3" s="81">
        <v>12.618</v>
      </c>
      <c r="AC3" s="81">
        <v>4.42</v>
      </c>
    </row>
    <row r="4" spans="1:29">
      <c r="A4" s="40">
        <v>2018</v>
      </c>
      <c r="B4" s="40" t="s">
        <v>162</v>
      </c>
      <c r="C4" s="40" t="s">
        <v>198</v>
      </c>
      <c r="D4" s="84">
        <v>42979</v>
      </c>
      <c r="E4" s="84">
        <v>42988</v>
      </c>
      <c r="F4" s="84">
        <v>43290</v>
      </c>
      <c r="G4" s="40" t="s">
        <v>165</v>
      </c>
      <c r="H4" s="40" t="s">
        <v>123</v>
      </c>
      <c r="I4" s="40">
        <v>1</v>
      </c>
      <c r="J4" s="40">
        <v>2</v>
      </c>
      <c r="K4" s="40"/>
      <c r="L4" s="52" t="s">
        <v>151</v>
      </c>
      <c r="M4" s="40" t="s">
        <v>187</v>
      </c>
      <c r="N4" s="40">
        <v>16.7</v>
      </c>
      <c r="O4" s="40"/>
      <c r="P4" s="40"/>
      <c r="Q4" s="40">
        <v>27.19</v>
      </c>
      <c r="R4" s="40">
        <v>8</v>
      </c>
      <c r="S4" s="40">
        <v>9</v>
      </c>
      <c r="T4" s="40">
        <v>98</v>
      </c>
      <c r="U4" s="40">
        <v>140</v>
      </c>
      <c r="V4" s="40"/>
      <c r="W4" s="81">
        <v>4.5</v>
      </c>
      <c r="X4" s="81">
        <v>7.43</v>
      </c>
      <c r="Y4" s="81">
        <v>44.402000000000001</v>
      </c>
      <c r="Z4" s="81">
        <v>17.186183929443359</v>
      </c>
      <c r="AA4" s="81">
        <v>34.296999999999997</v>
      </c>
      <c r="AB4" s="81">
        <v>14.88</v>
      </c>
      <c r="AC4" s="81">
        <v>4.92</v>
      </c>
    </row>
    <row r="5" spans="1:29">
      <c r="A5" s="40">
        <v>2018</v>
      </c>
      <c r="B5" s="40" t="s">
        <v>162</v>
      </c>
      <c r="C5" s="40" t="s">
        <v>198</v>
      </c>
      <c r="D5" s="84">
        <v>42979</v>
      </c>
      <c r="E5" s="84">
        <v>42988</v>
      </c>
      <c r="F5" s="84">
        <v>43290</v>
      </c>
      <c r="G5" s="40" t="s">
        <v>166</v>
      </c>
      <c r="H5" s="40" t="s">
        <v>123</v>
      </c>
      <c r="I5" s="40">
        <v>2</v>
      </c>
      <c r="J5" s="40">
        <v>2</v>
      </c>
      <c r="K5" s="40"/>
      <c r="L5" s="52" t="s">
        <v>151</v>
      </c>
      <c r="M5" s="40" t="s">
        <v>187</v>
      </c>
      <c r="N5" s="40">
        <v>16.7</v>
      </c>
      <c r="O5" s="40"/>
      <c r="P5" s="40"/>
      <c r="Q5" s="40">
        <v>26.29</v>
      </c>
      <c r="R5" s="40">
        <v>9</v>
      </c>
      <c r="S5" s="40">
        <v>7</v>
      </c>
      <c r="T5" s="40">
        <v>96</v>
      </c>
      <c r="U5" s="40">
        <v>145</v>
      </c>
      <c r="V5" s="40"/>
      <c r="W5" s="81">
        <v>4.3499999999999996</v>
      </c>
      <c r="X5" s="81">
        <v>7.42</v>
      </c>
      <c r="Y5" s="81">
        <v>44.813000000000002</v>
      </c>
      <c r="Z5" s="81">
        <v>16.684045791625977</v>
      </c>
      <c r="AA5" s="81">
        <v>33.604999999999997</v>
      </c>
      <c r="AB5" s="81">
        <v>13.335000000000001</v>
      </c>
      <c r="AC5" s="81">
        <v>4.6100000000000003</v>
      </c>
    </row>
    <row r="6" spans="1:29">
      <c r="A6" s="40">
        <v>2018</v>
      </c>
      <c r="B6" s="40" t="s">
        <v>162</v>
      </c>
      <c r="C6" s="40" t="s">
        <v>198</v>
      </c>
      <c r="D6" s="84">
        <v>42979</v>
      </c>
      <c r="E6" s="84">
        <v>42988</v>
      </c>
      <c r="F6" s="84">
        <v>43290</v>
      </c>
      <c r="G6" s="40" t="s">
        <v>167</v>
      </c>
      <c r="H6" s="40" t="s">
        <v>123</v>
      </c>
      <c r="I6" s="40">
        <v>1</v>
      </c>
      <c r="J6" s="40">
        <v>3</v>
      </c>
      <c r="K6" s="40"/>
      <c r="L6" s="52" t="s">
        <v>156</v>
      </c>
      <c r="M6" s="40" t="s">
        <v>187</v>
      </c>
      <c r="N6" s="40">
        <v>16.7</v>
      </c>
      <c r="O6" s="40"/>
      <c r="P6" s="40"/>
      <c r="Q6" s="40">
        <v>24.93</v>
      </c>
      <c r="R6" s="40">
        <v>5</v>
      </c>
      <c r="S6" s="40">
        <v>8</v>
      </c>
      <c r="T6" s="40">
        <v>98</v>
      </c>
      <c r="U6" s="40">
        <v>145</v>
      </c>
      <c r="V6" s="40"/>
      <c r="W6" s="81">
        <v>4.0999999999999996</v>
      </c>
      <c r="X6" s="81">
        <v>6.85</v>
      </c>
      <c r="Y6" s="81">
        <v>44.423000000000002</v>
      </c>
      <c r="Z6" s="81">
        <v>18.380250930786133</v>
      </c>
      <c r="AA6" s="81">
        <v>36.697000000000003</v>
      </c>
      <c r="AB6" s="81">
        <v>14.301</v>
      </c>
      <c r="AC6" s="81">
        <v>5.09</v>
      </c>
    </row>
    <row r="7" spans="1:29">
      <c r="A7" s="40">
        <v>2018</v>
      </c>
      <c r="B7" s="40" t="s">
        <v>162</v>
      </c>
      <c r="C7" s="40" t="s">
        <v>198</v>
      </c>
      <c r="D7" s="84">
        <v>42979</v>
      </c>
      <c r="E7" s="84">
        <v>42988</v>
      </c>
      <c r="F7" s="84">
        <v>43290</v>
      </c>
      <c r="G7" s="40" t="s">
        <v>168</v>
      </c>
      <c r="H7" s="40" t="s">
        <v>123</v>
      </c>
      <c r="I7" s="40">
        <v>2</v>
      </c>
      <c r="J7" s="40">
        <v>3</v>
      </c>
      <c r="K7" s="40"/>
      <c r="L7" s="52" t="s">
        <v>156</v>
      </c>
      <c r="M7" s="40" t="s">
        <v>187</v>
      </c>
      <c r="N7" s="40">
        <v>16.7</v>
      </c>
      <c r="O7" s="40"/>
      <c r="P7" s="40"/>
      <c r="Q7" s="40">
        <v>22.84</v>
      </c>
      <c r="R7" s="40">
        <v>8</v>
      </c>
      <c r="S7" s="40">
        <v>6</v>
      </c>
      <c r="T7" s="40">
        <v>98</v>
      </c>
      <c r="U7" s="40">
        <v>145</v>
      </c>
      <c r="V7" s="40"/>
      <c r="W7" s="81">
        <v>3.75</v>
      </c>
      <c r="X7" s="81">
        <v>6.67</v>
      </c>
      <c r="Y7" s="81">
        <v>44.838000000000001</v>
      </c>
      <c r="Z7" s="81">
        <v>18.332012176513672</v>
      </c>
      <c r="AA7" s="81">
        <v>36.945</v>
      </c>
      <c r="AB7" s="81">
        <v>12.189</v>
      </c>
      <c r="AC7" s="81">
        <v>5.23</v>
      </c>
    </row>
    <row r="8" spans="1:29">
      <c r="A8" s="40">
        <v>2018</v>
      </c>
      <c r="B8" s="40" t="s">
        <v>162</v>
      </c>
      <c r="C8" s="40" t="s">
        <v>198</v>
      </c>
      <c r="D8" s="84">
        <v>42979</v>
      </c>
      <c r="E8" s="84">
        <v>42988</v>
      </c>
      <c r="F8" s="84">
        <v>43290</v>
      </c>
      <c r="G8" s="40" t="s">
        <v>169</v>
      </c>
      <c r="H8" s="40" t="s">
        <v>123</v>
      </c>
      <c r="I8" s="40">
        <v>1</v>
      </c>
      <c r="J8" s="40">
        <v>4</v>
      </c>
      <c r="K8" s="40"/>
      <c r="L8" s="52" t="s">
        <v>147</v>
      </c>
      <c r="M8" s="40" t="s">
        <v>187</v>
      </c>
      <c r="N8" s="40">
        <v>16.7</v>
      </c>
      <c r="O8" s="40"/>
      <c r="P8" s="40"/>
      <c r="Q8" s="40">
        <v>24.52</v>
      </c>
      <c r="R8" s="40">
        <v>8</v>
      </c>
      <c r="S8" s="40">
        <v>8</v>
      </c>
      <c r="T8" s="40">
        <v>96</v>
      </c>
      <c r="U8" s="40">
        <v>150</v>
      </c>
      <c r="V8" s="40"/>
      <c r="W8" s="81">
        <v>4.05</v>
      </c>
      <c r="X8" s="81">
        <v>7.24</v>
      </c>
      <c r="Y8" s="81">
        <v>44.264000000000003</v>
      </c>
      <c r="Z8" s="81">
        <v>18.145395278930664</v>
      </c>
      <c r="AA8" s="81">
        <v>36.1</v>
      </c>
      <c r="AB8" s="81">
        <v>15.948</v>
      </c>
      <c r="AC8" s="81">
        <v>4.16</v>
      </c>
    </row>
    <row r="9" spans="1:29">
      <c r="A9" s="40">
        <v>2018</v>
      </c>
      <c r="B9" s="40" t="s">
        <v>162</v>
      </c>
      <c r="C9" s="40" t="s">
        <v>198</v>
      </c>
      <c r="D9" s="84">
        <v>42979</v>
      </c>
      <c r="E9" s="84">
        <v>42988</v>
      </c>
      <c r="F9" s="84">
        <v>43290</v>
      </c>
      <c r="G9" s="40" t="s">
        <v>170</v>
      </c>
      <c r="H9" s="40" t="s">
        <v>123</v>
      </c>
      <c r="I9" s="40">
        <v>2</v>
      </c>
      <c r="J9" s="40">
        <v>4</v>
      </c>
      <c r="K9" s="40"/>
      <c r="L9" s="52" t="s">
        <v>147</v>
      </c>
      <c r="M9" s="40" t="s">
        <v>187</v>
      </c>
      <c r="N9" s="40">
        <v>16.7</v>
      </c>
      <c r="O9" s="40"/>
      <c r="P9" s="40"/>
      <c r="Q9" s="40">
        <v>21.16</v>
      </c>
      <c r="R9" s="40">
        <v>9</v>
      </c>
      <c r="S9" s="40">
        <v>7</v>
      </c>
      <c r="T9" s="40">
        <v>96</v>
      </c>
      <c r="U9" s="40">
        <v>145</v>
      </c>
      <c r="V9" s="40"/>
      <c r="W9" s="81">
        <v>3.5</v>
      </c>
      <c r="X9" s="81">
        <v>7.38</v>
      </c>
      <c r="Y9" s="81">
        <v>45.119</v>
      </c>
      <c r="Z9" s="81">
        <v>17.528816223144531</v>
      </c>
      <c r="AA9" s="81">
        <v>35.552</v>
      </c>
      <c r="AB9" s="81">
        <v>13.196999999999999</v>
      </c>
      <c r="AC9" s="81">
        <v>4.0199999999999996</v>
      </c>
    </row>
    <row r="10" spans="1:29">
      <c r="A10" s="40">
        <v>2018</v>
      </c>
      <c r="B10" s="40" t="s">
        <v>162</v>
      </c>
      <c r="C10" s="40" t="s">
        <v>198</v>
      </c>
      <c r="D10" s="84">
        <v>42979</v>
      </c>
      <c r="E10" s="84">
        <v>42988</v>
      </c>
      <c r="F10" s="84">
        <v>43290</v>
      </c>
      <c r="G10" s="40" t="s">
        <v>171</v>
      </c>
      <c r="H10" s="40" t="s">
        <v>123</v>
      </c>
      <c r="I10" s="40">
        <v>1</v>
      </c>
      <c r="J10" s="40">
        <v>5</v>
      </c>
      <c r="K10" s="40"/>
      <c r="L10" s="52" t="s">
        <v>148</v>
      </c>
      <c r="M10" s="40" t="s">
        <v>187</v>
      </c>
      <c r="N10" s="40">
        <v>16.7</v>
      </c>
      <c r="O10" s="40"/>
      <c r="P10" s="40"/>
      <c r="Q10" s="40">
        <v>14.57</v>
      </c>
      <c r="R10" s="40">
        <v>8</v>
      </c>
      <c r="S10" s="40">
        <v>6</v>
      </c>
      <c r="T10" s="40">
        <v>98</v>
      </c>
      <c r="U10" s="40">
        <v>125</v>
      </c>
      <c r="V10" s="40"/>
      <c r="W10" s="81">
        <v>2.4</v>
      </c>
      <c r="X10" s="81">
        <v>7.01</v>
      </c>
      <c r="Y10" s="81">
        <v>42.613999999999997</v>
      </c>
      <c r="Z10" s="81">
        <v>18.975204467773438</v>
      </c>
      <c r="AA10" s="81">
        <v>36.406999999999996</v>
      </c>
      <c r="AB10" s="81">
        <v>17.853999999999999</v>
      </c>
      <c r="AC10" s="81">
        <v>5.16</v>
      </c>
    </row>
    <row r="11" spans="1:29">
      <c r="A11" s="40">
        <v>2018</v>
      </c>
      <c r="B11" s="40" t="s">
        <v>162</v>
      </c>
      <c r="C11" s="40" t="s">
        <v>198</v>
      </c>
      <c r="D11" s="84">
        <v>42979</v>
      </c>
      <c r="E11" s="84">
        <v>42988</v>
      </c>
      <c r="F11" s="84">
        <v>43290</v>
      </c>
      <c r="G11" s="40" t="s">
        <v>172</v>
      </c>
      <c r="H11" s="40" t="s">
        <v>123</v>
      </c>
      <c r="I11" s="40">
        <v>2</v>
      </c>
      <c r="J11" s="40">
        <v>5</v>
      </c>
      <c r="K11" s="40"/>
      <c r="L11" s="52" t="s">
        <v>148</v>
      </c>
      <c r="M11" s="40" t="s">
        <v>187</v>
      </c>
      <c r="N11" s="40">
        <v>16.7</v>
      </c>
      <c r="O11" s="40"/>
      <c r="P11" s="40"/>
      <c r="Q11" s="40">
        <v>19.91</v>
      </c>
      <c r="R11" s="40">
        <v>9</v>
      </c>
      <c r="S11" s="40">
        <v>7</v>
      </c>
      <c r="T11" s="40">
        <v>98</v>
      </c>
      <c r="U11" s="40">
        <v>130</v>
      </c>
      <c r="V11" s="40"/>
      <c r="W11" s="81">
        <v>3.3</v>
      </c>
      <c r="X11" s="81">
        <v>7.54</v>
      </c>
      <c r="Y11" s="81"/>
      <c r="Z11" s="81"/>
      <c r="AA11" s="81"/>
      <c r="AB11" s="81"/>
      <c r="AC11" s="81"/>
    </row>
    <row r="12" spans="1:29">
      <c r="A12" s="40">
        <v>2018</v>
      </c>
      <c r="B12" s="40" t="s">
        <v>162</v>
      </c>
      <c r="C12" s="40" t="s">
        <v>198</v>
      </c>
      <c r="D12" s="84">
        <v>42979</v>
      </c>
      <c r="E12" s="84">
        <v>42988</v>
      </c>
      <c r="F12" s="84">
        <v>43290</v>
      </c>
      <c r="G12" s="40" t="s">
        <v>173</v>
      </c>
      <c r="H12" s="40" t="s">
        <v>123</v>
      </c>
      <c r="I12" s="40">
        <v>1</v>
      </c>
      <c r="J12" s="40">
        <v>6</v>
      </c>
      <c r="K12" s="40"/>
      <c r="L12" s="52" t="s">
        <v>158</v>
      </c>
      <c r="M12" s="40" t="s">
        <v>187</v>
      </c>
      <c r="N12" s="40">
        <v>16.7</v>
      </c>
      <c r="O12" s="40"/>
      <c r="P12" s="40"/>
      <c r="Q12" s="40">
        <v>25.73</v>
      </c>
      <c r="R12" s="40">
        <v>8</v>
      </c>
      <c r="S12" s="40">
        <v>8</v>
      </c>
      <c r="T12" s="40">
        <v>96</v>
      </c>
      <c r="U12" s="40">
        <v>150</v>
      </c>
      <c r="V12" s="40"/>
      <c r="W12" s="81">
        <v>4.25</v>
      </c>
      <c r="X12" s="81">
        <v>7.24</v>
      </c>
      <c r="Y12" s="81">
        <v>44.164000000000001</v>
      </c>
      <c r="Z12" s="81">
        <v>18.076852798461914</v>
      </c>
      <c r="AA12" s="81">
        <v>35.881999999999998</v>
      </c>
      <c r="AB12" s="81">
        <v>14.276</v>
      </c>
      <c r="AC12" s="81">
        <v>4.4000000000000004</v>
      </c>
    </row>
    <row r="13" spans="1:29">
      <c r="A13" s="40">
        <v>2018</v>
      </c>
      <c r="B13" s="40" t="s">
        <v>162</v>
      </c>
      <c r="C13" s="40" t="s">
        <v>198</v>
      </c>
      <c r="D13" s="84">
        <v>42979</v>
      </c>
      <c r="E13" s="84">
        <v>42988</v>
      </c>
      <c r="F13" s="84">
        <v>43290</v>
      </c>
      <c r="G13" s="40" t="s">
        <v>174</v>
      </c>
      <c r="H13" s="40" t="s">
        <v>123</v>
      </c>
      <c r="I13" s="40">
        <v>2</v>
      </c>
      <c r="J13" s="40">
        <v>6</v>
      </c>
      <c r="K13" s="40"/>
      <c r="L13" s="52" t="s">
        <v>158</v>
      </c>
      <c r="M13" s="40" t="s">
        <v>187</v>
      </c>
      <c r="N13" s="40">
        <v>16.7</v>
      </c>
      <c r="O13" s="40"/>
      <c r="P13" s="40"/>
      <c r="Q13" s="40">
        <v>24.29</v>
      </c>
      <c r="R13" s="40">
        <v>8</v>
      </c>
      <c r="S13" s="40">
        <v>8</v>
      </c>
      <c r="T13" s="40">
        <v>96</v>
      </c>
      <c r="U13" s="40">
        <v>140</v>
      </c>
      <c r="V13" s="40"/>
      <c r="W13" s="81">
        <v>4</v>
      </c>
      <c r="X13" s="81">
        <v>6.95</v>
      </c>
      <c r="Y13" s="81">
        <v>44.286000000000001</v>
      </c>
      <c r="Z13" s="81">
        <v>17.541011810302734</v>
      </c>
      <c r="AA13" s="81">
        <v>34.914000000000001</v>
      </c>
      <c r="AB13" s="81">
        <v>16.940000000000001</v>
      </c>
      <c r="AC13" s="81">
        <v>4.53</v>
      </c>
    </row>
    <row r="14" spans="1:29">
      <c r="A14" s="40">
        <v>2018</v>
      </c>
      <c r="B14" s="40" t="s">
        <v>162</v>
      </c>
      <c r="C14" s="40" t="s">
        <v>198</v>
      </c>
      <c r="D14" s="84">
        <v>42979</v>
      </c>
      <c r="E14" s="84">
        <v>42988</v>
      </c>
      <c r="F14" s="84">
        <v>43290</v>
      </c>
      <c r="G14" s="40" t="s">
        <v>175</v>
      </c>
      <c r="H14" s="40" t="s">
        <v>123</v>
      </c>
      <c r="I14" s="40">
        <v>1</v>
      </c>
      <c r="J14" s="40">
        <v>7</v>
      </c>
      <c r="K14" s="40"/>
      <c r="L14" s="52" t="s">
        <v>149</v>
      </c>
      <c r="M14" s="40" t="s">
        <v>187</v>
      </c>
      <c r="N14" s="40">
        <v>16.7</v>
      </c>
      <c r="O14" s="40"/>
      <c r="P14" s="40"/>
      <c r="Q14" s="40">
        <v>18.059999999999999</v>
      </c>
      <c r="R14" s="40">
        <v>3</v>
      </c>
      <c r="S14" s="40">
        <v>4</v>
      </c>
      <c r="T14" s="40">
        <v>102</v>
      </c>
      <c r="U14" s="40">
        <v>140</v>
      </c>
      <c r="V14" s="40"/>
      <c r="W14" s="81">
        <v>3</v>
      </c>
      <c r="X14" s="81">
        <v>7.77</v>
      </c>
      <c r="Y14" s="81">
        <v>42.482999999999997</v>
      </c>
      <c r="Z14" s="81">
        <v>18.906393051147461</v>
      </c>
      <c r="AA14" s="81">
        <v>36.173999999999999</v>
      </c>
      <c r="AB14" s="81">
        <v>15.278</v>
      </c>
      <c r="AC14" s="81">
        <v>4.84</v>
      </c>
    </row>
    <row r="15" spans="1:29">
      <c r="A15" s="40">
        <v>2018</v>
      </c>
      <c r="B15" s="40" t="s">
        <v>162</v>
      </c>
      <c r="C15" s="40" t="s">
        <v>198</v>
      </c>
      <c r="D15" s="84">
        <v>42979</v>
      </c>
      <c r="E15" s="84">
        <v>42988</v>
      </c>
      <c r="F15" s="84">
        <v>43290</v>
      </c>
      <c r="G15" s="40" t="s">
        <v>176</v>
      </c>
      <c r="H15" s="40" t="s">
        <v>123</v>
      </c>
      <c r="I15" s="40">
        <v>2</v>
      </c>
      <c r="J15" s="40">
        <v>7</v>
      </c>
      <c r="K15" s="40"/>
      <c r="L15" s="52" t="s">
        <v>149</v>
      </c>
      <c r="M15" s="40" t="s">
        <v>187</v>
      </c>
      <c r="N15" s="40">
        <v>16.7</v>
      </c>
      <c r="O15" s="40"/>
      <c r="P15" s="40"/>
      <c r="Q15" s="40">
        <v>17.27</v>
      </c>
      <c r="R15" s="40">
        <v>3</v>
      </c>
      <c r="S15" s="40">
        <v>6</v>
      </c>
      <c r="T15" s="40">
        <v>98</v>
      </c>
      <c r="U15" s="40">
        <v>140</v>
      </c>
      <c r="V15" s="40"/>
      <c r="W15" s="81">
        <v>2.85</v>
      </c>
      <c r="X15" s="81">
        <v>7.14</v>
      </c>
      <c r="Y15" s="81">
        <v>43.667000000000002</v>
      </c>
      <c r="Z15" s="81">
        <v>17.993200302124023</v>
      </c>
      <c r="AA15" s="81">
        <v>35.325000000000003</v>
      </c>
      <c r="AB15" s="81">
        <v>16.715</v>
      </c>
      <c r="AC15" s="81">
        <v>4.88</v>
      </c>
    </row>
    <row r="16" spans="1:29">
      <c r="A16" s="40">
        <v>2018</v>
      </c>
      <c r="B16" s="40" t="s">
        <v>162</v>
      </c>
      <c r="C16" s="40" t="s">
        <v>198</v>
      </c>
      <c r="D16" s="84">
        <v>42979</v>
      </c>
      <c r="E16" s="84">
        <v>42988</v>
      </c>
      <c r="F16" s="84">
        <v>43290</v>
      </c>
      <c r="G16" s="40" t="s">
        <v>177</v>
      </c>
      <c r="H16" s="40" t="s">
        <v>123</v>
      </c>
      <c r="I16" s="40">
        <v>1</v>
      </c>
      <c r="J16" s="40">
        <v>8</v>
      </c>
      <c r="K16" s="40"/>
      <c r="L16" s="52" t="s">
        <v>144</v>
      </c>
      <c r="M16" s="40" t="s">
        <v>187</v>
      </c>
      <c r="N16" s="40">
        <v>16.7</v>
      </c>
      <c r="O16" s="40"/>
      <c r="P16" s="40"/>
      <c r="Q16" s="40">
        <v>30.95</v>
      </c>
      <c r="R16" s="40">
        <v>9</v>
      </c>
      <c r="S16" s="40">
        <v>8</v>
      </c>
      <c r="T16" s="40">
        <v>96</v>
      </c>
      <c r="U16" s="40">
        <v>155</v>
      </c>
      <c r="V16" s="40"/>
      <c r="W16" s="81">
        <v>5.0999999999999996</v>
      </c>
      <c r="X16" s="81">
        <v>7.01</v>
      </c>
      <c r="Y16" s="81">
        <v>43.156999999999996</v>
      </c>
      <c r="Z16" s="81">
        <v>19.28660774230957</v>
      </c>
      <c r="AA16" s="81">
        <v>37.442999999999998</v>
      </c>
      <c r="AB16" s="81">
        <v>10.869</v>
      </c>
      <c r="AC16" s="81">
        <v>5.18</v>
      </c>
    </row>
    <row r="17" spans="1:36">
      <c r="A17" s="40">
        <v>2018</v>
      </c>
      <c r="B17" s="40" t="s">
        <v>162</v>
      </c>
      <c r="C17" s="40" t="s">
        <v>198</v>
      </c>
      <c r="D17" s="84">
        <v>42979</v>
      </c>
      <c r="E17" s="84">
        <v>42988</v>
      </c>
      <c r="F17" s="84">
        <v>43290</v>
      </c>
      <c r="G17" s="40" t="s">
        <v>178</v>
      </c>
      <c r="H17" s="40" t="s">
        <v>123</v>
      </c>
      <c r="I17" s="40">
        <v>2</v>
      </c>
      <c r="J17" s="40">
        <v>8</v>
      </c>
      <c r="K17" s="40"/>
      <c r="L17" s="52" t="s">
        <v>144</v>
      </c>
      <c r="M17" s="40" t="s">
        <v>187</v>
      </c>
      <c r="N17" s="40">
        <v>16.7</v>
      </c>
      <c r="O17" s="40"/>
      <c r="P17" s="40"/>
      <c r="Q17" s="40">
        <v>29.8</v>
      </c>
      <c r="R17" s="40">
        <v>8</v>
      </c>
      <c r="S17" s="40">
        <v>7</v>
      </c>
      <c r="T17" s="40">
        <v>96</v>
      </c>
      <c r="U17" s="40">
        <v>145</v>
      </c>
      <c r="V17" s="40"/>
      <c r="W17" s="81">
        <v>4.95</v>
      </c>
      <c r="X17" s="81">
        <v>7.75</v>
      </c>
      <c r="Y17" s="81">
        <v>43.777000000000001</v>
      </c>
      <c r="Z17" s="81">
        <v>17.913818359375</v>
      </c>
      <c r="AA17" s="81">
        <v>35.255000000000003</v>
      </c>
      <c r="AB17" s="81">
        <v>8.3840000000000003</v>
      </c>
      <c r="AC17" s="81">
        <v>5.18</v>
      </c>
    </row>
    <row r="18" spans="1:36">
      <c r="A18" s="40">
        <v>2018</v>
      </c>
      <c r="B18" s="40" t="s">
        <v>162</v>
      </c>
      <c r="C18" s="40" t="s">
        <v>198</v>
      </c>
      <c r="D18" s="84">
        <v>42979</v>
      </c>
      <c r="E18" s="84">
        <v>42988</v>
      </c>
      <c r="F18" s="84">
        <v>43290</v>
      </c>
      <c r="G18" s="40" t="s">
        <v>179</v>
      </c>
      <c r="H18" s="40" t="s">
        <v>123</v>
      </c>
      <c r="I18" s="40">
        <v>1</v>
      </c>
      <c r="J18" s="40">
        <v>9</v>
      </c>
      <c r="K18" s="40"/>
      <c r="L18" s="52" t="s">
        <v>152</v>
      </c>
      <c r="M18" s="40" t="s">
        <v>187</v>
      </c>
      <c r="N18" s="40">
        <v>16.7</v>
      </c>
      <c r="O18" s="40"/>
      <c r="P18" s="40"/>
      <c r="Q18" s="40">
        <v>21.11</v>
      </c>
      <c r="R18" s="40">
        <v>9</v>
      </c>
      <c r="S18" s="40">
        <v>7</v>
      </c>
      <c r="T18" s="40">
        <v>94</v>
      </c>
      <c r="U18" s="40">
        <v>135</v>
      </c>
      <c r="V18" s="40"/>
      <c r="W18" s="81">
        <v>3.5</v>
      </c>
      <c r="X18" s="81">
        <v>7.61</v>
      </c>
      <c r="Y18" s="81">
        <v>44.633000000000003</v>
      </c>
      <c r="Z18" s="81">
        <v>17.599393844604492</v>
      </c>
      <c r="AA18" s="81">
        <v>35.304000000000002</v>
      </c>
      <c r="AB18" s="81">
        <v>18.32</v>
      </c>
      <c r="AC18" s="81">
        <v>4.3600000000000003</v>
      </c>
    </row>
    <row r="19" spans="1:36">
      <c r="A19" s="40">
        <v>2018</v>
      </c>
      <c r="B19" s="40" t="s">
        <v>162</v>
      </c>
      <c r="C19" s="40" t="s">
        <v>198</v>
      </c>
      <c r="D19" s="84">
        <v>42979</v>
      </c>
      <c r="E19" s="84">
        <v>42988</v>
      </c>
      <c r="F19" s="84">
        <v>43290</v>
      </c>
      <c r="G19" s="40" t="s">
        <v>180</v>
      </c>
      <c r="H19" s="40" t="s">
        <v>123</v>
      </c>
      <c r="I19" s="40">
        <v>2</v>
      </c>
      <c r="J19" s="40">
        <v>9</v>
      </c>
      <c r="K19" s="40"/>
      <c r="L19" s="52" t="s">
        <v>152</v>
      </c>
      <c r="M19" s="40" t="s">
        <v>187</v>
      </c>
      <c r="N19" s="40">
        <v>16.7</v>
      </c>
      <c r="O19" s="40"/>
      <c r="P19" s="40"/>
      <c r="Q19" s="40">
        <v>21.52</v>
      </c>
      <c r="R19" s="40">
        <v>9</v>
      </c>
      <c r="S19" s="40">
        <v>7</v>
      </c>
      <c r="T19" s="40">
        <v>94</v>
      </c>
      <c r="U19" s="40">
        <v>145</v>
      </c>
      <c r="V19" s="40"/>
      <c r="W19" s="81">
        <v>3.55</v>
      </c>
      <c r="X19" s="81">
        <v>7.13</v>
      </c>
      <c r="Y19" s="81">
        <v>44.682000000000002</v>
      </c>
      <c r="Z19" s="81">
        <v>17.660354614257813</v>
      </c>
      <c r="AA19" s="81">
        <v>35.466000000000001</v>
      </c>
      <c r="AB19" s="81">
        <v>17.420999999999999</v>
      </c>
      <c r="AC19" s="81">
        <v>4.3899999999999997</v>
      </c>
    </row>
    <row r="20" spans="1:36">
      <c r="A20" s="40">
        <v>2018</v>
      </c>
      <c r="B20" s="40" t="s">
        <v>162</v>
      </c>
      <c r="C20" s="40" t="s">
        <v>198</v>
      </c>
      <c r="D20" s="84">
        <v>42979</v>
      </c>
      <c r="E20" s="84">
        <v>42988</v>
      </c>
      <c r="F20" s="84">
        <v>43290</v>
      </c>
      <c r="G20" s="40" t="s">
        <v>181</v>
      </c>
      <c r="H20" s="40" t="s">
        <v>123</v>
      </c>
      <c r="I20" s="40">
        <v>1</v>
      </c>
      <c r="J20" s="40">
        <v>10</v>
      </c>
      <c r="K20" s="40"/>
      <c r="L20" s="52" t="s">
        <v>145</v>
      </c>
      <c r="M20" s="40" t="s">
        <v>187</v>
      </c>
      <c r="N20" s="40">
        <v>16.7</v>
      </c>
      <c r="O20" s="40"/>
      <c r="P20" s="40"/>
      <c r="Q20" s="40">
        <v>24.98</v>
      </c>
      <c r="R20" s="40">
        <v>8</v>
      </c>
      <c r="S20" s="40">
        <v>9</v>
      </c>
      <c r="T20" s="40">
        <v>98</v>
      </c>
      <c r="U20" s="40">
        <v>150</v>
      </c>
      <c r="V20" s="40"/>
      <c r="W20" s="81">
        <v>4.0999999999999996</v>
      </c>
      <c r="X20" s="81">
        <v>6.66</v>
      </c>
      <c r="Y20" s="81">
        <v>42.994</v>
      </c>
      <c r="Z20" s="81">
        <v>18.306879043579102</v>
      </c>
      <c r="AA20" s="81">
        <v>35.414999999999999</v>
      </c>
      <c r="AB20" s="81">
        <v>17.053999999999998</v>
      </c>
      <c r="AC20" s="81">
        <v>4.3099999999999996</v>
      </c>
    </row>
    <row r="21" spans="1:36">
      <c r="A21" s="40">
        <v>2018</v>
      </c>
      <c r="B21" s="40" t="s">
        <v>162</v>
      </c>
      <c r="C21" s="40" t="s">
        <v>198</v>
      </c>
      <c r="D21" s="84">
        <v>42979</v>
      </c>
      <c r="E21" s="84">
        <v>42988</v>
      </c>
      <c r="F21" s="84">
        <v>43290</v>
      </c>
      <c r="G21" s="40" t="s">
        <v>182</v>
      </c>
      <c r="H21" s="40" t="s">
        <v>123</v>
      </c>
      <c r="I21" s="40">
        <v>2</v>
      </c>
      <c r="J21" s="40">
        <v>10</v>
      </c>
      <c r="K21" s="40"/>
      <c r="L21" s="52" t="s">
        <v>145</v>
      </c>
      <c r="M21" s="40" t="s">
        <v>187</v>
      </c>
      <c r="N21" s="40">
        <v>16.7</v>
      </c>
      <c r="O21" s="40"/>
      <c r="P21" s="40"/>
      <c r="Q21" s="40">
        <v>23.08</v>
      </c>
      <c r="R21" s="40">
        <v>9</v>
      </c>
      <c r="S21" s="40">
        <v>8</v>
      </c>
      <c r="T21" s="40">
        <v>96</v>
      </c>
      <c r="U21" s="40">
        <v>150</v>
      </c>
      <c r="V21" s="40"/>
      <c r="W21" s="81">
        <v>3.8</v>
      </c>
      <c r="X21" s="81">
        <v>6.95</v>
      </c>
      <c r="Y21" s="81">
        <v>45.238999999999997</v>
      </c>
      <c r="Z21" s="81">
        <v>16.569694519042969</v>
      </c>
      <c r="AA21" s="81">
        <v>33.698999999999998</v>
      </c>
      <c r="AB21" s="81">
        <v>15.048</v>
      </c>
      <c r="AC21" s="81">
        <v>4.1500000000000004</v>
      </c>
    </row>
    <row r="22" spans="1:36">
      <c r="A22" s="40">
        <v>2018</v>
      </c>
      <c r="B22" s="40" t="s">
        <v>162</v>
      </c>
      <c r="C22" s="40" t="s">
        <v>198</v>
      </c>
      <c r="D22" s="84">
        <v>42979</v>
      </c>
      <c r="E22" s="84">
        <v>42988</v>
      </c>
      <c r="F22" s="84">
        <v>43290</v>
      </c>
      <c r="G22" s="40" t="s">
        <v>183</v>
      </c>
      <c r="H22" s="40" t="s">
        <v>123</v>
      </c>
      <c r="I22" s="40">
        <v>1</v>
      </c>
      <c r="J22" s="40">
        <v>11</v>
      </c>
      <c r="K22" s="40"/>
      <c r="L22" s="56" t="s">
        <v>146</v>
      </c>
      <c r="M22" s="40" t="s">
        <v>187</v>
      </c>
      <c r="N22" s="40">
        <v>16.7</v>
      </c>
      <c r="O22" s="40"/>
      <c r="P22" s="40"/>
      <c r="Q22" s="40">
        <v>18.95</v>
      </c>
      <c r="R22" s="40">
        <v>8</v>
      </c>
      <c r="S22" s="40">
        <v>7</v>
      </c>
      <c r="T22" s="40">
        <v>98</v>
      </c>
      <c r="U22" s="40">
        <v>130</v>
      </c>
      <c r="V22" s="40"/>
      <c r="W22" s="81">
        <v>3.15</v>
      </c>
      <c r="X22" s="81">
        <v>7.84</v>
      </c>
      <c r="Y22" s="81">
        <v>42.578000000000003</v>
      </c>
      <c r="Z22" s="81">
        <v>18.39988899230957</v>
      </c>
      <c r="AA22" s="81">
        <v>35.276000000000003</v>
      </c>
      <c r="AB22" s="81">
        <v>12.458</v>
      </c>
      <c r="AC22" s="81">
        <v>4.3499999999999996</v>
      </c>
    </row>
    <row r="23" spans="1:36">
      <c r="A23" s="40">
        <v>2018</v>
      </c>
      <c r="B23" s="40" t="s">
        <v>162</v>
      </c>
      <c r="C23" s="40" t="s">
        <v>198</v>
      </c>
      <c r="D23" s="84">
        <v>42979</v>
      </c>
      <c r="E23" s="84">
        <v>42988</v>
      </c>
      <c r="F23" s="84">
        <v>43290</v>
      </c>
      <c r="G23" s="40" t="s">
        <v>184</v>
      </c>
      <c r="H23" s="40" t="s">
        <v>123</v>
      </c>
      <c r="I23" s="40">
        <v>2</v>
      </c>
      <c r="J23" s="40">
        <v>11</v>
      </c>
      <c r="K23" s="40"/>
      <c r="L23" s="56" t="s">
        <v>146</v>
      </c>
      <c r="M23" s="40" t="s">
        <v>187</v>
      </c>
      <c r="N23" s="40">
        <v>16.7</v>
      </c>
      <c r="O23" s="40"/>
      <c r="P23" s="40"/>
      <c r="Q23" s="40">
        <v>20.11</v>
      </c>
      <c r="R23" s="40">
        <v>7</v>
      </c>
      <c r="S23" s="40">
        <v>7</v>
      </c>
      <c r="T23" s="40">
        <v>96</v>
      </c>
      <c r="U23" s="40">
        <v>140</v>
      </c>
      <c r="V23" s="40"/>
      <c r="W23" s="81">
        <v>3.3</v>
      </c>
      <c r="X23" s="81">
        <v>6.62</v>
      </c>
      <c r="Y23" s="81">
        <v>43.04</v>
      </c>
      <c r="Z23" s="81">
        <v>18.106861114501953</v>
      </c>
      <c r="AA23" s="81">
        <v>35.063000000000002</v>
      </c>
      <c r="AB23" s="81">
        <v>9.468</v>
      </c>
      <c r="AC23" s="81">
        <v>4.6500000000000004</v>
      </c>
    </row>
    <row r="24" spans="1:36">
      <c r="A24" s="40">
        <v>2018</v>
      </c>
      <c r="B24" s="40" t="s">
        <v>162</v>
      </c>
      <c r="C24" s="40" t="s">
        <v>198</v>
      </c>
      <c r="D24" s="84">
        <v>42979</v>
      </c>
      <c r="E24" s="84">
        <v>42988</v>
      </c>
      <c r="F24" s="84">
        <v>43290</v>
      </c>
      <c r="G24" s="40" t="s">
        <v>185</v>
      </c>
      <c r="H24" s="40" t="s">
        <v>123</v>
      </c>
      <c r="I24" s="40">
        <v>1</v>
      </c>
      <c r="J24" s="40">
        <v>12</v>
      </c>
      <c r="K24" s="40"/>
      <c r="L24" s="56" t="s">
        <v>150</v>
      </c>
      <c r="M24" s="40" t="s">
        <v>187</v>
      </c>
      <c r="N24" s="40">
        <v>16.7</v>
      </c>
      <c r="O24" s="40"/>
      <c r="P24" s="40"/>
      <c r="Q24" s="40">
        <v>14.55</v>
      </c>
      <c r="R24" s="40">
        <v>8</v>
      </c>
      <c r="S24" s="40">
        <v>7</v>
      </c>
      <c r="T24" s="40">
        <v>94</v>
      </c>
      <c r="U24" s="40">
        <v>110</v>
      </c>
      <c r="V24" s="40"/>
      <c r="W24" s="81">
        <v>2.4</v>
      </c>
      <c r="X24" s="81">
        <v>7.1</v>
      </c>
      <c r="Y24" s="81">
        <v>43.048000000000002</v>
      </c>
      <c r="Z24" s="81">
        <v>20.115314483642578</v>
      </c>
      <c r="AA24" s="81">
        <v>38.96</v>
      </c>
      <c r="AB24" s="81">
        <v>13.164999999999999</v>
      </c>
      <c r="AC24" s="81">
        <v>4.42</v>
      </c>
    </row>
    <row r="25" spans="1:36">
      <c r="A25" s="40">
        <v>2018</v>
      </c>
      <c r="B25" s="40" t="s">
        <v>162</v>
      </c>
      <c r="C25" s="40" t="s">
        <v>198</v>
      </c>
      <c r="D25" s="84">
        <v>42979</v>
      </c>
      <c r="E25" s="84">
        <v>42988</v>
      </c>
      <c r="F25" s="84">
        <v>43290</v>
      </c>
      <c r="G25" s="40" t="s">
        <v>186</v>
      </c>
      <c r="H25" s="40" t="s">
        <v>123</v>
      </c>
      <c r="I25" s="40">
        <v>2</v>
      </c>
      <c r="J25" s="40">
        <v>12</v>
      </c>
      <c r="K25" s="40"/>
      <c r="L25" s="56" t="s">
        <v>150</v>
      </c>
      <c r="M25" s="40" t="s">
        <v>187</v>
      </c>
      <c r="N25" s="40">
        <v>16.7</v>
      </c>
      <c r="O25" s="40"/>
      <c r="P25" s="40"/>
      <c r="Q25" s="40">
        <v>11.17</v>
      </c>
      <c r="R25" s="40">
        <v>8</v>
      </c>
      <c r="S25" s="40">
        <v>8</v>
      </c>
      <c r="T25" s="40">
        <v>94</v>
      </c>
      <c r="U25" s="40">
        <v>115</v>
      </c>
      <c r="V25" s="40"/>
      <c r="W25" s="81">
        <v>1.85</v>
      </c>
      <c r="X25" s="81">
        <v>7.52</v>
      </c>
      <c r="Y25" s="81">
        <v>42.963000000000001</v>
      </c>
      <c r="Z25" s="81">
        <v>19.499547958374023</v>
      </c>
      <c r="AA25" s="81">
        <v>37.697000000000003</v>
      </c>
      <c r="AB25" s="81">
        <v>12.792</v>
      </c>
      <c r="AC25" s="81">
        <v>4.24</v>
      </c>
    </row>
    <row r="31" spans="1:36">
      <c r="V31" s="86"/>
      <c r="W31" s="86"/>
      <c r="X31" s="86"/>
      <c r="Y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115" t="s">
        <v>79</v>
      </c>
      <c r="B2" s="115"/>
      <c r="C2" s="115"/>
      <c r="D2" s="115"/>
      <c r="E2" s="115"/>
      <c r="F2" s="115"/>
      <c r="G2" s="115"/>
      <c r="H2" s="115"/>
      <c r="I2" s="115"/>
    </row>
    <row r="3" spans="1:9">
      <c r="A3" s="115"/>
      <c r="B3" s="115"/>
      <c r="C3" s="115"/>
      <c r="D3" s="115"/>
      <c r="E3" s="115"/>
      <c r="F3" s="115"/>
      <c r="G3" s="115"/>
      <c r="H3" s="115"/>
      <c r="I3" s="115"/>
    </row>
    <row r="4" spans="1:9">
      <c r="A4" s="115"/>
      <c r="B4" s="115"/>
      <c r="C4" s="115"/>
      <c r="D4" s="115"/>
      <c r="E4" s="115"/>
      <c r="F4" s="115"/>
      <c r="G4" s="115"/>
      <c r="H4" s="115"/>
      <c r="I4" s="115"/>
    </row>
    <row r="5" spans="1:9">
      <c r="A5" s="115"/>
      <c r="B5" s="115"/>
      <c r="C5" s="115"/>
      <c r="D5" s="115"/>
      <c r="E5" s="115"/>
      <c r="F5" s="115"/>
      <c r="G5" s="115"/>
      <c r="H5" s="115"/>
      <c r="I5" s="115"/>
    </row>
    <row r="6" spans="1:9">
      <c r="A6" s="115"/>
      <c r="B6" s="115"/>
      <c r="C6" s="115"/>
      <c r="D6" s="115"/>
      <c r="E6" s="115"/>
      <c r="F6" s="115"/>
      <c r="G6" s="115"/>
      <c r="H6" s="115"/>
      <c r="I6" s="115"/>
    </row>
    <row r="7" spans="1:9">
      <c r="A7" s="115"/>
      <c r="B7" s="115"/>
      <c r="C7" s="115"/>
      <c r="D7" s="115"/>
      <c r="E7" s="115"/>
      <c r="F7" s="115"/>
      <c r="G7" s="115"/>
      <c r="H7" s="115"/>
      <c r="I7" s="115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Erwan Corlouer</cp:lastModifiedBy>
  <cp:lastPrinted>2018-10-23T06:30:16Z</cp:lastPrinted>
  <dcterms:created xsi:type="dcterms:W3CDTF">2018-02-01T08:48:39Z</dcterms:created>
  <dcterms:modified xsi:type="dcterms:W3CDTF">2018-11-27T11:02:28Z</dcterms:modified>
</cp:coreProperties>
</file>