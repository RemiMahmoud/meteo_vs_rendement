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10.xml.rels" ContentType="application/vnd.openxmlformats-package.relationships+xml"/>
  <Override PartName="/xl/worksheets/_rels/sheet13.xml.rels" ContentType="application/vnd.openxmlformats-package.relationships+xml"/>
  <Override PartName="/xl/worksheets/_rels/sheet16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3.vml" ContentType="application/vnd.openxmlformats-officedocument.vmlDrawing"/>
  <Override PartName="/xl/drawings/drawing3.xml" ContentType="application/vnd.openxmlformats-officedocument.drawing+xml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_rels/drawing2.xml.rels" ContentType="application/vnd.openxmlformats-package.relationships+xml"/>
  <Override PartName="/xl/comments7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media/image1.png" ContentType="image/png"/>
  <Override PartName="/xl/media/image2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README" sheetId="1" state="visible" r:id="rId3"/>
    <sheet name="Trial" sheetId="2" state="visible" r:id="rId4"/>
    <sheet name="Site" sheetId="3" state="visible" r:id="rId5"/>
    <sheet name="Contact" sheetId="4" state="visible" r:id="rId6"/>
    <sheet name="Variable" sheetId="5" state="visible" r:id="rId7"/>
    <sheet name="PlantMaterial" sheetId="6" state="visible" r:id="rId8"/>
    <sheet name="Treatment" sheetId="7" state="visible" r:id="rId9"/>
    <sheet name="Level" sheetId="8" state="visible" r:id="rId10"/>
    <sheet name="Data" sheetId="9" state="visible" r:id="rId11"/>
    <sheet name="Files" sheetId="10" state="visible" r:id="rId12"/>
    <sheet name="ForestComplementaryInfo" sheetId="11" state="visible" r:id="rId13"/>
    <sheet name="StaticData" sheetId="12" state="visible" r:id="rId14"/>
    <sheet name="Meteo_Data" sheetId="13" state="visible" r:id="rId15"/>
    <sheet name="Soil_data" sheetId="14" state="visible" r:id="rId16"/>
    <sheet name="INN_Data" sheetId="15" state="visible" r:id="rId17"/>
    <sheet name="Parcellaire_data" sheetId="16" state="visible" r:id="rId18"/>
    <sheet name="ITK_data" sheetId="17" state="visible" r:id="rId19"/>
  </sheets>
  <definedNames>
    <definedName function="false" hidden="true" localSheetId="8" name="_xlnm._FilterDatabase" vbProcedure="false">Data!$A$1:$CM$1</definedName>
    <definedName function="false" hidden="false" name="HoldingInstitution" vbProcedure="false">StaticData!$C$1:$C$21</definedName>
    <definedName function="false" hidden="false" name="InstitutionName" vbProcedure="false">StaticData!$B$1:$B$1457</definedName>
    <definedName function="false" hidden="false" name="ProjectAcronym" vbProcedure="false">StaticData!$D$1:$D$225</definedName>
    <definedName function="false" hidden="false" name="SiteName" vbProcedure="false">StaticData!$E$1:$E$24</definedName>
    <definedName function="false" hidden="false" name="TaxonScientificName" vbProcedure="false">StaticData!$A$1:$A$5470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E68" authorId="0">
      <text>
        <r>
          <rPr>
            <sz val="10"/>
            <rFont val="Arial"/>
            <family val="2"/>
          </rPr>
          <t xml:space="preserve">cpommier:
</t>
        </r>
        <r>
          <rPr>
            <sz val="9"/>
            <color rgb="FF000000"/>
            <rFont val="Tahoma"/>
            <family val="2"/>
            <charset val="1"/>
          </rPr>
          <t xml:space="preserve">Mandatory column which could be empty.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Tyfanie Bourlet</author>
  </authors>
  <commentList>
    <comment ref="B1" authorId="0">
      <text>
        <r>
          <rPr>
            <sz val="10"/>
            <rFont val="Arial"/>
            <family val="2"/>
          </rPr>
          <t xml:space="preserve">Tyfanie Bourlet:
</t>
        </r>
        <r>
          <rPr>
            <sz val="9"/>
            <color rgb="FF000000"/>
            <rFont val="Tahoma"/>
            <family val="2"/>
            <charset val="1"/>
          </rPr>
          <t xml:space="preserve">Mettre les coordonnées GPS http://www.lexilogos.com/calcul_distances.htm)</t>
        </r>
      </text>
    </comment>
    <comment ref="C1" authorId="0">
      <text>
        <r>
          <rPr>
            <sz val="10"/>
            <rFont val="Arial"/>
            <family val="2"/>
          </rPr>
          <t xml:space="preserve">Tyfanie Bourlet:
</t>
        </r>
        <r>
          <rPr>
            <sz val="9"/>
            <color rgb="FF000000"/>
            <rFont val="Tahoma"/>
            <family val="2"/>
            <charset val="1"/>
          </rPr>
          <t xml:space="preserve">Mettre les coordonnées GPS http://www.lexilogos.com/calcul_distances.htm)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Auteur inconnu</author>
  </authors>
  <commentList>
    <comment ref="A1" authorId="0">
      <text>
        <r>
          <rPr>
            <sz val="10"/>
            <rFont val="Arial"/>
            <family val="2"/>
          </rPr>
          <t xml:space="preserve">cpommier:
</t>
        </r>
        <r>
          <rPr>
            <sz val="9"/>
            <color rgb="FF000000"/>
            <rFont val="Tahoma"/>
            <family val="2"/>
            <charset val="1"/>
          </rPr>
          <t xml:space="preserve">Adonis : modalité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Auteur inconnu</author>
    <author>Tyfanie Bourlet</author>
  </authors>
  <commentList>
    <comment ref="A1" authorId="1">
      <text>
        <r>
          <rPr>
            <sz val="10"/>
            <rFont val="Arial"/>
            <family val="2"/>
          </rPr>
          <t xml:space="preserve">Tyfanie Bourlet:
</t>
        </r>
        <r>
          <rPr>
            <sz val="9"/>
            <color rgb="FF000000"/>
            <rFont val="Tahoma"/>
            <family val="2"/>
            <charset val="1"/>
          </rPr>
          <t xml:space="preserve">Mettre les LotNames (RAPSO003,,,,)</t>
        </r>
      </text>
    </comment>
    <comment ref="E1" authorId="0">
      <text>
        <r>
          <rPr>
            <sz val="10"/>
            <rFont val="Arial"/>
            <family val="2"/>
          </rPr>
          <t xml:space="preserve">cpommier:
</t>
        </r>
        <r>
          <rPr>
            <sz val="9"/>
            <color rgb="FF000000"/>
            <rFont val="Tahoma"/>
            <family val="2"/>
            <charset val="1"/>
          </rPr>
          <t xml:space="preserve">Mandatory column which could be empty.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Tyfanie Bourlet</author>
  </authors>
  <commentList>
    <comment ref="A1" authorId="0">
      <text>
        <r>
          <rPr>
            <sz val="10"/>
            <rFont val="Arial"/>
            <family val="2"/>
          </rPr>
          <t xml:space="preserve">Tyfanie Bourlet:
</t>
        </r>
        <r>
          <rPr>
            <sz val="9"/>
            <color rgb="FF000000"/>
            <rFont val="Tahoma"/>
            <family val="2"/>
            <charset val="1"/>
          </rPr>
          <t xml:space="preserve">Insérer les fichiers comme : 
ITK, INN, Dispositif expérimental, Météo, Tensiométrie</t>
        </r>
      </text>
    </comment>
  </commentList>
</comments>
</file>

<file path=xl/sharedStrings.xml><?xml version="1.0" encoding="utf-8"?>
<sst xmlns="http://schemas.openxmlformats.org/spreadsheetml/2006/main" count="16804" uniqueCount="8051">
  <si>
    <t xml:space="preserve">GnpISVersionNumber</t>
  </si>
  <si>
    <t xml:space="preserve">14_1</t>
  </si>
  <si>
    <t xml:space="preserve">StaticDataExtraction</t>
  </si>
  <si>
    <t xml:space="preserve">SubmissionType</t>
  </si>
  <si>
    <t xml:space="preserve">Ephesis</t>
  </si>
  <si>
    <t xml:space="preserve">This worksheet is used for submit phenotyping data.</t>
  </si>
  <si>
    <t xml:space="preserve">SUBMIT NOTE</t>
  </si>
  <si>
    <r>
      <rPr>
        <b val="true"/>
        <sz val="10"/>
        <color rgb="FFFF0000"/>
        <rFont val="Arial"/>
        <family val="2"/>
        <charset val="1"/>
      </rPr>
      <t xml:space="preserve">RED</t>
    </r>
    <r>
      <rPr>
        <sz val="10"/>
        <rFont val="Arial"/>
        <family val="2"/>
        <charset val="1"/>
      </rPr>
      <t xml:space="preserve"> names indicate </t>
    </r>
    <r>
      <rPr>
        <b val="true"/>
        <sz val="10"/>
        <rFont val="Arial"/>
        <family val="2"/>
        <charset val="1"/>
      </rPr>
      <t xml:space="preserve"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</si>
  <si>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rPr>
        <b val="true"/>
        <sz val="10"/>
        <rFont val="Arial"/>
        <family val="2"/>
        <charset val="1"/>
      </rPr>
      <t xml:space="preserve">BLACK</t>
    </r>
    <r>
      <rPr>
        <sz val="10"/>
        <rFont val="Arial"/>
        <family val="2"/>
        <charset val="1"/>
      </rPr>
      <t xml:space="preserve"> names indicate </t>
    </r>
    <r>
      <rPr>
        <b val="true"/>
        <sz val="10"/>
        <rFont val="Arial"/>
        <family val="2"/>
        <charset val="1"/>
      </rPr>
      <t xml:space="preserve"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</si>
  <si>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rPr>
        <b val="true"/>
        <sz val="10"/>
        <color rgb="FF0000FF"/>
        <rFont val="Arial"/>
        <family val="2"/>
        <charset val="1"/>
      </rPr>
      <t xml:space="preserve">BLUE</t>
    </r>
    <r>
      <rPr>
        <sz val="10"/>
        <color rgb="FF00CCFF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names indicate</t>
    </r>
    <r>
      <rPr>
        <b val="true"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 xml:space="preserve">for submission. Column can be empty but must not be deleted.</t>
    </r>
  </si>
  <si>
    <t xml:space="preserve">DOCUMENTATION</t>
  </si>
  <si>
    <t xml:space="preserve">TRIAL</t>
  </si>
  <si>
    <t xml:space="preserve">General information on the trial</t>
  </si>
  <si>
    <t xml:space="preserve">TrialName</t>
  </si>
  <si>
    <t xml:space="preserve">TrialCode</t>
  </si>
  <si>
    <t xml:space="preserve">DateBegin</t>
  </si>
  <si>
    <t xml:space="preserve">DateEnd</t>
  </si>
  <si>
    <t xml:space="preserve">TrialGoal</t>
  </si>
  <si>
    <t xml:space="preserve">TrialComments</t>
  </si>
  <si>
    <t xml:space="preserve">PhenotypingCampain</t>
  </si>
  <si>
    <t xml:space="preserve">PMID</t>
  </si>
  <si>
    <t xml:space="preserve">X</t>
  </si>
  <si>
    <t xml:space="preserve">Y</t>
  </si>
  <si>
    <t xml:space="preserve">PreviousCrop</t>
  </si>
  <si>
    <t xml:space="preserve">TrialDesign</t>
  </si>
  <si>
    <t xml:space="preserve">TrialHistory</t>
  </si>
  <si>
    <t xml:space="preserve">ProjectAcronym</t>
  </si>
  <si>
    <t xml:space="preserve">TrialSet</t>
  </si>
  <si>
    <t xml:space="preserve">TrialSetType</t>
  </si>
  <si>
    <t xml:space="preserve">Description</t>
  </si>
  <si>
    <t xml:space="preserve">Free naming of the trial/assay</t>
  </si>
  <si>
    <t xml:space="preserve">Trial identification. Used for data integrity and update so must be unique</t>
  </si>
  <si>
    <t xml:space="preserve">Beginning date of this trial</t>
  </si>
  <si>
    <t xml:space="preserve">End date of this trial</t>
  </si>
  <si>
    <t xml:space="preserve">The main objectives of this experimentation</t>
  </si>
  <si>
    <t xml:space="preserve">Comments on this trial</t>
  </si>
  <si>
    <t xml:space="preserve">Name/Tag of a group of observations within the Trial. For instance all 2012 observations for a multiannual perenial plant trial.</t>
  </si>
  <si>
    <t xml:space="preserve">Comma separated list of publication's PMID.</t>
  </si>
  <si>
    <r>
      <rPr>
        <sz val="10"/>
        <rFont val="Arial"/>
        <family val="2"/>
        <charset val="1"/>
      </rPr>
      <t xml:space="preserve">Description of the </t>
    </r>
    <r>
      <rPr>
        <b val="true"/>
        <sz val="10"/>
        <rFont val="Arial"/>
        <family val="2"/>
        <charset val="1"/>
      </rPr>
      <t xml:space="preserve">X</t>
    </r>
    <r>
      <rPr>
        <sz val="10"/>
        <rFont val="Arial"/>
        <family val="2"/>
        <charset val="1"/>
      </rPr>
      <t xml:space="preserve"> of the</t>
    </r>
    <r>
      <rPr>
        <b val="true"/>
        <sz val="10"/>
        <rFont val="Arial"/>
        <family val="2"/>
        <charset val="1"/>
      </rPr>
      <t xml:space="preserve"> Data sheet</t>
    </r>
  </si>
  <si>
    <r>
      <rPr>
        <sz val="10"/>
        <rFont val="Arial"/>
        <family val="2"/>
        <charset val="1"/>
      </rPr>
      <t xml:space="preserve">Description of the</t>
    </r>
    <r>
      <rPr>
        <b val="true"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 val="true"/>
        <sz val="10"/>
        <rFont val="Arial"/>
        <family val="2"/>
        <charset val="1"/>
      </rPr>
      <t xml:space="preserve">Data sheet</t>
    </r>
  </si>
  <si>
    <t xml:space="preserve">Crop installed on this site before this trial</t>
  </si>
  <si>
    <t xml:space="preserve">Design of the trial</t>
  </si>
  <si>
    <t xml:space="preserve">Identification of previous contacts and/or owners</t>
  </si>
  <si>
    <t xml:space="preserve">Acronym of the project in which the experiment was made</t>
  </si>
  <si>
    <t xml:space="preserve">Name of the trial group</t>
  </si>
  <si>
    <t xml:space="preserve">Type of the trial group</t>
  </si>
  <si>
    <t xml:space="preserve">Example</t>
  </si>
  <si>
    <t xml:space="preserve">mon test</t>
  </si>
  <si>
    <t xml:space="preserve">MON_TEST</t>
  </si>
  <si>
    <t xml:space="preserve">22/03/2013</t>
  </si>
  <si>
    <t xml:space="preserve">2014</t>
  </si>
  <si>
    <t xml:space="preserve">Diversity analysis</t>
  </si>
  <si>
    <t xml:space="preserve">Essai test</t>
  </si>
  <si>
    <t xml:space="preserve">15608279,2052071</t>
  </si>
  <si>
    <t xml:space="preserve">row</t>
  </si>
  <si>
    <t xml:space="preserve">column</t>
  </si>
  <si>
    <t xml:space="preserve">Come from BORDEAUX (Louvet)</t>
  </si>
  <si>
    <t xml:space="preserve">myGroup</t>
  </si>
  <si>
    <t xml:space="preserve">Replication</t>
  </si>
  <si>
    <t xml:space="preserve">Data type</t>
  </si>
  <si>
    <t xml:space="preserve">String</t>
  </si>
  <si>
    <t xml:space="preserve">Date: dd/mm/yyyy
Date: mm/yyyy
Date: yyyy</t>
  </si>
  <si>
    <t xml:space="preserve">Number</t>
  </si>
  <si>
    <t xml:space="preserve">SITE</t>
  </si>
  <si>
    <t xml:space="preserve">General information on the experimental site</t>
  </si>
  <si>
    <t xml:space="preserve">SiteName</t>
  </si>
  <si>
    <t xml:space="preserve">Latitude</t>
  </si>
  <si>
    <t xml:space="preserve">Longitude</t>
  </si>
  <si>
    <t xml:space="preserve">Elevation</t>
  </si>
  <si>
    <t xml:space="preserve">Exposure</t>
  </si>
  <si>
    <t xml:space="preserve">Slope</t>
  </si>
  <si>
    <t xml:space="preserve">CityOrRegionOrCountry</t>
  </si>
  <si>
    <t xml:space="preserve">SiteStatus</t>
  </si>
  <si>
    <t xml:space="preserve">Landowner</t>
  </si>
  <si>
    <t xml:space="preserve">Comment</t>
  </si>
  <si>
    <t xml:space="preserve">MeteoStationCode</t>
  </si>
  <si>
    <t xml:space="preserve">MeteoStationNetwork</t>
  </si>
  <si>
    <t xml:space="preserve">Name of the experimental site (Plateform name, Field identification, etc…)</t>
  </si>
  <si>
    <t xml:space="preserve">Latitude of the experimental site (GPS).
Use decimal version of the coordinate (cf. http://www.lexilogos.com/calcul_distances.htm)</t>
  </si>
  <si>
    <t xml:space="preserve">Longitude of the experimental site (GPS).
Use decimal version of the coordinate (cf. http://www.lexilogos.com/calcul_distances.htm)</t>
  </si>
  <si>
    <t xml:space="preserve">Altitude of the experimental site</t>
  </si>
  <si>
    <t xml:space="preserve">Principal exposure of the experimental site</t>
  </si>
  <si>
    <t xml:space="preserve">Principal type of the slope of the experimental site</t>
  </si>
  <si>
    <t xml:space="preserve">Nearest city, region or country from the experimental site</t>
  </si>
  <si>
    <t xml:space="preserve">Property status of the experimental site</t>
  </si>
  <si>
    <t xml:space="preserve">Landowner of the experimental site</t>
  </si>
  <si>
    <t xml:space="preserve">Comment about the experimental site</t>
  </si>
  <si>
    <t xml:space="preserve">Code of the meteo station</t>
  </si>
  <si>
    <t xml:space="preserve">Name of the meteo station network</t>
  </si>
  <si>
    <t xml:space="preserve">Examples</t>
  </si>
  <si>
    <t xml:space="preserve">Bordeaux</t>
  </si>
  <si>
    <t xml:space="preserve">FRA</t>
  </si>
  <si>
    <t xml:space="preserve">S</t>
  </si>
  <si>
    <t xml:space="preserve">Forêt domaniale</t>
  </si>
  <si>
    <t xml:space="preserve">P (= Private property)
I (= INRA)
S (= Under a specific regime)</t>
  </si>
  <si>
    <t xml:space="preserve">CONTACT</t>
  </si>
  <si>
    <t xml:space="preserve">List of persons involved in this trial (scientific, submiter, landowner…)</t>
  </si>
  <si>
    <t xml:space="preserve">Type</t>
  </si>
  <si>
    <t xml:space="preserve">LastName</t>
  </si>
  <si>
    <t xml:space="preserve">FirstName</t>
  </si>
  <si>
    <t xml:space="preserve">Phone</t>
  </si>
  <si>
    <t xml:space="preserve">Fax</t>
  </si>
  <si>
    <t xml:space="preserve">Email</t>
  </si>
  <si>
    <t xml:space="preserve">Institution</t>
  </si>
  <si>
    <t xml:space="preserve">Laboratory</t>
  </si>
  <si>
    <t xml:space="preserve">Type of the contact.</t>
  </si>
  <si>
    <t xml:space="preserve">Contact name, in upper case.</t>
  </si>
  <si>
    <t xml:space="preserve">Contact first name, first letter in upper case.</t>
  </si>
  <si>
    <t xml:space="preserve">Following international phone number convention.</t>
  </si>
  <si>
    <t xml:space="preserve">Following international fax number convention</t>
  </si>
  <si>
    <t xml:space="preserve">Electronic mail.</t>
  </si>
  <si>
    <t xml:space="preserve">Institution name.</t>
  </si>
  <si>
    <t xml:space="preserve">Laboratory name.</t>
  </si>
  <si>
    <t xml:space="preserve">Submiter</t>
  </si>
  <si>
    <t xml:space="preserve">DUPOND</t>
  </si>
  <si>
    <t xml:space="preserve">Jacques</t>
  </si>
  <si>
    <t xml:space="preserve">+33 (0) 1 30 83 38 99</t>
  </si>
  <si>
    <t xml:space="preserve">+33 (0) 1 30 83 38 90</t>
  </si>
  <si>
    <t xml:space="preserve">jacques.dupond@email.com</t>
  </si>
  <si>
    <t xml:space="preserve">INRA</t>
  </si>
  <si>
    <t xml:space="preserve">URGI</t>
  </si>
  <si>
    <t xml:space="preserve">Phone number</t>
  </si>
  <si>
    <t xml:space="preserve">Fax number</t>
  </si>
  <si>
    <t xml:space="preserve">VARIABLE</t>
  </si>
  <si>
    <t xml:space="preserve">List of variables observed in this trial. Idealy they are part of a well identified ontology.</t>
  </si>
  <si>
    <t xml:space="preserve">Each variable is reused as a column in the Data sheet.</t>
  </si>
  <si>
    <t xml:space="preserve">OntologyName</t>
  </si>
  <si>
    <t xml:space="preserve">VariableCode</t>
  </si>
  <si>
    <t xml:space="preserve">VariableName</t>
  </si>
  <si>
    <t xml:space="preserve">MeasurmentUnit</t>
  </si>
  <si>
    <t xml:space="preserve">MeasurmentProtocol</t>
  </si>
  <si>
    <t xml:space="preserve">ParentVariable</t>
  </si>
  <si>
    <t xml:space="preserve">Full name of the ontology holding this variable</t>
  </si>
  <si>
    <r>
      <rPr>
        <sz val="10"/>
        <rFont val="Arial"/>
        <family val="2"/>
        <charset val="1"/>
      </rPr>
      <t xml:space="preserve">Identification of the variable. Unique within the ontology declared in O</t>
    </r>
    <r>
      <rPr>
        <b val="true"/>
        <sz val="10"/>
        <rFont val="Arial"/>
        <family val="2"/>
        <charset val="1"/>
      </rPr>
      <t xml:space="preserve">ntologyName</t>
    </r>
    <r>
      <rPr>
        <sz val="10"/>
        <rFont val="Arial"/>
        <family val="2"/>
        <charset val="1"/>
      </rPr>
      <t xml:space="preserve">. This code is used as header in the </t>
    </r>
    <r>
      <rPr>
        <b val="true"/>
        <sz val="10"/>
        <rFont val="Arial"/>
        <family val="2"/>
        <charset val="1"/>
      </rPr>
      <t xml:space="preserve">Data sheet</t>
    </r>
  </si>
  <si>
    <t xml:space="preserve">Name of the variable</t>
  </si>
  <si>
    <t xml:space="preserve">Full description of the variable</t>
  </si>
  <si>
    <t xml:space="preserve">Unit of the mesured variable</t>
  </si>
  <si>
    <t xml:space="preserve">Reference measurment protocol of the variable</t>
  </si>
  <si>
    <r>
      <rPr>
        <b val="true"/>
        <sz val="10"/>
        <rFont val="Arial"/>
        <family val="2"/>
        <charset val="1"/>
      </rPr>
      <t xml:space="preserve">VariableCode</t>
    </r>
    <r>
      <rPr>
        <sz val="10"/>
        <rFont val="Arial"/>
        <family val="2"/>
        <charset val="1"/>
      </rPr>
      <t xml:space="preserve"> of this variable's parent</t>
    </r>
  </si>
  <si>
    <t xml:space="preserve">Comments on the variable</t>
  </si>
  <si>
    <t xml:space="preserve">trait ontology</t>
  </si>
  <si>
    <t xml:space="preserve">haut</t>
  </si>
  <si>
    <t xml:space="preserve">hauteur</t>
  </si>
  <si>
    <t xml:space="preserve">cm</t>
  </si>
  <si>
    <t xml:space="preserve">PLANT MATERIAL</t>
  </si>
  <si>
    <t xml:space="preserve">List of genotypes. Should be preexisting in GnpIS. If not sure contact us.</t>
  </si>
  <si>
    <t xml:space="preserve">TaxonScientificName</t>
  </si>
  <si>
    <t xml:space="preserve">AccessionNumber</t>
  </si>
  <si>
    <t xml:space="preserve">AccessionName</t>
  </si>
  <si>
    <t xml:space="preserve">HoldingInstitution</t>
  </si>
  <si>
    <t xml:space="preserve">LotName</t>
  </si>
  <si>
    <t xml:space="preserve">Scientific name of the taxon</t>
  </si>
  <si>
    <t xml:space="preserve">Unique identification of the accession/genotype</t>
  </si>
  <si>
    <t xml:space="preserve">Full name of the accession</t>
  </si>
  <si>
    <t xml:space="preserve">Institution holding this accession</t>
  </si>
  <si>
    <r>
      <rPr>
        <sz val="10"/>
        <rFont val="Arial"/>
        <family val="2"/>
        <charset val="1"/>
      </rPr>
      <t xml:space="preserve">Identification of the physical plant(s) used in the trial : seeds, tree, ….
Used in the first column of the </t>
    </r>
    <r>
      <rPr>
        <b val="true"/>
        <sz val="10"/>
        <rFont val="Arial"/>
        <family val="2"/>
        <charset val="1"/>
      </rPr>
      <t xml:space="preserve">Data sheet</t>
    </r>
  </si>
  <si>
    <t xml:space="preserve">Triticum aestivum</t>
  </si>
  <si>
    <t xml:space="preserve">274Col49</t>
  </si>
  <si>
    <t xml:space="preserve">chargeur</t>
  </si>
  <si>
    <t xml:space="preserve">ch</t>
  </si>
  <si>
    <t xml:space="preserve">TREATMENT</t>
  </si>
  <si>
    <t xml:space="preserve">List of factor and modalities used in this trial. Treatments are  combination of modalities.</t>
  </si>
  <si>
    <t xml:space="preserve">Each factor is reused as a column in the Data sheet. The modalities of each factor are the authorised value for this factor/column.</t>
  </si>
  <si>
    <t xml:space="preserve">Factor</t>
  </si>
  <si>
    <t xml:space="preserve">ModeCode</t>
  </si>
  <si>
    <t xml:space="preserve">ModeName</t>
  </si>
  <si>
    <t xml:space="preserve">ModeDescription</t>
  </si>
  <si>
    <r>
      <rPr>
        <sz val="10"/>
        <rFont val="Arial"/>
        <family val="2"/>
        <charset val="1"/>
      </rPr>
      <t xml:space="preserve">Name of the factor.
This name is used as header in the </t>
    </r>
    <r>
      <rPr>
        <b val="true"/>
        <sz val="10"/>
        <rFont val="Arial"/>
        <family val="2"/>
        <charset val="1"/>
      </rPr>
      <t xml:space="preserve">Data sheet</t>
    </r>
  </si>
  <si>
    <t xml:space="preserve">Unique identifier of the modality.
This code is used as value in the Data sheet factor's column</t>
  </si>
  <si>
    <t xml:space="preserve">Full name of the modality</t>
  </si>
  <si>
    <t xml:space="preserve">Full description of the modality, possibly with a short description of its caracteristics like phenologic stade for a given treatment</t>
  </si>
  <si>
    <t xml:space="preserve">engrais</t>
  </si>
  <si>
    <t xml:space="preserve">N0</t>
  </si>
  <si>
    <t xml:space="preserve">azote 0</t>
  </si>
  <si>
    <t xml:space="preserve">ajout de 0 kilog/hectar de produitA a x concentration tous les mois.</t>
  </si>
  <si>
    <t xml:space="preserve">LEVEL</t>
  </si>
  <si>
    <t xml:space="preserve">Structure of the trial, for instance bloc &gt; plot &gt; plant. Can be empty if you want to store only genotype x factor data and no plot data. </t>
  </si>
  <si>
    <t xml:space="preserve">Each level is reused as a column in the Data sheet.</t>
  </si>
  <si>
    <t xml:space="preserve">Code</t>
  </si>
  <si>
    <t xml:space="preserve">Name</t>
  </si>
  <si>
    <t xml:space="preserve">ParentLevel</t>
  </si>
  <si>
    <r>
      <rPr>
        <sz val="10"/>
        <rFont val="Arial"/>
        <family val="2"/>
        <charset val="1"/>
      </rPr>
      <t xml:space="preserve">Unique identification of the level (plot, bloc, plant, …) within the trial.
This code is used as header in the </t>
    </r>
    <r>
      <rPr>
        <b val="true"/>
        <sz val="10"/>
        <rFont val="Arial"/>
        <family val="2"/>
        <charset val="1"/>
      </rPr>
      <t xml:space="preserve">Data sheet</t>
    </r>
  </si>
  <si>
    <t xml:space="preserve">Full name of the level</t>
  </si>
  <si>
    <t xml:space="preserve">Description of the level</t>
  </si>
  <si>
    <r>
      <rPr>
        <b val="true"/>
        <sz val="10"/>
        <rFont val="Arial"/>
        <family val="2"/>
        <charset val="1"/>
      </rPr>
      <t xml:space="preserve"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</si>
  <si>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 xml:space="preserve">Rep</t>
  </si>
  <si>
    <t xml:space="preserve">Repetition</t>
  </si>
  <si>
    <t xml:space="preserve">Bloc</t>
  </si>
  <si>
    <t xml:space="preserve">DATA</t>
  </si>
  <si>
    <t xml:space="preserve">Data matrix: hold any type of observation (phenotype, env, etc…)</t>
  </si>
  <si>
    <t xml:space="preserve">&lt;factors&gt;</t>
  </si>
  <si>
    <t xml:space="preserve">&lt;levels&gt;</t>
  </si>
  <si>
    <t xml:space="preserve">X(m)</t>
  </si>
  <si>
    <t xml:space="preserve">Y(m)</t>
  </si>
  <si>
    <t xml:space="preserve">&lt;variables&gt;_value</t>
  </si>
  <si>
    <t xml:space="preserve">&lt;variables&gt;_date</t>
  </si>
  <si>
    <r>
      <rPr>
        <sz val="10"/>
        <rFont val="Arial"/>
        <family val="2"/>
        <charset val="1"/>
      </rPr>
      <t xml:space="preserve">Identification of the genotype of the observed object.
Must be found in the </t>
    </r>
    <r>
      <rPr>
        <b val="true"/>
        <sz val="10"/>
        <rFont val="Arial"/>
        <family val="2"/>
        <charset val="1"/>
      </rPr>
      <t xml:space="preserve">VarietalList sheet</t>
    </r>
  </si>
  <si>
    <r>
      <rPr>
        <i val="true"/>
        <u val="single"/>
        <sz val="10"/>
        <rFont val="Arial"/>
        <family val="2"/>
        <charset val="1"/>
      </rPr>
      <t xml:space="preserve">headers:</t>
    </r>
    <r>
      <rPr>
        <sz val="10"/>
        <rFont val="Arial"/>
        <family val="2"/>
        <charset val="1"/>
      </rPr>
      <t xml:space="preserve"> all </t>
    </r>
    <r>
      <rPr>
        <b val="true"/>
        <sz val="10"/>
        <rFont val="Arial"/>
        <family val="2"/>
        <charset val="1"/>
      </rPr>
      <t xml:space="preserve">factors</t>
    </r>
    <r>
      <rPr>
        <sz val="10"/>
        <rFont val="Arial"/>
        <family val="2"/>
        <charset val="1"/>
      </rPr>
      <t xml:space="preserve"> declared in the </t>
    </r>
    <r>
      <rPr>
        <b val="true"/>
        <sz val="10"/>
        <rFont val="Arial"/>
        <family val="2"/>
        <charset val="1"/>
      </rPr>
      <t xml:space="preserve">Treatments sheet</t>
    </r>
  </si>
  <si>
    <r>
      <rPr>
        <i val="true"/>
        <u val="single"/>
        <sz val="10"/>
        <rFont val="Arial"/>
        <family val="2"/>
        <charset val="1"/>
      </rPr>
      <t xml:space="preserve">headers:</t>
    </r>
    <r>
      <rPr>
        <sz val="10"/>
        <rFont val="Arial"/>
        <family val="2"/>
        <charset val="1"/>
      </rPr>
      <t xml:space="preserve"> all </t>
    </r>
    <r>
      <rPr>
        <b val="true"/>
        <sz val="10"/>
        <rFont val="Arial"/>
        <family val="2"/>
        <charset val="1"/>
      </rPr>
      <t xml:space="preserve">levels</t>
    </r>
    <r>
      <rPr>
        <sz val="10"/>
        <rFont val="Arial"/>
        <family val="2"/>
        <charset val="1"/>
      </rPr>
      <t xml:space="preserve"> declared in the </t>
    </r>
    <r>
      <rPr>
        <b val="true"/>
        <sz val="10"/>
        <rFont val="Arial"/>
        <family val="2"/>
        <charset val="1"/>
      </rPr>
      <t xml:space="preserve">StudySubjectLevels sheet</t>
    </r>
  </si>
  <si>
    <t xml:space="preserve">X position of the observed object</t>
  </si>
  <si>
    <t xml:space="preserve">Y position of the observed object</t>
  </si>
  <si>
    <t xml:space="preserve">X position of the observed object in meters</t>
  </si>
  <si>
    <t xml:space="preserve">Y position of the observed object in meters</t>
  </si>
  <si>
    <r>
      <rPr>
        <i val="true"/>
        <u val="single"/>
        <sz val="10"/>
        <rFont val="Arial"/>
        <family val="2"/>
        <charset val="1"/>
      </rPr>
      <t xml:space="preserve">headers:</t>
    </r>
    <r>
      <rPr>
        <sz val="10"/>
        <rFont val="Arial"/>
        <family val="2"/>
        <charset val="1"/>
      </rPr>
      <t xml:space="preserve"> all </t>
    </r>
    <r>
      <rPr>
        <b val="true"/>
        <sz val="10"/>
        <rFont val="Arial"/>
        <family val="2"/>
        <charset val="1"/>
      </rPr>
      <t xml:space="preserve">variables</t>
    </r>
    <r>
      <rPr>
        <sz val="10"/>
        <rFont val="Arial"/>
        <family val="2"/>
        <charset val="1"/>
      </rPr>
      <t xml:space="preserve"> declared in the </t>
    </r>
    <r>
      <rPr>
        <b val="true"/>
        <sz val="10"/>
        <rFont val="Arial"/>
        <family val="2"/>
        <charset val="1"/>
      </rPr>
      <t xml:space="preserve">Variables sheet</t>
    </r>
  </si>
  <si>
    <r>
      <rPr>
        <i val="true"/>
        <u val="single"/>
        <sz val="10"/>
        <rFont val="Arial"/>
        <family val="2"/>
        <charset val="1"/>
      </rPr>
      <t xml:space="preserve">values</t>
    </r>
    <r>
      <rPr>
        <i val="true"/>
        <sz val="10"/>
        <rFont val="Arial"/>
        <family val="2"/>
        <charset val="1"/>
      </rPr>
      <t xml:space="preserve">:</t>
    </r>
    <r>
      <rPr>
        <sz val="10"/>
        <rFont val="Arial"/>
        <family val="2"/>
        <charset val="1"/>
      </rPr>
      <t xml:space="preserve"> all </t>
    </r>
    <r>
      <rPr>
        <b val="true"/>
        <sz val="10"/>
        <rFont val="Arial"/>
        <family val="2"/>
        <charset val="1"/>
      </rPr>
      <t xml:space="preserve">mode_code</t>
    </r>
    <r>
      <rPr>
        <sz val="10"/>
        <rFont val="Arial"/>
        <family val="2"/>
        <charset val="1"/>
      </rPr>
      <t xml:space="preserve"> declared in the </t>
    </r>
    <r>
      <rPr>
        <b val="true"/>
        <sz val="10"/>
        <rFont val="Arial"/>
        <family val="2"/>
        <charset val="1"/>
      </rPr>
      <t xml:space="preserve">Treatment sheet</t>
    </r>
  </si>
  <si>
    <r>
      <rPr>
        <i val="true"/>
        <u val="single"/>
        <sz val="10"/>
        <rFont val="Arial"/>
        <family val="2"/>
        <charset val="1"/>
      </rPr>
      <t xml:space="preserve">values</t>
    </r>
    <r>
      <rPr>
        <i val="true"/>
        <sz val="10"/>
        <rFont val="Arial"/>
        <family val="2"/>
        <charset val="1"/>
      </rPr>
      <t xml:space="preserve">:</t>
    </r>
    <r>
      <rPr>
        <sz val="10"/>
        <rFont val="Arial"/>
        <family val="2"/>
        <charset val="1"/>
      </rPr>
      <t xml:space="preserve"> levels identifiers</t>
    </r>
  </si>
  <si>
    <r>
      <rPr>
        <i val="true"/>
        <u val="single"/>
        <sz val="10"/>
        <rFont val="Arial"/>
        <family val="2"/>
        <charset val="1"/>
      </rPr>
      <t xml:space="preserve">values</t>
    </r>
    <r>
      <rPr>
        <i val="true"/>
        <sz val="10"/>
        <rFont val="Arial"/>
        <family val="2"/>
        <charset val="1"/>
      </rPr>
      <t xml:space="preserve">:</t>
    </r>
    <r>
      <rPr>
        <sz val="10"/>
        <rFont val="Arial"/>
        <family val="2"/>
        <charset val="1"/>
      </rPr>
      <t xml:space="preserve"> value of the variable for the observed object</t>
    </r>
  </si>
  <si>
    <r>
      <rPr>
        <i val="true"/>
        <u val="single"/>
        <sz val="10"/>
        <rFont val="Arial"/>
        <family val="2"/>
        <charset val="1"/>
      </rPr>
      <t xml:space="preserve">values</t>
    </r>
    <r>
      <rPr>
        <i val="true"/>
        <sz val="10"/>
        <rFont val="Arial"/>
        <family val="2"/>
        <charset val="1"/>
      </rPr>
      <t xml:space="preserve">:</t>
    </r>
    <r>
      <rPr>
        <sz val="10"/>
        <rFont val="Arial"/>
        <family val="2"/>
        <charset val="1"/>
      </rPr>
      <t xml:space="preserve"> observation date of the variable</t>
    </r>
  </si>
  <si>
    <r>
      <rPr>
        <i val="true"/>
        <u val="single"/>
        <sz val="10"/>
        <rFont val="Arial"/>
        <family val="2"/>
        <charset val="1"/>
      </rPr>
      <t xml:space="preserve">header</t>
    </r>
    <r>
      <rPr>
        <sz val="10"/>
        <rFont val="Arial"/>
        <family val="2"/>
        <charset val="1"/>
      </rPr>
      <t xml:space="preserve">: engrais
</t>
    </r>
    <r>
      <rPr>
        <i val="true"/>
        <sz val="10"/>
        <rFont val="Arial"/>
        <family val="2"/>
        <charset val="1"/>
      </rPr>
      <t xml:space="preserve">value:</t>
    </r>
    <r>
      <rPr>
        <sz val="10"/>
        <rFont val="Arial"/>
        <family val="2"/>
        <charset val="1"/>
      </rPr>
      <t xml:space="preserve"> N0</t>
    </r>
  </si>
  <si>
    <r>
      <rPr>
        <i val="true"/>
        <u val="single"/>
        <sz val="10"/>
        <rFont val="Arial"/>
        <family val="2"/>
        <charset val="1"/>
      </rPr>
      <t xml:space="preserve">header</t>
    </r>
    <r>
      <rPr>
        <sz val="10"/>
        <rFont val="Arial"/>
        <family val="2"/>
        <charset val="1"/>
      </rPr>
      <t xml:space="preserve">: bloc
</t>
    </r>
    <r>
      <rPr>
        <i val="true"/>
        <sz val="10"/>
        <rFont val="Arial"/>
        <family val="2"/>
        <charset val="1"/>
      </rPr>
      <t xml:space="preserve">value:</t>
    </r>
    <r>
      <rPr>
        <sz val="10"/>
        <rFont val="Arial"/>
        <family val="2"/>
        <charset val="1"/>
      </rPr>
      <t xml:space="preserve"> bloc1</t>
    </r>
  </si>
  <si>
    <r>
      <rPr>
        <i val="true"/>
        <u val="single"/>
        <sz val="10"/>
        <rFont val="Arial"/>
        <family val="2"/>
        <charset val="1"/>
      </rPr>
      <t xml:space="preserve">header</t>
    </r>
    <r>
      <rPr>
        <sz val="10"/>
        <rFont val="Arial"/>
        <family val="2"/>
        <charset val="1"/>
      </rPr>
      <t xml:space="preserve">: haut_value
</t>
    </r>
    <r>
      <rPr>
        <i val="true"/>
        <sz val="10"/>
        <rFont val="Arial"/>
        <family val="2"/>
        <charset val="1"/>
      </rPr>
      <t xml:space="preserve">value:</t>
    </r>
    <r>
      <rPr>
        <sz val="10"/>
        <rFont val="Arial"/>
        <family val="2"/>
        <charset val="1"/>
      </rPr>
      <t xml:space="preserve"> 15</t>
    </r>
  </si>
  <si>
    <r>
      <rPr>
        <i val="true"/>
        <u val="single"/>
        <sz val="10"/>
        <rFont val="Arial"/>
        <family val="2"/>
        <charset val="1"/>
      </rPr>
      <t xml:space="preserve">header</t>
    </r>
    <r>
      <rPr>
        <sz val="10"/>
        <rFont val="Arial"/>
        <family val="2"/>
        <charset val="1"/>
      </rPr>
      <t xml:space="preserve">: haut_date
</t>
    </r>
    <r>
      <rPr>
        <i val="true"/>
        <sz val="10"/>
        <rFont val="Arial"/>
        <family val="2"/>
        <charset val="1"/>
      </rPr>
      <t xml:space="preserve">value:</t>
    </r>
    <r>
      <rPr>
        <sz val="10"/>
        <rFont val="Arial"/>
        <family val="2"/>
        <charset val="1"/>
      </rPr>
      <t xml:space="preserve"> </t>
    </r>
  </si>
  <si>
    <t xml:space="preserve">String or Number</t>
  </si>
  <si>
    <t xml:space="preserve">Date</t>
  </si>
  <si>
    <t xml:space="preserve">FILES</t>
  </si>
  <si>
    <t xml:space="preserve">FileName</t>
  </si>
  <si>
    <t xml:space="preserve">Link</t>
  </si>
  <si>
    <t xml:space="preserve">FileType</t>
  </si>
  <si>
    <t xml:space="preserve">FileSize</t>
  </si>
  <si>
    <t xml:space="preserve">CreationDate</t>
  </si>
  <si>
    <t xml:space="preserve">Name of the file</t>
  </si>
  <si>
    <t xml:space="preserve">URL where the file can be found (file repository)</t>
  </si>
  <si>
    <t xml:space="preserve">File type</t>
  </si>
  <si>
    <t xml:space="preserve">File size</t>
  </si>
  <si>
    <t xml:space="preserve">Creation date of the file</t>
  </si>
  <si>
    <t xml:space="preserve">Description of the file</t>
  </si>
  <si>
    <t xml:space="preserve">MeteoWholeTrial.txt
ITK.xls
Plan.xls</t>
  </si>
  <si>
    <t xml:space="preserve">http://urgi.versailles.inra.fr/Species/Wheat/Sequence-Repository</t>
  </si>
  <si>
    <t xml:space="preserve">xls</t>
  </si>
  <si>
    <t xml:space="preserve">xls
csv
txt</t>
  </si>
  <si>
    <t xml:space="preserve">Date: dd/mm/yyyy</t>
  </si>
  <si>
    <t xml:space="preserve">FOREST COMPLEMENTARY INFO</t>
  </si>
  <si>
    <r>
      <rPr>
        <b val="true"/>
        <sz val="10"/>
        <rFont val="Arial"/>
        <family val="2"/>
        <charset val="1"/>
      </rPr>
      <t xml:space="preserve">Additional fields. </t>
    </r>
    <r>
      <rPr>
        <b val="true"/>
        <sz val="10"/>
        <color rgb="FFFF0000"/>
        <rFont val="Arial"/>
        <family val="2"/>
        <charset val="1"/>
      </rPr>
      <t xml:space="preserve">Mandatory</t>
    </r>
    <r>
      <rPr>
        <b val="true"/>
        <sz val="10"/>
        <rFont val="Arial"/>
        <family val="2"/>
        <charset val="1"/>
      </rPr>
      <t xml:space="preserve"> tab for forest submissions.</t>
    </r>
  </si>
  <si>
    <t xml:space="preserve">TrialType</t>
  </si>
  <si>
    <t xml:space="preserve">TrialStatus</t>
  </si>
  <si>
    <t xml:space="preserve">DataFormat</t>
  </si>
  <si>
    <t xml:space="preserve">Type of this trial</t>
  </si>
  <si>
    <t xml:space="preserve">State and monitoring level of this trial</t>
  </si>
  <si>
    <t xml:space="preserve">Which format is used to store the data ?</t>
  </si>
  <si>
    <t xml:space="preserve">Digital</t>
  </si>
  <si>
    <t xml:space="preserve">1 (= provenances comparison)
2 (= maternal descendants comparison)
3 (= two-parents descendants comparison)
4 (= species comparison)
5 (=clones seeds orchard)
6 (=clonal comparison)
7 (= clonal park)
8 (= juveniles comparison)
9 (= other)</t>
  </si>
  <si>
    <t xml:space="preserve">A (= abandoned/ruined)
1 (= weakly active)
2 (= moderately active)
3 (= active)
4 (= very active)
9 (= unknown)</t>
  </si>
  <si>
    <t xml:space="preserve">Paper
Scan
Digital
Unknown</t>
  </si>
  <si>
    <t xml:space="preserve">AM_LR12</t>
  </si>
  <si>
    <t xml:space="preserve">AM12LR</t>
  </si>
  <si>
    <t xml:space="preserve">14/09/2011</t>
  </si>
  <si>
    <t xml:space="preserve">17/07/2012</t>
  </si>
  <si>
    <t xml:space="preserve">2011-2012</t>
  </si>
  <si>
    <t xml:space="preserve">split-plot</t>
  </si>
  <si>
    <t xml:space="preserve">GENERGY</t>
  </si>
  <si>
    <t xml:space="preserve">Le Rheu</t>
  </si>
  <si>
    <t xml:space="preserve">48_x0003_8031.7700N</t>
  </si>
  <si>
    <t xml:space="preserve">1_x0003_46059.7600O</t>
  </si>
  <si>
    <t xml:space="preserve">FRA_35_LR</t>
  </si>
  <si>
    <t xml:space="preserve">Nesi</t>
  </si>
  <si>
    <t xml:space="preserve">Nathalie</t>
  </si>
  <si>
    <t xml:space="preserve">nathalie.nesi@rennes.inra.fr</t>
  </si>
  <si>
    <t xml:space="preserve">IGEPP</t>
  </si>
  <si>
    <t xml:space="preserve">INRA Brassica Experimental Ontology</t>
  </si>
  <si>
    <t xml:space="preserve">PLANTDENS</t>
  </si>
  <si>
    <t xml:space="preserve">Plant_Density</t>
  </si>
  <si>
    <t xml:space="preserve">Number of viable plants counted per surface unit. </t>
  </si>
  <si>
    <t xml:space="preserve">Plant nb.m-²</t>
  </si>
  <si>
    <t xml:space="preserve"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</si>
  <si>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 xml:space="preserve">REGSTAND</t>
  </si>
  <si>
    <t xml:space="preserve">Regularity_Stand</t>
  </si>
  <si>
    <t xml:space="preserve">Scoring of the regularity of the plant stand.</t>
  </si>
  <si>
    <t xml:space="preserve">Note</t>
  </si>
  <si>
    <t xml:space="preserve">Visual notations (scale 0 - 9). 0 = NA, 1 = high irregular, 3 = irregular, 5 = moderately regular, 7 = regular, 9 = perfectly regular.</t>
  </si>
  <si>
    <t xml:space="preserve">PLOTHARVEST</t>
  </si>
  <si>
    <t xml:space="preserve">Plot_Harvest_Weight</t>
  </si>
  <si>
    <t xml:space="preserve">Weight (kg) of raw materials harvested by plot.</t>
  </si>
  <si>
    <t xml:space="preserve">kg</t>
  </si>
  <si>
    <t xml:space="preserve">A measurement of the amount (in kg) of raw material that was harvested per plot as determined by on-board weighing on the harvester. </t>
  </si>
  <si>
    <t xml:space="preserve">HI</t>
  </si>
  <si>
    <t xml:space="preserve">Harvest_Index</t>
  </si>
  <si>
    <t xml:space="preserve">Proportion of seed biomass respect to the total plant biomass (including shoot and root).</t>
  </si>
  <si>
    <t xml:space="preserve">%</t>
  </si>
  <si>
    <t xml:space="preserve"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</si>
  <si>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 xml:space="preserve">NHI</t>
  </si>
  <si>
    <t xml:space="preserve">Nitrogen_Harvest_Index</t>
  </si>
  <si>
    <t xml:space="preserve">Proportion of N accumulated in seed to N accumulated in the total plant (including shoot and root).</t>
  </si>
  <si>
    <t xml:space="preserve">Samples from HI assay are analysed for N_%DW in the different fractions.                                                                                                                               NHI = (N_%DW_Seed / N_%DW_Plant) x 100</t>
  </si>
  <si>
    <t xml:space="preserve">OY</t>
  </si>
  <si>
    <t xml:space="preserve">Oil_Yield</t>
  </si>
  <si>
    <t xml:space="preserve">Oil yield per ha.</t>
  </si>
  <si>
    <t xml:space="preserve">q.ha-1</t>
  </si>
  <si>
    <t xml:space="preserve"> OY = (O x SY) </t>
  </si>
  <si>
    <t xml:space="preserve">PLOTSURF</t>
  </si>
  <si>
    <t xml:space="preserve">Plot_Surface</t>
  </si>
  <si>
    <t xml:space="preserve">Surface of the elementary experimental plot.</t>
  </si>
  <si>
    <t xml:space="preserve">m2</t>
  </si>
  <si>
    <t xml:space="preserve">Surface is determined by the experimental design.                                                              PLOTSURF = L x N x E. Where L = length of the sowing line, N = Nb of sowing lines, E = inter-line spacing.</t>
  </si>
  <si>
    <t xml:space="preserve">PODSHAT</t>
  </si>
  <si>
    <t xml:space="preserve">Pod_shattering</t>
  </si>
  <si>
    <t xml:space="preserve">Scoring of pods open just before harvest.</t>
  </si>
  <si>
    <t xml:space="preserve">Visual notations (scale 0 - 9). 0 = NA, 1 = high PODSHAT &gt; 90%, 3 = 60-90%, 5 = 30-60%, 7 = 10-30%, 9 = &lt; 10%.</t>
  </si>
  <si>
    <t xml:space="preserve">PrY</t>
  </si>
  <si>
    <t xml:space="preserve">Prot_Yield</t>
  </si>
  <si>
    <t xml:space="preserve">Protein yield per ha.</t>
  </si>
  <si>
    <t xml:space="preserve"> PrY = (Pr x SY) </t>
  </si>
  <si>
    <t xml:space="preserve">SN</t>
  </si>
  <si>
    <t xml:space="preserve">Seed_Nb_Surface</t>
  </si>
  <si>
    <t xml:space="preserve">Number of seeds per square meter.</t>
  </si>
  <si>
    <t xml:space="preserve">Seed nb.m-²</t>
  </si>
  <si>
    <t xml:space="preserve"> SN = (SY / TSW) x 10000</t>
  </si>
  <si>
    <t xml:space="preserve">SY</t>
  </si>
  <si>
    <t xml:space="preserve">Seed_Yield_q/ha  </t>
  </si>
  <si>
    <t xml:space="preserve">Weight (q) of seeds that was harvested per ha calculated with moisture and impurity contents at 0% each.</t>
  </si>
  <si>
    <t xml:space="preserve"> SY = (PLOTHARVEST / PLOTSURF) x (((100 - SEEDH2O_HARV or LAB)/100) x ((100 - SEEDIMPUR)/100)) x 100</t>
  </si>
  <si>
    <t xml:space="preserve">SYNORM</t>
  </si>
  <si>
    <t xml:space="preserve">Seed_Yield_Normalized_q/ha  </t>
  </si>
  <si>
    <t xml:space="preserve"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</si>
  <si>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</si>
  <si>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 xml:space="preserve">TSW</t>
  </si>
  <si>
    <t xml:space="preserve">1000_Seed_Weight</t>
  </si>
  <si>
    <t xml:space="preserve">Determination of the weight of 1000 well-developed mature and dry seeds after harvest.</t>
  </si>
  <si>
    <t xml:space="preserve">g</t>
  </si>
  <si>
    <t xml:space="preserve">The seed sample for SEEDH2O_LAB determination is used for seed counting (NBSEED_sample) using a precision counter.                                                                            TSW = (SEEDH2O_LAB / NBSEED_sample) x 1000</t>
  </si>
  <si>
    <t xml:space="preserve">PLANTSIZE</t>
  </si>
  <si>
    <t xml:space="preserve">Plant_Size</t>
  </si>
  <si>
    <t xml:space="preserve">Height of plants in an experimental plot.</t>
  </si>
  <si>
    <t xml:space="preserve">Height is measured from ground to the top of the plants using a dipstick graduated in cm.                                                              </t>
  </si>
  <si>
    <t xml:space="preserve">GRWSTG_C1</t>
  </si>
  <si>
    <t xml:space="preserve">Growth_Stage_C1</t>
  </si>
  <si>
    <t xml:space="preserve">Bolting date when the first inter-node appears, corresponds to growth stage C1 (CETIOM) or 31 (BBCH scale).</t>
  </si>
  <si>
    <t xml:space="preserve">Nb of calendar days from the 1st of January (+ or - if stage occurs in December).</t>
  </si>
  <si>
    <t xml:space="preserve">Visual notations of the day when growth stage is reached by 50% of the plants in a given plot. </t>
  </si>
  <si>
    <t xml:space="preserve">GRWSTG_F1</t>
  </si>
  <si>
    <t xml:space="preserve">Growth_Stage_F1</t>
  </si>
  <si>
    <t xml:space="preserve">First flowers are open, corresponds to growth stage F1 (CETIOM) or 60 (BBCH scale).</t>
  </si>
  <si>
    <t xml:space="preserve">Nb of calendar days from the 1st of January.</t>
  </si>
  <si>
    <t xml:space="preserve">GRWSTG_F2</t>
  </si>
  <si>
    <t xml:space="preserve">Growth_Stage_F2</t>
  </si>
  <si>
    <t xml:space="preserve">10% of the flowers are open on the main inflorescence, elongation of the main inflorescence. Corresponds to growth stage F2 (CETIOM) or 61 (BBCH scale).</t>
  </si>
  <si>
    <t xml:space="preserve">GRWSTG_FLO</t>
  </si>
  <si>
    <t xml:space="preserve">Growth_Stage_Flowering</t>
  </si>
  <si>
    <t xml:space="preserve"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</si>
  <si>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</si>
  <si>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 xml:space="preserve">GRWSTG_ENDFLO</t>
  </si>
  <si>
    <t xml:space="preserve">Growth_Stage_End_Flowering</t>
  </si>
  <si>
    <t xml:space="preserve">End of flowering on the main inflorescence, corresponds to growth stage 69 (BBCH scale).</t>
  </si>
  <si>
    <t xml:space="preserve">GRWSTG_G1</t>
  </si>
  <si>
    <t xml:space="preserve">Growth_Stage_G1</t>
  </si>
  <si>
    <t xml:space="preserve">10% of the pods have reached their final size, flowering of secondary inflorescences. Corresponds to growth stage G1 (CETIOM) or 71 (BBCH scale).</t>
  </si>
  <si>
    <t xml:space="preserve">GRWSTG_G4</t>
  </si>
  <si>
    <t xml:space="preserve">Growth_Stage_G4</t>
  </si>
  <si>
    <t xml:space="preserve">30% of the pods have reached their final size, flowering of secondary inflorescences. Corresponds to growth stage G4 (CETIOM) or 73 (BBCH scale).</t>
  </si>
  <si>
    <t xml:space="preserve">GRWSTG_PODDEV</t>
  </si>
  <si>
    <t xml:space="preserve">Growth_Stage_Pod_Development</t>
  </si>
  <si>
    <t xml:space="preserve"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</si>
  <si>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</si>
  <si>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 xml:space="preserve">GRWSTG_G5</t>
  </si>
  <si>
    <t xml:space="preserve">Growth_Stage_G5</t>
  </si>
  <si>
    <t xml:space="preserve">10% of the seeds have reached maturity, seeds are brown and hard. Corresponds to growth stage G5 (CETIOM) or 81 (BBCH scale).</t>
  </si>
  <si>
    <t xml:space="preserve">GRWSTG_PODMATURITY</t>
  </si>
  <si>
    <t xml:space="preserve">Growth_Stage_Pod_Maturity</t>
  </si>
  <si>
    <t xml:space="preserve"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</si>
  <si>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</si>
  <si>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 xml:space="preserve">EMERG</t>
  </si>
  <si>
    <t xml:space="preserve">Plant_Emergence</t>
  </si>
  <si>
    <t xml:space="preserve">Percentage of seeds that emerge. </t>
  </si>
  <si>
    <t xml:space="preserve">Plant counting on a line.                                                                                     EMERG = (Number of plants obtained / Number of seeds sown) x 100</t>
  </si>
  <si>
    <t xml:space="preserve">ERUCIC</t>
  </si>
  <si>
    <t xml:space="preserve">Erucic_Acid</t>
  </si>
  <si>
    <t xml:space="preserve">Content of erucic acid in seeds determined by NIRS.</t>
  </si>
  <si>
    <t xml:space="preserve">% total fatty acids</t>
  </si>
  <si>
    <t xml:space="preserve">NIRS assay. XXX calibration.</t>
  </si>
  <si>
    <t xml:space="preserve">PALMITIC</t>
  </si>
  <si>
    <t xml:space="preserve">Palmitic_Acid </t>
  </si>
  <si>
    <t xml:space="preserve">Content of palmitic acid in seeds determined by NIRS.</t>
  </si>
  <si>
    <t xml:space="preserve">STEARIC</t>
  </si>
  <si>
    <t xml:space="preserve">Stearic_Acid</t>
  </si>
  <si>
    <t xml:space="preserve">Content of stearic acid in seeds determined by NIRS.</t>
  </si>
  <si>
    <t xml:space="preserve">OLEIC</t>
  </si>
  <si>
    <t xml:space="preserve">Oleic_Acid </t>
  </si>
  <si>
    <t xml:space="preserve">Content of oleic acid in seeds determined by NIRS.</t>
  </si>
  <si>
    <t xml:space="preserve">LINOLEIC</t>
  </si>
  <si>
    <t xml:space="preserve">Linoleic_Acid </t>
  </si>
  <si>
    <t xml:space="preserve">Content of linoleic acid in seedsdetermined by NIRS.</t>
  </si>
  <si>
    <t xml:space="preserve">LINOLENIC</t>
  </si>
  <si>
    <t xml:space="preserve">Linolenic_Acid </t>
  </si>
  <si>
    <t xml:space="preserve">Content of linolenic acid in seeds determined by NIRS.</t>
  </si>
  <si>
    <t xml:space="preserve">O</t>
  </si>
  <si>
    <t xml:space="preserve">Oil_%</t>
  </si>
  <si>
    <t xml:space="preserve">Content of oil in seeds determined by NIRS.</t>
  </si>
  <si>
    <t xml:space="preserve">% of Seed Dry Weight</t>
  </si>
  <si>
    <t xml:space="preserve">Pr</t>
  </si>
  <si>
    <t xml:space="preserve">Protein_%</t>
  </si>
  <si>
    <t xml:space="preserve">Content of proteins in seeds determined by NIRS.</t>
  </si>
  <si>
    <t xml:space="preserve">GLS</t>
  </si>
  <si>
    <t xml:space="preserve">Glucosinolates</t>
  </si>
  <si>
    <t xml:space="preserve">Content of glucosinolates in seeds determined by NIRS.</t>
  </si>
  <si>
    <t xml:space="preserve">μmol.g-1MS</t>
  </si>
  <si>
    <t xml:space="preserve">SEEDH2O_NIRS</t>
  </si>
  <si>
    <t xml:space="preserve">Seed_Moisture_NIRS</t>
  </si>
  <si>
    <t xml:space="preserve">Moisture content in a sample of seeds determined by NIRS.</t>
  </si>
  <si>
    <t xml:space="preserve">PRMEAL</t>
  </si>
  <si>
    <t xml:space="preserve">Protein_Meal_%</t>
  </si>
  <si>
    <t xml:space="preserve">Content of proteins in the meal determined by NIRS.</t>
  </si>
  <si>
    <t xml:space="preserve">SEEDH2O_HARV</t>
  </si>
  <si>
    <t xml:space="preserve">Seed_Moisture_Harvest</t>
  </si>
  <si>
    <t xml:space="preserve">Moisture content in a sample of seeds determined by humiditer.</t>
  </si>
  <si>
    <t xml:space="preserve">Humidimeter. Rapeseed calibration.</t>
  </si>
  <si>
    <t xml:space="preserve">SEEDH2O_LAB</t>
  </si>
  <si>
    <t xml:space="preserve">Seed_Moisture_Lab</t>
  </si>
  <si>
    <t xml:space="preserve"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</si>
  <si>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</si>
  <si>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 xml:space="preserve">SEEDIMPUR</t>
  </si>
  <si>
    <t xml:space="preserve">Seed_Impurities</t>
  </si>
  <si>
    <t xml:space="preserve"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</si>
  <si>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</si>
  <si>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 xml:space="preserve">BIOTIC</t>
  </si>
  <si>
    <t xml:space="preserve">Biotic_Stress</t>
  </si>
  <si>
    <t xml:space="preserve">Biotic attack during the crop cycle.</t>
  </si>
  <si>
    <t xml:space="preserve">Comment about all relevant biotic stresses.</t>
  </si>
  <si>
    <t xml:space="preserve">Visual observations. </t>
  </si>
  <si>
    <t xml:space="preserve">CROP</t>
  </si>
  <si>
    <t xml:space="preserve">Crop</t>
  </si>
  <si>
    <t xml:space="preserve">Crop problems during the cycle.</t>
  </si>
  <si>
    <t xml:space="preserve">Comment about all relevant pbs during the cycle.</t>
  </si>
  <si>
    <t xml:space="preserve">CLIMATIC</t>
  </si>
  <si>
    <t xml:space="preserve">Climatic_Stress</t>
  </si>
  <si>
    <t xml:space="preserve">Climatic incidents during the crop cycle</t>
  </si>
  <si>
    <t xml:space="preserve">Comment about all relevant abiotic stresses.</t>
  </si>
  <si>
    <t xml:space="preserve">LODGING</t>
  </si>
  <si>
    <t xml:space="preserve">Plant_Lodging</t>
  </si>
  <si>
    <t xml:space="preserve">Scoring of the plant lodging of the plot.</t>
  </si>
  <si>
    <t xml:space="preserve"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</si>
  <si>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 xml:space="preserve">Brassica napus L.</t>
  </si>
  <si>
    <t xml:space="preserve">G-003</t>
  </si>
  <si>
    <t xml:space="preserve">AM014</t>
  </si>
  <si>
    <t xml:space="preserve">G-004</t>
  </si>
  <si>
    <t xml:space="preserve">AM015</t>
  </si>
  <si>
    <t xml:space="preserve">G-005</t>
  </si>
  <si>
    <t xml:space="preserve">AM016</t>
  </si>
  <si>
    <t xml:space="preserve">G-006</t>
  </si>
  <si>
    <t xml:space="preserve">AM017</t>
  </si>
  <si>
    <t xml:space="preserve">G-007</t>
  </si>
  <si>
    <t xml:space="preserve">AM018</t>
  </si>
  <si>
    <t xml:space="preserve">G-008</t>
  </si>
  <si>
    <t xml:space="preserve">AM019</t>
  </si>
  <si>
    <t xml:space="preserve">G-009</t>
  </si>
  <si>
    <t xml:space="preserve">AM020</t>
  </si>
  <si>
    <t xml:space="preserve">G-010</t>
  </si>
  <si>
    <t xml:space="preserve">AM022</t>
  </si>
  <si>
    <t xml:space="preserve">G-011</t>
  </si>
  <si>
    <t xml:space="preserve">AM027</t>
  </si>
  <si>
    <t xml:space="preserve">G-012</t>
  </si>
  <si>
    <t xml:space="preserve">AM028</t>
  </si>
  <si>
    <t xml:space="preserve">G-013</t>
  </si>
  <si>
    <t xml:space="preserve">AM030</t>
  </si>
  <si>
    <t xml:space="preserve">G-014</t>
  </si>
  <si>
    <t xml:space="preserve">AM031</t>
  </si>
  <si>
    <t xml:space="preserve">G-015</t>
  </si>
  <si>
    <t xml:space="preserve">AM032</t>
  </si>
  <si>
    <t xml:space="preserve">G-016</t>
  </si>
  <si>
    <t xml:space="preserve">AM033</t>
  </si>
  <si>
    <t xml:space="preserve">G-017</t>
  </si>
  <si>
    <t xml:space="preserve">AM034</t>
  </si>
  <si>
    <t xml:space="preserve">G-018</t>
  </si>
  <si>
    <t xml:space="preserve">AM035</t>
  </si>
  <si>
    <t xml:space="preserve">G-019</t>
  </si>
  <si>
    <t xml:space="preserve">AM036</t>
  </si>
  <si>
    <t xml:space="preserve">G-020</t>
  </si>
  <si>
    <t xml:space="preserve">AM037</t>
  </si>
  <si>
    <t xml:space="preserve">G-021</t>
  </si>
  <si>
    <t xml:space="preserve">AM038</t>
  </si>
  <si>
    <t xml:space="preserve">G-022</t>
  </si>
  <si>
    <t xml:space="preserve">AM039</t>
  </si>
  <si>
    <t xml:space="preserve">G-023</t>
  </si>
  <si>
    <t xml:space="preserve">AM040</t>
  </si>
  <si>
    <t xml:space="preserve">G-024</t>
  </si>
  <si>
    <t xml:space="preserve">AM042</t>
  </si>
  <si>
    <t xml:space="preserve">G-025</t>
  </si>
  <si>
    <t xml:space="preserve">AM045</t>
  </si>
  <si>
    <t xml:space="preserve">G-026</t>
  </si>
  <si>
    <t xml:space="preserve">AM046</t>
  </si>
  <si>
    <t xml:space="preserve">G-027</t>
  </si>
  <si>
    <t xml:space="preserve">AM048</t>
  </si>
  <si>
    <t xml:space="preserve">G-028</t>
  </si>
  <si>
    <t xml:space="preserve">AM049</t>
  </si>
  <si>
    <t xml:space="preserve">G-029</t>
  </si>
  <si>
    <t xml:space="preserve">AM050</t>
  </si>
  <si>
    <t xml:space="preserve">G-030</t>
  </si>
  <si>
    <t xml:space="preserve">AM052</t>
  </si>
  <si>
    <t xml:space="preserve">G-031</t>
  </si>
  <si>
    <t xml:space="preserve">AM053</t>
  </si>
  <si>
    <t xml:space="preserve">G-032</t>
  </si>
  <si>
    <t xml:space="preserve">AM055</t>
  </si>
  <si>
    <t xml:space="preserve">G-033</t>
  </si>
  <si>
    <t xml:space="preserve">AM056</t>
  </si>
  <si>
    <t xml:space="preserve">G-034</t>
  </si>
  <si>
    <t xml:space="preserve">AM057</t>
  </si>
  <si>
    <t xml:space="preserve">G-035</t>
  </si>
  <si>
    <t xml:space="preserve">AM058</t>
  </si>
  <si>
    <t xml:space="preserve">G-036</t>
  </si>
  <si>
    <t xml:space="preserve">AM059</t>
  </si>
  <si>
    <t xml:space="preserve">G-037</t>
  </si>
  <si>
    <t xml:space="preserve">AM060</t>
  </si>
  <si>
    <t xml:space="preserve">G-038</t>
  </si>
  <si>
    <t xml:space="preserve">AM061</t>
  </si>
  <si>
    <t xml:space="preserve">G-039</t>
  </si>
  <si>
    <t xml:space="preserve">AM062</t>
  </si>
  <si>
    <t xml:space="preserve">G-040</t>
  </si>
  <si>
    <t xml:space="preserve">AM063</t>
  </si>
  <si>
    <t xml:space="preserve">G-041</t>
  </si>
  <si>
    <t xml:space="preserve">AM064</t>
  </si>
  <si>
    <t xml:space="preserve">G-042</t>
  </si>
  <si>
    <t xml:space="preserve">AM066</t>
  </si>
  <si>
    <t xml:space="preserve">G-043</t>
  </si>
  <si>
    <t xml:space="preserve">AM067</t>
  </si>
  <si>
    <t xml:space="preserve">G-044</t>
  </si>
  <si>
    <t xml:space="preserve">AM068</t>
  </si>
  <si>
    <t xml:space="preserve">G-045</t>
  </si>
  <si>
    <t xml:space="preserve">AM069</t>
  </si>
  <si>
    <t xml:space="preserve">G-046</t>
  </si>
  <si>
    <t xml:space="preserve">AM070</t>
  </si>
  <si>
    <t xml:space="preserve">G-047</t>
  </si>
  <si>
    <t xml:space="preserve">AM071</t>
  </si>
  <si>
    <t xml:space="preserve">G-048</t>
  </si>
  <si>
    <t xml:space="preserve">AM073</t>
  </si>
  <si>
    <t xml:space="preserve">G-049</t>
  </si>
  <si>
    <t xml:space="preserve">AM074</t>
  </si>
  <si>
    <t xml:space="preserve">G-050</t>
  </si>
  <si>
    <t xml:space="preserve">AM076</t>
  </si>
  <si>
    <t xml:space="preserve">G-051</t>
  </si>
  <si>
    <t xml:space="preserve">AM078</t>
  </si>
  <si>
    <t xml:space="preserve">G-052</t>
  </si>
  <si>
    <t xml:space="preserve">AM080</t>
  </si>
  <si>
    <t xml:space="preserve">G-053</t>
  </si>
  <si>
    <t xml:space="preserve">AM082</t>
  </si>
  <si>
    <t xml:space="preserve">G-054</t>
  </si>
  <si>
    <t xml:space="preserve">AM083</t>
  </si>
  <si>
    <t xml:space="preserve">G-055</t>
  </si>
  <si>
    <t xml:space="preserve">AM084</t>
  </si>
  <si>
    <t xml:space="preserve">G-056</t>
  </si>
  <si>
    <t xml:space="preserve">AM085</t>
  </si>
  <si>
    <t xml:space="preserve">G-057</t>
  </si>
  <si>
    <t xml:space="preserve">AM086</t>
  </si>
  <si>
    <t xml:space="preserve">G-058</t>
  </si>
  <si>
    <t xml:space="preserve">AM087</t>
  </si>
  <si>
    <t xml:space="preserve">G-059</t>
  </si>
  <si>
    <t xml:space="preserve">AM088</t>
  </si>
  <si>
    <t xml:space="preserve">G-060</t>
  </si>
  <si>
    <t xml:space="preserve">AM089</t>
  </si>
  <si>
    <t xml:space="preserve">G-061</t>
  </si>
  <si>
    <t xml:space="preserve">AM090</t>
  </si>
  <si>
    <t xml:space="preserve">G-062</t>
  </si>
  <si>
    <t xml:space="preserve">AM091</t>
  </si>
  <si>
    <t xml:space="preserve">G-063</t>
  </si>
  <si>
    <t xml:space="preserve">AM092</t>
  </si>
  <si>
    <t xml:space="preserve">G-064</t>
  </si>
  <si>
    <t xml:space="preserve">AM093</t>
  </si>
  <si>
    <t xml:space="preserve">G-065</t>
  </si>
  <si>
    <t xml:space="preserve">AM094</t>
  </si>
  <si>
    <t xml:space="preserve">G-066</t>
  </si>
  <si>
    <t xml:space="preserve">AM096</t>
  </si>
  <si>
    <t xml:space="preserve">G-067</t>
  </si>
  <si>
    <t xml:space="preserve">AM098</t>
  </si>
  <si>
    <t xml:space="preserve">G-068</t>
  </si>
  <si>
    <t xml:space="preserve">AM100</t>
  </si>
  <si>
    <t xml:space="preserve">G-069</t>
  </si>
  <si>
    <t xml:space="preserve">AM101</t>
  </si>
  <si>
    <t xml:space="preserve">G-070</t>
  </si>
  <si>
    <t xml:space="preserve">AM106</t>
  </si>
  <si>
    <t xml:space="preserve">G-071</t>
  </si>
  <si>
    <t xml:space="preserve">AM107</t>
  </si>
  <si>
    <t xml:space="preserve">G-072</t>
  </si>
  <si>
    <t xml:space="preserve">AM109</t>
  </si>
  <si>
    <t xml:space="preserve">G-073</t>
  </si>
  <si>
    <t xml:space="preserve">AM111</t>
  </si>
  <si>
    <t xml:space="preserve">G-074</t>
  </si>
  <si>
    <t xml:space="preserve">AM120</t>
  </si>
  <si>
    <t xml:space="preserve">G-075</t>
  </si>
  <si>
    <t xml:space="preserve">AM123</t>
  </si>
  <si>
    <t xml:space="preserve">G-076</t>
  </si>
  <si>
    <t xml:space="preserve">AM124</t>
  </si>
  <si>
    <t xml:space="preserve">G-077</t>
  </si>
  <si>
    <t xml:space="preserve">AM125</t>
  </si>
  <si>
    <t xml:space="preserve">G-078</t>
  </si>
  <si>
    <t xml:space="preserve">AM127</t>
  </si>
  <si>
    <t xml:space="preserve">G-079</t>
  </si>
  <si>
    <t xml:space="preserve">AM129</t>
  </si>
  <si>
    <t xml:space="preserve">G-080</t>
  </si>
  <si>
    <t xml:space="preserve">AM130</t>
  </si>
  <si>
    <t xml:space="preserve">G-081</t>
  </si>
  <si>
    <t xml:space="preserve">AM131</t>
  </si>
  <si>
    <t xml:space="preserve">G-082</t>
  </si>
  <si>
    <t xml:space="preserve">AM133</t>
  </si>
  <si>
    <t xml:space="preserve">G-083</t>
  </si>
  <si>
    <t xml:space="preserve">AM137</t>
  </si>
  <si>
    <t xml:space="preserve">G-084</t>
  </si>
  <si>
    <t xml:space="preserve">AM138</t>
  </si>
  <si>
    <t xml:space="preserve">G-085</t>
  </si>
  <si>
    <t xml:space="preserve">AM139</t>
  </si>
  <si>
    <t xml:space="preserve">G-086</t>
  </si>
  <si>
    <t xml:space="preserve">AM140</t>
  </si>
  <si>
    <t xml:space="preserve">G-087</t>
  </si>
  <si>
    <t xml:space="preserve">AM141</t>
  </si>
  <si>
    <t xml:space="preserve">G-088</t>
  </si>
  <si>
    <t xml:space="preserve">AM143</t>
  </si>
  <si>
    <t xml:space="preserve">G-089</t>
  </si>
  <si>
    <t xml:space="preserve">AM144</t>
  </si>
  <si>
    <t xml:space="preserve">G-090</t>
  </si>
  <si>
    <t xml:space="preserve">AM145</t>
  </si>
  <si>
    <t xml:space="preserve">G-091</t>
  </si>
  <si>
    <t xml:space="preserve">AM146</t>
  </si>
  <si>
    <t xml:space="preserve">G-092</t>
  </si>
  <si>
    <t xml:space="preserve">AM147</t>
  </si>
  <si>
    <t xml:space="preserve">G-093</t>
  </si>
  <si>
    <t xml:space="preserve">AM148</t>
  </si>
  <si>
    <t xml:space="preserve">G-094</t>
  </si>
  <si>
    <t xml:space="preserve">AM149</t>
  </si>
  <si>
    <t xml:space="preserve">G-095</t>
  </si>
  <si>
    <t xml:space="preserve">AM156</t>
  </si>
  <si>
    <t xml:space="preserve">G-096</t>
  </si>
  <si>
    <t xml:space="preserve">AM158</t>
  </si>
  <si>
    <t xml:space="preserve">G-097</t>
  </si>
  <si>
    <t xml:space="preserve">AM161</t>
  </si>
  <si>
    <t xml:space="preserve">G-098</t>
  </si>
  <si>
    <t xml:space="preserve">AM164</t>
  </si>
  <si>
    <t xml:space="preserve">G-099</t>
  </si>
  <si>
    <t xml:space="preserve">AM165</t>
  </si>
  <si>
    <t xml:space="preserve">G-100</t>
  </si>
  <si>
    <t xml:space="preserve">AM166</t>
  </si>
  <si>
    <t xml:space="preserve">G-101</t>
  </si>
  <si>
    <t xml:space="preserve">AM167</t>
  </si>
  <si>
    <t xml:space="preserve">G-102</t>
  </si>
  <si>
    <t xml:space="preserve">AM168</t>
  </si>
  <si>
    <t xml:space="preserve">G-103</t>
  </si>
  <si>
    <t xml:space="preserve">AM169</t>
  </si>
  <si>
    <t xml:space="preserve">G-104</t>
  </si>
  <si>
    <t xml:space="preserve">AM170</t>
  </si>
  <si>
    <t xml:space="preserve">G-105</t>
  </si>
  <si>
    <t xml:space="preserve">AM171</t>
  </si>
  <si>
    <t xml:space="preserve">G-106</t>
  </si>
  <si>
    <t xml:space="preserve">AM172</t>
  </si>
  <si>
    <t xml:space="preserve">G-107</t>
  </si>
  <si>
    <t xml:space="preserve">AM173</t>
  </si>
  <si>
    <t xml:space="preserve">G-108</t>
  </si>
  <si>
    <t xml:space="preserve">AM174</t>
  </si>
  <si>
    <t xml:space="preserve">G-109</t>
  </si>
  <si>
    <t xml:space="preserve">AM183</t>
  </si>
  <si>
    <t xml:space="preserve">G-110</t>
  </si>
  <si>
    <t xml:space="preserve">AM185</t>
  </si>
  <si>
    <t xml:space="preserve">G-111</t>
  </si>
  <si>
    <t xml:space="preserve">AM186</t>
  </si>
  <si>
    <t xml:space="preserve">G-112</t>
  </si>
  <si>
    <t xml:space="preserve">AM188</t>
  </si>
  <si>
    <t xml:space="preserve">G-113</t>
  </si>
  <si>
    <t xml:space="preserve">AM189</t>
  </si>
  <si>
    <t xml:space="preserve">G-114</t>
  </si>
  <si>
    <t xml:space="preserve">AM193</t>
  </si>
  <si>
    <t xml:space="preserve">G-115</t>
  </si>
  <si>
    <t xml:space="preserve">AM195</t>
  </si>
  <si>
    <t xml:space="preserve">G-116</t>
  </si>
  <si>
    <t xml:space="preserve">AM197</t>
  </si>
  <si>
    <t xml:space="preserve">G-117</t>
  </si>
  <si>
    <t xml:space="preserve">AM198</t>
  </si>
  <si>
    <t xml:space="preserve">G-001</t>
  </si>
  <si>
    <t xml:space="preserve">Aviso</t>
  </si>
  <si>
    <t xml:space="preserve">G-002</t>
  </si>
  <si>
    <t xml:space="preserve">Montego</t>
  </si>
  <si>
    <t xml:space="preserve">Azote</t>
  </si>
  <si>
    <t xml:space="preserve">N1</t>
  </si>
  <si>
    <t xml:space="preserve">azote limitant</t>
  </si>
  <si>
    <t xml:space="preserve">Fertilisation limitante (0 kg N/ha)</t>
  </si>
  <si>
    <t xml:space="preserve">N2</t>
  </si>
  <si>
    <t xml:space="preserve">azote optimal</t>
  </si>
  <si>
    <t xml:space="preserve">Fertilisation optimale (80 kg N/ha)</t>
  </si>
  <si>
    <t xml:space="preserve">bloc</t>
  </si>
  <si>
    <t xml:space="preserve">plot</t>
  </si>
  <si>
    <t xml:space="preserve">parcelle</t>
  </si>
  <si>
    <t xml:space="preserve">rep</t>
  </si>
  <si>
    <t xml:space="preserve">répétition</t>
  </si>
  <si>
    <t xml:space="preserve">Parcelle</t>
  </si>
  <si>
    <t xml:space="preserve">PLANTDENS_value</t>
  </si>
  <si>
    <t xml:space="preserve">PLANTDENS_date</t>
  </si>
  <si>
    <t xml:space="preserve">REGSTAND_value</t>
  </si>
  <si>
    <t xml:space="preserve">REGSTAND_date</t>
  </si>
  <si>
    <t xml:space="preserve">PLOTHARVEST_value</t>
  </si>
  <si>
    <t xml:space="preserve">PLOTHARVEST_date</t>
  </si>
  <si>
    <t xml:space="preserve">HI_value</t>
  </si>
  <si>
    <t xml:space="preserve">HI_date</t>
  </si>
  <si>
    <t xml:space="preserve">NHI_value</t>
  </si>
  <si>
    <t xml:space="preserve">NHI_date</t>
  </si>
  <si>
    <t xml:space="preserve">OY_value</t>
  </si>
  <si>
    <t xml:space="preserve">OY_date</t>
  </si>
  <si>
    <t xml:space="preserve">PLOTSURF_value</t>
  </si>
  <si>
    <t xml:space="preserve">PLOTSURF_date</t>
  </si>
  <si>
    <t xml:space="preserve">PODSHAT_value</t>
  </si>
  <si>
    <t xml:space="preserve">PODSHAT_date</t>
  </si>
  <si>
    <t xml:space="preserve">PrY_value</t>
  </si>
  <si>
    <t xml:space="preserve">PrY_date</t>
  </si>
  <si>
    <t xml:space="preserve">SN_value</t>
  </si>
  <si>
    <t xml:space="preserve">SN_date</t>
  </si>
  <si>
    <t xml:space="preserve">SY_value</t>
  </si>
  <si>
    <t xml:space="preserve">SY-date</t>
  </si>
  <si>
    <t xml:space="preserve">SYNORM_value</t>
  </si>
  <si>
    <t xml:space="preserve">SYNORM_date</t>
  </si>
  <si>
    <t xml:space="preserve">TSW_value</t>
  </si>
  <si>
    <t xml:space="preserve">TSW_date</t>
  </si>
  <si>
    <t xml:space="preserve">PLANTSIZE_value</t>
  </si>
  <si>
    <t xml:space="preserve">PLANTSIZE_date</t>
  </si>
  <si>
    <t xml:space="preserve">GRWSTG_C1_value</t>
  </si>
  <si>
    <t xml:space="preserve">GRWSTG_C1_date</t>
  </si>
  <si>
    <t xml:space="preserve">GRWSTG_F1_value</t>
  </si>
  <si>
    <t xml:space="preserve">GRWSTG_F1_date</t>
  </si>
  <si>
    <t xml:space="preserve">GRWSTG_F2_value</t>
  </si>
  <si>
    <t xml:space="preserve">GRWSTG_F2_date</t>
  </si>
  <si>
    <t xml:space="preserve">GRWSTG_FLO_value</t>
  </si>
  <si>
    <t xml:space="preserve">GRWSTG_FLO_date</t>
  </si>
  <si>
    <t xml:space="preserve">GRWSTG_ENDFLO_value</t>
  </si>
  <si>
    <t xml:space="preserve">GRWSTG_ENDFLO_date</t>
  </si>
  <si>
    <t xml:space="preserve">GRWSTG_G1_value</t>
  </si>
  <si>
    <t xml:space="preserve">GRWSTG_G1_date</t>
  </si>
  <si>
    <t xml:space="preserve">GRWSTG_G4_value</t>
  </si>
  <si>
    <t xml:space="preserve">GRWSTG_G4_date</t>
  </si>
  <si>
    <t xml:space="preserve">GRWSTG_PODDEV_value</t>
  </si>
  <si>
    <t xml:space="preserve">GRWSTG_PODDEV_date</t>
  </si>
  <si>
    <t xml:space="preserve">GRWSTG_G5_value</t>
  </si>
  <si>
    <t xml:space="preserve">GRWSTG_G5_date</t>
  </si>
  <si>
    <t xml:space="preserve">GRWSTG_PODMATURITY_value</t>
  </si>
  <si>
    <t xml:space="preserve">GRWSTG_PODMATURITY_date</t>
  </si>
  <si>
    <t xml:space="preserve">EMERG_value</t>
  </si>
  <si>
    <t xml:space="preserve">EMERG_date</t>
  </si>
  <si>
    <t xml:space="preserve">ERUCIC_value</t>
  </si>
  <si>
    <t xml:space="preserve">ERUCIC_date</t>
  </si>
  <si>
    <t xml:space="preserve">PALMITIC_value</t>
  </si>
  <si>
    <t xml:space="preserve">PALMITIC-date</t>
  </si>
  <si>
    <t xml:space="preserve">STEARIC_value</t>
  </si>
  <si>
    <t xml:space="preserve">STEARIC_date</t>
  </si>
  <si>
    <t xml:space="preserve">OLEIC_value</t>
  </si>
  <si>
    <t xml:space="preserve">OLEIC_date</t>
  </si>
  <si>
    <t xml:space="preserve">LINOLEIC_value</t>
  </si>
  <si>
    <t xml:space="preserve">LINOLEIC_date</t>
  </si>
  <si>
    <t xml:space="preserve">LINOLENIC_value</t>
  </si>
  <si>
    <t xml:space="preserve">LINOLENIC_date</t>
  </si>
  <si>
    <t xml:space="preserve">O_value</t>
  </si>
  <si>
    <t xml:space="preserve">O_date</t>
  </si>
  <si>
    <t xml:space="preserve">Pr_value</t>
  </si>
  <si>
    <t xml:space="preserve">Pr_date</t>
  </si>
  <si>
    <t xml:space="preserve">GLS_value</t>
  </si>
  <si>
    <t xml:space="preserve">GLS_date</t>
  </si>
  <si>
    <t xml:space="preserve">SEEDH2O_NIRS_value</t>
  </si>
  <si>
    <t xml:space="preserve">SEEDH2O_NIRS_date</t>
  </si>
  <si>
    <t xml:space="preserve">PRMEAL_value</t>
  </si>
  <si>
    <t xml:space="preserve">PRMEAL_date</t>
  </si>
  <si>
    <t xml:space="preserve">SEEDH2O_HARV_value</t>
  </si>
  <si>
    <t xml:space="preserve">SEEDH2O_HARV_date</t>
  </si>
  <si>
    <t xml:space="preserve">SEEDH2O_LAB_value</t>
  </si>
  <si>
    <t xml:space="preserve">SEEDH2O_LAB_date</t>
  </si>
  <si>
    <t xml:space="preserve">SEEDIMPUR_value</t>
  </si>
  <si>
    <t xml:space="preserve">SEEDIMPUR_date</t>
  </si>
  <si>
    <t xml:space="preserve">LODGING_value</t>
  </si>
  <si>
    <t xml:space="preserve">LODGING_date</t>
  </si>
  <si>
    <t xml:space="preserve">aviso</t>
  </si>
  <si>
    <t xml:space="preserve">B1</t>
  </si>
  <si>
    <t xml:space="preserve">NA</t>
  </si>
  <si>
    <t xml:space="preserve">B2</t>
  </si>
  <si>
    <t xml:space="preserve">B3</t>
  </si>
  <si>
    <t xml:space="preserve">B4</t>
  </si>
  <si>
    <t xml:space="preserve">montego</t>
  </si>
  <si>
    <t xml:space="preserve">Meteo_data</t>
  </si>
  <si>
    <t xml:space="preserve">See tab</t>
  </si>
  <si>
    <t xml:space="preserve">Excel</t>
  </si>
  <si>
    <t xml:space="preserve">Soil_data</t>
  </si>
  <si>
    <t xml:space="preserve">INN_data</t>
  </si>
  <si>
    <t xml:space="preserve">Parcellaire_data</t>
  </si>
  <si>
    <t xml:space="preserve">ITK_data</t>
  </si>
  <si>
    <t xml:space="preserve">InstitutionName</t>
  </si>
  <si>
    <t xml:space="preserve">Acareosperma Gagnep.</t>
  </si>
  <si>
    <t xml:space="preserve">A &amp; I University</t>
  </si>
  <si>
    <t xml:space="preserve">Conservatoire Botanique National Méditerranéen de Porquerolles</t>
  </si>
  <si>
    <t xml:space="preserve">AF 1999 018</t>
  </si>
  <si>
    <t xml:space="preserve">Arvalis-Chalons</t>
  </si>
  <si>
    <t xml:space="preserve">Acareosperma spireanum Gagnep.</t>
  </si>
  <si>
    <t xml:space="preserve">Abed Plant Breeding Station</t>
  </si>
  <si>
    <t xml:space="preserve">Gautier Semences</t>
  </si>
  <si>
    <t xml:space="preserve">AF 1999 046</t>
  </si>
  <si>
    <t xml:space="preserve">Arvalis-Greoux</t>
  </si>
  <si>
    <t xml:space="preserve">Acyrthosiphon magnoliae</t>
  </si>
  <si>
    <t xml:space="preserve">Abteilung Biochemie</t>
  </si>
  <si>
    <t xml:space="preserve">Institut Jean-Pierre Bourgin</t>
  </si>
  <si>
    <t xml:space="preserve">AF 1999 064</t>
  </si>
  <si>
    <t xml:space="preserve">Bergheim</t>
  </si>
  <si>
    <t xml:space="preserve">Acyrthosiphon pisum</t>
  </si>
  <si>
    <t xml:space="preserve">Abteilung Traub</t>
  </si>
  <si>
    <t xml:space="preserve">Pépinière du Mas d'Auge</t>
  </si>
  <si>
    <t xml:space="preserve">AF 2001 001</t>
  </si>
  <si>
    <t xml:space="preserve">BGAMDV</t>
  </si>
  <si>
    <t xml:space="preserve">Aegilops</t>
  </si>
  <si>
    <t xml:space="preserve">ADIS DNA core facility at MPIZ</t>
  </si>
  <si>
    <t xml:space="preserve">Pépinières Rey</t>
  </si>
  <si>
    <t xml:space="preserve">AF 2001 009</t>
  </si>
  <si>
    <t xml:space="preserve">Aegilops aucheri Boiss.</t>
  </si>
  <si>
    <t xml:space="preserve">ADT</t>
  </si>
  <si>
    <t xml:space="preserve">UE Ressources Génétiques végétales en Conditions Océaniques, INRA-Rennes, Site de Ploudaniel</t>
  </si>
  <si>
    <t xml:space="preserve">AF 2001 019-031</t>
  </si>
  <si>
    <t xml:space="preserve">Clermont-Ferrand</t>
  </si>
  <si>
    <t xml:space="preserve">Aegilops bicornis</t>
  </si>
  <si>
    <t xml:space="preserve">Agricultural and Agri-Food Canada</t>
  </si>
  <si>
    <t xml:space="preserve">UMR Amélioration Génétique et Adaptation des Plantes, INRA-Montpellier</t>
  </si>
  <si>
    <t xml:space="preserve">AF 2001 024</t>
  </si>
  <si>
    <t xml:space="preserve">Colmar</t>
  </si>
  <si>
    <t xml:space="preserve">Aegilops bicornis (Forsk.) Jaub. &amp; Spach.</t>
  </si>
  <si>
    <t xml:space="preserve">Agricultural and Technological Research Centre</t>
  </si>
  <si>
    <t xml:space="preserve">UMR Développement et Amélioration des Plantes, INRA-Montpellier</t>
  </si>
  <si>
    <t xml:space="preserve">AF 2001 030</t>
  </si>
  <si>
    <t xml:space="preserve">Dijon</t>
  </si>
  <si>
    <t xml:space="preserve">Aegilops comosa</t>
  </si>
  <si>
    <t xml:space="preserve">Agricultural Biotechnology R&amp;D,  Life Technologies,  Inc.</t>
  </si>
  <si>
    <t xml:space="preserve">UMR Écophysiologie et Génomique Fonctionnelle de la Vigne, INRA-Bordeaux</t>
  </si>
  <si>
    <t xml:space="preserve">AF 2001 032</t>
  </si>
  <si>
    <t xml:space="preserve">Estrees-Mons</t>
  </si>
  <si>
    <t xml:space="preserve">Aegilops comosa Sibth. &amp; Sm.</t>
  </si>
  <si>
    <t xml:space="preserve">Agricultural Experiment Station University of the District of Columbia</t>
  </si>
  <si>
    <t xml:space="preserve">UMR Génétique, Diversité et Ecophysiologie des Céréales, INRA-Clermont</t>
  </si>
  <si>
    <t xml:space="preserve">AF 2001 047</t>
  </si>
  <si>
    <t xml:space="preserve">Estrées-Mons</t>
  </si>
  <si>
    <t xml:space="preserve">Aegilops crassa Boiss.</t>
  </si>
  <si>
    <t xml:space="preserve">Agricultural Genomics</t>
  </si>
  <si>
    <t xml:space="preserve">UMR Génétique et Écophysiologie des Légumineuses à Graines, INRA-Dijon</t>
  </si>
  <si>
    <t xml:space="preserve">AF 2001 051</t>
  </si>
  <si>
    <t xml:space="preserve">Fertreve - Foret de Vincence</t>
  </si>
  <si>
    <t xml:space="preserve">Aegilops crassa Boiss. subsp. vavilovi Zhuk.</t>
  </si>
  <si>
    <t xml:space="preserve">Agricultural Institute Krizevci</t>
  </si>
  <si>
    <t xml:space="preserve">UMR Institut de Génétique, Environnement et Protection des Plantes, INRA-Rennes, Site de Ploudaniel</t>
  </si>
  <si>
    <t xml:space="preserve">AF 2001 073</t>
  </si>
  <si>
    <t xml:space="preserve">FLORIMOND DESPREZ</t>
  </si>
  <si>
    <t xml:space="preserve">Aegilops crassa var. palaestina</t>
  </si>
  <si>
    <t xml:space="preserve">Agricultural Institute Osijek</t>
  </si>
  <si>
    <t xml:space="preserve">UMR Santé de la Vigne et Qualité du Vin, INRA-Colmar</t>
  </si>
  <si>
    <t xml:space="preserve">Ag_EST</t>
  </si>
  <si>
    <t xml:space="preserve">IPGPAS</t>
  </si>
  <si>
    <t xml:space="preserve">Aegilops crassa var. vavilovi</t>
  </si>
  <si>
    <t xml:space="preserve">Agricultural Research &amp; Advisory Station, Dept. of Agriculture</t>
  </si>
  <si>
    <t xml:space="preserve">Unité Expérimentale du Domaine de Vassal, INRA-Montpellier</t>
  </si>
  <si>
    <t xml:space="preserve">AIP_P00272</t>
  </si>
  <si>
    <t xml:space="preserve">Le Moulon</t>
  </si>
  <si>
    <t xml:space="preserve">Aegilops cylindrica Host</t>
  </si>
  <si>
    <t xml:space="preserve">Agricultural Research Centre - Mtwapa</t>
  </si>
  <si>
    <t xml:space="preserve">Unité Expérimentale Vigne et Vin, INRA-Montreuil Bellay</t>
  </si>
  <si>
    <t xml:space="preserve">ANR-06- GPLA-016</t>
  </si>
  <si>
    <t xml:space="preserve">LLC</t>
  </si>
  <si>
    <t xml:space="preserve">Aegilops juvenalis (Thell.) Eig</t>
  </si>
  <si>
    <t xml:space="preserve">Agricultural Research Institute for East Brazil</t>
  </si>
  <si>
    <t xml:space="preserve">UR AgroSystèmes TROpicaux, INRA Antilles-Guyane</t>
  </si>
  <si>
    <t xml:space="preserve">Ap_EST_Riken</t>
  </si>
  <si>
    <t xml:space="preserve">Lusignan</t>
  </si>
  <si>
    <t xml:space="preserve">Aegilops longissima</t>
  </si>
  <si>
    <t xml:space="preserve">Agricultural Research Institute Hungarian Academy of Sciences</t>
  </si>
  <si>
    <t xml:space="preserve">UR Espèces Fruitières, INRA-Bordeaux</t>
  </si>
  <si>
    <t xml:space="preserve">AS-2005</t>
  </si>
  <si>
    <t xml:space="preserve">Maule</t>
  </si>
  <si>
    <t xml:space="preserve">Aegilops longissima Schweinf. &amp; Muschli in Muschli</t>
  </si>
  <si>
    <t xml:space="preserve">Agricultural Research Institute Kromeriz, Co. Ltd.</t>
  </si>
  <si>
    <t xml:space="preserve">UR Génétique et Amélioration des Fruits et Légumes, INRA-Avignon</t>
  </si>
  <si>
    <t xml:space="preserve">ATH_AfNO1999032</t>
  </si>
  <si>
    <t xml:space="preserve">MOMONT</t>
  </si>
  <si>
    <t xml:space="preserve">Aegilops lorentii</t>
  </si>
  <si>
    <t xml:space="preserve">Agricultural Research Institute of Taihu Prefecture</t>
  </si>
  <si>
    <t xml:space="preserve">UR Génétique et Écophysiologie de la Qualité des Agrumes, INRA-Corse</t>
  </si>
  <si>
    <t xml:space="preserve">ATH_RI_NASC</t>
  </si>
  <si>
    <t xml:space="preserve">Orgeval</t>
  </si>
  <si>
    <t xml:space="preserve">Aegilops mutica Boiss.</t>
  </si>
  <si>
    <t xml:space="preserve">Agricultural Research Institute, Uyole</t>
  </si>
  <si>
    <t xml:space="preserve">URP Prairies et Plantes Fourragères, INRA-Lusignan</t>
  </si>
  <si>
    <t xml:space="preserve">AtPhy</t>
  </si>
  <si>
    <t xml:space="preserve">Reclainville</t>
  </si>
  <si>
    <t xml:space="preserve">Aegilops ovata L.</t>
  </si>
  <si>
    <t xml:space="preserve">Agricultural Research Organization Volcani Centre</t>
  </si>
  <si>
    <t xml:space="preserve">BcLTF1</t>
  </si>
  <si>
    <t xml:space="preserve">Rennes</t>
  </si>
  <si>
    <t xml:space="preserve">Aegilops ovata var. anatolica Eig</t>
  </si>
  <si>
    <t xml:space="preserve">Agricultural Research Station - Ghana</t>
  </si>
  <si>
    <t xml:space="preserve">BCVEL1</t>
  </si>
  <si>
    <t xml:space="preserve">Saint-Laurent - Foret domaniale de Vierzon</t>
  </si>
  <si>
    <t xml:space="preserve">Aegilops peregrina</t>
  </si>
  <si>
    <t xml:space="preserve">Agricultural Research Station - Greece</t>
  </si>
  <si>
    <t xml:space="preserve">BcYOH1</t>
  </si>
  <si>
    <t xml:space="preserve">Saint-Symphorien - Foret domaniale de la Petite Charnie</t>
  </si>
  <si>
    <t xml:space="preserve">Aegilops recta</t>
  </si>
  <si>
    <t xml:space="preserve">Agricultural Research Station Lovrin-Timis</t>
  </si>
  <si>
    <t xml:space="preserve">BerrySize</t>
  </si>
  <si>
    <t xml:space="preserve">Aegilops searsii Feldman &amp; Kislev</t>
  </si>
  <si>
    <t xml:space="preserve">Agriculture &amp; Animal Production State Research Farm</t>
  </si>
  <si>
    <t xml:space="preserve">BGI_EST_OS</t>
  </si>
  <si>
    <t xml:space="preserve">Aegilops sharonensis</t>
  </si>
  <si>
    <t xml:space="preserve">Agri-obtentions Clermont-Ferrand</t>
  </si>
  <si>
    <t xml:space="preserve">BIEP</t>
  </si>
  <si>
    <t xml:space="preserve">Aegilops speltoides</t>
  </si>
  <si>
    <t xml:space="preserve">Agri-Obtentions, Guyancourt</t>
  </si>
  <si>
    <t xml:space="preserve">BotPathoINRA</t>
  </si>
  <si>
    <t xml:space="preserve">Aegilops squarrosa auct., p. p., non. L.</t>
  </si>
  <si>
    <t xml:space="preserve">Agripro Seeds Inc.</t>
  </si>
  <si>
    <t xml:space="preserve">Botrytis_on_Sunflower_2008</t>
  </si>
  <si>
    <t xml:space="preserve">Aegilops squarrosa L.</t>
  </si>
  <si>
    <t xml:space="preserve">Agrogene</t>
  </si>
  <si>
    <t xml:space="preserve">Aegilops subulata Pomel</t>
  </si>
  <si>
    <t xml:space="preserve">Agrolit S.A.</t>
  </si>
  <si>
    <t xml:space="preserve">Cabomba_EST</t>
  </si>
  <si>
    <t xml:space="preserve">Aegilops tauschii</t>
  </si>
  <si>
    <t xml:space="preserve">Agronomy</t>
  </si>
  <si>
    <t xml:space="preserve">CANDIDATE_GENES_BIOGECO</t>
  </si>
  <si>
    <t xml:space="preserve">Aegilops tauschii subsp. tauschii x Triticum turgidum subsp.</t>
  </si>
  <si>
    <t xml:space="preserve">A.H. Whitmore Foundation Farm</t>
  </si>
  <si>
    <t xml:space="preserve">Chlorose</t>
  </si>
  <si>
    <t xml:space="preserve">Aegilops triuncialis L.</t>
  </si>
  <si>
    <t xml:space="preserve">Alata Horticultural Research Institute</t>
  </si>
  <si>
    <t xml:space="preserve">CI1999 076</t>
  </si>
  <si>
    <t xml:space="preserve">Aegilops turcomanica</t>
  </si>
  <si>
    <t xml:space="preserve">Alibert</t>
  </si>
  <si>
    <t xml:space="preserve">CI1999 088</t>
  </si>
  <si>
    <t xml:space="preserve">Aegilops variabilis Eig</t>
  </si>
  <si>
    <t xml:space="preserve">All-Union Institute for Vegetable Breeding and Seed Production</t>
  </si>
  <si>
    <t xml:space="preserve">CI2000 005</t>
  </si>
  <si>
    <t xml:space="preserve">Aegilops vavilovi</t>
  </si>
  <si>
    <t xml:space="preserve">Alternate Crops and  Systems Laboratory</t>
  </si>
  <si>
    <t xml:space="preserve">CI2001 002</t>
  </si>
  <si>
    <t xml:space="preserve">Aegilops ventricosa Tausch</t>
  </si>
  <si>
    <t xml:space="preserve">Amélioration des plantes et biotechnologies végétales</t>
  </si>
  <si>
    <t xml:space="preserve">CM2006-var4</t>
  </si>
  <si>
    <t xml:space="preserve">Allium cepa L.</t>
  </si>
  <si>
    <t xml:space="preserve">Amélioration des Semences Légumières</t>
  </si>
  <si>
    <t xml:space="preserve">CNVmaize</t>
  </si>
  <si>
    <t xml:space="preserve">Allium cepa L. groupe aggregatum</t>
  </si>
  <si>
    <t xml:space="preserve">Amelioration et Sante des Plantes</t>
  </si>
  <si>
    <t xml:space="preserve">CP1</t>
  </si>
  <si>
    <t xml:space="preserve">Allium L.</t>
  </si>
  <si>
    <t xml:space="preserve">AMIS/BIOTROP</t>
  </si>
  <si>
    <t xml:space="preserve">CP1P1</t>
  </si>
  <si>
    <t xml:space="preserve">Allium sativum L.</t>
  </si>
  <si>
    <t xml:space="preserve">André Pichot</t>
  </si>
  <si>
    <t xml:space="preserve">CP1p2</t>
  </si>
  <si>
    <t xml:space="preserve">Allium sativum longicuspis</t>
  </si>
  <si>
    <t xml:space="preserve">Applied Biotechnology Center,  CIMMYT</t>
  </si>
  <si>
    <t xml:space="preserve">CP1p3</t>
  </si>
  <si>
    <t xml:space="preserve">Allium sativum sativum</t>
  </si>
  <si>
    <t xml:space="preserve">ARC Interfruitec - Nietvoorbij, Stellenbosch - South Africa</t>
  </si>
  <si>
    <t xml:space="preserve">CP1p4</t>
  </si>
  <si>
    <t xml:space="preserve">Ampelopsis aconitifolia Bunge</t>
  </si>
  <si>
    <t xml:space="preserve">ARCHIVE</t>
  </si>
  <si>
    <t xml:space="preserve">CP1p5</t>
  </si>
  <si>
    <t xml:space="preserve">Ampelopsis aegirophylla Planch.</t>
  </si>
  <si>
    <t xml:space="preserve">Arizona Genomics Institute</t>
  </si>
  <si>
    <t xml:space="preserve">CP1p7</t>
  </si>
  <si>
    <t xml:space="preserve">Ampelopsis bipinnata Michx.</t>
  </si>
  <si>
    <t xml:space="preserve">Arkansas Agricultural Experiment Station, University of Arkansas</t>
  </si>
  <si>
    <t xml:space="preserve">CP2p1</t>
  </si>
  <si>
    <t xml:space="preserve">Ampelopsis bodinieri (H.Lév. &amp; Vaniot) Rehder</t>
  </si>
  <si>
    <t xml:space="preserve">Armenian Institute of Agriculture Armanskaja SSR</t>
  </si>
  <si>
    <t xml:space="preserve">CP3</t>
  </si>
  <si>
    <t xml:space="preserve">Ampelopsis brevipedunculata (Maxim.) Trautv.</t>
  </si>
  <si>
    <t xml:space="preserve">Arvalis-Institut du végétal</t>
  </si>
  <si>
    <t xml:space="preserve">CP4</t>
  </si>
  <si>
    <t xml:space="preserve">Ampelopsis chaffanjonii (H.Lév.) Rehder</t>
  </si>
  <si>
    <t xml:space="preserve">ASGROW</t>
  </si>
  <si>
    <t xml:space="preserve">CP4P2</t>
  </si>
  <si>
    <t xml:space="preserve">Ampelopsis citrulloïdes Lebas</t>
  </si>
  <si>
    <t xml:space="preserve">Asociacion de Nuevos Alquimistas</t>
  </si>
  <si>
    <t xml:space="preserve">CSIRO</t>
  </si>
  <si>
    <t xml:space="preserve">Ampelopsis cordata Michx.</t>
  </si>
  <si>
    <t xml:space="preserve">Association Cap Vert</t>
  </si>
  <si>
    <t xml:space="preserve">CSIRO-INRA_1</t>
  </si>
  <si>
    <t xml:space="preserve">Ampelopsis delavayana Planch.</t>
  </si>
  <si>
    <t xml:space="preserve">Association des Créateurs de Variétés Fourragères</t>
  </si>
  <si>
    <t xml:space="preserve">C2008-14-RGA</t>
  </si>
  <si>
    <t xml:space="preserve">Ampelopsis heterophylla Blume</t>
  </si>
  <si>
    <t xml:space="preserve">Association française interprofessionnelle de l'olive</t>
  </si>
  <si>
    <t xml:space="preserve">DayLength</t>
  </si>
  <si>
    <t xml:space="preserve">Ampelopsis megalophylla Diels &amp; Gilg</t>
  </si>
  <si>
    <t xml:space="preserve">Association Fruits Oubliés</t>
  </si>
  <si>
    <t xml:space="preserve">DBESTARABI</t>
  </si>
  <si>
    <t xml:space="preserve">Ampelopsis Michx.</t>
  </si>
  <si>
    <t xml:space="preserve">Association Les Croqueurs de Pommes du territoire du Jarez</t>
  </si>
  <si>
    <t xml:space="preserve">DBESTMAIZE</t>
  </si>
  <si>
    <t xml:space="preserve">Ampelopsis orientalis Planch.</t>
  </si>
  <si>
    <t xml:space="preserve">Association Les Croqueurs de Pommes du territoire du Jarez, Domaine de la Cantonnière</t>
  </si>
  <si>
    <t xml:space="preserve">DBESTPEA</t>
  </si>
  <si>
    <t xml:space="preserve">Ampelopsis serjaniifolia Bunge</t>
  </si>
  <si>
    <t xml:space="preserve">Association Les Croqueurs de Pommes du territoire du Jarez, Verger de Pleyne</t>
  </si>
  <si>
    <t xml:space="preserve">DBESTPOPLAR</t>
  </si>
  <si>
    <t xml:space="preserve">Ampelopsis vitifolia Planch.</t>
  </si>
  <si>
    <t xml:space="preserve">Association Technique Viticole de Bourgogne</t>
  </si>
  <si>
    <t xml:space="preserve">DBESTRAPE</t>
  </si>
  <si>
    <t xml:space="preserve">Aphis fabae</t>
  </si>
  <si>
    <t xml:space="preserve">ATAV Hérault</t>
  </si>
  <si>
    <t xml:space="preserve">DBESTRICE</t>
  </si>
  <si>
    <t xml:space="preserve">Aphis gossypii</t>
  </si>
  <si>
    <t xml:space="preserve">ATAV Val de Loire</t>
  </si>
  <si>
    <t xml:space="preserve">DBESTSUNFLOWER</t>
  </si>
  <si>
    <t xml:space="preserve">Aphis nerii</t>
  </si>
  <si>
    <t xml:space="preserve">Australian Medicago Genetic Resource Center</t>
  </si>
  <si>
    <t xml:space="preserve">DBESTWHEAT</t>
  </si>
  <si>
    <t xml:space="preserve">Apium graveolens</t>
  </si>
  <si>
    <t xml:space="preserve">Australian Winter Cereals Collection Agricultural Research Centre</t>
  </si>
  <si>
    <t xml:space="preserve">DBESTZINNIA</t>
  </si>
  <si>
    <t xml:space="preserve">Arabidopsis Heynh.</t>
  </si>
  <si>
    <t xml:space="preserve">Aventis CropScience</t>
  </si>
  <si>
    <t xml:space="preserve">D_noxia_KU</t>
  </si>
  <si>
    <t xml:space="preserve">Arabidopsis thaliana</t>
  </si>
  <si>
    <t xml:space="preserve">Ballard's Nurseries</t>
  </si>
  <si>
    <t xml:space="preserve">EGRAM</t>
  </si>
  <si>
    <t xml:space="preserve">Asteraceae</t>
  </si>
  <si>
    <t xml:space="preserve">Banco de Germoplasm de Trigo, Centro Internacional de Mejoramiento de Maíz y Trigo</t>
  </si>
  <si>
    <t xml:space="preserve">eIF4E</t>
  </si>
  <si>
    <t xml:space="preserve">Atalantia ceylanica (Arn.) Oliv.</t>
  </si>
  <si>
    <t xml:space="preserve">Banco de Germoplasma de El Encín</t>
  </si>
  <si>
    <t xml:space="preserve">ERECTA</t>
  </si>
  <si>
    <t xml:space="preserve">Atalantia Corrêa</t>
  </si>
  <si>
    <t xml:space="preserve">Banglasdesh Agricultural Research Institute</t>
  </si>
  <si>
    <t xml:space="preserve">EXEGESE-BLE</t>
  </si>
  <si>
    <t xml:space="preserve">Aurantioideae</t>
  </si>
  <si>
    <t xml:space="preserve">Barajev Kazakhstan Sciences Research Institute</t>
  </si>
  <si>
    <t xml:space="preserve">Fleshless</t>
  </si>
  <si>
    <t xml:space="preserve">Avena sativa</t>
  </si>
  <si>
    <t xml:space="preserve">Barani Agricultural Research Institute</t>
  </si>
  <si>
    <t xml:space="preserve">GABI-PLANT</t>
  </si>
  <si>
    <t xml:space="preserve">Botryotinia fuckeliana</t>
  </si>
  <si>
    <t xml:space="preserve">Bavaria Saat Muenchen BGB GmbH</t>
  </si>
  <si>
    <t xml:space="preserve">GCP 2006-02</t>
  </si>
  <si>
    <t xml:space="preserve">Brachypodium distachyon</t>
  </si>
  <si>
    <t xml:space="preserve">BAYER CROP SCIENCE</t>
  </si>
  <si>
    <t xml:space="preserve">Genoble</t>
  </si>
  <si>
    <t xml:space="preserve">Brassica carinata A. Braun</t>
  </si>
  <si>
    <t xml:space="preserve">Bayer CropScience</t>
  </si>
  <si>
    <t xml:space="preserve">GEN107_PTGS</t>
  </si>
  <si>
    <t xml:space="preserve">Brassica juncea (L.) Czern.</t>
  </si>
  <si>
    <t xml:space="preserve">Bayerische Pflanzenzuchtgesellschaft eG &amp; Co. KG</t>
  </si>
  <si>
    <t xml:space="preserve">GnpSeq</t>
  </si>
  <si>
    <t xml:space="preserve">Brassica L.</t>
  </si>
  <si>
    <t xml:space="preserve">Beatson RA, Nelson - New Zealand</t>
  </si>
  <si>
    <t xml:space="preserve">GNP05013C</t>
  </si>
  <si>
    <t xml:space="preserve">Beijing Academy of Agriculture and Forestry Sciences</t>
  </si>
  <si>
    <t xml:space="preserve">GNP3-B4</t>
  </si>
  <si>
    <t xml:space="preserve">Brassica napus var. napobrassica (L.) Rchb</t>
  </si>
  <si>
    <t xml:space="preserve">Beijing Agricultural University - Departement of Agriculture</t>
  </si>
  <si>
    <t xml:space="preserve">GOP A1</t>
  </si>
  <si>
    <t xml:space="preserve">Brassica napus var. napus L.</t>
  </si>
  <si>
    <t xml:space="preserve">Bejo</t>
  </si>
  <si>
    <t xml:space="preserve">GOP PEA-A</t>
  </si>
  <si>
    <t xml:space="preserve">Brassica nigra (L.) W. D. J. Koch</t>
  </si>
  <si>
    <t xml:space="preserve">Belloy et Compagnie</t>
  </si>
  <si>
    <t xml:space="preserve">GOP PEA-B</t>
  </si>
  <si>
    <t xml:space="preserve">Brassica oleracea L.</t>
  </si>
  <si>
    <t xml:space="preserve">Benito Poggiali, Faenza - Italy</t>
  </si>
  <si>
    <t xml:space="preserve">GOP PEA-C</t>
  </si>
  <si>
    <t xml:space="preserve">Brassica oleracea var. acephala DC.</t>
  </si>
  <si>
    <t xml:space="preserve">Bergeron Gabrielle, St-Cyr-au-Mont-d'Or Lyon - France</t>
  </si>
  <si>
    <t xml:space="preserve">GOP PEA-G</t>
  </si>
  <si>
    <t xml:space="preserve">Brassica oleracea var. botrytis L.</t>
  </si>
  <si>
    <t xml:space="preserve">BGI</t>
  </si>
  <si>
    <t xml:space="preserve">GOP Q5</t>
  </si>
  <si>
    <t xml:space="preserve">Brassica oleracea var. capitata f. capitata</t>
  </si>
  <si>
    <t xml:space="preserve">Biochemistry</t>
  </si>
  <si>
    <t xml:space="preserve">GOP T6</t>
  </si>
  <si>
    <t xml:space="preserve">Brassica oleracea var. capitata f. pyramidalis</t>
  </si>
  <si>
    <t xml:space="preserve">Biochemistry,  Department of Natural Sciences</t>
  </si>
  <si>
    <t xml:space="preserve">GPiDB</t>
  </si>
  <si>
    <t xml:space="preserve">Brassica oleracea var. capitata f. rubra</t>
  </si>
  <si>
    <t xml:space="preserve">Biochemistry and  Biophysics,  Department of Chemistry, Lundberg Laboratory</t>
  </si>
  <si>
    <t xml:space="preserve">GPLA06027C</t>
  </si>
  <si>
    <t xml:space="preserve">Brassica oleracea var. capitata L.</t>
  </si>
  <si>
    <t xml:space="preserve">Biochemistry Department</t>
  </si>
  <si>
    <t xml:space="preserve">GrainGenes</t>
  </si>
  <si>
    <t xml:space="preserve">Brassica oleracea var. costata DC.</t>
  </si>
  <si>
    <t xml:space="preserve">Biochimie et Physiologie Moleculaire des plantes</t>
  </si>
  <si>
    <t xml:space="preserve">GRAPEGEN06</t>
  </si>
  <si>
    <t xml:space="preserve">Brassica oleracea var. gemmifera (DC.) Zenker</t>
  </si>
  <si>
    <t xml:space="preserve">BIOGECO</t>
  </si>
  <si>
    <t xml:space="preserve">GrapeReSeq</t>
  </si>
  <si>
    <t xml:space="preserve">Brassica oleracea var. gongylodes L.</t>
  </si>
  <si>
    <t xml:space="preserve">BIOGEMMA</t>
  </si>
  <si>
    <t xml:space="preserve">GRAPESEQ</t>
  </si>
  <si>
    <t xml:space="preserve">Brassica oleracea var. italica Plenck</t>
  </si>
  <si>
    <t xml:space="preserve">Biogemma</t>
  </si>
  <si>
    <t xml:space="preserve">GRMap</t>
  </si>
  <si>
    <t xml:space="preserve">Brassica oleracea var. medullosa Thell.</t>
  </si>
  <si>
    <t xml:space="preserve">BIOGEMMA Mondonville</t>
  </si>
  <si>
    <t xml:space="preserve">GTPases</t>
  </si>
  <si>
    <t xml:space="preserve">Brassica oleracea var. oleracea L.</t>
  </si>
  <si>
    <t xml:space="preserve">BIOGEMMA SAS</t>
  </si>
  <si>
    <t xml:space="preserve">HA_HG1_EST</t>
  </si>
  <si>
    <t xml:space="preserve">Brassica oleracea var. ramosa DC.</t>
  </si>
  <si>
    <t xml:space="preserve">BIOGER</t>
  </si>
  <si>
    <t xml:space="preserve">Hcyl</t>
  </si>
  <si>
    <t xml:space="preserve">Brassica oleracea var. sabauda L.</t>
  </si>
  <si>
    <t xml:space="preserve">BIOGER - Equipe Analyse Fonctionnelle du genome de Botrytis cinerea</t>
  </si>
  <si>
    <t xml:space="preserve">HG1</t>
  </si>
  <si>
    <t xml:space="preserve">Brassica rapa L.</t>
  </si>
  <si>
    <t xml:space="preserve">BioInformatics</t>
  </si>
  <si>
    <t xml:space="preserve">Brassica rapa subsp. chinensis (L.) Hanelt</t>
  </si>
  <si>
    <t xml:space="preserve">Bioinformatics</t>
  </si>
  <si>
    <t xml:space="preserve">INRA_AFGBC</t>
  </si>
  <si>
    <t xml:space="preserve">Brassica rapa subsp. dichotoma (Roxb.) Hanelt</t>
  </si>
  <si>
    <t xml:space="preserve">Bioinformatics Department</t>
  </si>
  <si>
    <t xml:space="preserve">INRA_BBSRC_NUEtraits</t>
  </si>
  <si>
    <t xml:space="preserve">Brassica rapa subsp. oleifera (DC.) Metzg</t>
  </si>
  <si>
    <t xml:space="preserve">Bioinformatics Team</t>
  </si>
  <si>
    <t xml:space="preserve">INRA_CIS</t>
  </si>
  <si>
    <t xml:space="preserve">Brassica rapa subsp. pekinensis (Lour.) Hanelt</t>
  </si>
  <si>
    <t xml:space="preserve">Biological Resources Division</t>
  </si>
  <si>
    <t xml:space="preserve">INRA_EVOL</t>
  </si>
  <si>
    <t xml:space="preserve">Brassica rapa subsp. rapa L.</t>
  </si>
  <si>
    <t xml:space="preserve">Biological Sciences</t>
  </si>
  <si>
    <t xml:space="preserve">INRA_mapping</t>
  </si>
  <si>
    <t xml:space="preserve">Brassica rapa subsp. ruvo L. H. Bailey</t>
  </si>
  <si>
    <t xml:space="preserve">Biologie Cellulaire</t>
  </si>
  <si>
    <t xml:space="preserve">INRA_nitrate</t>
  </si>
  <si>
    <t xml:space="preserve">Brassica rapa subsp. trilocularis (Roxb.) Hanelt</t>
  </si>
  <si>
    <t xml:space="preserve">Biologie cellulaire</t>
  </si>
  <si>
    <t xml:space="preserve">INRA_PEA_GAP</t>
  </si>
  <si>
    <t xml:space="preserve">Bromus secalinus</t>
  </si>
  <si>
    <t xml:space="preserve">Biologie Vegetale</t>
  </si>
  <si>
    <t xml:space="preserve">INRA_POPYOMICS1</t>
  </si>
  <si>
    <t xml:space="preserve">Cabomba aquatica</t>
  </si>
  <si>
    <t xml:space="preserve">Biology</t>
  </si>
  <si>
    <t xml:space="preserve">INRA_split</t>
  </si>
  <si>
    <t xml:space="preserve">Canis lupus familiaris</t>
  </si>
  <si>
    <t xml:space="preserve">Biology Department and  Biotechnology Institute</t>
  </si>
  <si>
    <t xml:space="preserve">INRA_URLEG_IPK</t>
  </si>
  <si>
    <t xml:space="preserve">Capsicum annuum L.</t>
  </si>
  <si>
    <t xml:space="preserve">Biometrics and  Bioinformatics Unit</t>
  </si>
  <si>
    <t xml:space="preserve">INRA_Wheat_Breeding_Network</t>
  </si>
  <si>
    <t xml:space="preserve">Capsicum baccatum L.</t>
  </si>
  <si>
    <t xml:space="preserve">BioPia</t>
  </si>
  <si>
    <t xml:space="preserve">INRA_Zm</t>
  </si>
  <si>
    <t xml:space="preserve">Capsicum cardenasii L.</t>
  </si>
  <si>
    <t xml:space="preserve">Bioplante</t>
  </si>
  <si>
    <t xml:space="preserve">INRA01</t>
  </si>
  <si>
    <t xml:space="preserve">Capsicum chacoense Heiser &amp; Sm.</t>
  </si>
  <si>
    <t xml:space="preserve">Biotech Research Center</t>
  </si>
  <si>
    <t xml:space="preserve">INRA02</t>
  </si>
  <si>
    <t xml:space="preserve">Capsicum chinense</t>
  </si>
  <si>
    <t xml:space="preserve">Biotechnology</t>
  </si>
  <si>
    <t xml:space="preserve">INRA03</t>
  </si>
  <si>
    <t xml:space="preserve">Capsicum eximium Jacq.</t>
  </si>
  <si>
    <t xml:space="preserve">Biotechnology Division</t>
  </si>
  <si>
    <t xml:space="preserve">INRA04</t>
  </si>
  <si>
    <t xml:space="preserve">Capsicum frutescens Hunziker</t>
  </si>
  <si>
    <t xml:space="preserve">Biotechnology Institute</t>
  </si>
  <si>
    <t xml:space="preserve">INRA05</t>
  </si>
  <si>
    <t xml:space="preserve">Capsicum galapagoense L.</t>
  </si>
  <si>
    <t xml:space="preserve">Biotechnology Section,  Agricultural Experiment Station</t>
  </si>
  <si>
    <t xml:space="preserve">INRA06</t>
  </si>
  <si>
    <t xml:space="preserve">Capsicum L.</t>
  </si>
  <si>
    <t xml:space="preserve">Biotechnology Team</t>
  </si>
  <si>
    <t xml:space="preserve">INRA07</t>
  </si>
  <si>
    <t xml:space="preserve">Capsicum microcarpum</t>
  </si>
  <si>
    <t xml:space="preserve">Biotrop</t>
  </si>
  <si>
    <t xml:space="preserve">IN_SILICO_INFINIUM_OAK</t>
  </si>
  <si>
    <t xml:space="preserve">Capsicum praetermissum Cav.</t>
  </si>
  <si>
    <t xml:space="preserve">BiO3P</t>
  </si>
  <si>
    <t xml:space="preserve">Interop</t>
  </si>
  <si>
    <t xml:space="preserve">Capsicum pubescens</t>
  </si>
  <si>
    <t xml:space="preserve">Blanc Marie Thérèse et Jean-Claude Beaumont, Monteux - France</t>
  </si>
  <si>
    <t xml:space="preserve">IN_VITRO_INFINIUM_OAK</t>
  </si>
  <si>
    <t xml:space="preserve">Carica papaya</t>
  </si>
  <si>
    <t xml:space="preserve">BLONDEAU (ETS A)</t>
  </si>
  <si>
    <t xml:space="preserve">IN_VITRO_PETRAEA_SNP</t>
  </si>
  <si>
    <t xml:space="preserve">Castanea crenata</t>
  </si>
  <si>
    <t xml:space="preserve">BMAS</t>
  </si>
  <si>
    <t xml:space="preserve">ITEC</t>
  </si>
  <si>
    <t xml:space="preserve">Castanea crenata x dentata</t>
  </si>
  <si>
    <t xml:space="preserve">Bois Marie France, St Gilles - France</t>
  </si>
  <si>
    <t xml:space="preserve">IWGSC Wheat Survey</t>
  </si>
  <si>
    <t xml:space="preserve">Castanea crenata x henryi</t>
  </si>
  <si>
    <t xml:space="preserve">Bolivian Institute for Agricultural Technology - Chinoli Experiment Station</t>
  </si>
  <si>
    <t xml:space="preserve">Map4</t>
  </si>
  <si>
    <t xml:space="preserve">Castanea crenata x mollissima</t>
  </si>
  <si>
    <t xml:space="preserve">Bonté H. et Cie, S.A.</t>
  </si>
  <si>
    <t xml:space="preserve">Melon-GAFL</t>
  </si>
  <si>
    <t xml:space="preserve">Castanea crenata x pumila</t>
  </si>
  <si>
    <t xml:space="preserve">Boreal Plant Breeding Ltd</t>
  </si>
  <si>
    <t xml:space="preserve">Muscares</t>
  </si>
  <si>
    <t xml:space="preserve">Castanea crenata x sativa</t>
  </si>
  <si>
    <t xml:space="preserve">Boret-Godineau (bought by Vilmorin)</t>
  </si>
  <si>
    <t xml:space="preserve">NO 2001 027</t>
  </si>
  <si>
    <t xml:space="preserve">Castanea crenata x seguinii</t>
  </si>
  <si>
    <t xml:space="preserve">Botany</t>
  </si>
  <si>
    <t xml:space="preserve">NoBi2001029</t>
  </si>
  <si>
    <t xml:space="preserve">Castanea dentata</t>
  </si>
  <si>
    <t xml:space="preserve">Botany and  Plant Genetics</t>
  </si>
  <si>
    <t xml:space="preserve">NovelTree</t>
  </si>
  <si>
    <t xml:space="preserve">Castanea dentata pumila</t>
  </si>
  <si>
    <t xml:space="preserve">Boulet Luc-Pierre,  Meynes - France</t>
  </si>
  <si>
    <t xml:space="preserve">NSF</t>
  </si>
  <si>
    <t xml:space="preserve">Castanea dentata seguinii</t>
  </si>
  <si>
    <t xml:space="preserve">Boyce Thompson Institute for Plant Research</t>
  </si>
  <si>
    <t xml:space="preserve">NSF DBI Grant</t>
  </si>
  <si>
    <t xml:space="preserve">Castanea dentata x henryi</t>
  </si>
  <si>
    <t xml:space="preserve">Bretagne Plants</t>
  </si>
  <si>
    <t xml:space="preserve">Okayama University Project</t>
  </si>
  <si>
    <t xml:space="preserve">Castanea dentata x mollissima</t>
  </si>
  <si>
    <t xml:space="preserve">Bretagne Plants &amp; Syndicat des Producteur de Plants de Pontivy</t>
  </si>
  <si>
    <t xml:space="preserve">OsChip</t>
  </si>
  <si>
    <t xml:space="preserve">Castanea dentata x sativa</t>
  </si>
  <si>
    <t xml:space="preserve">Bundesversuchswirtschaft Wieselburg</t>
  </si>
  <si>
    <t xml:space="preserve">OSCRGF</t>
  </si>
  <si>
    <t xml:space="preserve">Castanea henryi</t>
  </si>
  <si>
    <t xml:space="preserve">Bureau National Interprofessionnel du Cognac</t>
  </si>
  <si>
    <t xml:space="preserve">OSCRR1</t>
  </si>
  <si>
    <t xml:space="preserve">Castanea henryi  x seguinii</t>
  </si>
  <si>
    <t xml:space="preserve">Buryat Republican State Agricultural Experiment Station</t>
  </si>
  <si>
    <t xml:space="preserve">OSEST</t>
  </si>
  <si>
    <t xml:space="preserve">Castanea henryi x mollissima</t>
  </si>
  <si>
    <t xml:space="preserve">Bvumbwe Agricultural Research Station</t>
  </si>
  <si>
    <t xml:space="preserve">OsIRD</t>
  </si>
  <si>
    <t xml:space="preserve">Castanea henryi x pumila</t>
  </si>
  <si>
    <t xml:space="preserve">Cabel Hall Citrus Ltd.</t>
  </si>
  <si>
    <t xml:space="preserve">OsMU1</t>
  </si>
  <si>
    <t xml:space="preserve">Castanea henryi x sativa</t>
  </si>
  <si>
    <t xml:space="preserve">CACBA Avenue Gaston Phoebus</t>
  </si>
  <si>
    <t xml:space="preserve">Pea Consensus</t>
  </si>
  <si>
    <t xml:space="preserve">Castanea mollissima</t>
  </si>
  <si>
    <t xml:space="preserve">Cadoux (F)</t>
  </si>
  <si>
    <t xml:space="preserve">Pea_Aphid_EST</t>
  </si>
  <si>
    <t xml:space="preserve">Castanea mollissima x pumila</t>
  </si>
  <si>
    <t xml:space="preserve">CAES Genome Facility</t>
  </si>
  <si>
    <t xml:space="preserve">PeaPql</t>
  </si>
  <si>
    <t xml:space="preserve">Castanea mollissima x sativa</t>
  </si>
  <si>
    <t xml:space="preserve">CAILLARD</t>
  </si>
  <si>
    <t xml:space="preserve">Phyto_EST_INRA</t>
  </si>
  <si>
    <t xml:space="preserve">Castanea mollissima x seguinii</t>
  </si>
  <si>
    <t xml:space="preserve">Caillard</t>
  </si>
  <si>
    <t xml:space="preserve">PlantaComp</t>
  </si>
  <si>
    <t xml:space="preserve">Castanea P. Mill.</t>
  </si>
  <si>
    <t xml:space="preserve">California Agricultural Experiment Station, University of California</t>
  </si>
  <si>
    <t xml:space="preserve">PN40024</t>
  </si>
  <si>
    <t xml:space="preserve">Castanea pumila</t>
  </si>
  <si>
    <t xml:space="preserve">California Citrus Exp. Sta.</t>
  </si>
  <si>
    <t xml:space="preserve">PoplarMap</t>
  </si>
  <si>
    <t xml:space="preserve">Castanea pumila x sativa</t>
  </si>
  <si>
    <t xml:space="preserve">California nursery</t>
  </si>
  <si>
    <t xml:space="preserve">POPSEC</t>
  </si>
  <si>
    <t xml:space="preserve">Castanea pumila x seguinii</t>
  </si>
  <si>
    <t xml:space="preserve">California State University</t>
  </si>
  <si>
    <t xml:space="preserve">private_mRNA</t>
  </si>
  <si>
    <t xml:space="preserve">Castanea sativa</t>
  </si>
  <si>
    <t xml:space="preserve">CAMBIER FRERES</t>
  </si>
  <si>
    <t xml:space="preserve">private_mRNA_WH</t>
  </si>
  <si>
    <t xml:space="preserve">Castanea sativa x seguinii</t>
  </si>
  <si>
    <t xml:space="preserve">Cambridge Science Park</t>
  </si>
  <si>
    <t xml:space="preserve">private_mRNA_ZE</t>
  </si>
  <si>
    <t xml:space="preserve">Castanea seguinii</t>
  </si>
  <si>
    <t xml:space="preserve">Canadian Clonal Genebank, Greenhouse and Processing Crops Research Centre, Agriculture and Agri-Food Canada</t>
  </si>
  <si>
    <t xml:space="preserve">priv_ATH_mRNA</t>
  </si>
  <si>
    <t xml:space="preserve">Cissus aralioides Planch.</t>
  </si>
  <si>
    <t xml:space="preserve">Canterbury Agriculture and Science Centre - DSIR - Crop Research Division</t>
  </si>
  <si>
    <t xml:space="preserve">Priv01</t>
  </si>
  <si>
    <t xml:space="preserve">Cissus cactiformis Gilg</t>
  </si>
  <si>
    <t xml:space="preserve">Caussade Semences</t>
  </si>
  <si>
    <t xml:space="preserve">pub_ATH_mRNA</t>
  </si>
  <si>
    <t xml:space="preserve">Cissus L.</t>
  </si>
  <si>
    <t xml:space="preserve">Caussade semences</t>
  </si>
  <si>
    <t xml:space="preserve">Pub_Frag_EST</t>
  </si>
  <si>
    <t xml:space="preserve">Cissus quadrangularis L.</t>
  </si>
  <si>
    <t xml:space="preserve">C.C. Benoist</t>
  </si>
  <si>
    <t xml:space="preserve">Pub_Frag_mRNA</t>
  </si>
  <si>
    <t xml:space="preserve">Cissus rotundifolia Blume</t>
  </si>
  <si>
    <t xml:space="preserve">Cebeco Hande lsraad (Commercial Section)</t>
  </si>
  <si>
    <t xml:space="preserve">Pub_Hargo_EST</t>
  </si>
  <si>
    <t xml:space="preserve">Cissus sicyoides L.</t>
  </si>
  <si>
    <t xml:space="preserve">Cebeco Seed Innovations Ltd</t>
  </si>
  <si>
    <t xml:space="preserve">Pub_Hpara_EST</t>
  </si>
  <si>
    <t xml:space="preserve">(Citrange x Citrus paradisi Macf.)</t>
  </si>
  <si>
    <t xml:space="preserve">CeBiTec</t>
  </si>
  <si>
    <t xml:space="preserve">Public</t>
  </si>
  <si>
    <t xml:space="preserve">(Citrange x (Citrus reticulata var. austera ? x Fortunella sp))</t>
  </si>
  <si>
    <t xml:space="preserve">CEFEL</t>
  </si>
  <si>
    <t xml:space="preserve">Public EST Hcy1</t>
  </si>
  <si>
    <t xml:space="preserve">(Citrange x Citrus sinensis (L.) Osb.)</t>
  </si>
  <si>
    <t xml:space="preserve">Celera AgGen</t>
  </si>
  <si>
    <t xml:space="preserve">Public mRNA Hcy</t>
  </si>
  <si>
    <t xml:space="preserve">(Citrange x Eremocitrus glauca (Lindl.) Swing.)</t>
  </si>
  <si>
    <t xml:space="preserve">Celera Aggen</t>
  </si>
  <si>
    <t xml:space="preserve">public_Est_Ap</t>
  </si>
  <si>
    <t xml:space="preserve">(Citrange x Fortunella sp.)</t>
  </si>
  <si>
    <t xml:space="preserve">Cell Biology</t>
  </si>
  <si>
    <t xml:space="preserve">public_Est_Vn</t>
  </si>
  <si>
    <t xml:space="preserve">(Citrange x Poncirus trifoliata (L.) Raf.)</t>
  </si>
  <si>
    <t xml:space="preserve">Cell Physiology</t>
  </si>
  <si>
    <t xml:space="preserve">public_mRNA</t>
  </si>
  <si>
    <t xml:space="preserve">Citreae</t>
  </si>
  <si>
    <t xml:space="preserve">Cell Technologies</t>
  </si>
  <si>
    <t xml:space="preserve">public_mRNA_Ap</t>
  </si>
  <si>
    <t xml:space="preserve">Citrinae</t>
  </si>
  <si>
    <t xml:space="preserve">Center for Biotechnology</t>
  </si>
  <si>
    <t xml:space="preserve">public_mRNA_BN</t>
  </si>
  <si>
    <t xml:space="preserve">Citropsis daweana Swingle &amp; M. Kellerm.</t>
  </si>
  <si>
    <t xml:space="preserve">Center For Genetic Resource Information</t>
  </si>
  <si>
    <t xml:space="preserve">public_mRNA_Bot</t>
  </si>
  <si>
    <t xml:space="preserve">Citropsis Swingle &amp; Kellerm.</t>
  </si>
  <si>
    <t xml:space="preserve">Center of Forest Research</t>
  </si>
  <si>
    <t xml:space="preserve">public_mRNA_OS</t>
  </si>
  <si>
    <t xml:space="preserve">Citrus alata Tan.</t>
  </si>
  <si>
    <t xml:space="preserve">Central Agricultural Research Institute</t>
  </si>
  <si>
    <t xml:space="preserve">public_mRNA_Vn</t>
  </si>
  <si>
    <t xml:space="preserve">Citrus amblycarpa (Hassk.) Ochse</t>
  </si>
  <si>
    <t xml:space="preserve">Central Res. Lab.,  Life Sci. Res. Cent.</t>
  </si>
  <si>
    <t xml:space="preserve">public_mRNA_WH</t>
  </si>
  <si>
    <t xml:space="preserve">Citrus ampullacea Hort. ex Tan.</t>
  </si>
  <si>
    <t xml:space="preserve">Centre de coopération Internationale en Recherche Agronomique pour le Développement</t>
  </si>
  <si>
    <t xml:space="preserve">public_mRNA_ZE</t>
  </si>
  <si>
    <t xml:space="preserve">Citrus anonyma Hort. ex Y. Tan.</t>
  </si>
  <si>
    <t xml:space="preserve">Centre de Genetique Moleculaire</t>
  </si>
  <si>
    <t xml:space="preserve">public_PS_mRNA</t>
  </si>
  <si>
    <t xml:space="preserve">Citrus asahikan Hort. ex Tan.</t>
  </si>
  <si>
    <t xml:space="preserve">Centre de Montpellier</t>
  </si>
  <si>
    <t xml:space="preserve">Public_Rose_EST</t>
  </si>
  <si>
    <t xml:space="preserve">Citrus assamensis Dutta &amp; Bhatt.</t>
  </si>
  <si>
    <t xml:space="preserve">centre de montpellier</t>
  </si>
  <si>
    <t xml:space="preserve">public_SB_mRNA</t>
  </si>
  <si>
    <t xml:space="preserve">Citrus aurantiaca Hort. ex Tan.</t>
  </si>
  <si>
    <t xml:space="preserve">Centre de Recherche Agronomique de l'Etat, Station d'Amelioration des Plantes</t>
  </si>
  <si>
    <t xml:space="preserve">pub_MT_EST</t>
  </si>
  <si>
    <t xml:space="preserve">Citrus aurantifolia (Christm.) Swing</t>
  </si>
  <si>
    <t xml:space="preserve">Centre de Recherches Agronomiques,  Departement deBiotechnologie</t>
  </si>
  <si>
    <t xml:space="preserve">pub_MT_mRNA</t>
  </si>
  <si>
    <t xml:space="preserve">(Citrus aurantifolia (Christm.) Swing. x Fortunella sp.)</t>
  </si>
  <si>
    <t xml:space="preserve">Centre de Recherches Agronomiques d'Alsace</t>
  </si>
  <si>
    <t xml:space="preserve">Pub_Rose_mRNA</t>
  </si>
  <si>
    <t xml:space="preserve">Citrus aurantium L.</t>
  </si>
  <si>
    <t xml:space="preserve">Centre de recherches sur les cultures abritées et industrielles</t>
  </si>
  <si>
    <t xml:space="preserve">pub_SB_EST</t>
  </si>
  <si>
    <t xml:space="preserve">(Citrus aurantium L. x Poncirus trifoliata (L.) Raf.)</t>
  </si>
  <si>
    <t xml:space="preserve">Centre d'Etudes Techniques Agricoles (CETA), Domaine de M. Genier</t>
  </si>
  <si>
    <t xml:space="preserve">pub_SUNF_mRNA</t>
  </si>
  <si>
    <t xml:space="preserve">Citrus aurata Risso</t>
  </si>
  <si>
    <t xml:space="preserve">Centre for Forest Biology and Department of Biology</t>
  </si>
  <si>
    <t xml:space="preserve">QTL_LR4_QLS</t>
  </si>
  <si>
    <t xml:space="preserve">Citrus aurea Hort. ex Tan.</t>
  </si>
  <si>
    <t xml:space="preserve">Centre for Genetic Resources, the Netherlands</t>
  </si>
  <si>
    <t xml:space="preserve">QualityLegSeed</t>
  </si>
  <si>
    <t xml:space="preserve">Citrus balincolong Tan.</t>
  </si>
  <si>
    <t xml:space="preserve">Centre for Plant Conservation Genetics</t>
  </si>
  <si>
    <t xml:space="preserve">Resequencing of  S15 mutant</t>
  </si>
  <si>
    <t xml:space="preserve">Citrus balotina Poit. &amp; Turpin</t>
  </si>
  <si>
    <t xml:space="preserve">Centre for Plant Conservation Genetics,  Southern CrossUniversity</t>
  </si>
  <si>
    <t xml:space="preserve">RIL2</t>
  </si>
  <si>
    <t xml:space="preserve">Citrus benikoji Hort. ex Tan.</t>
  </si>
  <si>
    <t xml:space="preserve">Centre for Plant Molecular Biology</t>
  </si>
  <si>
    <t xml:space="preserve">RIL345</t>
  </si>
  <si>
    <t xml:space="preserve">Citrus bergamia Risso &amp; Poit.</t>
  </si>
  <si>
    <t xml:space="preserve">Centre National de Contôle et de Certification des Semences et Plants</t>
  </si>
  <si>
    <t xml:space="preserve">RIL9</t>
  </si>
  <si>
    <t xml:space="preserve">Citrus boholensis Tan.</t>
  </si>
  <si>
    <t xml:space="preserve">Centre National de la Recherche Scientifique</t>
  </si>
  <si>
    <t xml:space="preserve">ROOTEST-SSR</t>
  </si>
  <si>
    <t xml:space="preserve">Citrus canaliculata Hort. ex Y. Tan</t>
  </si>
  <si>
    <t xml:space="preserve">Centre Régional de Ressources Génétiques du Nord-Pas-de-Calais</t>
  </si>
  <si>
    <t xml:space="preserve">Rosa_EST_INRA</t>
  </si>
  <si>
    <t xml:space="preserve">Citrus celebica Koord.</t>
  </si>
  <si>
    <t xml:space="preserve">Centre Technique de l'Olivier</t>
  </si>
  <si>
    <t xml:space="preserve">Rose_Flowering_Genes</t>
  </si>
  <si>
    <t xml:space="preserve">Citrus chuana Hort. ex Tseng</t>
  </si>
  <si>
    <t xml:space="preserve">Centro Agronomico Tropical de Investigación y Enseñanza</t>
  </si>
  <si>
    <t xml:space="preserve">Rp_EST</t>
  </si>
  <si>
    <t xml:space="preserve">Citrus clementina Hort. ex Tan.</t>
  </si>
  <si>
    <t xml:space="preserve">Centro de Edafologia y Biologia Aplicada del Segura</t>
  </si>
  <si>
    <t xml:space="preserve">Sclerotinia_on_Sunflower_2008</t>
  </si>
  <si>
    <t xml:space="preserve">(Citrus clementina Hort. ex Tan. x Poncirus trifoliata (L.) Raf.)</t>
  </si>
  <si>
    <t xml:space="preserve">Centro de Edafologia y Biologia Aplicada del Segura - Caballero Jose Egea</t>
  </si>
  <si>
    <t xml:space="preserve">SCU</t>
  </si>
  <si>
    <t xml:space="preserve">Citrus combara Raf.</t>
  </si>
  <si>
    <t xml:space="preserve">Centro de Edafologia y Biologia Aplicada del Segura - Martinez Gomez Pedro</t>
  </si>
  <si>
    <t xml:space="preserve">Seedlessness</t>
  </si>
  <si>
    <t xml:space="preserve">Citrus crenatifolia Lush.</t>
  </si>
  <si>
    <t xml:space="preserve">Centro de Investigacion Palmira Corp. Colombiana Invest. Agropec</t>
  </si>
  <si>
    <t xml:space="preserve">SNPGrapeMap</t>
  </si>
  <si>
    <t xml:space="preserve">Citrus daoxianensis S.W. He &amp; G.F. Liu</t>
  </si>
  <si>
    <t xml:space="preserve">Centro de Investigaciones Agricolas 'Alberto Boerger'</t>
  </si>
  <si>
    <t xml:space="preserve">SSRGrapeIntMap</t>
  </si>
  <si>
    <t xml:space="preserve">Citrus davaoensis Tan.</t>
  </si>
  <si>
    <t xml:space="preserve">Centro de Investigaciones Agrícolas del Pacifico-Norte, INIA</t>
  </si>
  <si>
    <t xml:space="preserve">TACP1P3</t>
  </si>
  <si>
    <t xml:space="preserve">Citrus deliciosa Ten.</t>
  </si>
  <si>
    <t xml:space="preserve">Centro di Studio per il Miglioramento Genetico degli Agrumi</t>
  </si>
  <si>
    <t xml:space="preserve">TG</t>
  </si>
  <si>
    <t xml:space="preserve">Citrus depressa Hay.</t>
  </si>
  <si>
    <t xml:space="preserve">Centro Internacional de Mejoram de Maiz y Trigo - Turkey</t>
  </si>
  <si>
    <t xml:space="preserve">TomatoDive</t>
  </si>
  <si>
    <t xml:space="preserve">Citrus duttae Tan.</t>
  </si>
  <si>
    <t xml:space="preserve">Centro Internacional de Mejoramiento de Maiz y Trigo</t>
  </si>
  <si>
    <t xml:space="preserve">TRILAT-027</t>
  </si>
  <si>
    <t xml:space="preserve">Citrus erythrosa Hort. ex Tan.</t>
  </si>
  <si>
    <t xml:space="preserve">Centro Nacional de Investigaciones Agropecuarias, FONAIAP</t>
  </si>
  <si>
    <t xml:space="preserve">Triticarte</t>
  </si>
  <si>
    <t xml:space="preserve">Citrus excelsa Wester</t>
  </si>
  <si>
    <t xml:space="preserve">Centro Nacional de Pesquisa de Mandioca e Fruticultura</t>
  </si>
  <si>
    <t xml:space="preserve">Tritipol</t>
  </si>
  <si>
    <t xml:space="preserve">Citrus flavicarpa Hort. ex Tan.</t>
  </si>
  <si>
    <t xml:space="preserve">Centro Nacional de Recursos Geneticos e Biotecnologia</t>
  </si>
  <si>
    <t xml:space="preserve">TRI017</t>
  </si>
  <si>
    <t xml:space="preserve">Citrus funadoko Hort. ex Y. Tan.</t>
  </si>
  <si>
    <t xml:space="preserve">Centro regional andino Mendoza Argentina (Centro Regional de Investigaciones Científicas y Tecnológicas)</t>
  </si>
  <si>
    <t xml:space="preserve">Udine_SSR</t>
  </si>
  <si>
    <t xml:space="preserve">Citrus genshokan Hort. ex Tan.</t>
  </si>
  <si>
    <t xml:space="preserve">Centro Regional de Investigacion INIA La Platina</t>
  </si>
  <si>
    <t xml:space="preserve">UMR5667-PREST03</t>
  </si>
  <si>
    <t xml:space="preserve">Citrus glaberrima Hort. ex Tan.</t>
  </si>
  <si>
    <t xml:space="preserve">Cereal Crops Unit</t>
  </si>
  <si>
    <t xml:space="preserve">unknown</t>
  </si>
  <si>
    <t xml:space="preserve">Citrus hainanensis Tan.</t>
  </si>
  <si>
    <t xml:space="preserve">Cereal Institute, National Agricultural Research Foundation</t>
  </si>
  <si>
    <t xml:space="preserve">USDA CSREES-NRI Grant</t>
  </si>
  <si>
    <t xml:space="preserve">Citrus halimii Stone</t>
  </si>
  <si>
    <t xml:space="preserve">Cereal Research Centre,  Agriculture &amp; Agri-Foods Canada</t>
  </si>
  <si>
    <t xml:space="preserve">VAST</t>
  </si>
  <si>
    <t xml:space="preserve">Citrus hanaju Siebold ex Shirai</t>
  </si>
  <si>
    <t xml:space="preserve">Cereal Research Centre,  Agriculture and  Agri-food Canada</t>
  </si>
  <si>
    <t xml:space="preserve">VITAROMA</t>
  </si>
  <si>
    <t xml:space="preserve">Citrus haniana Hort. ex Tseng</t>
  </si>
  <si>
    <t xml:space="preserve">Cereal Research Centre, Agriculture and Agri-Food Canada</t>
  </si>
  <si>
    <t xml:space="preserve">VMC</t>
  </si>
  <si>
    <t xml:space="preserve">Citrus hassaku Hort. ex Tan.</t>
  </si>
  <si>
    <t xml:space="preserve">Cereal Research Institute</t>
  </si>
  <si>
    <t xml:space="preserve">VO0271V</t>
  </si>
  <si>
    <t xml:space="preserve">Citrus himekitsu Hort. ex Y. Tan.</t>
  </si>
  <si>
    <t xml:space="preserve">Cereals Group,  John Innes Centre</t>
  </si>
  <si>
    <t xml:space="preserve">VTP</t>
  </si>
  <si>
    <t xml:space="preserve">Citrus hiroshimana Hort. ex Y. Tan.</t>
  </si>
  <si>
    <t xml:space="preserve">Chair of Genome Research</t>
  </si>
  <si>
    <t xml:space="preserve">VVBACLib</t>
  </si>
  <si>
    <t xml:space="preserve">Citrus honghoensis Y. M. Ye et al.</t>
  </si>
  <si>
    <t xml:space="preserve">Chambre d'Agriculture de Dordogne</t>
  </si>
  <si>
    <t xml:space="preserve">VVMD</t>
  </si>
  <si>
    <t xml:space="preserve">Citrus hyalopulpa Tan.</t>
  </si>
  <si>
    <t xml:space="preserve">Chambre d'Agriculture de la Drôme</t>
  </si>
  <si>
    <t xml:space="preserve">VVPM</t>
  </si>
  <si>
    <t xml:space="preserve">Citrus hystrix DC.</t>
  </si>
  <si>
    <t xml:space="preserve">Chambre d'Agriculture de la Gironde</t>
  </si>
  <si>
    <t xml:space="preserve">VVS</t>
  </si>
  <si>
    <t xml:space="preserve">Citrus ichangensis Swing.</t>
  </si>
  <si>
    <t xml:space="preserve">Chambre d'Agriculture de la Haute-Garonne</t>
  </si>
  <si>
    <t xml:space="preserve">Wheat_ISBP_Markers</t>
  </si>
  <si>
    <t xml:space="preserve">(Citrus ichangensis Swing. x Citrus unshiu (Mak.) Marc.)</t>
  </si>
  <si>
    <t xml:space="preserve">Chambre d'Agriculture de l'Ardèche</t>
  </si>
  <si>
    <t xml:space="preserve">Wheat_SSR_Markers</t>
  </si>
  <si>
    <t xml:space="preserve">Citrus indica Tan.</t>
  </si>
  <si>
    <t xml:space="preserve">Chambre d'Agriculture de l'Aude</t>
  </si>
  <si>
    <t xml:space="preserve">WH_EST_resist</t>
  </si>
  <si>
    <t xml:space="preserve">Citrus inflata Hort. ex Tan.</t>
  </si>
  <si>
    <t xml:space="preserve">Chambre d'Agriculture de l'Hérault</t>
  </si>
  <si>
    <t xml:space="preserve">WMC</t>
  </si>
  <si>
    <t xml:space="preserve">Citrus inflato-rugosa Hort. ex Tan.</t>
  </si>
  <si>
    <t xml:space="preserve">Chambre d'Agriculture de Loire-Atlantique</t>
  </si>
  <si>
    <t xml:space="preserve">ZM_cornsensus</t>
  </si>
  <si>
    <t xml:space="preserve">Citrus intermedia Hort. ex Tan.</t>
  </si>
  <si>
    <t xml:space="preserve">Chambre d'Agriculture de l'Yonne</t>
  </si>
  <si>
    <t xml:space="preserve">ZMS1P1_DGT</t>
  </si>
  <si>
    <t xml:space="preserve">Citrus iriomotensis Hort. ex Tan.</t>
  </si>
  <si>
    <t xml:space="preserve">Chambre d'Agriculture de Saône-et-Loire</t>
  </si>
  <si>
    <t xml:space="preserve">ZmS1P2</t>
  </si>
  <si>
    <t xml:space="preserve">Citrus iwaikan Hort. ex Y. Tan.</t>
  </si>
  <si>
    <t xml:space="preserve">Chambre d'Agriculture de Savoie</t>
  </si>
  <si>
    <t xml:space="preserve">ZMS1P8</t>
  </si>
  <si>
    <t xml:space="preserve">Citrus iyo Hort. ex Tan.</t>
  </si>
  <si>
    <t xml:space="preserve">Chambre d'Agriculture des Bouches-du-Rhône</t>
  </si>
  <si>
    <t xml:space="preserve">ZmS1P9</t>
  </si>
  <si>
    <t xml:space="preserve">Citrus jambhiri Lush.</t>
  </si>
  <si>
    <t xml:space="preserve">Chambre d'Agriculture des Landes</t>
  </si>
  <si>
    <t xml:space="preserve">ZmS2P1</t>
  </si>
  <si>
    <t xml:space="preserve">Citrus javanica Blume</t>
  </si>
  <si>
    <t xml:space="preserve">Chambre d'Agriculture des Pyrénées-Atlantiques</t>
  </si>
  <si>
    <t xml:space="preserve">ZmS2P2</t>
  </si>
  <si>
    <t xml:space="preserve">Citrus junos Siebold ex Tan.</t>
  </si>
  <si>
    <t xml:space="preserve">Chambre d'Agriculture des Pyrénées-Orientales</t>
  </si>
  <si>
    <t xml:space="preserve">ZmS2P3</t>
  </si>
  <si>
    <t xml:space="preserve">Citrus karna Raf.</t>
  </si>
  <si>
    <t xml:space="preserve">Chambre d'Agriculture d'Indre-et-Loire</t>
  </si>
  <si>
    <t xml:space="preserve">ZMS3P1</t>
  </si>
  <si>
    <t xml:space="preserve">Citrus keraji Hort. ex Tan.</t>
  </si>
  <si>
    <t xml:space="preserve">Chambre d'Agriculture du Gard</t>
  </si>
  <si>
    <t xml:space="preserve">ZMS3P2</t>
  </si>
  <si>
    <t xml:space="preserve">Citrus kerrii Tan.</t>
  </si>
  <si>
    <t xml:space="preserve">Chambre d'Agriculture du Gers</t>
  </si>
  <si>
    <t xml:space="preserve">ZMS3P2-ZmDIGEST</t>
  </si>
  <si>
    <t xml:space="preserve">Citrus kinokuni Hort. ex Tan.</t>
  </si>
  <si>
    <t xml:space="preserve">Chambre d'Agriculture du Jura</t>
  </si>
  <si>
    <t xml:space="preserve">Rapsodyn</t>
  </si>
  <si>
    <t xml:space="preserve">Citrus kotokan Hayata</t>
  </si>
  <si>
    <t xml:space="preserve">Chambre d'Agriculture du Loir-et-Cher</t>
  </si>
  <si>
    <t xml:space="preserve">Citrus L.</t>
  </si>
  <si>
    <t xml:space="preserve">Chambre d'Agriculture du Lot</t>
  </si>
  <si>
    <t xml:space="preserve">Citrus latifolia Tan.</t>
  </si>
  <si>
    <t xml:space="preserve">Chambre d'Agriculture du Lot-et-Garonne</t>
  </si>
  <si>
    <t xml:space="preserve">Citrus latipes (Swing.) Tan.</t>
  </si>
  <si>
    <t xml:space="preserve">Chambre d'Agriculture du Maine-et-Loire</t>
  </si>
  <si>
    <t xml:space="preserve">Citrus leiocarpa Hort. ex Tan.</t>
  </si>
  <si>
    <t xml:space="preserve">Chambre d'Agriculture du Puy-de-Dôme</t>
  </si>
  <si>
    <t xml:space="preserve">Citrus limetta Risso</t>
  </si>
  <si>
    <t xml:space="preserve">Chambre d'Agriculture du Tarn</t>
  </si>
  <si>
    <t xml:space="preserve">Citrus limettioides Tan.</t>
  </si>
  <si>
    <t xml:space="preserve">Chambre d'Agriculture du Tarn-et-Garonne</t>
  </si>
  <si>
    <t xml:space="preserve">Citrus limon (L.) Burm.</t>
  </si>
  <si>
    <t xml:space="preserve">Chambre d'Agriculture du Var</t>
  </si>
  <si>
    <t xml:space="preserve">(Citrus limon (L.) Burm. x Citrus aurantifolia (Christm.) Swing.)</t>
  </si>
  <si>
    <t xml:space="preserve">Chambre d'Agriculture du Vaucluse</t>
  </si>
  <si>
    <t xml:space="preserve">(Citrus limon (L.) Burm. x Citrus reticulata Blanco)</t>
  </si>
  <si>
    <t xml:space="preserve">Chambre Régionale d'Agriculture d'Auvergne</t>
  </si>
  <si>
    <t xml:space="preserve">(Citrus limon (L.) Burm. x Citrus sinensis (L.) Osb.)</t>
  </si>
  <si>
    <t xml:space="preserve">Chaozhou Fruit Research Institute</t>
  </si>
  <si>
    <t xml:space="preserve">(Citrus limon (L.) Burm. x Fortunella sp.)</t>
  </si>
  <si>
    <t xml:space="preserve">Charlottetown Research Centre, Agriculture and Agri-Food Canada</t>
  </si>
  <si>
    <t xml:space="preserve">(Citrus limon (L.) Burm. x Poncirus trifoliata (L.) Raf.)</t>
  </si>
  <si>
    <t xml:space="preserve">Chiayi Agricultural Experiment Station</t>
  </si>
  <si>
    <t xml:space="preserve">Citrus limonia Osb.</t>
  </si>
  <si>
    <t xml:space="preserve">Chinese Academy of Agriculture Sciences</t>
  </si>
  <si>
    <t xml:space="preserve">Citrus limonimedica Lush.</t>
  </si>
  <si>
    <t xml:space="preserve">CIAT</t>
  </si>
  <si>
    <t xml:space="preserve">Citrus longilimon Tan.</t>
  </si>
  <si>
    <t xml:space="preserve">CIP</t>
  </si>
  <si>
    <t xml:space="preserve">Citrus longispina Wester</t>
  </si>
  <si>
    <t xml:space="preserve">CIRAD-FLHOR</t>
  </si>
  <si>
    <t xml:space="preserve">Citrus lumia Risso &amp; Poit.</t>
  </si>
  <si>
    <t xml:space="preserve">CIRAD-FLHOR - Guadeloupe</t>
  </si>
  <si>
    <t xml:space="preserve">Citrus luteo-turgida Hort. ex Tan.</t>
  </si>
  <si>
    <t xml:space="preserve">CIRAD-FLHOR - Réunion</t>
  </si>
  <si>
    <t xml:space="preserve">Citrus lycopersicaeformis (Lush.) Hort. ex Tan.</t>
  </si>
  <si>
    <t xml:space="preserve">CIRAD-FLHOR Martinique</t>
  </si>
  <si>
    <t xml:space="preserve">Citrus macrolimon Tan.</t>
  </si>
  <si>
    <t xml:space="preserve">Citrus &amp; Subtropical Fruit Research Institute</t>
  </si>
  <si>
    <t xml:space="preserve">Citrus macrophylla Wester</t>
  </si>
  <si>
    <t xml:space="preserve">Citrus &amp; Subtropical Hort. Research Station</t>
  </si>
  <si>
    <t xml:space="preserve">Citrus macroptera Montr.</t>
  </si>
  <si>
    <t xml:space="preserve">Citrus Budwood Registration Bureau</t>
  </si>
  <si>
    <t xml:space="preserve">Citrus maderaspatana Hort. ex Tan.</t>
  </si>
  <si>
    <t xml:space="preserve">Citrus Clonal Protection Program</t>
  </si>
  <si>
    <t xml:space="preserve">Citrus madurensis Lour.</t>
  </si>
  <si>
    <t xml:space="preserve">Citrus Experimental Station</t>
  </si>
  <si>
    <t xml:space="preserve">Citrus mangshanensis</t>
  </si>
  <si>
    <t xml:space="preserve">Citrus Research Center</t>
  </si>
  <si>
    <t xml:space="preserve">Citrus maxima (Burm.) Merr.</t>
  </si>
  <si>
    <t xml:space="preserve">Citrus Research Institute</t>
  </si>
  <si>
    <t xml:space="preserve">(Citrus maxima (Burm.) Merr. x Citrus ichangensis Swing.)</t>
  </si>
  <si>
    <t xml:space="preserve">Citrus Research Institute - Turquie</t>
  </si>
  <si>
    <t xml:space="preserve">Citrus medica L.</t>
  </si>
  <si>
    <t xml:space="preserve">CIVAM Région Corse</t>
  </si>
  <si>
    <t xml:space="preserve">Citrus medioglobosa Hort. ex Tan.</t>
  </si>
  <si>
    <t xml:space="preserve">Claeys-Luck</t>
  </si>
  <si>
    <t xml:space="preserve">Citrus megaloxycarpa Lush.</t>
  </si>
  <si>
    <t xml:space="preserve">Clause</t>
  </si>
  <si>
    <t xml:space="preserve">Citrus mellarosa Risso</t>
  </si>
  <si>
    <t xml:space="preserve">Clause semences</t>
  </si>
  <si>
    <t xml:space="preserve">Citrus meyeri Y. Tan.</t>
  </si>
  <si>
    <t xml:space="preserve">Clause Vegetable Seeds St Rémy</t>
  </si>
  <si>
    <t xml:space="preserve">Citrus miaray Wester</t>
  </si>
  <si>
    <t xml:space="preserve">Clause Vegetable Seeds Valence</t>
  </si>
  <si>
    <t xml:space="preserve">Citrus micrantha Wester</t>
  </si>
  <si>
    <t xml:space="preserve">Clemson University Genomics Institute</t>
  </si>
  <si>
    <t xml:space="preserve">Citrus mitsuharu Hort. ex Y. Tan.</t>
  </si>
  <si>
    <t xml:space="preserve">CNB</t>
  </si>
  <si>
    <t xml:space="preserve">Citrus montana Tan.</t>
  </si>
  <si>
    <t xml:space="preserve">CNB-CSIC</t>
  </si>
  <si>
    <t xml:space="preserve">Citrus myrtifolia Raf.</t>
  </si>
  <si>
    <t xml:space="preserve">CNRGV</t>
  </si>
  <si>
    <t xml:space="preserve">Citrus nana Tan.</t>
  </si>
  <si>
    <t xml:space="preserve">C.N.R.S.,  Institut des Sciences du Vegetal</t>
  </si>
  <si>
    <t xml:space="preserve">Citrus natsudaidai Hay.</t>
  </si>
  <si>
    <t xml:space="preserve">CNRS ALIMENTEC</t>
  </si>
  <si>
    <t xml:space="preserve">Citrus neo-aurantium Tan.</t>
  </si>
  <si>
    <t xml:space="preserve">CNRS ERS</t>
  </si>
  <si>
    <t xml:space="preserve">Citrus nippokoreana Tan.</t>
  </si>
  <si>
    <t xml:space="preserve">CNRS UMR 5096</t>
  </si>
  <si>
    <t xml:space="preserve">Citrus nobilis Lour.</t>
  </si>
  <si>
    <t xml:space="preserve">Coker's Pedigree Seed Co.</t>
  </si>
  <si>
    <t xml:space="preserve">Citrus oblonga Hort. ex Y. Tan.</t>
  </si>
  <si>
    <t xml:space="preserve">College of life science</t>
  </si>
  <si>
    <t xml:space="preserve">Citrus obovoidea Hort. ex Tak.</t>
  </si>
  <si>
    <t xml:space="preserve">Colorado Agricultural Experiment Station, Colorado State University</t>
  </si>
  <si>
    <t xml:space="preserve">Citrus obversa Hassk.</t>
  </si>
  <si>
    <t xml:space="preserve">Comité Interprofessionnel de Sélection de la Vigne de Savoie</t>
  </si>
  <si>
    <t xml:space="preserve">Citrus odorata Wester ex. Tan.</t>
  </si>
  <si>
    <t xml:space="preserve">Comité Interprofessionnel des Vins d'Alsace</t>
  </si>
  <si>
    <t xml:space="preserve">Citrus oleocarpa Hort. ex Tan.</t>
  </si>
  <si>
    <t xml:space="preserve">Comité Interprofessionnel des Vins de Champagne</t>
  </si>
  <si>
    <t xml:space="preserve">Citrus omikanto Hort. ex Y. Tan.</t>
  </si>
  <si>
    <t xml:space="preserve">Commonwealth Scientific and  Industrial Research OrganisationDivision of Plant Industry</t>
  </si>
  <si>
    <t xml:space="preserve">Citrus otachibana Hort. ex Y. Tan.</t>
  </si>
  <si>
    <t xml:space="preserve">Commonwealth Scientific and Industrial Research Organisation</t>
  </si>
  <si>
    <t xml:space="preserve">Citrus oto Hort. ex Y. Tan.</t>
  </si>
  <si>
    <t xml:space="preserve">Comparative Genetics Unit</t>
  </si>
  <si>
    <t xml:space="preserve">Citrus ovata Hassk.</t>
  </si>
  <si>
    <t xml:space="preserve">Complex Carbohydrate Research Center</t>
  </si>
  <si>
    <t xml:space="preserve">Citrus panuban (Wester) Tan.</t>
  </si>
  <si>
    <t xml:space="preserve">Consejo Superior de Investigaciones Científicas</t>
  </si>
  <si>
    <t xml:space="preserve">Citrus papaya Hassk.</t>
  </si>
  <si>
    <t xml:space="preserve">Conservatoire Botanique National de Bailleul</t>
  </si>
  <si>
    <t xml:space="preserve">Citrus papillaris Blanco</t>
  </si>
  <si>
    <t xml:space="preserve">Citrus paradisi Macf.</t>
  </si>
  <si>
    <t xml:space="preserve">Conservatoire Botanique National Méditerranéen de Porquerolles + INRA Montpellier</t>
  </si>
  <si>
    <t xml:space="preserve">(Citrus paradisi Macf. x Citrus sinensis (L.) Osb.)</t>
  </si>
  <si>
    <t xml:space="preserve">Conservatoire du Vignoble Charentais - IREO</t>
  </si>
  <si>
    <t xml:space="preserve">(Citrus paradisi Macf. x Poncirus trifoliata (L.) Raf.)</t>
  </si>
  <si>
    <t xml:space="preserve">Conservatoire Régional des Cépages de Midi-Pyrénées</t>
  </si>
  <si>
    <t xml:space="preserve">Citrus paratangerina Hort. ex Tan.</t>
  </si>
  <si>
    <t xml:space="preserve">Conservatoire Régional d'Espèces Fruitières Anciennes et de Vignes de Midi-Pyrénées</t>
  </si>
  <si>
    <t xml:space="preserve">Citrus pennivesiculata (Lush.) Tan.</t>
  </si>
  <si>
    <t xml:space="preserve">Conservatoire Végétal Régional d'Aquitaine</t>
  </si>
  <si>
    <t xml:space="preserve">Citrus peretta Risso</t>
  </si>
  <si>
    <t xml:space="preserve">Coopérative Agricole AGORA</t>
  </si>
  <si>
    <t xml:space="preserve">Citrus platymamma Hort. ex Tan.</t>
  </si>
  <si>
    <t xml:space="preserve">Coopérative Agricole Provence Languedoc</t>
  </si>
  <si>
    <t xml:space="preserve">Citrus ponki (Hayata) Hort. ex Tan.</t>
  </si>
  <si>
    <t xml:space="preserve">Coopérative de Lennon</t>
  </si>
  <si>
    <t xml:space="preserve">Citrus pseudo-aurantium Hort. ex Y. Tan.</t>
  </si>
  <si>
    <t xml:space="preserve">Coopérative Fleuron d'Anjou</t>
  </si>
  <si>
    <t xml:space="preserve">Citrus pseudograndis Hort. ex Shirai</t>
  </si>
  <si>
    <t xml:space="preserve">Cornell Agricultural Experiment Station, University of Cornell</t>
  </si>
  <si>
    <t xml:space="preserve">Citrus pseudogulgul Hort. ex Shirai</t>
  </si>
  <si>
    <t xml:space="preserve">Corporacion Colombiana de Investigacion Agropecuaria Tibaitata, CORPOICA</t>
  </si>
  <si>
    <t xml:space="preserve">Citrus pseudolimon Tan.</t>
  </si>
  <si>
    <t xml:space="preserve">Cowra Experiment Farm</t>
  </si>
  <si>
    <t xml:space="preserve">Citrus pseudolimonum Wester</t>
  </si>
  <si>
    <t xml:space="preserve">CRA-Unitá di Ricerca per la Maiscoltura</t>
  </si>
  <si>
    <t xml:space="preserve">Citrus pseudopapillaris Tan.</t>
  </si>
  <si>
    <t xml:space="preserve">CRA-Unitá di Ricerca per la Valorizzazione Qualitativa dei Cereali</t>
  </si>
  <si>
    <t xml:space="preserve">Citrus pseudoparadisi Hort. ex Y. Tan.</t>
  </si>
  <si>
    <t xml:space="preserve">Criadero Klein S.A.</t>
  </si>
  <si>
    <t xml:space="preserve">Citrus pseudosunki Hort. ex Tan.</t>
  </si>
  <si>
    <t xml:space="preserve">C.R.I.D.A.</t>
  </si>
  <si>
    <t xml:space="preserve">Citrus pyriformis Hassk.</t>
  </si>
  <si>
    <t xml:space="preserve">Crop &amp; Food Research</t>
  </si>
  <si>
    <t xml:space="preserve">Citrus reshni Hort. ex Tan.</t>
  </si>
  <si>
    <t xml:space="preserve">Crop Breeding Institute</t>
  </si>
  <si>
    <t xml:space="preserve">Citrus reticulata Blanco</t>
  </si>
  <si>
    <t xml:space="preserve">Crop Development Centre, University of Saskatchewan</t>
  </si>
  <si>
    <t xml:space="preserve">(Citrus reticulata Blanco x Citrus aurantium L.)</t>
  </si>
  <si>
    <t xml:space="preserve">Crop Experimental Station Rural Development Administration</t>
  </si>
  <si>
    <t xml:space="preserve">(Citrus reticulata Blanco x Citrus paradisi Macf.)</t>
  </si>
  <si>
    <t xml:space="preserve">Crop Genetics</t>
  </si>
  <si>
    <t xml:space="preserve">(Citrus reticulata Blanco x Citrus sinensis (L.) Osb.)</t>
  </si>
  <si>
    <t xml:space="preserve">Crop Performance and  Improvement Department</t>
  </si>
  <si>
    <t xml:space="preserve">(Citrus reticulata Blanco x Fortunella sp.)</t>
  </si>
  <si>
    <t xml:space="preserve">Crop Production &amp; Pest Control Research Unit</t>
  </si>
  <si>
    <t xml:space="preserve">(Citrus reticulata Blanco x Poncirus trifoliata (L.) Raf.)</t>
  </si>
  <si>
    <t xml:space="preserve">Crop Research Institute, Olomouc</t>
  </si>
  <si>
    <t xml:space="preserve">Citrus rissoi Risso</t>
  </si>
  <si>
    <t xml:space="preserve">Crop Research Institute Plant Genetic Resources Unit</t>
  </si>
  <si>
    <t xml:space="preserve">Citrus rokugatsu Hort. ex Y. Tan.</t>
  </si>
  <si>
    <t xml:space="preserve">Crop Science</t>
  </si>
  <si>
    <t xml:space="preserve">Citrus rugulosa Hort. ex Tan.</t>
  </si>
  <si>
    <t xml:space="preserve">Citrus sarbati Tan.</t>
  </si>
  <si>
    <t xml:space="preserve">CSIRO Plant Industry</t>
  </si>
  <si>
    <t xml:space="preserve">Citrus semperflorens Lush.</t>
  </si>
  <si>
    <t xml:space="preserve">CSIRO Production and Processing</t>
  </si>
  <si>
    <t xml:space="preserve">Citrus shunkokan Hort. ex Tan.</t>
  </si>
  <si>
    <t xml:space="preserve">CTIFL Centre Technique Interprofessionnel des Fruits et Légumes, Centre de Lanxade</t>
  </si>
  <si>
    <t xml:space="preserve">Citrus sinensis (L.) Osb.</t>
  </si>
  <si>
    <t xml:space="preserve">Danko Hodowla Ro'slin sp. z o.o.</t>
  </si>
  <si>
    <t xml:space="preserve">(Citrus sinensis (L.) Osb. x Poncirus trifoliata (L.) Raf.)</t>
  </si>
  <si>
    <t xml:space="preserve">Davao Experimental Station</t>
  </si>
  <si>
    <t xml:space="preserve">Citrus sinograndis Hort. ex Y. Tan.</t>
  </si>
  <si>
    <t xml:space="preserve">De Groot en Slot BV</t>
  </si>
  <si>
    <t xml:space="preserve">Citrus southwickii Wester</t>
  </si>
  <si>
    <t xml:space="preserve">De Regibus Christian,  Saxon - Suisse</t>
  </si>
  <si>
    <t xml:space="preserve">Citrus sp.</t>
  </si>
  <si>
    <t xml:space="preserve">De Voetakker BV</t>
  </si>
  <si>
    <t xml:space="preserve">Citrus sphaerocarpa Tan.</t>
  </si>
  <si>
    <t xml:space="preserve">DeKalb AgResearch Inc.</t>
  </si>
  <si>
    <t xml:space="preserve">Citrus suavissima Hort. ex Tan.</t>
  </si>
  <si>
    <t xml:space="preserve">Delaware Biotechnology Institute</t>
  </si>
  <si>
    <t xml:space="preserve">Citrus succosa Hort. ex Tan.</t>
  </si>
  <si>
    <t xml:space="preserve">Delley Samen und Pflanzen AG</t>
  </si>
  <si>
    <t xml:space="preserve">Citrus sudachi Hort. ex Shirai</t>
  </si>
  <si>
    <t xml:space="preserve">Denaiffe et Fils</t>
  </si>
  <si>
    <t xml:space="preserve">Citrus suhuiensis Hort. ex Tan.</t>
  </si>
  <si>
    <t xml:space="preserve">Dep. of Biological Science</t>
  </si>
  <si>
    <t xml:space="preserve">Citrus suizabon Tan.</t>
  </si>
  <si>
    <t xml:space="preserve">Departamento de Citricultura, Estação N. Fruticultura 'Vieira Natividade'</t>
  </si>
  <si>
    <t xml:space="preserve">Citrus sulcata Hort. ex Tak.</t>
  </si>
  <si>
    <t xml:space="preserve">Departamento Genetica Evolutiva</t>
  </si>
  <si>
    <t xml:space="preserve">Citrus sunki Hort. ex Tan.</t>
  </si>
  <si>
    <t xml:space="preserve">Departement de phytologie, Universite Laval</t>
  </si>
  <si>
    <t xml:space="preserve">Citrus tachibana (Mak.) Tan.</t>
  </si>
  <si>
    <t xml:space="preserve">Departement des Sciences biologiques</t>
  </si>
  <si>
    <t xml:space="preserve">Citrus taiwanica Tan. &amp; Shim.</t>
  </si>
  <si>
    <t xml:space="preserve">Department of Agricultural Botany</t>
  </si>
  <si>
    <t xml:space="preserve">Citrus takuma-sudachi Hort. ex Tan.</t>
  </si>
  <si>
    <t xml:space="preserve">Department of Agriculture</t>
  </si>
  <si>
    <t xml:space="preserve">Citrus tamurana Hort. ex Tan.</t>
  </si>
  <si>
    <t xml:space="preserve">Department of Agronomy</t>
  </si>
  <si>
    <t xml:space="preserve">Citrus tangerina Hort. ex Tan.</t>
  </si>
  <si>
    <t xml:space="preserve">Department of Agronomy and  Plant Genetics</t>
  </si>
  <si>
    <t xml:space="preserve">Citrus tankan Hay.</t>
  </si>
  <si>
    <t xml:space="preserve">Department of Agronomy and  Plant Genetics,  University ofMinnesota</t>
  </si>
  <si>
    <t xml:space="preserve">Citrus tardiferax Hort. ex Tan.</t>
  </si>
  <si>
    <t xml:space="preserve">Department of Agronomy and Range Science</t>
  </si>
  <si>
    <t xml:space="preserve">Citrus tardiva Hort. ex Shirai</t>
  </si>
  <si>
    <t xml:space="preserve">Department of Biochemistry</t>
  </si>
  <si>
    <t xml:space="preserve">Citrus tarogayo Hort. ex Y. Tan.</t>
  </si>
  <si>
    <t xml:space="preserve">Department of Biochemistry and  Biophysics</t>
  </si>
  <si>
    <t xml:space="preserve">Citrus temple Hort. ex Y. Tan.</t>
  </si>
  <si>
    <t xml:space="preserve">Department of Biological Sciences</t>
  </si>
  <si>
    <t xml:space="preserve">(Citrus temple Hort. ex Y. Tan. x Citrus paradisi Macf.)</t>
  </si>
  <si>
    <t xml:space="preserve">Department of Biological Sciences and  Howard Hughes MedicalInstitute</t>
  </si>
  <si>
    <t xml:space="preserve">Citrus tengu Hort. ex Tan.</t>
  </si>
  <si>
    <t xml:space="preserve">Department of Biology</t>
  </si>
  <si>
    <t xml:space="preserve">Citrus tosa-asahi Hort. ex Y. Tan.</t>
  </si>
  <si>
    <t xml:space="preserve">Department of Biology,  Faculty of Science</t>
  </si>
  <si>
    <t xml:space="preserve">Citrus truncata Hort. ex Tan.</t>
  </si>
  <si>
    <t xml:space="preserve">Department of Biology and Biocenter Oulu</t>
  </si>
  <si>
    <t xml:space="preserve">Citrus tumida Hort. ex Tan.</t>
  </si>
  <si>
    <t xml:space="preserve">Department of Biology/Plant Genetics Group</t>
  </si>
  <si>
    <t xml:space="preserve">Citrus ujukitsu Tan.</t>
  </si>
  <si>
    <t xml:space="preserve">Department of Biosciences, Plant Physiology</t>
  </si>
  <si>
    <t xml:space="preserve">Citrus unshiu (Mak.) Mar.</t>
  </si>
  <si>
    <t xml:space="preserve">Department of Biotechnology</t>
  </si>
  <si>
    <t xml:space="preserve">(Citrus unshiu (Mak.) Marc. x (F. japonica x F. margarita 'Meiwa'))</t>
  </si>
  <si>
    <t xml:space="preserve">Department of Biotechnology Graduate School of Engineering</t>
  </si>
  <si>
    <t xml:space="preserve">Citrus vitiensis Tan.</t>
  </si>
  <si>
    <t xml:space="preserve">Department of Botany and  Plant Pathology</t>
  </si>
  <si>
    <t xml:space="preserve">Citrus webberii Wester</t>
  </si>
  <si>
    <t xml:space="preserve">Department of Botany, Faculty of Science, Chulalongkorn University</t>
  </si>
  <si>
    <t xml:space="preserve">Citrus westeri Tan.</t>
  </si>
  <si>
    <t xml:space="preserve">Department of Cell biology</t>
  </si>
  <si>
    <t xml:space="preserve">Citrus wilsonii Tan.</t>
  </si>
  <si>
    <t xml:space="preserve">Department of Crop Science,  division of Biotechnology and Genetic Engineering</t>
  </si>
  <si>
    <t xml:space="preserve">Citrus yamabuki Hort. ex Y. Tan.</t>
  </si>
  <si>
    <t xml:space="preserve">Department of Crop Science Agricultural University of Norway</t>
  </si>
  <si>
    <t xml:space="preserve">Citrus yanbaruensis Hort. ex Tan.</t>
  </si>
  <si>
    <t xml:space="preserve">Department of Cytogenetics</t>
  </si>
  <si>
    <t xml:space="preserve">Citrus yatsushiro Hort. ex Tan.</t>
  </si>
  <si>
    <t xml:space="preserve">Department of Ecology &amp; Evolutionary Biology</t>
  </si>
  <si>
    <t xml:space="preserve">Citrus yuge-hyokan Hort. ex Y. Tan.</t>
  </si>
  <si>
    <t xml:space="preserve">Department of Ecology and  Evolutionary Biology</t>
  </si>
  <si>
    <t xml:space="preserve">Citrus yuko Hort. ex Tan.</t>
  </si>
  <si>
    <t xml:space="preserve">Department of Enthomology,  plant protection Institute</t>
  </si>
  <si>
    <t xml:space="preserve">Clausena Burm. f.</t>
  </si>
  <si>
    <t xml:space="preserve">Department of Entomology</t>
  </si>
  <si>
    <t xml:space="preserve">Clausena excavata Burm. f.</t>
  </si>
  <si>
    <t xml:space="preserve">Department of Forest Genetics and Plant Physiology</t>
  </si>
  <si>
    <t xml:space="preserve">Clausena lansium (Lour.) Skeels</t>
  </si>
  <si>
    <t xml:space="preserve">Department of Forestry</t>
  </si>
  <si>
    <t xml:space="preserve">Clauseneae</t>
  </si>
  <si>
    <t xml:space="preserve">Department of Genetics</t>
  </si>
  <si>
    <t xml:space="preserve">Clauseninae</t>
  </si>
  <si>
    <t xml:space="preserve">Department of Genetics and  Forestry and  AgriculturalBiotechnology Institute</t>
  </si>
  <si>
    <t xml:space="preserve">Clematicissus angustissima (F.Muell.) Planch.</t>
  </si>
  <si>
    <t xml:space="preserve">Department of Genetics and  Genomics - Trisaia ResearchCentre</t>
  </si>
  <si>
    <t xml:space="preserve">Clematicissus Planch.</t>
  </si>
  <si>
    <t xml:space="preserve">Department of Genetics and Plant Breeding, University of Agricultural Sciences</t>
  </si>
  <si>
    <t xml:space="preserve">Cucumis L.</t>
  </si>
  <si>
    <t xml:space="preserve">Department of Genomics,  evolution and  development</t>
  </si>
  <si>
    <t xml:space="preserve">Cucumis melo L.</t>
  </si>
  <si>
    <t xml:space="preserve">Department of Horticultural Sciences, Saga University</t>
  </si>
  <si>
    <t xml:space="preserve">Cucumis melo ssp. agrestis</t>
  </si>
  <si>
    <t xml:space="preserve">Department of Horticulture</t>
  </si>
  <si>
    <t xml:space="preserve">Cucumis melo ssp. agrestis f. Acidulus</t>
  </si>
  <si>
    <t xml:space="preserve">Department of Plant Biology</t>
  </si>
  <si>
    <t xml:space="preserve">Cucumis melo ssp. agrestis f. Chinensis</t>
  </si>
  <si>
    <t xml:space="preserve">Department of Plant Biotechnology</t>
  </si>
  <si>
    <t xml:space="preserve">Cucumis melo ssp. agrestis f. Conomon</t>
  </si>
  <si>
    <t xml:space="preserve">Department of Plant Genetics</t>
  </si>
  <si>
    <t xml:space="preserve">Cucumis melo ssp. agrestis f. Makuwa</t>
  </si>
  <si>
    <t xml:space="preserve">Department of Plant Molecular Biology</t>
  </si>
  <si>
    <t xml:space="preserve">Cucumis melo ssp. agrestis f. Momordica</t>
  </si>
  <si>
    <t xml:space="preserve">Department of Plant Pathology</t>
  </si>
  <si>
    <t xml:space="preserve">Cucumis melo ssp. agrestis f. Tibish</t>
  </si>
  <si>
    <t xml:space="preserve">Department of Plant Science</t>
  </si>
  <si>
    <t xml:space="preserve">Cucumis melo ssp. melo</t>
  </si>
  <si>
    <t xml:space="preserve">Department of Plant Sciences</t>
  </si>
  <si>
    <t xml:space="preserve">Cucumis melo ssp. melo f. Ameri</t>
  </si>
  <si>
    <t xml:space="preserve">Department of Plant Sciences,  School of Life Sciences</t>
  </si>
  <si>
    <t xml:space="preserve">Cucumis melo ssp. melo f. Cantalupensis</t>
  </si>
  <si>
    <t xml:space="preserve">Department of Primary Industries</t>
  </si>
  <si>
    <t xml:space="preserve">Cucumis melo ssp. melo f. Cantalupensis gr. Charentais</t>
  </si>
  <si>
    <t xml:space="preserve">Department of Scientific and Industrial Research</t>
  </si>
  <si>
    <t xml:space="preserve">Cucumis melo ssp. melo f. Chandalak</t>
  </si>
  <si>
    <t xml:space="preserve">Department of Soil&amp;Crops</t>
  </si>
  <si>
    <t xml:space="preserve">Cucumis melo ssp. melo f. Chate</t>
  </si>
  <si>
    <t xml:space="preserve">Department of Vegetable Crops,  R.W.Michelmore Lab</t>
  </si>
  <si>
    <t xml:space="preserve">Cucumis melo ssp. melo f. Dudaim</t>
  </si>
  <si>
    <t xml:space="preserve">Department of Viticulture and Enology</t>
  </si>
  <si>
    <t xml:space="preserve">Cucumis melo ssp. melo f. Flexuosus</t>
  </si>
  <si>
    <t xml:space="preserve">Dept. of Biochemistry &amp; Molecular Biology</t>
  </si>
  <si>
    <t xml:space="preserve">Cucumis melo ssp. melo f. Inodorus</t>
  </si>
  <si>
    <t xml:space="preserve">Dept. of Horticulture</t>
  </si>
  <si>
    <t xml:space="preserve">Cucumis melo ssp. melo f. Inodorus gr. Canari</t>
  </si>
  <si>
    <t xml:space="preserve">Dept of Molecular Biosciences</t>
  </si>
  <si>
    <t xml:space="preserve">Cucumis melo ssp. melo f. Inodorus gr. Honeydew</t>
  </si>
  <si>
    <t xml:space="preserve">Dept. of Plant and  Soil Science,  Montana State University</t>
  </si>
  <si>
    <t xml:space="preserve">Cucumis melo ssp. melo f. Inodorus gr. Piel de sapo</t>
  </si>
  <si>
    <t xml:space="preserve">Dept. of Plant Pathology</t>
  </si>
  <si>
    <t xml:space="preserve">Cucumis melo ssp. melo f. Inodorus gr. Rochet</t>
  </si>
  <si>
    <t xml:space="preserve">Dept Plant Breeding</t>
  </si>
  <si>
    <t xml:space="preserve">Cucumis melo ssp. melo f. Inodorus gr. Tendral</t>
  </si>
  <si>
    <t xml:space="preserve">Desprez</t>
  </si>
  <si>
    <t xml:space="preserve">Cucumis melo ssp. melo f. Reticulatus</t>
  </si>
  <si>
    <t xml:space="preserve">Deutsche Saatveredelung Lippstadt - France</t>
  </si>
  <si>
    <t xml:space="preserve">Cynara L.</t>
  </si>
  <si>
    <t xml:space="preserve">Deutsche Saatveredelung Lippstadt-Bremen GmbH</t>
  </si>
  <si>
    <t xml:space="preserve">Dactylis glomerata L.</t>
  </si>
  <si>
    <t xml:space="preserve">Deutsche Saatzucht-Gesellschaft Salzmuende (G. Riebesel)</t>
  </si>
  <si>
    <t xml:space="preserve">Dactylis glomerata subsp. castellata Stebbins &amp; Zohary</t>
  </si>
  <si>
    <t xml:space="preserve">DEVM</t>
  </si>
  <si>
    <t xml:space="preserve">Dactylis glomerata subsp. glomerata L.</t>
  </si>
  <si>
    <t xml:space="preserve">Devon Botanic Garden and Field Laboratory, Department of Botany, University of Alberta</t>
  </si>
  <si>
    <t xml:space="preserve">Dactylis glomerata subsp. hispanica (Roth) Nyman</t>
  </si>
  <si>
    <t xml:space="preserve">DiaPC</t>
  </si>
  <si>
    <t xml:space="preserve">Dactylis glomerata subsp. izcoi S.Ortiz &amp; J.Rodríguez_Oubina</t>
  </si>
  <si>
    <t xml:space="preserve">Dipartimento di Colture Arboree - C.M.V.F.- Università di Bologna (ITA)</t>
  </si>
  <si>
    <t xml:space="preserve">Dactylis glomerata subsp. lusitanica Stebbins &amp; Zohary</t>
  </si>
  <si>
    <t xml:space="preserve">Dipartimento di Colture Arboree - C.M.V.F.- Università di Bologna (ITA) - Bassi Daniele</t>
  </si>
  <si>
    <t xml:space="preserve">Dactylis glomerata subsp. mairei Zohary &amp; Stebbins</t>
  </si>
  <si>
    <t xml:space="preserve">Dipartimento di Scienze Agrarie e Ambientali</t>
  </si>
  <si>
    <t xml:space="preserve">Dactylis L.</t>
  </si>
  <si>
    <t xml:space="preserve">Dipartimento di Scienze Agrarie e Ambientali - Genetica</t>
  </si>
  <si>
    <t xml:space="preserve">Dioscorea</t>
  </si>
  <si>
    <t xml:space="preserve">Dipartimento Innovazione, Divisione Biotecnologie e Agricoltura, ENEA</t>
  </si>
  <si>
    <t xml:space="preserve">Dioscorea alata</t>
  </si>
  <si>
    <t xml:space="preserve">Direction Départementale de l'Agriculture, Service du Génie Rural des Eaux et des Forêts</t>
  </si>
  <si>
    <t xml:space="preserve">Dioscorea altissima</t>
  </si>
  <si>
    <t xml:space="preserve">Direction Scientifique des Productions Végétales, INRA</t>
  </si>
  <si>
    <t xml:space="preserve">Dioscorea bulbifera</t>
  </si>
  <si>
    <t xml:space="preserve">Div. of Plant Industry,  CSIRO</t>
  </si>
  <si>
    <t xml:space="preserve">Dioscorea burkiliana</t>
  </si>
  <si>
    <t xml:space="preserve">Diversity Arrays Technology P/L - Triticarte P/L</t>
  </si>
  <si>
    <t xml:space="preserve">Dioscorea cayenensis rotundata</t>
  </si>
  <si>
    <t xml:space="preserve">Division Agronomique-Génétique et Amélioration des Plantes</t>
  </si>
  <si>
    <t xml:space="preserve">Dioscorea cordata</t>
  </si>
  <si>
    <t xml:space="preserve">Division of Applied Bioscience,  Graduate School ofAgriculture</t>
  </si>
  <si>
    <t xml:space="preserve">Dioscorea esculenta</t>
  </si>
  <si>
    <t xml:space="preserve">Division of Biological Sciences</t>
  </si>
  <si>
    <t xml:space="preserve">Dioscorea hurtiflora</t>
  </si>
  <si>
    <t xml:space="preserve">Division of Biology</t>
  </si>
  <si>
    <t xml:space="preserve">Dioscorea minutiflora</t>
  </si>
  <si>
    <t xml:space="preserve">Division of Plant Industry</t>
  </si>
  <si>
    <t xml:space="preserve">Dioscorea numularia</t>
  </si>
  <si>
    <t xml:space="preserve">Domaine de Sainte-Marguerite</t>
  </si>
  <si>
    <t xml:space="preserve">Dioscorea pilosiuscula</t>
  </si>
  <si>
    <t xml:space="preserve">Domaines Agricoles</t>
  </si>
  <si>
    <t xml:space="preserve">Dioscorea polygonoïdes</t>
  </si>
  <si>
    <t xml:space="preserve">Domaines Royaux</t>
  </si>
  <si>
    <t xml:space="preserve">Dioscorea transversa</t>
  </si>
  <si>
    <t xml:space="preserve">Domaines Sunset</t>
  </si>
  <si>
    <t xml:space="preserve">Dioscorea trifida</t>
  </si>
  <si>
    <t xml:space="preserve">Doneczkij institut agropromyshlennogo proizvodstva NAAN, GP</t>
  </si>
  <si>
    <t xml:space="preserve">Diuraphis noxia</t>
  </si>
  <si>
    <t xml:space="preserve">Donneur inconnu à Escolives-Sainte-Camille</t>
  </si>
  <si>
    <t xml:space="preserve">Equus caballus</t>
  </si>
  <si>
    <t xml:space="preserve">Donneur inconnu à Remoulins</t>
  </si>
  <si>
    <t xml:space="preserve">Eremocitrus glauca (Lindl.) Swing.</t>
  </si>
  <si>
    <t xml:space="preserve">Dr. J. Ackermann &amp; Co Saatzucht Irlbach</t>
  </si>
  <si>
    <t xml:space="preserve">(Eremocitrus glauca (Lindl.) Swing. x Citrus aurantium L.)</t>
  </si>
  <si>
    <t xml:space="preserve">Dr. Joachim Messing s lab</t>
  </si>
  <si>
    <t xml:space="preserve">(Eremocitrus glauca (Lindl.) Swing. x Citrus limon (L.) Burm. ?)</t>
  </si>
  <si>
    <t xml:space="preserve">D.S.A. Vaucluse (84) - France</t>
  </si>
  <si>
    <t xml:space="preserve">(Eremocitrus glauca (Lindl.) Swing. x Citrus sinensis(L.) Osb.)</t>
  </si>
  <si>
    <t xml:space="preserve">DuPont Hybrinova</t>
  </si>
  <si>
    <t xml:space="preserve">Eremocitrus Swingle</t>
  </si>
  <si>
    <t xml:space="preserve">East Malling Research</t>
  </si>
  <si>
    <t xml:space="preserve">Fabaceae</t>
  </si>
  <si>
    <t xml:space="preserve">Eastern Cereal and  Oilseed Research Centre</t>
  </si>
  <si>
    <t xml:space="preserve">Festuca arundinacea  subsp. arundinacea var. letourneuxiana St.-Yves. (10x)</t>
  </si>
  <si>
    <t xml:space="preserve">École Nationale d'Ingénieurs de l'Horticulture et du Paysage de l'Institut National d'Horticulture</t>
  </si>
  <si>
    <t xml:space="preserve">Festuca arundinacea Schreb.</t>
  </si>
  <si>
    <t xml:space="preserve">Ecole Nationale Supérieure Agronomique de Montpellier</t>
  </si>
  <si>
    <t xml:space="preserve">Festuca arundinacea subsp. arundinacea Schreb.</t>
  </si>
  <si>
    <t xml:space="preserve">Ecole Nationale Supérieure Agronomique de Toulouse</t>
  </si>
  <si>
    <t xml:space="preserve">Festuca arundinacea subsp. arundinacea var. atlantigena sensu Markgr.Dann. (8x)</t>
  </si>
  <si>
    <t xml:space="preserve">Ecomusée de la Grande Lande (Marquèze)</t>
  </si>
  <si>
    <t xml:space="preserve">Festuca arundinacea subsp. arundinacea var. genuina Schreb. (6x)</t>
  </si>
  <si>
    <t xml:space="preserve">Ecophysiologie des Plantes sous Stress Environnementaux (LEPSE)</t>
  </si>
  <si>
    <t xml:space="preserve">Festuca arundinacea subsp. arundinacea var. glaucescens Boiss. (4x)</t>
  </si>
  <si>
    <t xml:space="preserve">Einsenhut Vivaio</t>
  </si>
  <si>
    <t xml:space="preserve">Festuca filiformis Pourret</t>
  </si>
  <si>
    <t xml:space="preserve">EMBRAPA Brazil</t>
  </si>
  <si>
    <t xml:space="preserve">Festuca L.</t>
  </si>
  <si>
    <t xml:space="preserve">Empresa Brasileira de Pesquisa Agropecuaria</t>
  </si>
  <si>
    <t xml:space="preserve">Festuca nigrescens Lam.</t>
  </si>
  <si>
    <t xml:space="preserve">Empresa Citricola Victoria</t>
  </si>
  <si>
    <t xml:space="preserve">Festuca nigrescens subsp. nigrescens Lam.</t>
  </si>
  <si>
    <t xml:space="preserve">ENSA - INRA Unité de Formation en Botanique et Pathologie Végétale, INRA-Montpellier</t>
  </si>
  <si>
    <t xml:space="preserve">Festuca ovina L. (2x)</t>
  </si>
  <si>
    <t xml:space="preserve">Environmental Biology Group/ Research School of Biological Sciences</t>
  </si>
  <si>
    <t xml:space="preserve">Festuca ovina L. (4x)</t>
  </si>
  <si>
    <t xml:space="preserve">Environmental Molecular Biology Laboratory</t>
  </si>
  <si>
    <t xml:space="preserve">Festuca ovina L. (6x)</t>
  </si>
  <si>
    <t xml:space="preserve">Environmental Sciences Division</t>
  </si>
  <si>
    <t xml:space="preserve">Festuca ovina L. (8x)</t>
  </si>
  <si>
    <t xml:space="preserve">Enza Zaden France</t>
  </si>
  <si>
    <t xml:space="preserve">Festuca ovina subsp. guestfalica (Reichenb.) K. Richter</t>
  </si>
  <si>
    <t xml:space="preserve">EPGV</t>
  </si>
  <si>
    <t xml:space="preserve">Festuca rubra L.</t>
  </si>
  <si>
    <t xml:space="preserve">EPLEFPA Poitiers-Venours, Etablissement d'enseignement général et technologique agricole</t>
  </si>
  <si>
    <t xml:space="preserve">Festuca rubra subsp. arenaria (Osbeck) Aresh</t>
  </si>
  <si>
    <t xml:space="preserve">Equipe Genetique Vigne UMR DiaPC</t>
  </si>
  <si>
    <t xml:space="preserve">Festuca rubra subsp. fallax (Thuill.) Nyman</t>
  </si>
  <si>
    <t xml:space="preserve">Equipe Genomique Ble et Mais</t>
  </si>
  <si>
    <t xml:space="preserve">Festuca rubra subsp. litoralis (G. Meyer) Auquier</t>
  </si>
  <si>
    <t xml:space="preserve">Equipe Ginomique de la vigne (URGV)</t>
  </si>
  <si>
    <t xml:space="preserve">Festuca rubra subsp. pruinosa (Hackel) Piper</t>
  </si>
  <si>
    <t xml:space="preserve">Escola Superior de Agricultura 'Luiz de Quiroz'</t>
  </si>
  <si>
    <t xml:space="preserve">Festuca rubra subsp. rubra L.</t>
  </si>
  <si>
    <t xml:space="preserve">Estaçao Experimental de Itajaí</t>
  </si>
  <si>
    <t xml:space="preserve">Festuca stricta Host.</t>
  </si>
  <si>
    <t xml:space="preserve">Estaçao Experimental Fitotécnica de Taquari</t>
  </si>
  <si>
    <t xml:space="preserve">Festuca stricta subsp. trachyphylla (hackel) Patzke</t>
  </si>
  <si>
    <t xml:space="preserve">Estacao Nacional Melhoramento</t>
  </si>
  <si>
    <t xml:space="preserve">Festuca trichophylla (Gaudin) K.Richter</t>
  </si>
  <si>
    <t xml:space="preserve">Estacion Exp. Fabio Baudrit Moreno</t>
  </si>
  <si>
    <t xml:space="preserve">Festuca trichophylla subsp. trichophylla Hackel</t>
  </si>
  <si>
    <t xml:space="preserve">Estacion Experimental</t>
  </si>
  <si>
    <t xml:space="preserve">Fortunella crassifolia Swing.</t>
  </si>
  <si>
    <t xml:space="preserve">Estacion Experimental Agroindustrial 'Obispo Colombres'</t>
  </si>
  <si>
    <t xml:space="preserve">Fortunella hindsii (Champ.) Swing.</t>
  </si>
  <si>
    <t xml:space="preserve">Estacion Experimental Agropecuaria Rafaela</t>
  </si>
  <si>
    <t xml:space="preserve">Fortunella japonica (Thunb.) Swing.</t>
  </si>
  <si>
    <t xml:space="preserve">Estacion Experimental 'Aula Dei' - Consejo Superior de Investigaciones Científicas</t>
  </si>
  <si>
    <t xml:space="preserve">Fortunella margarita (Lour.) Swing.</t>
  </si>
  <si>
    <t xml:space="preserve">Estación Experimental de la Facultad de Agronomia en Salto</t>
  </si>
  <si>
    <t xml:space="preserve">Fortunella obovata Hort. ex Tan.</t>
  </si>
  <si>
    <t xml:space="preserve">Estacion Experimental 'La Estanzuela'</t>
  </si>
  <si>
    <t xml:space="preserve">Fortunella polyandra (Ridl.) Tan.</t>
  </si>
  <si>
    <t xml:space="preserve">Estacion Experimental La Platina</t>
  </si>
  <si>
    <t xml:space="preserve">(Fortunella sp. x Poncirus trifoliata (L.) Raf.)</t>
  </si>
  <si>
    <t xml:space="preserve">Estacion Experimental Los Diamantes</t>
  </si>
  <si>
    <t xml:space="preserve">Fortunella Swingle</t>
  </si>
  <si>
    <t xml:space="preserve">Estacion Experimental Santa Catalina DENAREF, INIAP</t>
  </si>
  <si>
    <t xml:space="preserve">Fortunella swinglei Tan.</t>
  </si>
  <si>
    <t xml:space="preserve">Etablissements Leblond</t>
  </si>
  <si>
    <t xml:space="preserve">Fragaria grandiflora</t>
  </si>
  <si>
    <t xml:space="preserve">Etablissements Lemaire-Deffontaines</t>
  </si>
  <si>
    <t xml:space="preserve">Fragaria vesca</t>
  </si>
  <si>
    <t xml:space="preserve">Eteve Lambertin Marie-Laure, Bouillargues - France</t>
  </si>
  <si>
    <t xml:space="preserve">Fragaria vesca subsp. vesca</t>
  </si>
  <si>
    <t xml:space="preserve">Ets A Bataille</t>
  </si>
  <si>
    <t xml:space="preserve">Fragaria x ananassa</t>
  </si>
  <si>
    <t xml:space="preserve">Ets George Laurent</t>
  </si>
  <si>
    <t xml:space="preserve">Gallus gallus</t>
  </si>
  <si>
    <t xml:space="preserve">Ets Tharreau</t>
  </si>
  <si>
    <t xml:space="preserve">Glycine</t>
  </si>
  <si>
    <t xml:space="preserve">Etude du polymorphisme des genomes vegetaux</t>
  </si>
  <si>
    <t xml:space="preserve">Glycine max</t>
  </si>
  <si>
    <t xml:space="preserve">Euralis génétique</t>
  </si>
  <si>
    <t xml:space="preserve">Glycosmis Corrêa</t>
  </si>
  <si>
    <t xml:space="preserve">EURALIS SEMENCES</t>
  </si>
  <si>
    <t xml:space="preserve">Glycosmis pentaphylla (Retz.) Corrêa</t>
  </si>
  <si>
    <t xml:space="preserve">Eversole Associates</t>
  </si>
  <si>
    <t xml:space="preserve">Gossypium spp.</t>
  </si>
  <si>
    <t xml:space="preserve">Evolutionary Biology Centre</t>
  </si>
  <si>
    <t xml:space="preserve">Hebeloma cylindrosporum</t>
  </si>
  <si>
    <t xml:space="preserve">Experimental Breeding Station Choryn</t>
  </si>
  <si>
    <t xml:space="preserve">Helianthus annuus</t>
  </si>
  <si>
    <t xml:space="preserve">Experimental Institute of Cereal Research</t>
  </si>
  <si>
    <t xml:space="preserve">Helianthus argophyllus</t>
  </si>
  <si>
    <t xml:space="preserve">F. Levieil</t>
  </si>
  <si>
    <t xml:space="preserve">Helianthus L.</t>
  </si>
  <si>
    <t xml:space="preserve">F. Von Lochow-Petkus GmbH</t>
  </si>
  <si>
    <t xml:space="preserve">Helianthus paradoxus</t>
  </si>
  <si>
    <t xml:space="preserve">Fabre</t>
  </si>
  <si>
    <t xml:space="preserve">Hordeum</t>
  </si>
  <si>
    <t xml:space="preserve">Fac.of Agri.</t>
  </si>
  <si>
    <t xml:space="preserve">Hordeum agriocrithon Aberg</t>
  </si>
  <si>
    <t xml:space="preserve">Facoltà di Agraria</t>
  </si>
  <si>
    <t xml:space="preserve">Hordeum andicola Griseb.</t>
  </si>
  <si>
    <t xml:space="preserve">Faculdad de Agronomia</t>
  </si>
  <si>
    <t xml:space="preserve">Hordeum andinum Trin.</t>
  </si>
  <si>
    <t xml:space="preserve">Facultad de Ciencias Agropecuarias, Universidad de Panamá</t>
  </si>
  <si>
    <t xml:space="preserve">Hordeum bogdani</t>
  </si>
  <si>
    <t xml:space="preserve">Faculté d'Agronomie</t>
  </si>
  <si>
    <t xml:space="preserve">Hordeum bogdanii</t>
  </si>
  <si>
    <t xml:space="preserve">Faculty of Agriculture - Institute of Field Crops</t>
  </si>
  <si>
    <t xml:space="preserve">Hordeum brachyantherum Nevski s.l.</t>
  </si>
  <si>
    <t xml:space="preserve">Faculty of Agriculture,  Laboratory of Plant Breeding</t>
  </si>
  <si>
    <t xml:space="preserve">Hordeum brachyantherum ssp. brachyantherum Nevski</t>
  </si>
  <si>
    <t xml:space="preserve">Faculty of Agriculture, University of Manitoba</t>
  </si>
  <si>
    <t xml:space="preserve">Hordeum brevisubulatum ssp. brevisubulatum</t>
  </si>
  <si>
    <t xml:space="preserve">Faculty of Bioresources</t>
  </si>
  <si>
    <t xml:space="preserve">Hordeum brevisubulatum ssp. iranicum</t>
  </si>
  <si>
    <t xml:space="preserve">Fear CD, Cain DW, Mowrey BD, CA - USA</t>
  </si>
  <si>
    <t xml:space="preserve">Hordeum brevisubulatum ssp. nevskianum</t>
  </si>
  <si>
    <t xml:space="preserve">Fédération des Syndicats Bretons</t>
  </si>
  <si>
    <t xml:space="preserve">Hordeum brevisubulatum ssp. turkestani</t>
  </si>
  <si>
    <t xml:space="preserve">Fédération des Syndicats Bretons &amp; A. Person</t>
  </si>
  <si>
    <t xml:space="preserve">Hordeum brevisubulatum ssp. turkestanicum</t>
  </si>
  <si>
    <t xml:space="preserve">Fédération des Syndicats Bretons &amp; Bretagne Plants</t>
  </si>
  <si>
    <t xml:space="preserve">Hordeum brevisubulatum ssp. violaceum</t>
  </si>
  <si>
    <t xml:space="preserve">Fédération des Syndicats Bretons &amp; Coopérative de Pleyber-Christ</t>
  </si>
  <si>
    <t xml:space="preserve">Hordeum brevisubulatum (Trin.) Link ssp. brevisubulatum s.l.</t>
  </si>
  <si>
    <t xml:space="preserve">Fédération des Syndicats Bretons &amp; Coopérative des Agriculteurs de Bretagne</t>
  </si>
  <si>
    <t xml:space="preserve">Hordeum brevisubulatum (Trin.) Link ssp. iranicum Bothmer</t>
  </si>
  <si>
    <t xml:space="preserve">Fédération des Vins de Savoie</t>
  </si>
  <si>
    <t xml:space="preserve">Hordeum brevisubulatum (Trin.) Link ssp. nevskianum (Bowden) Tzvel.</t>
  </si>
  <si>
    <t xml:space="preserve">Fédération des Vins du Puy de Dôme</t>
  </si>
  <si>
    <t xml:space="preserve">Hordeum brevisubulatum (Trin.) Link ssp. turkestanicum (Nevski) Tzvel.</t>
  </si>
  <si>
    <t xml:space="preserve">Ferme de moulon</t>
  </si>
  <si>
    <t xml:space="preserve">Hordeum brevisubulatum (Trin.) Link ssp. violaceum (Boiss. &amp; Hohen.) Tzvel.</t>
  </si>
  <si>
    <t xml:space="preserve">Ferme d'Etat de Pucheng</t>
  </si>
  <si>
    <t xml:space="preserve">Hordeum bulbosum L.</t>
  </si>
  <si>
    <t xml:space="preserve">FERME ECOLE DE BESPLAS</t>
  </si>
  <si>
    <t xml:space="preserve">Hordeum caespitosum Scribn.</t>
  </si>
  <si>
    <t xml:space="preserve">Ferme Expérimentale de Grignon</t>
  </si>
  <si>
    <t xml:space="preserve">Hordeum californicum Covas &amp; Stebbins</t>
  </si>
  <si>
    <t xml:space="preserve">Firma H. O. Luebeck, Magdeburg</t>
  </si>
  <si>
    <t xml:space="preserve">Hordeum chilense Roem. &amp; Schult.</t>
  </si>
  <si>
    <t xml:space="preserve">Fleck Jacqueline / L626</t>
  </si>
  <si>
    <t xml:space="preserve">Hordeum comosum J. Presl</t>
  </si>
  <si>
    <t xml:space="preserve">Fleischmann Rudolph Agricultural Research Institute, University of Agricultural Sciences</t>
  </si>
  <si>
    <t xml:space="preserve">Hordeum compressum</t>
  </si>
  <si>
    <t xml:space="preserve">Florimond Desprez</t>
  </si>
  <si>
    <t xml:space="preserve">Hordeum compressum Griseb.</t>
  </si>
  <si>
    <t xml:space="preserve">Fontaine (bought by Jouffray-Drillaud)</t>
  </si>
  <si>
    <t xml:space="preserve">Hordeum cordobense Bothmer, N. Jacobsen &amp; Nicora</t>
  </si>
  <si>
    <t xml:space="preserve">Food Science Institute</t>
  </si>
  <si>
    <t xml:space="preserve">Hordeum deficiens</t>
  </si>
  <si>
    <t xml:space="preserve">Forschungsanstalt Agroscope Reckenholz-Tänikon</t>
  </si>
  <si>
    <t xml:space="preserve">Hordeum deficiens Steud.</t>
  </si>
  <si>
    <t xml:space="preserve">Fr. Strube Saatzucht KG Soellingen</t>
  </si>
  <si>
    <t xml:space="preserve">Hordeum depressum (Scribn. &amp; J.G. Sm.) Rydb.</t>
  </si>
  <si>
    <t xml:space="preserve">Fruit Tree Laboratory</t>
  </si>
  <si>
    <t xml:space="preserve">Hordeum europaeum</t>
  </si>
  <si>
    <t xml:space="preserve">Fruit Tree Research Station</t>
  </si>
  <si>
    <t xml:space="preserve">Hordeum flexuosum Steud.</t>
  </si>
  <si>
    <t xml:space="preserve">Fruit Trees Research Station, Kuchinotsu Branch</t>
  </si>
  <si>
    <t xml:space="preserve">Hordeum geniculatum</t>
  </si>
  <si>
    <t xml:space="preserve">FR2424, Station Biologique</t>
  </si>
  <si>
    <t xml:space="preserve">Hordeum gussoneanum</t>
  </si>
  <si>
    <t xml:space="preserve">Fudan University</t>
  </si>
  <si>
    <t xml:space="preserve">Hordeum gussoneanum Parl.</t>
  </si>
  <si>
    <t xml:space="preserve">Fungal Genomics Lab</t>
  </si>
  <si>
    <t xml:space="preserve">Hordeum hexaploidum</t>
  </si>
  <si>
    <t xml:space="preserve">G. Geertsema-Groningen B.V.</t>
  </si>
  <si>
    <t xml:space="preserve">Hordeum hexaploidum Covas</t>
  </si>
  <si>
    <t xml:space="preserve">GA</t>
  </si>
  <si>
    <t xml:space="preserve">Hordeum hexastichon L.</t>
  </si>
  <si>
    <t xml:space="preserve">Gautier</t>
  </si>
  <si>
    <t xml:space="preserve">Hordeum hrasdanicum Gandilyan</t>
  </si>
  <si>
    <t xml:space="preserve">Hordeum irregulare</t>
  </si>
  <si>
    <t xml:space="preserve">Genavenir</t>
  </si>
  <si>
    <t xml:space="preserve">Hordeum ithaburense Boiss.</t>
  </si>
  <si>
    <t xml:space="preserve">Gene Function and Maize Traits Group</t>
  </si>
  <si>
    <t xml:space="preserve">Hordeum jubatum</t>
  </si>
  <si>
    <t xml:space="preserve">Genebank, Leibniz Institute of Plant Genetics and Crop Plant Research</t>
  </si>
  <si>
    <t xml:space="preserve">Hordeum jubatum breviaristatum</t>
  </si>
  <si>
    <t xml:space="preserve">Genetic Resources and Mediterranean Medicago Plant Breeding Laboratory, INRA-Montpellier</t>
  </si>
  <si>
    <t xml:space="preserve">Hordeum jubatum jubatum</t>
  </si>
  <si>
    <t xml:space="preserve">Genetic Resources Department - Research Institute for Cereals and Industrial Crops</t>
  </si>
  <si>
    <t xml:space="preserve">Hordeum jubatum ssp. breviaristatum Bowden</t>
  </si>
  <si>
    <t xml:space="preserve">Genetics</t>
  </si>
  <si>
    <t xml:space="preserve">Hordeum jubatum ssp. intermedium Bowden</t>
  </si>
  <si>
    <t xml:space="preserve">Genetics of Environmental Stress Tolerance</t>
  </si>
  <si>
    <t xml:space="preserve">Hordeum kaufmannii Regel</t>
  </si>
  <si>
    <t xml:space="preserve">Genetique et Amelioration des Plantes</t>
  </si>
  <si>
    <t xml:space="preserve">Hordeum L.</t>
  </si>
  <si>
    <t xml:space="preserve">Genetique et amelioration des plantes</t>
  </si>
  <si>
    <t xml:space="preserve">Hordeum lechleri (Steud.) Schenck</t>
  </si>
  <si>
    <t xml:space="preserve">Genetique et ecophysiologie des legumineuses</t>
  </si>
  <si>
    <t xml:space="preserve">Hordeum leporinum var. simulans Bowden</t>
  </si>
  <si>
    <t xml:space="preserve">Genetique fonctionnelle des maladies des Epitheliums, U563, CPIP, CHU Purpan</t>
  </si>
  <si>
    <t xml:space="preserve">Hordeum macilentum Steud.</t>
  </si>
  <si>
    <t xml:space="preserve">Genetique Moleculaire d'Arabidopsis</t>
  </si>
  <si>
    <t xml:space="preserve">Hordeum marinum Huds. ssp. gussoneanum (Parl.) Thell.</t>
  </si>
  <si>
    <t xml:space="preserve">Genome BC Conifer Forest Health</t>
  </si>
  <si>
    <t xml:space="preserve">Hordeum marinum Huds. ssp. marinum</t>
  </si>
  <si>
    <t xml:space="preserve">Genome et developpement des plantes</t>
  </si>
  <si>
    <t xml:space="preserve">Hordeum marinum ssp. gussoneanum</t>
  </si>
  <si>
    <t xml:space="preserve">GENOME express</t>
  </si>
  <si>
    <t xml:space="preserve">Hordeum marinum ssp. gussoneanum (Parl.) Thell.</t>
  </si>
  <si>
    <t xml:space="preserve">Genome Express</t>
  </si>
  <si>
    <t xml:space="preserve">Hordeum marinum ssp. marinum</t>
  </si>
  <si>
    <t xml:space="preserve">Genome Science Laboratory</t>
  </si>
  <si>
    <t xml:space="preserve">Hordeum maritimum</t>
  </si>
  <si>
    <t xml:space="preserve">Genome Systems,  Inc.,  a wholly owned subsidiary of IncytePharmaceuticals,  Inc.</t>
  </si>
  <si>
    <t xml:space="preserve">Hordeum maritimum gussonianum</t>
  </si>
  <si>
    <t xml:space="preserve">Genomics and  Genetics Institute,  GreenGene Biotech Inc.;Division of Bioscience and  Bioinformatics,  MyongJiUniversity</t>
  </si>
  <si>
    <t xml:space="preserve">Hordeum murinum</t>
  </si>
  <si>
    <t xml:space="preserve">Genomique</t>
  </si>
  <si>
    <t xml:space="preserve">Hordeum murinum L. ssp. glaucum (Steud.) Tzvelev</t>
  </si>
  <si>
    <t xml:space="preserve">Genomique Ble et Mais</t>
  </si>
  <si>
    <t xml:space="preserve">Hordeum murinum L. ssp. leporinum (Link) Arcang.</t>
  </si>
  <si>
    <t xml:space="preserve">Genoplante-Info</t>
  </si>
  <si>
    <t xml:space="preserve">Hordeum murinum L. ssp. murinum</t>
  </si>
  <si>
    <t xml:space="preserve">GENOSCOPE</t>
  </si>
  <si>
    <t xml:space="preserve">Hordeum murinum murinum</t>
  </si>
  <si>
    <t xml:space="preserve">Genoscope</t>
  </si>
  <si>
    <t xml:space="preserve">Hordeum murinum ssp. glaucum</t>
  </si>
  <si>
    <t xml:space="preserve">Genoscope - Centre National de Sequencage</t>
  </si>
  <si>
    <t xml:space="preserve">Hordeum murinum ssp. glaucum (Steud.) Tzvelev</t>
  </si>
  <si>
    <t xml:space="preserve">Georgia State Agricultural Experiment Station</t>
  </si>
  <si>
    <t xml:space="preserve">Hordeum murinum ssp. leporinum</t>
  </si>
  <si>
    <t xml:space="preserve">Germicopa SA</t>
  </si>
  <si>
    <t xml:space="preserve">Hordeum murinum ssp. murinum</t>
  </si>
  <si>
    <t xml:space="preserve">Germicopa SAS</t>
  </si>
  <si>
    <t xml:space="preserve">Hordeum muticum J. Presl</t>
  </si>
  <si>
    <t xml:space="preserve">GGO</t>
  </si>
  <si>
    <t xml:space="preserve">Hordeum nevskianum Bowden</t>
  </si>
  <si>
    <t xml:space="preserve">GIE Ail Dromois</t>
  </si>
  <si>
    <t xml:space="preserve">Hordeum nodosum</t>
  </si>
  <si>
    <t xml:space="preserve">GIE Epi de France</t>
  </si>
  <si>
    <t xml:space="preserve">Hordeum nodosum L.</t>
  </si>
  <si>
    <t xml:space="preserve">GIE Legland</t>
  </si>
  <si>
    <t xml:space="preserve">Hordeum parodii Covas</t>
  </si>
  <si>
    <t xml:space="preserve">Gigot Claude / L512</t>
  </si>
  <si>
    <t xml:space="preserve">Hordeum patagonicum (Haum.) Covas s.l.</t>
  </si>
  <si>
    <t xml:space="preserve">Gilbert-Fayol</t>
  </si>
  <si>
    <t xml:space="preserve">Hordeum persicum</t>
  </si>
  <si>
    <t xml:space="preserve">Ginitique Diversiti Ecophysiologie des Ciriales</t>
  </si>
  <si>
    <t xml:space="preserve">Hordeum pratense Huds.</t>
  </si>
  <si>
    <t xml:space="preserve">Giza Agricultural Research Station</t>
  </si>
  <si>
    <t xml:space="preserve">Hordeum pubescens Guss.</t>
  </si>
  <si>
    <t xml:space="preserve">Glen Saint Mary Nursery Co.</t>
  </si>
  <si>
    <t xml:space="preserve">Hordeum pusillum Nutt.</t>
  </si>
  <si>
    <t xml:space="preserve">Glenellen Pty Ltd.</t>
  </si>
  <si>
    <t xml:space="preserve">Hordeum pussilum</t>
  </si>
  <si>
    <t xml:space="preserve">Gnts VNII Rastenievodstva Im.N.I.Vavilova</t>
  </si>
  <si>
    <t xml:space="preserve">Hordeum sativum</t>
  </si>
  <si>
    <t xml:space="preserve">Goggi</t>
  </si>
  <si>
    <t xml:space="preserve">Hordeum sibiricum Rosh.</t>
  </si>
  <si>
    <t xml:space="preserve">Grad. Sch. Agric. Life Sci.</t>
  </si>
  <si>
    <t xml:space="preserve">Hordeum spp</t>
  </si>
  <si>
    <t xml:space="preserve">Graduate School of Biological Sciences</t>
  </si>
  <si>
    <t xml:space="preserve">Hordeum strictum Desf.</t>
  </si>
  <si>
    <t xml:space="preserve">Grand Anse Experimental Centre, Ministry of Agriculture and Marine Resources</t>
  </si>
  <si>
    <t xml:space="preserve">Hordeum tetraploidum Covas</t>
  </si>
  <si>
    <t xml:space="preserve">Grand Island Nurseries, Inc.</t>
  </si>
  <si>
    <t xml:space="preserve">Hordeum tetrastichum</t>
  </si>
  <si>
    <t xml:space="preserve">Greenhouse for Trop. Crops, Inst. Prod/Nutr. Wordls Crops, Un. Kassel</t>
  </si>
  <si>
    <t xml:space="preserve">Hordeum vulgare</t>
  </si>
  <si>
    <t xml:space="preserve">Grocep</t>
  </si>
  <si>
    <t xml:space="preserve">Hordeum vulgare convar. distichon (L.) Alefeld</t>
  </si>
  <si>
    <t xml:space="preserve">Group 305</t>
  </si>
  <si>
    <t xml:space="preserve">Hordeum vulgare L.</t>
  </si>
  <si>
    <t xml:space="preserve">Groupe d'Etude et de Contrôle des Variétés et des Semences, Cavaillon</t>
  </si>
  <si>
    <t xml:space="preserve">Hordeum vulgare L. ssp. distichon (L.) Koernicke</t>
  </si>
  <si>
    <t xml:space="preserve">Groupement Agricole Essonnois</t>
  </si>
  <si>
    <t xml:space="preserve">Hordeum vulgare L. ssp. spontaneum (K. Koch) A. &amp; Gr.</t>
  </si>
  <si>
    <t xml:space="preserve">Groupement Interprofessionnel des Fleurs et Plantes A Parfun</t>
  </si>
  <si>
    <t xml:space="preserve">Hordeum vulgare L. ssp. vulgare</t>
  </si>
  <si>
    <t xml:space="preserve">Gruntzig Maria, Fuchs Egon Halle/Saale - Allemagne</t>
  </si>
  <si>
    <t xml:space="preserve">Hordeum vulgare spontaneum</t>
  </si>
  <si>
    <t xml:space="preserve">GTZ, German Fruit Tree Project</t>
  </si>
  <si>
    <t xml:space="preserve">Hordeum vulgare ssp. distichon var. spontaneum Kornicke</t>
  </si>
  <si>
    <t xml:space="preserve">Guangxi Citrus Research Institute</t>
  </si>
  <si>
    <t xml:space="preserve">Hordeum vulgare var. distichon</t>
  </si>
  <si>
    <t xml:space="preserve">Gyumri Breeding Station</t>
  </si>
  <si>
    <t xml:space="preserve">Hordeum vulgare vulgare</t>
  </si>
  <si>
    <t xml:space="preserve">H Blas JM Malmonté</t>
  </si>
  <si>
    <t xml:space="preserve">Juglans L.</t>
  </si>
  <si>
    <t xml:space="preserve">H. Demesmay</t>
  </si>
  <si>
    <t xml:space="preserve">Lactuca L.</t>
  </si>
  <si>
    <t xml:space="preserve">H. L. Hall &amp; Sons, Ltd.</t>
  </si>
  <si>
    <t xml:space="preserve">Lactuca sativa f. Laitue à couper</t>
  </si>
  <si>
    <t xml:space="preserve">Hankkija Plant Breeding Institute</t>
  </si>
  <si>
    <t xml:space="preserve">Lactuca sativa f. Laitue à couper gr. Feuille de chêne</t>
  </si>
  <si>
    <t xml:space="preserve">Harpool Seed Inc.</t>
  </si>
  <si>
    <t xml:space="preserve">Lactuca sativa f. Laitue à couper gr. Laitue multi-feuilles</t>
  </si>
  <si>
    <t xml:space="preserve">Head of Genomic Information</t>
  </si>
  <si>
    <t xml:space="preserve">Lactuca sativa f. Laitue à couper gr. Lollo</t>
  </si>
  <si>
    <t xml:space="preserve">Hebei Germplasm Resources Genebank Cereal &amp; Oil Crops Research Institute</t>
  </si>
  <si>
    <t xml:space="preserve">Lactuca sativa f. Laitue pommée</t>
  </si>
  <si>
    <t xml:space="preserve">Heine Peragis Getreidezucht GmbH</t>
  </si>
  <si>
    <t xml:space="preserve">Lactuca sativa f. Laitue pommée gr. Batavia</t>
  </si>
  <si>
    <t xml:space="preserve">Hirla Henri, Toulouges - France</t>
  </si>
  <si>
    <t xml:space="preserve">Lactuca sativa f. Laitue pommée gr. Batavia sgr. Batavia européenne</t>
  </si>
  <si>
    <t xml:space="preserve">Hodowla Roslin Polniczych 'Nasiona Kobierzyc'</t>
  </si>
  <si>
    <t xml:space="preserve">Lactuca sativa f. Laitue pommée gr. Batavia sgr. Iceberg</t>
  </si>
  <si>
    <t xml:space="preserve">Hodowla Roslin Pustkow</t>
  </si>
  <si>
    <t xml:space="preserve">Lactuca sativa f. Laitue pommée gr. Laitue beurre</t>
  </si>
  <si>
    <t xml:space="preserve">Hodowla Roslin Strzelce Sp. z o.o. Grupa IHAR</t>
  </si>
  <si>
    <t xml:space="preserve">Lactuca sativa f. Laitue pommée gr. Romaine/grasse</t>
  </si>
  <si>
    <t xml:space="preserve">Hort Research</t>
  </si>
  <si>
    <t xml:space="preserve">Lactuca sativa f. Laitue pommée gr. Romaine/grasse sgr. Grasse</t>
  </si>
  <si>
    <t xml:space="preserve">Horticultural Research &amp; Advisory Station, Dept. of Agriculture</t>
  </si>
  <si>
    <t xml:space="preserve">Lactuca sativa f. Laitue pommée gr. Romaine/grasse sgr. Romaine</t>
  </si>
  <si>
    <t xml:space="preserve">Horticultural Research Section Agricultural Research Corporation</t>
  </si>
  <si>
    <t xml:space="preserve">Lactuca sativa f. Laitue tige</t>
  </si>
  <si>
    <t xml:space="preserve">Horticultural Research Station</t>
  </si>
  <si>
    <t xml:space="preserve">Lactuca sativa L.</t>
  </si>
  <si>
    <t xml:space="preserve">Horticultural Sciences Department,  Plant Molecular and Cellular Biology Program</t>
  </si>
  <si>
    <t xml:space="preserve">Lepidium L.</t>
  </si>
  <si>
    <t xml:space="preserve">Horticulture Department</t>
  </si>
  <si>
    <t xml:space="preserve">Lepidium sativum L.</t>
  </si>
  <si>
    <t xml:space="preserve">HortResearch, Havelock North Research Centre - Malone M. Havelock North and  Davidson J. Tuamarina Blenheim - New Zealand</t>
  </si>
  <si>
    <t xml:space="preserve">(Limequat x Fortunella hindsii(Champ.) Swing.)</t>
  </si>
  <si>
    <t xml:space="preserve">HortResearch, Mt. Albert Research Centre</t>
  </si>
  <si>
    <t xml:space="preserve">Linum usitatissinum</t>
  </si>
  <si>
    <t xml:space="preserve">HybriTech Seed</t>
  </si>
  <si>
    <t xml:space="preserve">Lolium L.</t>
  </si>
  <si>
    <t xml:space="preserve">HYBRO Saatzucht GmbH &amp; Co. KG c/o Saaten-Union GmbH</t>
  </si>
  <si>
    <t xml:space="preserve">Lolium multiflorum Lam.</t>
  </si>
  <si>
    <t xml:space="preserve">IBP</t>
  </si>
  <si>
    <t xml:space="preserve">Lolium perenne</t>
  </si>
  <si>
    <t xml:space="preserve">IBVB</t>
  </si>
  <si>
    <t xml:space="preserve">Lolium perenne L.</t>
  </si>
  <si>
    <t xml:space="preserve">ICARDA</t>
  </si>
  <si>
    <t xml:space="preserve">Lolium xhybridum Hausskn.</t>
  </si>
  <si>
    <t xml:space="preserve">ICRISAT</t>
  </si>
  <si>
    <t xml:space="preserve">Lotus alpinus</t>
  </si>
  <si>
    <t xml:space="preserve">Idaho Agricultural Experiment Station, University of Idaho</t>
  </si>
  <si>
    <t xml:space="preserve">Lupinus L.</t>
  </si>
  <si>
    <t xml:space="preserve">Illinois Agricultural Experiment Station, University of Illinois</t>
  </si>
  <si>
    <t xml:space="preserve">Malus domestica</t>
  </si>
  <si>
    <t xml:space="preserve">Indian Agricultural Research Institute</t>
  </si>
  <si>
    <t xml:space="preserve">Malus P. Mill.</t>
  </si>
  <si>
    <t xml:space="preserve">Indian Institute of Horticultural Research</t>
  </si>
  <si>
    <t xml:space="preserve">Manihot esculenta</t>
  </si>
  <si>
    <t xml:space="preserve">Indiana Agricultural Experiment Station, Purdue University</t>
  </si>
  <si>
    <t xml:space="preserve">Medicago aculeata</t>
  </si>
  <si>
    <t xml:space="preserve">Indo-American Hybrid Seeds</t>
  </si>
  <si>
    <t xml:space="preserve">Medicago aculeata aculeata</t>
  </si>
  <si>
    <t xml:space="preserve">Medicago aculeata inermis</t>
  </si>
  <si>
    <t xml:space="preserve">INRA - Mauguio</t>
  </si>
  <si>
    <t xml:space="preserve">Medicago arabica (L.) Huds.</t>
  </si>
  <si>
    <t xml:space="preserve">INRA - Tours</t>
  </si>
  <si>
    <t xml:space="preserve">Medicago arborea L.</t>
  </si>
  <si>
    <t xml:space="preserve">INRA - UMR BIOGECO</t>
  </si>
  <si>
    <t xml:space="preserve">Medicago asiatica</t>
  </si>
  <si>
    <t xml:space="preserve">INRA, Cirad/Amis</t>
  </si>
  <si>
    <t xml:space="preserve">Medicago blancheana Boiss.</t>
  </si>
  <si>
    <t xml:space="preserve">INRA de Crouel</t>
  </si>
  <si>
    <t xml:space="preserve">Medicago bonarotiana</t>
  </si>
  <si>
    <t xml:space="preserve">INRA, Domaine de Vassal (T. Lacombe) + IFV Institut Français de la Vigne et du Vin (L. Audeguin)</t>
  </si>
  <si>
    <t xml:space="preserve">Medicago cancellata Bieb.</t>
  </si>
  <si>
    <t xml:space="preserve">INRA GAFL Avignon + SICA Centrex</t>
  </si>
  <si>
    <t xml:space="preserve">Medicago carstiensis Jacq.</t>
  </si>
  <si>
    <t xml:space="preserve">INRA Guadeloupe</t>
  </si>
  <si>
    <t xml:space="preserve">Medicago constricta</t>
  </si>
  <si>
    <t xml:space="preserve">INRA Montpellier</t>
  </si>
  <si>
    <t xml:space="preserve">Medicago coronata</t>
  </si>
  <si>
    <t xml:space="preserve">INRA Rennes</t>
  </si>
  <si>
    <t xml:space="preserve">Medicago cretacea</t>
  </si>
  <si>
    <t xml:space="preserve">INRA Versailles</t>
  </si>
  <si>
    <t xml:space="preserve">Medicago daghestanica</t>
  </si>
  <si>
    <t xml:space="preserve">INRA-MycSA, UPR-1264</t>
  </si>
  <si>
    <t xml:space="preserve">Medicago disciformis</t>
  </si>
  <si>
    <t xml:space="preserve">INRAT, Tunisie + UR Génétique et Amélioration des Fruits et Légumes, INRA-Avignon</t>
  </si>
  <si>
    <t xml:space="preserve">Medicago dzhawakhetica</t>
  </si>
  <si>
    <t xml:space="preserve">Insect Biocontrol Lab</t>
  </si>
  <si>
    <t xml:space="preserve">Medicago eusativa</t>
  </si>
  <si>
    <t xml:space="preserve">INSIBIO</t>
  </si>
  <si>
    <t xml:space="preserve">Medicago glutinosa Bieb.</t>
  </si>
  <si>
    <t xml:space="preserve">Inst. Biologia Molecular y Celular de Plantas</t>
  </si>
  <si>
    <t xml:space="preserve">Medicago granadensis Willd.</t>
  </si>
  <si>
    <t xml:space="preserve">Institut Amélioration Plantes Cultivées Berlin</t>
  </si>
  <si>
    <t xml:space="preserve">Medicago heyniana</t>
  </si>
  <si>
    <t xml:space="preserve">Institut de Biologie Moleculair des Plantes du CNRS (IBMP)</t>
  </si>
  <si>
    <t xml:space="preserve">Medicago hybrida (Pourr.) Trautv.</t>
  </si>
  <si>
    <t xml:space="preserve">Institut de Biologie Moleculaire des Plantes</t>
  </si>
  <si>
    <t xml:space="preserve">Medicago intertexta ciliaris</t>
  </si>
  <si>
    <t xml:space="preserve">Institut de biologie moleculaire des plantes</t>
  </si>
  <si>
    <t xml:space="preserve">Medicago intertexta intertexta</t>
  </si>
  <si>
    <t xml:space="preserve">Institut de biotechnologie des plantes</t>
  </si>
  <si>
    <t xml:space="preserve">Medicago intertexta (L.) Mill.</t>
  </si>
  <si>
    <t xml:space="preserve">Institut de Recherche pour le Développement</t>
  </si>
  <si>
    <t xml:space="preserve">Medicago L.</t>
  </si>
  <si>
    <t xml:space="preserve">Institut de Recherches Agronomique</t>
  </si>
  <si>
    <t xml:space="preserve">Medicago laciniata (L.) Mill.</t>
  </si>
  <si>
    <t xml:space="preserve">Institut de Recherches Agronomiques et Forestières</t>
  </si>
  <si>
    <t xml:space="preserve">Medicago lanigera</t>
  </si>
  <si>
    <t xml:space="preserve">Institut de Recherches Agronomiques Tropicales et des cultures vivrières</t>
  </si>
  <si>
    <t xml:space="preserve">Medicago littoralis</t>
  </si>
  <si>
    <t xml:space="preserve">Institut de Recherches de Beibei</t>
  </si>
  <si>
    <t xml:space="preserve">Medicago lupulina L.</t>
  </si>
  <si>
    <t xml:space="preserve">Institut des forêts-Département Fruits et Agrumes</t>
  </si>
  <si>
    <t xml:space="preserve">Medicago marina L.</t>
  </si>
  <si>
    <t xml:space="preserve">Institut des Sciences du Vegetal (ISV)</t>
  </si>
  <si>
    <t xml:space="preserve">Medicago minima brevispina</t>
  </si>
  <si>
    <t xml:space="preserve">Institut des Sciences Vegetales</t>
  </si>
  <si>
    <t xml:space="preserve">Medicago minima (L.) L. ex Bartal.</t>
  </si>
  <si>
    <t xml:space="preserve">Institut for bioteknologi</t>
  </si>
  <si>
    <t xml:space="preserve">Medicago minima minima</t>
  </si>
  <si>
    <t xml:space="preserve">Institut Français de la Vigne et du Vin</t>
  </si>
  <si>
    <t xml:space="preserve">Medicago monantha (C.A. Mey.) Trautv.</t>
  </si>
  <si>
    <t xml:space="preserve">Institut Francais de Recherches Fruitières</t>
  </si>
  <si>
    <t xml:space="preserve">Medicago monspeliaca (L.) Trautv.</t>
  </si>
  <si>
    <t xml:space="preserve">Institut Francais de Recherches Fruitières - Martinique</t>
  </si>
  <si>
    <t xml:space="preserve">Medicago murex lesinsii</t>
  </si>
  <si>
    <t xml:space="preserve">Institut Francais de Recherches Fruitières - Réunion</t>
  </si>
  <si>
    <t xml:space="preserve">Medicago murex sphaerocarpos</t>
  </si>
  <si>
    <t xml:space="preserve">Institut fuer Entwicklungsbiologie und Molekularbiologie derPflanzen</t>
  </si>
  <si>
    <t xml:space="preserve">Medicago murex Willd.</t>
  </si>
  <si>
    <t xml:space="preserve">Institut für Biologie und Biotechnologie der Pflanzen (IBBP)</t>
  </si>
  <si>
    <t xml:space="preserve">Medicago muricoleptis</t>
  </si>
  <si>
    <t xml:space="preserve">Institut fur Pflanzengenetik und Kulturpflanzenforschung</t>
  </si>
  <si>
    <t xml:space="preserve">Medicago noeana Boiss.</t>
  </si>
  <si>
    <t xml:space="preserve">Institut für Pflanzengenetik und Kulturpflanzenforschung</t>
  </si>
  <si>
    <t xml:space="preserve">Medicago orbicularis biancae</t>
  </si>
  <si>
    <t xml:space="preserve">Medicago orbicularis (L.) Bartal.</t>
  </si>
  <si>
    <t xml:space="preserve">Institut National Agronomique Paris-Grignon</t>
  </si>
  <si>
    <t xml:space="preserve">Medicago orbicularis marginata</t>
  </si>
  <si>
    <t xml:space="preserve">Institut National de la Recherche Agronomique</t>
  </si>
  <si>
    <t xml:space="preserve">Medicago orthoceras</t>
  </si>
  <si>
    <t xml:space="preserve">Institut National de la Recherche Agronomique - Centre de Clermont-Ferrand</t>
  </si>
  <si>
    <t xml:space="preserve">Medicago papillosa Boiss.</t>
  </si>
  <si>
    <t xml:space="preserve">Institut National de la Recherche Agronomique - Centre de Montpellier</t>
  </si>
  <si>
    <t xml:space="preserve">Medicago pironae</t>
  </si>
  <si>
    <t xml:space="preserve">Institut National de la Recherche Agronomique d'Algerie</t>
  </si>
  <si>
    <t xml:space="preserve">Medicago platycarpa</t>
  </si>
  <si>
    <t xml:space="preserve">Institut National de la Recherche Agronomique de Tunisie</t>
  </si>
  <si>
    <t xml:space="preserve">Medicago polychroa Grossh.</t>
  </si>
  <si>
    <t xml:space="preserve">Institut National de la Recherche Agronomique du Maroc</t>
  </si>
  <si>
    <t xml:space="preserve">Medicago polymorpha brevispina</t>
  </si>
  <si>
    <t xml:space="preserve">Institut of Corn</t>
  </si>
  <si>
    <t xml:space="preserve">Medicago polymorpha L.</t>
  </si>
  <si>
    <t xml:space="preserve">Institut of Crop Germplasm Resources, Chinese Academy of Agricultural Sciences</t>
  </si>
  <si>
    <t xml:space="preserve">Medicago polymorpha polymorpha</t>
  </si>
  <si>
    <t xml:space="preserve">Institut of Subtropical Plants</t>
  </si>
  <si>
    <t xml:space="preserve">Medicago polymorpha vulgaris</t>
  </si>
  <si>
    <t xml:space="preserve">Institut ZA Povrtarstvo</t>
  </si>
  <si>
    <t xml:space="preserve">Medicago praecox DC.</t>
  </si>
  <si>
    <t xml:space="preserve">Institute Crop and Food Research Ltd. East Coast Technology Centre</t>
  </si>
  <si>
    <t xml:space="preserve">Medicago prostrata Jacq.</t>
  </si>
  <si>
    <t xml:space="preserve">Institute for Agrobotany</t>
  </si>
  <si>
    <t xml:space="preserve">Medicago quasifalcata</t>
  </si>
  <si>
    <t xml:space="preserve">Institute for Breeding and Production of Field Crops</t>
  </si>
  <si>
    <t xml:space="preserve">Medicago radiata</t>
  </si>
  <si>
    <t xml:space="preserve">Institute for Field and Vegetable Crops Novi Sad</t>
  </si>
  <si>
    <t xml:space="preserve">Medicago rhodopea Velen.</t>
  </si>
  <si>
    <t xml:space="preserve">Institute for Genome Research and Systems Biology / CeBiTec</t>
  </si>
  <si>
    <t xml:space="preserve">Medicago rigidula agrestis</t>
  </si>
  <si>
    <t xml:space="preserve">Institute for Grapevine Breeding</t>
  </si>
  <si>
    <t xml:space="preserve">Medicago rigidula cinerascens</t>
  </si>
  <si>
    <t xml:space="preserve">Institute for Plant Genetic Resources 'K. Malkov'</t>
  </si>
  <si>
    <t xml:space="preserve">Medicago rigidula (L.) All.</t>
  </si>
  <si>
    <t xml:space="preserve">Institute for Tropical ans Subtropical Crops</t>
  </si>
  <si>
    <t xml:space="preserve">Medicago rigidula rigidula</t>
  </si>
  <si>
    <t xml:space="preserve">Institute of Agriculture of the NAAS</t>
  </si>
  <si>
    <t xml:space="preserve">Medicago rigidula submitis</t>
  </si>
  <si>
    <t xml:space="preserve">Institute of Arable Crop Research</t>
  </si>
  <si>
    <t xml:space="preserve">Medicago rigiduloides</t>
  </si>
  <si>
    <t xml:space="preserve">Institute of Botany</t>
  </si>
  <si>
    <t xml:space="preserve">Medicago rotata Boiss.</t>
  </si>
  <si>
    <t xml:space="preserve">Institute of Citrus Research Chinese Academy of Agric. Sciences</t>
  </si>
  <si>
    <t xml:space="preserve">Medicago rugosa Desr.</t>
  </si>
  <si>
    <t xml:space="preserve">Institute of Crop Breeding and Cultivation, Chinese Academy of Agricultural Sciences</t>
  </si>
  <si>
    <t xml:space="preserve">Medicago rupestris</t>
  </si>
  <si>
    <t xml:space="preserve">Institute of Crop Research, Jilin Academy of Agricultural Sciences</t>
  </si>
  <si>
    <t xml:space="preserve">Medicago ruthenica (L.) Trautv.</t>
  </si>
  <si>
    <t xml:space="preserve">Institute of Crop Science, Federal Research Center for Agricult.(FAL)</t>
  </si>
  <si>
    <t xml:space="preserve">Medicago sativa caelurea</t>
  </si>
  <si>
    <t xml:space="preserve">Institute of Experimental Botany</t>
  </si>
  <si>
    <t xml:space="preserve">Medicago sativa falcata (L.) Arcang.</t>
  </si>
  <si>
    <t xml:space="preserve">Institute of Field Crops and Viticulture</t>
  </si>
  <si>
    <t xml:space="preserve">Medicago sativa gaetula</t>
  </si>
  <si>
    <t xml:space="preserve">Institute of forest genetics</t>
  </si>
  <si>
    <t xml:space="preserve">Medicago sativa glomerata (Balb.) Rouy</t>
  </si>
  <si>
    <t xml:space="preserve">Institute of Genetics,  Fudan University</t>
  </si>
  <si>
    <t xml:space="preserve">Medicago sativa L.</t>
  </si>
  <si>
    <t xml:space="preserve">Institute of Husbandry and Breeding of the National Academy of Sciences of Belarus</t>
  </si>
  <si>
    <t xml:space="preserve">Medicago sativa type mielga L.</t>
  </si>
  <si>
    <t xml:space="preserve">Institute of Mol. &amp; Cell. Bioscience,  Department of CellularFunction</t>
  </si>
  <si>
    <t xml:space="preserve">Medicago sauvagei</t>
  </si>
  <si>
    <t xml:space="preserve">Institute of Plant Breeding and Agricultural Research 'Nazareno Strampelli'</t>
  </si>
  <si>
    <t xml:space="preserve">Medicago saxatilis</t>
  </si>
  <si>
    <t xml:space="preserve">Institute of Plant Breeding, College of Agriculture, University of the Philippines, Los Baños College</t>
  </si>
  <si>
    <t xml:space="preserve">Medicago scutellata (L.) Mill.</t>
  </si>
  <si>
    <t xml:space="preserve">Institute of Plant Production n.a. V.Y. Yurjev of UAAS</t>
  </si>
  <si>
    <t xml:space="preserve">Medicago secundiflora</t>
  </si>
  <si>
    <t xml:space="preserve">Institute of Pomology, Jiangxi Academy of Agricultural Sciences</t>
  </si>
  <si>
    <t xml:space="preserve">Medicago shepardii Post ex Boiss.</t>
  </si>
  <si>
    <t xml:space="preserve">Institute of Wheat and Sunflower Dobroudja</t>
  </si>
  <si>
    <t xml:space="preserve">Medicago soleirolii Duby</t>
  </si>
  <si>
    <t xml:space="preserve">Institute Plant Biotechnology</t>
  </si>
  <si>
    <t xml:space="preserve">Medicago suffruticosa leiocarpa (Benth.) Urb</t>
  </si>
  <si>
    <t xml:space="preserve">InstitutionX</t>
  </si>
  <si>
    <t xml:space="preserve">Medicago suffruticosa Ramond ex DC.</t>
  </si>
  <si>
    <t xml:space="preserve">Instituto Agronomico de Campinas</t>
  </si>
  <si>
    <t xml:space="preserve">Medicago suffruticosa suffruticosa</t>
  </si>
  <si>
    <t xml:space="preserve">Instituto Agronomico de Parana</t>
  </si>
  <si>
    <t xml:space="preserve">Medicago tenoreana</t>
  </si>
  <si>
    <t xml:space="preserve">Instituto Canario de Investigaciones Agrarias</t>
  </si>
  <si>
    <t xml:space="preserve">Medicago tornata</t>
  </si>
  <si>
    <t xml:space="preserve">Instituto Colombiano Agropecuario</t>
  </si>
  <si>
    <t xml:space="preserve">Medicago tornata rugolosa</t>
  </si>
  <si>
    <t xml:space="preserve">Instituto de Biologia y Biotecnologia Vegetal</t>
  </si>
  <si>
    <t xml:space="preserve">Medicago tornata spinulosa</t>
  </si>
  <si>
    <t xml:space="preserve">Instituto de Biotecnologia,  CICVyA-CNIA</t>
  </si>
  <si>
    <t xml:space="preserve">Medicago tornata tornata</t>
  </si>
  <si>
    <t xml:space="preserve">Instituto de Investigacao Agronomica</t>
  </si>
  <si>
    <t xml:space="preserve">Medicago truncatula</t>
  </si>
  <si>
    <t xml:space="preserve">Instituto de Investigaciones de Citricos y otros Frutales</t>
  </si>
  <si>
    <t xml:space="preserve">Medicago truncatula longispina</t>
  </si>
  <si>
    <t xml:space="preserve">Instituto de Investigaciones Fundamentales en Agr. Tropical</t>
  </si>
  <si>
    <t xml:space="preserve">Medicago truncatula tricycla</t>
  </si>
  <si>
    <t xml:space="preserve">Instituto de Protecçao da Produçao Agro-Alimentar</t>
  </si>
  <si>
    <t xml:space="preserve">Medicago truncatula truncatula</t>
  </si>
  <si>
    <t xml:space="preserve">Instituto Fitogenetico 'Santa Catalina'</t>
  </si>
  <si>
    <t xml:space="preserve">Medicago turbinata (L.) All.</t>
  </si>
  <si>
    <t xml:space="preserve">Instituto Nacional de Ciencas Agr.</t>
  </si>
  <si>
    <t xml:space="preserve">Medicago varia Martyn</t>
  </si>
  <si>
    <t xml:space="preserve">Instituto Nacional de Investigação Agronomica</t>
  </si>
  <si>
    <t xml:space="preserve">Microcitrus australasica (F. Muell.) Swingle</t>
  </si>
  <si>
    <t xml:space="preserve">Instituto Nacional de Investigacion Agropecuaria</t>
  </si>
  <si>
    <t xml:space="preserve">(Microcitrus australasica (F. Muell.) Swingle x (Fortunella sp. x Citrus mitis))</t>
  </si>
  <si>
    <t xml:space="preserve">Instituto nacional de Investigaciones Agricolas Celaya Mexique</t>
  </si>
  <si>
    <t xml:space="preserve">(Microcitrus australasica (F. Muell.) Swingle x Microcitrus australis (Planch.) Swing.)</t>
  </si>
  <si>
    <t xml:space="preserve">Instituto Nacional de Investigaciones Forestales, Agrícolas y Pecuarias</t>
  </si>
  <si>
    <t xml:space="preserve">Microcitrus australis (A. Cunn. ex Mudie) Swingle</t>
  </si>
  <si>
    <t xml:space="preserve">Instituto Nacional de Tecnología Agropecuaria</t>
  </si>
  <si>
    <t xml:space="preserve">Microcitrus Swingle</t>
  </si>
  <si>
    <t xml:space="preserve">Instituto Nacional de Tecnología Agropecuaria Estacion Experimental Marcos Juárez</t>
  </si>
  <si>
    <t xml:space="preserve">Monodelphis domestica</t>
  </si>
  <si>
    <t xml:space="preserve">Instituto Nacional de Tecnología Agropecuaria Estacion Experimental Pergamino</t>
  </si>
  <si>
    <t xml:space="preserve">Murraya J. Koenig ex L.</t>
  </si>
  <si>
    <t xml:space="preserve">Instituto Valenciano de Investigaciones Agrarias</t>
  </si>
  <si>
    <t xml:space="preserve">Murraya paniculata (L.) Jack</t>
  </si>
  <si>
    <t xml:space="preserve">INTA</t>
  </si>
  <si>
    <t xml:space="preserve">Mus musculus</t>
  </si>
  <si>
    <t xml:space="preserve">INTA Estacion Experimental</t>
  </si>
  <si>
    <t xml:space="preserve">Muscadinia munsoniana Small</t>
  </si>
  <si>
    <t xml:space="preserve">Interactions Arbres/Microorganismes</t>
  </si>
  <si>
    <t xml:space="preserve">Muscadinia popenoei Fennell</t>
  </si>
  <si>
    <t xml:space="preserve">International Centre for Agricultural Research in Dry Areas</t>
  </si>
  <si>
    <t xml:space="preserve">Muscadinia rotundifolia cv. Carlos</t>
  </si>
  <si>
    <t xml:space="preserve">International Institute of Tropical Agriculture</t>
  </si>
  <si>
    <t xml:space="preserve">Muscadinia rotundifolia cv. Dulcet</t>
  </si>
  <si>
    <t xml:space="preserve">IPK</t>
  </si>
  <si>
    <t xml:space="preserve">Muscadinia rotundifolia cv. Fry</t>
  </si>
  <si>
    <t xml:space="preserve">IPMSV</t>
  </si>
  <si>
    <t xml:space="preserve">Muscadinia rotundifolia cv. Regale</t>
  </si>
  <si>
    <t xml:space="preserve">IRD</t>
  </si>
  <si>
    <t xml:space="preserve">Muscadinia rotundifolia cv. Trayshed</t>
  </si>
  <si>
    <t xml:space="preserve">IRISA</t>
  </si>
  <si>
    <t xml:space="preserve">Muscadinia rotundifolia cv. Yuga x Carlos</t>
  </si>
  <si>
    <t xml:space="preserve">IRRI</t>
  </si>
  <si>
    <t xml:space="preserve">Muscadinia rotundifolia Mchx.</t>
  </si>
  <si>
    <t xml:space="preserve">Istituto di Agronomia e Coltivazioni - Universita di Bologna</t>
  </si>
  <si>
    <t xml:space="preserve">Muscadinia Small</t>
  </si>
  <si>
    <t xml:space="preserve">Istituto di Genetica Vegetale, Consiglio Nazionale delle Richerche</t>
  </si>
  <si>
    <t xml:space="preserve">Myzus persicae</t>
  </si>
  <si>
    <t xml:space="preserve">Istituto di Scienze Biochimiche</t>
  </si>
  <si>
    <t xml:space="preserve">Olea europaea L.</t>
  </si>
  <si>
    <t xml:space="preserve">Istituto Sperimentale per lAgrumicoltura</t>
  </si>
  <si>
    <t xml:space="preserve">Onobrychis Hill.</t>
  </si>
  <si>
    <t xml:space="preserve">ISV-CNRS</t>
  </si>
  <si>
    <t xml:space="preserve">Onobrychis viciifolia Scop.</t>
  </si>
  <si>
    <t xml:space="preserve">J. Berthélémé</t>
  </si>
  <si>
    <t xml:space="preserve">Oryza barthii</t>
  </si>
  <si>
    <t xml:space="preserve">Jardin Botanico, Wilson Popenoe de Lancetilla</t>
  </si>
  <si>
    <t xml:space="preserve">Oryza glaberrima</t>
  </si>
  <si>
    <t xml:space="preserve">Jardin botanique de Bordeaux</t>
  </si>
  <si>
    <t xml:space="preserve">Oryza longistaminata</t>
  </si>
  <si>
    <t xml:space="preserve">Jiangsu Academy of Agricultural Sciences</t>
  </si>
  <si>
    <t xml:space="preserve">Oryza nivara</t>
  </si>
  <si>
    <t xml:space="preserve">JKI Julius Kühn-Institut</t>
  </si>
  <si>
    <t xml:space="preserve">Oryza rufipogon</t>
  </si>
  <si>
    <t xml:space="preserve">John Innes CentreNorwich Research Park</t>
  </si>
  <si>
    <t xml:space="preserve">Oryza sativa</t>
  </si>
  <si>
    <t xml:space="preserve">Jorion</t>
  </si>
  <si>
    <t xml:space="preserve">Oryzias latipes</t>
  </si>
  <si>
    <t xml:space="preserve">Jose Buck S.A.</t>
  </si>
  <si>
    <t xml:space="preserve">Pan troglodytes</t>
  </si>
  <si>
    <t xml:space="preserve">Joseph Nickerson Research Centre</t>
  </si>
  <si>
    <t xml:space="preserve">Parthenocissus henryana Graebn. ex Diels</t>
  </si>
  <si>
    <t xml:space="preserve">Jourdan Pierre,  Tain - France</t>
  </si>
  <si>
    <t xml:space="preserve">Parthenocissus Planch.</t>
  </si>
  <si>
    <t xml:space="preserve">Julius Kühn-Institut</t>
  </si>
  <si>
    <t xml:space="preserve">Parthenocissus quinquefolia (L.) Planch.</t>
  </si>
  <si>
    <t xml:space="preserve">Kaerntner Saatbaugenossenschaft/Carinthian Agricultural Company</t>
  </si>
  <si>
    <t xml:space="preserve">Parthenocissus tricuspidata Planch.</t>
  </si>
  <si>
    <t xml:space="preserve">Kagoshima University, Faculty of Agriculture, Laboratory of Horticultural Science</t>
  </si>
  <si>
    <t xml:space="preserve">Parthenocissus voineriana</t>
  </si>
  <si>
    <t xml:space="preserve">Kansas Agricultural Experiment Station, Kansas State University</t>
  </si>
  <si>
    <t xml:space="preserve">Phaseolus vulgaris</t>
  </si>
  <si>
    <t xml:space="preserve">Kansas State University</t>
  </si>
  <si>
    <t xml:space="preserve">Phleum L.</t>
  </si>
  <si>
    <t xml:space="preserve">Karaganda State Agricultural Experiment Station</t>
  </si>
  <si>
    <t xml:space="preserve">Phleum pratense L.</t>
  </si>
  <si>
    <t xml:space="preserve">Kazakh Research Institute of Agriculture</t>
  </si>
  <si>
    <t xml:space="preserve">Phytophthora parasitica</t>
  </si>
  <si>
    <t xml:space="preserve">Key Lab. of Crop Germplasm &amp; Biotechnology</t>
  </si>
  <si>
    <t xml:space="preserve">Picea abies</t>
  </si>
  <si>
    <t xml:space="preserve">Key Laboratory of Crop Germplasm &amp; Biotechnology</t>
  </si>
  <si>
    <t xml:space="preserve">Pinus pinaster</t>
  </si>
  <si>
    <t xml:space="preserve">Key Laboratory of Ministry of Education for PlantDevelopmental Biology</t>
  </si>
  <si>
    <t xml:space="preserve">Pinus sylvestris</t>
  </si>
  <si>
    <t xml:space="preserve">Key Laboratory Tree Genetic Engineering of Nanjing Forestry</t>
  </si>
  <si>
    <t xml:space="preserve">Pisum fulvum</t>
  </si>
  <si>
    <t xml:space="preserve">Kihara Institute for Biological Research,  Yokohama CityUniversity</t>
  </si>
  <si>
    <t xml:space="preserve">Pisum L.</t>
  </si>
  <si>
    <t xml:space="preserve">Kihara Institute for Biological Research, Yokohama City University</t>
  </si>
  <si>
    <t xml:space="preserve">Pisum sativum L.</t>
  </si>
  <si>
    <t xml:space="preserve">Kleinwanzlebener Saatzucht AG</t>
  </si>
  <si>
    <t xml:space="preserve">Pisum sativum subsp. abyssinicum</t>
  </si>
  <si>
    <t xml:space="preserve">Krasnyy Kut breeding station</t>
  </si>
  <si>
    <t xml:space="preserve">Pisum sativum subsp. elatius</t>
  </si>
  <si>
    <t xml:space="preserve">Kumho Life &amp; Environmental Science Laboratory (KLESL)</t>
  </si>
  <si>
    <t xml:space="preserve">Pisum sativum subsp. sativum</t>
  </si>
  <si>
    <t xml:space="preserve">KWS France</t>
  </si>
  <si>
    <t xml:space="preserve">Pisum sativum var. arvense</t>
  </si>
  <si>
    <t xml:space="preserve">KWS UK Ltd</t>
  </si>
  <si>
    <t xml:space="preserve">Pisum sativum var. choresmicum</t>
  </si>
  <si>
    <t xml:space="preserve">La. Agr. Exp. Sta.</t>
  </si>
  <si>
    <t xml:space="preserve">Pisum sativum var. pumilio</t>
  </si>
  <si>
    <t xml:space="preserve">Lab. Biol. Developpement des Plantes</t>
  </si>
  <si>
    <t xml:space="preserve">Pisum sativum var. tibetanicum</t>
  </si>
  <si>
    <t xml:space="preserve">Lab. Biotech. et Amelior. Plantes - Pole de Biotechnologie Vegetale</t>
  </si>
  <si>
    <t xml:space="preserve">Poncirus polyandra S. Q. Ding et al.</t>
  </si>
  <si>
    <t xml:space="preserve">Lab de Biochimie</t>
  </si>
  <si>
    <t xml:space="preserve">Poncirus Raf.</t>
  </si>
  <si>
    <t xml:space="preserve">Lab of Biotechnology</t>
  </si>
  <si>
    <t xml:space="preserve">Poncirus trifoliata (L.) Raf.</t>
  </si>
  <si>
    <t xml:space="preserve">Lab of Molecular Biology</t>
  </si>
  <si>
    <t xml:space="preserve">Populus alba</t>
  </si>
  <si>
    <t xml:space="preserve">Lab. of Plant Development Physiology and  Molecular Biology</t>
  </si>
  <si>
    <t xml:space="preserve">Populus alba x populus tremula var. glandulosa</t>
  </si>
  <si>
    <t xml:space="preserve">Lab of Plant Molecular Physiology</t>
  </si>
  <si>
    <t xml:space="preserve">Populus deltoides</t>
  </si>
  <si>
    <t xml:space="preserve">Laboratoire BAP</t>
  </si>
  <si>
    <t xml:space="preserve">Populus deltoides x Populus nigra</t>
  </si>
  <si>
    <t xml:space="preserve">Laboratoire de Biologie du Developpement des Plantes</t>
  </si>
  <si>
    <t xml:space="preserve">Populus deltoides x populus trichocarpa</t>
  </si>
  <si>
    <t xml:space="preserve">Laboratoire de Biologie du developpement des plantes</t>
  </si>
  <si>
    <t xml:space="preserve">Populus euphratica</t>
  </si>
  <si>
    <t xml:space="preserve">Laboratoire de Biologie Moleculaire</t>
  </si>
  <si>
    <t xml:space="preserve">Populus fremontii</t>
  </si>
  <si>
    <t xml:space="preserve">Laboratoire de Biotechnologie et Amelioration des Plantes</t>
  </si>
  <si>
    <t xml:space="preserve">Populus fremontii x populus angustifolia</t>
  </si>
  <si>
    <t xml:space="preserve">Laboratoire de Biotechnologie et d'amélioration des plantes</t>
  </si>
  <si>
    <t xml:space="preserve">Populus nigra</t>
  </si>
  <si>
    <t xml:space="preserve">Laboratoire de Génétique et Amélioration des Plantes, INRA-Lille</t>
  </si>
  <si>
    <t xml:space="preserve">Populus tomentiglandulosa</t>
  </si>
  <si>
    <t xml:space="preserve">Laboratoire de Genetique Moleculaire</t>
  </si>
  <si>
    <t xml:space="preserve">Populus tremula</t>
  </si>
  <si>
    <t xml:space="preserve">Laboratoire de Genomique et Bioinformatique</t>
  </si>
  <si>
    <t xml:space="preserve">Populus tremula x populus alba</t>
  </si>
  <si>
    <t xml:space="preserve">Laboratoire de Génomique et Bioinformatique</t>
  </si>
  <si>
    <t xml:space="preserve">Populus tremula x populus tremuloides</t>
  </si>
  <si>
    <t xml:space="preserve">Laboratoire de Mondonville</t>
  </si>
  <si>
    <t xml:space="preserve">Populus tremuloides</t>
  </si>
  <si>
    <t xml:space="preserve">Laboratoire de Nutrition Azotee des Plantes</t>
  </si>
  <si>
    <t xml:space="preserve">Populus trichocarpa</t>
  </si>
  <si>
    <t xml:space="preserve">Laboratoire de Pathologie Vegetale</t>
  </si>
  <si>
    <t xml:space="preserve">Populus trichocarpa x populus deltoides</t>
  </si>
  <si>
    <t xml:space="preserve">Laboratoire de Physiologie et Biologie MoleculairesVegetales,  URA CNRS 565</t>
  </si>
  <si>
    <t xml:space="preserve">Populus trichocarpa x Populus nigra</t>
  </si>
  <si>
    <t xml:space="preserve">Laboratoire de Phytoparasitologie</t>
  </si>
  <si>
    <t xml:space="preserve">Populus x canadensis</t>
  </si>
  <si>
    <t xml:space="preserve">Laboratoire de Phytopathologie Moleculaire ; SainsburyLaboratory</t>
  </si>
  <si>
    <t xml:space="preserve">Prunus armeniaca L.</t>
  </si>
  <si>
    <t xml:space="preserve">Laboratoire de Phytopathologie Moleculaire (LPPM)</t>
  </si>
  <si>
    <t xml:space="preserve">Prunus avium L.</t>
  </si>
  <si>
    <t xml:space="preserve">Laboratoire d'Organogenese Moleculaire Vegetale</t>
  </si>
  <si>
    <t xml:space="preserve">Prunus cerasus L.</t>
  </si>
  <si>
    <t xml:space="preserve">Laboratoire genome et developpement des plantes LGDP</t>
  </si>
  <si>
    <t xml:space="preserve">Prunus domestica L.</t>
  </si>
  <si>
    <t xml:space="preserve">Laboratoire Ginome et Diveloppement des Plantes</t>
  </si>
  <si>
    <t xml:space="preserve">Prunus dulcis (P. Mill.) D.A. Webber</t>
  </si>
  <si>
    <t xml:space="preserve">Laboratorio di Genetica Molecolare</t>
  </si>
  <si>
    <t xml:space="preserve">Prunus insititia L.</t>
  </si>
  <si>
    <t xml:space="preserve">Laboratory for Genomics and  Bioinformatics</t>
  </si>
  <si>
    <t xml:space="preserve">Prunus L.</t>
  </si>
  <si>
    <t xml:space="preserve">Laboratory of Biochemistry,  Department of Molecular Geneticsand</t>
  </si>
  <si>
    <t xml:space="preserve">Prunus semperflorens Ehrh.</t>
  </si>
  <si>
    <t xml:space="preserve">Laboratory of Functional Genetics</t>
  </si>
  <si>
    <t xml:space="preserve">Prunus x gondouinii (Poit. &amp; Turpin.) Schneid.</t>
  </si>
  <si>
    <t xml:space="preserve">Laboratory of Molecular Biology</t>
  </si>
  <si>
    <t xml:space="preserve">Pterocissus mirabilis Urb. &amp; Ekman</t>
  </si>
  <si>
    <t xml:space="preserve">Laboratory of Plant Biotechnology</t>
  </si>
  <si>
    <t xml:space="preserve">Pterocissus Urb. &amp; Ekman</t>
  </si>
  <si>
    <t xml:space="preserve">Laboratory of Plant Molecular Biology</t>
  </si>
  <si>
    <t xml:space="preserve">Pyrus L.</t>
  </si>
  <si>
    <t xml:space="preserve">Laboratory of Plant Molecular Breeding</t>
  </si>
  <si>
    <t xml:space="preserve">Quercus petraea</t>
  </si>
  <si>
    <t xml:space="preserve">Laboratory of Tropical Crop Improvement, Katholieke Universiteit Leuven</t>
  </si>
  <si>
    <t xml:space="preserve">Quercus robur</t>
  </si>
  <si>
    <t xml:space="preserve">Lacombe Research Centre Agriculture and Agri-Food Canada</t>
  </si>
  <si>
    <t xml:space="preserve">Rhopalosiphum padi</t>
  </si>
  <si>
    <t xml:space="preserve">Lafite, Ferme des Anglais</t>
  </si>
  <si>
    <t xml:space="preserve">Rosa chinensis</t>
  </si>
  <si>
    <t xml:space="preserve">Landbrugets Kornforaedling Sejet</t>
  </si>
  <si>
    <t xml:space="preserve">Rosa hybrida</t>
  </si>
  <si>
    <t xml:space="preserve">Landwirtschaftliche Lehranstalten Triesdorf</t>
  </si>
  <si>
    <t xml:space="preserve">Rosa wichuraiana</t>
  </si>
  <si>
    <t xml:space="preserve">Landwirtschaftsbetrieb Neuhof Rohrau, Pflanzenzucht</t>
  </si>
  <si>
    <t xml:space="preserve">Rutaceae</t>
  </si>
  <si>
    <t xml:space="preserve">Layne David - Summerland BC - Canada</t>
  </si>
  <si>
    <t xml:space="preserve">Saccharum officinarum</t>
  </si>
  <si>
    <t xml:space="preserve">LCB</t>
  </si>
  <si>
    <t xml:space="preserve">Saccharum spontaneum</t>
  </si>
  <si>
    <t xml:space="preserve">Lehrstuhl fuer Genetik</t>
  </si>
  <si>
    <t xml:space="preserve">Sclerotinia sclerotorium</t>
  </si>
  <si>
    <t xml:space="preserve">Leshan Citrus Association</t>
  </si>
  <si>
    <t xml:space="preserve">Secale cereale</t>
  </si>
  <si>
    <t xml:space="preserve">Lethbridge Research Station, Agriculture Canada</t>
  </si>
  <si>
    <t xml:space="preserve">Severinia buxifolia (Poir.) Ten.</t>
  </si>
  <si>
    <t xml:space="preserve">Letianxi Special Produce Station</t>
  </si>
  <si>
    <t xml:space="preserve">Severinia Ten. ex Endl.</t>
  </si>
  <si>
    <t xml:space="preserve">LG Molekulargenetik</t>
  </si>
  <si>
    <t xml:space="preserve">Solanum alandiae Cardenas</t>
  </si>
  <si>
    <t xml:space="preserve">Limagrain</t>
  </si>
  <si>
    <t xml:space="preserve">Solanum albicans Ochoa</t>
  </si>
  <si>
    <t xml:space="preserve">Limagrain Europe Riom</t>
  </si>
  <si>
    <t xml:space="preserve">Solanum andreanum Baker</t>
  </si>
  <si>
    <t xml:space="preserve">Limagrain Genetics</t>
  </si>
  <si>
    <t xml:space="preserve">Solanum avilesii Hawkes &amp; Hjert.</t>
  </si>
  <si>
    <t xml:space="preserve">Limagrain Iberica</t>
  </si>
  <si>
    <t xml:space="preserve">Solanum berthaultii Hawkes</t>
  </si>
  <si>
    <t xml:space="preserve">Limagrain UK Ltd</t>
  </si>
  <si>
    <t xml:space="preserve">Solanum brachistotrichum Rydb.</t>
  </si>
  <si>
    <t xml:space="preserve">Limagrain Verneuil Holding</t>
  </si>
  <si>
    <t xml:space="preserve">Solanum brevidens Phil.</t>
  </si>
  <si>
    <t xml:space="preserve">Limagrain-Nickerson GmbH</t>
  </si>
  <si>
    <t xml:space="preserve">Solanum bulbocastanum Dunal</t>
  </si>
  <si>
    <t xml:space="preserve">Lincoln University</t>
  </si>
  <si>
    <t xml:space="preserve">Solanum cardiophyllum Lindl.</t>
  </si>
  <si>
    <t xml:space="preserve">LIPM,  CNRS/INRA</t>
  </si>
  <si>
    <t xml:space="preserve">Solanum chacoense Bitter</t>
  </si>
  <si>
    <t xml:space="preserve">Lita Annenberg Hazen Genome Sequencing Center</t>
  </si>
  <si>
    <t xml:space="preserve">Solanum cheesmaniae</t>
  </si>
  <si>
    <t xml:space="preserve">Lithuanian Institute of Agriculture</t>
  </si>
  <si>
    <t xml:space="preserve">Solanum chmielewskii</t>
  </si>
  <si>
    <t xml:space="preserve">London Horticultural Society</t>
  </si>
  <si>
    <t xml:space="preserve">Solanum comersonii Poir.</t>
  </si>
  <si>
    <t xml:space="preserve">Louisiana State University USA</t>
  </si>
  <si>
    <t xml:space="preserve">Solanum demissum Lindl.</t>
  </si>
  <si>
    <t xml:space="preserve">Luigi Samoggia</t>
  </si>
  <si>
    <t xml:space="preserve">Solanum etuberosum Lindl.</t>
  </si>
  <si>
    <t xml:space="preserve">Luk'janenko Krasnodar Agricultural Research Institute</t>
  </si>
  <si>
    <t xml:space="preserve">Solanum fendleri A. Gray</t>
  </si>
  <si>
    <t xml:space="preserve">M. Alain Marcel</t>
  </si>
  <si>
    <t xml:space="preserve">Solanum gourlayi Hawkes</t>
  </si>
  <si>
    <t xml:space="preserve">M. Anderson Fred, CA - USA</t>
  </si>
  <si>
    <t xml:space="preserve">Solanum habrochaites</t>
  </si>
  <si>
    <t xml:space="preserve">M. Ballot</t>
  </si>
  <si>
    <t xml:space="preserve">Solanum hougasii Correll</t>
  </si>
  <si>
    <t xml:space="preserve">M. Bordes, Rivesaltes Pyrénées Orientales - France</t>
  </si>
  <si>
    <t xml:space="preserve">Solanum kurtzianum Bitter &amp; Wittm.</t>
  </si>
  <si>
    <t xml:space="preserve">M. Bouchot</t>
  </si>
  <si>
    <t xml:space="preserve">Solanum L.</t>
  </si>
  <si>
    <t xml:space="preserve">M. Boyat</t>
  </si>
  <si>
    <t xml:space="preserve">Solanum lycopersicum</t>
  </si>
  <si>
    <t xml:space="preserve">M. Briot</t>
  </si>
  <si>
    <t xml:space="preserve">Solanum lycopersicum var. cerasiforme</t>
  </si>
  <si>
    <t xml:space="preserve">M. Brun</t>
  </si>
  <si>
    <t xml:space="preserve">Solanum oplocense Hawkes</t>
  </si>
  <si>
    <t xml:space="preserve">M. Canino, Spain</t>
  </si>
  <si>
    <t xml:space="preserve">Solanum pennellii</t>
  </si>
  <si>
    <t xml:space="preserve">M. Carraut</t>
  </si>
  <si>
    <t xml:space="preserve">Solanum phureja Juz. &amp; Bukasov</t>
  </si>
  <si>
    <t xml:space="preserve">M. Chazotier</t>
  </si>
  <si>
    <t xml:space="preserve">Solanum pimpinellifolium</t>
  </si>
  <si>
    <t xml:space="preserve">M. Chorozé, pépiniériste</t>
  </si>
  <si>
    <t xml:space="preserve">Solanum polyadenium Greenm.</t>
  </si>
  <si>
    <t xml:space="preserve">M. Clanet</t>
  </si>
  <si>
    <t xml:space="preserve">Solanum polytrichon Rydb.</t>
  </si>
  <si>
    <t xml:space="preserve">M. Coste, Pyrénées Orientales - France</t>
  </si>
  <si>
    <t xml:space="preserve">Solanum schenckii Bitter</t>
  </si>
  <si>
    <t xml:space="preserve">M. Cunty</t>
  </si>
  <si>
    <t xml:space="preserve">Solanum sparsipilum Juz. &amp; Bukasov</t>
  </si>
  <si>
    <t xml:space="preserve">M. Duquesne</t>
  </si>
  <si>
    <t xml:space="preserve">Solanum spegazzinii Bitter</t>
  </si>
  <si>
    <t xml:space="preserve">M. Escudier, Aramon, Gard - France</t>
  </si>
  <si>
    <t xml:space="preserve">Solanum stenotonum Juz. &amp; Bukasov</t>
  </si>
  <si>
    <t xml:space="preserve">M. Flandin, pépiniériste</t>
  </si>
  <si>
    <t xml:space="preserve">Solanum stoloniferum Schltdl. &amp; Bouché</t>
  </si>
  <si>
    <t xml:space="preserve">M. Gidouin</t>
  </si>
  <si>
    <t xml:space="preserve">Solanum sucrense Hawkes</t>
  </si>
  <si>
    <t xml:space="preserve">M. Goepfert</t>
  </si>
  <si>
    <t xml:space="preserve">Solanum tarijense Hawkes</t>
  </si>
  <si>
    <t xml:space="preserve">M. Grassely</t>
  </si>
  <si>
    <t xml:space="preserve">Solanum trifidum Correll</t>
  </si>
  <si>
    <t xml:space="preserve">M. Guillaume</t>
  </si>
  <si>
    <t xml:space="preserve">Solanum tuberosum andigenum Juz. &amp; Bukasov</t>
  </si>
  <si>
    <t xml:space="preserve">M. Jaboulay</t>
  </si>
  <si>
    <t xml:space="preserve">Solanum tuberosum L.</t>
  </si>
  <si>
    <t xml:space="preserve">M. Kupper, arboriculteur</t>
  </si>
  <si>
    <t xml:space="preserve">Solanum tuberosum tuberosum L.</t>
  </si>
  <si>
    <t xml:space="preserve">M. Laboulfié</t>
  </si>
  <si>
    <t xml:space="preserve">Solanum vernei Bitter &amp; Wittm.</t>
  </si>
  <si>
    <t xml:space="preserve">M. Lerouzic</t>
  </si>
  <si>
    <t xml:space="preserve">Sorghum bicolor</t>
  </si>
  <si>
    <t xml:space="preserve">M. Luizet, Ecully, Rhone - France</t>
  </si>
  <si>
    <t xml:space="preserve">(Tangelo x Citrus paradisi Macf.)</t>
  </si>
  <si>
    <t xml:space="preserve">M. Malauzat, rue Château Trompette</t>
  </si>
  <si>
    <t xml:space="preserve">(Tangor x Citrus temple Hort. ex Y. Tan.)</t>
  </si>
  <si>
    <t xml:space="preserve">M. Maray-Meuilley</t>
  </si>
  <si>
    <t xml:space="preserve">Tetrastigma K.Schum.</t>
  </si>
  <si>
    <t xml:space="preserve">M. Merrand, St Etienne de Valoux, Ardeche - France</t>
  </si>
  <si>
    <t xml:space="preserve">Tetrastigma lanceolarium Planch.</t>
  </si>
  <si>
    <t xml:space="preserve">M. Moll</t>
  </si>
  <si>
    <t xml:space="preserve">Tetrastigma voinearium Pierre ex Gagnep.</t>
  </si>
  <si>
    <t xml:space="preserve">M. Murat</t>
  </si>
  <si>
    <t xml:space="preserve">Theobroma cacao</t>
  </si>
  <si>
    <t xml:space="preserve">M. Pejouan, Toulouges, Pyrénées Orientales  - France</t>
  </si>
  <si>
    <t xml:space="preserve">Thinopyrum ponticum (Podp.) Barkworth &amp; D.R. Dewey</t>
  </si>
  <si>
    <t xml:space="preserve">M. Pérès</t>
  </si>
  <si>
    <t xml:space="preserve">Toxoptera citricida</t>
  </si>
  <si>
    <t xml:space="preserve">M. Pierre Renoux</t>
  </si>
  <si>
    <t xml:space="preserve">Trifolium L.</t>
  </si>
  <si>
    <t xml:space="preserve">M. Poncet</t>
  </si>
  <si>
    <t xml:space="preserve">Trifolium pratense L.</t>
  </si>
  <si>
    <t xml:space="preserve">M. Popon</t>
  </si>
  <si>
    <t xml:space="preserve">Trifolium repens L.</t>
  </si>
  <si>
    <t xml:space="preserve">M. Ribelaygue, Pyrénées Orientales - France</t>
  </si>
  <si>
    <t xml:space="preserve">Trifolium resupinatum L.</t>
  </si>
  <si>
    <t xml:space="preserve">M. Riou Pierre, Francia</t>
  </si>
  <si>
    <t xml:space="preserve">Trifolium subterraneum</t>
  </si>
  <si>
    <t xml:space="preserve">M. Rohn</t>
  </si>
  <si>
    <t xml:space="preserve">Trifolium subterraneum brachicalycinum</t>
  </si>
  <si>
    <t xml:space="preserve">M. Roth</t>
  </si>
  <si>
    <t xml:space="preserve">Trifolium subterraneum subterraneum</t>
  </si>
  <si>
    <t xml:space="preserve">M. Roudier, Larnage - France</t>
  </si>
  <si>
    <t xml:space="preserve">Trifolium subterraneum yanninicum</t>
  </si>
  <si>
    <t xml:space="preserve">M. Rouget, Sernhac - France</t>
  </si>
  <si>
    <t xml:space="preserve">Triticeae</t>
  </si>
  <si>
    <t xml:space="preserve">M. Royère à 'Le Bicout'</t>
  </si>
  <si>
    <t xml:space="preserve">Triticum</t>
  </si>
  <si>
    <t xml:space="preserve">M. Saint-Germain</t>
  </si>
  <si>
    <t xml:space="preserve">Triticum aaronshii</t>
  </si>
  <si>
    <t xml:space="preserve">M. Schmidt</t>
  </si>
  <si>
    <t xml:space="preserve">Triticum aaronshii aaronshii</t>
  </si>
  <si>
    <t xml:space="preserve">M. Sigalas Antoine, Bordes-Hautes</t>
  </si>
  <si>
    <t xml:space="preserve">Triticum abyssinicum</t>
  </si>
  <si>
    <t xml:space="preserve">M. Soupa</t>
  </si>
  <si>
    <t xml:space="preserve">Triticum aegilopoides (Link) Bal.</t>
  </si>
  <si>
    <t xml:space="preserve">M. Stentzel</t>
  </si>
  <si>
    <t xml:space="preserve">M. Thomas</t>
  </si>
  <si>
    <t xml:space="preserve">Triticum aestivum aestivum</t>
  </si>
  <si>
    <t xml:space="preserve">M. Tisseyre, St Hyppolite Pyrénées Orientales - France</t>
  </si>
  <si>
    <t xml:space="preserve">Triticum aestivum compactum</t>
  </si>
  <si>
    <t xml:space="preserve">M. Wouters - Argentine</t>
  </si>
  <si>
    <t xml:space="preserve">Triticum aestivum fongicidum</t>
  </si>
  <si>
    <t xml:space="preserve">M. Zimandl</t>
  </si>
  <si>
    <t xml:space="preserve">Triticum aestivum group aestivum Bowden</t>
  </si>
  <si>
    <t xml:space="preserve">Maillard Arsène et Laurence, Elne - France</t>
  </si>
  <si>
    <t xml:space="preserve">Triticum aestivum group macha</t>
  </si>
  <si>
    <t xml:space="preserve">Maïsadour semences</t>
  </si>
  <si>
    <t xml:space="preserve">Triticum aestivum hisbis</t>
  </si>
  <si>
    <t xml:space="preserve">Maison Fernand Le Peuple</t>
  </si>
  <si>
    <t xml:space="preserve">Triticum aestivum L.</t>
  </si>
  <si>
    <t xml:space="preserve">Maize Group of National Key Labortory of Crop GeneticImprovement</t>
  </si>
  <si>
    <t xml:space="preserve">Triticum aestivum L. em. Thell.</t>
  </si>
  <si>
    <t xml:space="preserve">Maize Research Institute 'Zemin Polje'</t>
  </si>
  <si>
    <t xml:space="preserve">Triticum aestivum L. em. Thell. group aestivum</t>
  </si>
  <si>
    <t xml:space="preserve">Malang Research Institute for Food Crops, BALITAN</t>
  </si>
  <si>
    <t xml:space="preserve">Triticum aestivum L. em. Thell. group compactum (Host) Thell.</t>
  </si>
  <si>
    <t xml:space="preserve">Maliani Genetica di Maliani Cesare</t>
  </si>
  <si>
    <t xml:space="preserve">Triticum aestivum L. em. Thell. group spelta (L.) Thell.</t>
  </si>
  <si>
    <t xml:space="preserve">MAP</t>
  </si>
  <si>
    <t xml:space="preserve">Triticum aestivum L. em. Thell. group sphaerococcum (Perc.) Mac Key</t>
  </si>
  <si>
    <t xml:space="preserve">Marc CREPIN</t>
  </si>
  <si>
    <t xml:space="preserve">Triticum aestivum L. em. Thell. group vavilovii (Jakubz.) A. Love, stat. &amp; comb. nov</t>
  </si>
  <si>
    <t xml:space="preserve">Maryland Agricultural Experiment Station, University of Maryland</t>
  </si>
  <si>
    <t xml:space="preserve">Triticum aestivum L. em. Thell. subsp. compactum (Host.) MK.</t>
  </si>
  <si>
    <t xml:space="preserve">McNair Seed Company</t>
  </si>
  <si>
    <t xml:space="preserve">Triticum aestivum L. em. Thell. subsp. spelta (L.) Thell.</t>
  </si>
  <si>
    <t xml:space="preserve">Merckling</t>
  </si>
  <si>
    <t xml:space="preserve">Triticum aestivum L. em. Thell. subsp. sphaerococcum (Perc.) MK.</t>
  </si>
  <si>
    <t xml:space="preserve">Michigan Agricultural Experiment Station, Michigan State University</t>
  </si>
  <si>
    <t xml:space="preserve">Triticum aestivum L. em. Thell. subsp. vavilovi (Tuman.) Sears</t>
  </si>
  <si>
    <t xml:space="preserve">Microbiology and  Cell Biology</t>
  </si>
  <si>
    <t xml:space="preserve">Triticum aestivum L. group macha Bowden</t>
  </si>
  <si>
    <t xml:space="preserve">Microbiology and  Plant Phisiology</t>
  </si>
  <si>
    <t xml:space="preserve">Triticum aestivum L. ssp. hadropyrum (Flaksb.) Tzvelev</t>
  </si>
  <si>
    <t xml:space="preserve">Miln Masters Group Ltd</t>
  </si>
  <si>
    <t xml:space="preserve">Triticum aestivum L. ssp. macha (Dekapr. &amp; Menabde) Mac Key</t>
  </si>
  <si>
    <t xml:space="preserve">Minnesota Agricultural Experiment Station, University of Minnesota</t>
  </si>
  <si>
    <t xml:space="preserve">Triticum aestivum macha</t>
  </si>
  <si>
    <t xml:space="preserve">Minstry of Agriculture</t>
  </si>
  <si>
    <t xml:space="preserve">Triticum aestivum oasiculum</t>
  </si>
  <si>
    <t xml:space="preserve">Missouri Agricultural Experiment Station, University of Missouri</t>
  </si>
  <si>
    <t xml:space="preserve">Triticum aestivum petropavlovskyi</t>
  </si>
  <si>
    <t xml:space="preserve">Molecular and  Developmental Genetics</t>
  </si>
  <si>
    <t xml:space="preserve">Triticum aestivum spelta</t>
  </si>
  <si>
    <t xml:space="preserve">Molecular and Cell Biology</t>
  </si>
  <si>
    <t xml:space="preserve">Triticum aestivum sphaerococcum</t>
  </si>
  <si>
    <t xml:space="preserve">Molecular Biology</t>
  </si>
  <si>
    <t xml:space="preserve">Triticum aestivum ssp. aestivum</t>
  </si>
  <si>
    <t xml:space="preserve">Molecular Genetics</t>
  </si>
  <si>
    <t xml:space="preserve">Triticum aestivum ssp. hadropyrum</t>
  </si>
  <si>
    <t xml:space="preserve">Molecular Host plant resistance lab-Dr. C. Mike Smith</t>
  </si>
  <si>
    <t xml:space="preserve">Triticum aestivum var. compactum</t>
  </si>
  <si>
    <t xml:space="preserve">Molecular Plant Genetics</t>
  </si>
  <si>
    <t xml:space="preserve">Triticum aestivum var. compactum Bowden</t>
  </si>
  <si>
    <t xml:space="preserve">Triticum aestivum var. spelta</t>
  </si>
  <si>
    <t xml:space="preserve">Mons</t>
  </si>
  <si>
    <t xml:space="preserve">Triticum aestivum var. spelta Bowden</t>
  </si>
  <si>
    <t xml:space="preserve">Monsanto Company</t>
  </si>
  <si>
    <t xml:space="preserve">Triticum aestivum var. sphaerococcum</t>
  </si>
  <si>
    <t xml:space="preserve">Monsanto (Nîmes)</t>
  </si>
  <si>
    <t xml:space="preserve">Triticum aestivum var. sphaerococcum Bowden</t>
  </si>
  <si>
    <t xml:space="preserve">Monsanto semences</t>
  </si>
  <si>
    <t xml:space="preserve">Triticum aestivum var. vavilovii Bowden</t>
  </si>
  <si>
    <t xml:space="preserve">Monsanto (St Andiol)</t>
  </si>
  <si>
    <t xml:space="preserve">Triticum aestivum vavilovi</t>
  </si>
  <si>
    <t xml:space="preserve">Montana Agricultural Experiment Station, Montana State University</t>
  </si>
  <si>
    <t xml:space="preserve">Triticum amyleum</t>
  </si>
  <si>
    <t xml:space="preserve">Montanari Domenico, Faenza - Italy</t>
  </si>
  <si>
    <t xml:space="preserve">Triticum araraticum</t>
  </si>
  <si>
    <t xml:space="preserve">Monteux Caillet René, Mouries - France</t>
  </si>
  <si>
    <t xml:space="preserve">Triticum araraticum Jakubz.</t>
  </si>
  <si>
    <t xml:space="preserve">Montpellier SupAgro</t>
  </si>
  <si>
    <t xml:space="preserve">Triticum armeniacum (Jakubz.) A. Loeve &amp; D. Loeve</t>
  </si>
  <si>
    <t xml:space="preserve">Morphogenesis Research Group</t>
  </si>
  <si>
    <t xml:space="preserve">Triticum asiaticum Kudr.</t>
  </si>
  <si>
    <t xml:space="preserve">Morstar a.s., Breeding Station</t>
  </si>
  <si>
    <t xml:space="preserve">Triticum baeoticum</t>
  </si>
  <si>
    <t xml:space="preserve">Mr. Mazéas</t>
  </si>
  <si>
    <t xml:space="preserve">Triticum boeoticum ssp. boeoticum</t>
  </si>
  <si>
    <t xml:space="preserve">MSU-DOE Plant Research Laboratory</t>
  </si>
  <si>
    <t xml:space="preserve">Triticum boeoticum ssp. thaoudar</t>
  </si>
  <si>
    <t xml:space="preserve">MUCL Culture Collection</t>
  </si>
  <si>
    <t xml:space="preserve">Triticum cereale Schrank</t>
  </si>
  <si>
    <t xml:space="preserve">Murdoch University</t>
  </si>
  <si>
    <t xml:space="preserve">Triticum columnare</t>
  </si>
  <si>
    <t xml:space="preserve">Muséum d'histoire naturelle de Grenoble</t>
  </si>
  <si>
    <t xml:space="preserve">Triticum comosum</t>
  </si>
  <si>
    <t xml:space="preserve">Museum National d'Histoire Naturelle de Paris</t>
  </si>
  <si>
    <t xml:space="preserve">Triticum compositum</t>
  </si>
  <si>
    <t xml:space="preserve">Mutation breeding</t>
  </si>
  <si>
    <t xml:space="preserve">Triticum compositum L.</t>
  </si>
  <si>
    <t xml:space="preserve">NARO Hokkaido Agricultural Research Center</t>
  </si>
  <si>
    <t xml:space="preserve">Triticum crassum</t>
  </si>
  <si>
    <t xml:space="preserve">NARO Tohoku Agricultural Research Center</t>
  </si>
  <si>
    <t xml:space="preserve">Triticum cylindricum</t>
  </si>
  <si>
    <t xml:space="preserve">NASC</t>
  </si>
  <si>
    <t xml:space="preserve">Triticum dichasians</t>
  </si>
  <si>
    <t xml:space="preserve">National Biological Institute</t>
  </si>
  <si>
    <t xml:space="preserve">Triticum dicoccoides (Korn. ex Aschers. &amp; Graebn.) Aarons</t>
  </si>
  <si>
    <t xml:space="preserve">National Bureau of Plant Genetic Resources</t>
  </si>
  <si>
    <t xml:space="preserve">Triticum dicoccoides (Korn. ex Aschers. et Graebn.) Schweinf.</t>
  </si>
  <si>
    <t xml:space="preserve">National Center for Agricultural research and Technology Transfer</t>
  </si>
  <si>
    <t xml:space="preserve">Triticum dicoccoides Korn. ex Schweinf.</t>
  </si>
  <si>
    <t xml:space="preserve">National Center for Gene Research</t>
  </si>
  <si>
    <t xml:space="preserve">Triticum dicoccoides Korn. in litt. in Schweinf.</t>
  </si>
  <si>
    <t xml:space="preserve">National Citrus Research Programme</t>
  </si>
  <si>
    <t xml:space="preserve">Triticum dicoccoides race orientale Percival</t>
  </si>
  <si>
    <t xml:space="preserve">National Clonal Germplasm Repository - Orlando, USDA-ARS</t>
  </si>
  <si>
    <t xml:space="preserve">Triticum dicoccoides var. nudiglumis</t>
  </si>
  <si>
    <t xml:space="preserve">National Crop Experiment Station Seodundong</t>
  </si>
  <si>
    <t xml:space="preserve">Triticum dicoccoides var. nudiglumis Nabalek</t>
  </si>
  <si>
    <t xml:space="preserve">National Genebank of Kenya, Crop Plant Genetic Resources Centre - Muguga</t>
  </si>
  <si>
    <t xml:space="preserve">Triticum dicoccoides var. pyramidale Percival</t>
  </si>
  <si>
    <t xml:space="preserve">National Horticultural Research Institute</t>
  </si>
  <si>
    <t xml:space="preserve">Triticum dicoccoides var. timopheevii Zhuk.</t>
  </si>
  <si>
    <t xml:space="preserve">National Institute of Agrobiological Resources</t>
  </si>
  <si>
    <t xml:space="preserve">Triticum dicoccon</t>
  </si>
  <si>
    <t xml:space="preserve">National Institute of Agrobiological Sciences</t>
  </si>
  <si>
    <t xml:space="preserve">Triticum dicoccon Schrank</t>
  </si>
  <si>
    <t xml:space="preserve">National Institute of Agro-Environmental Sciences</t>
  </si>
  <si>
    <t xml:space="preserve">Triticum dicoccon (Schrank) A. Love, comb. nov.</t>
  </si>
  <si>
    <t xml:space="preserve">National Institute of Fruit Tree Science</t>
  </si>
  <si>
    <t xml:space="preserve">Triticum dicoccum Schrank</t>
  </si>
  <si>
    <t xml:space="preserve">National Key Laboratory of Crop Genetic Improvement</t>
  </si>
  <si>
    <t xml:space="preserve">Triticum dimococcum</t>
  </si>
  <si>
    <t xml:space="preserve">National Plant Breeding Research Station</t>
  </si>
  <si>
    <t xml:space="preserve">Triticum durum (Desf.) A. Love, comb. nov.</t>
  </si>
  <si>
    <t xml:space="preserve">National Plant Genetic Resources Centre</t>
  </si>
  <si>
    <t xml:space="preserve">Triticum farrum Bayle-Bar.</t>
  </si>
  <si>
    <t xml:space="preserve">National Plant Germplasm Quarantine Laboratory, USDA-ARS</t>
  </si>
  <si>
    <t xml:space="preserve">Triticum fungicidum</t>
  </si>
  <si>
    <t xml:space="preserve">National Research Centre for Citrus</t>
  </si>
  <si>
    <t xml:space="preserve">Triticum fungicidum subsp. nigrum</t>
  </si>
  <si>
    <t xml:space="preserve">National Research Centre on Plant Biotechnology</t>
  </si>
  <si>
    <t xml:space="preserve">Triticum georgicum</t>
  </si>
  <si>
    <t xml:space="preserve">National White Clover Impr. Prog. Agricultural Research &amp; Adv. Stat.</t>
  </si>
  <si>
    <t xml:space="preserve">Triticum hybernum L.</t>
  </si>
  <si>
    <t xml:space="preserve">Natural Resource Sciences and Landscape Architecture</t>
  </si>
  <si>
    <t xml:space="preserve">Triticum ibericum Menabde</t>
  </si>
  <si>
    <t xml:space="preserve">Nebraska Agricultural Experiment Station, University of Nebraska</t>
  </si>
  <si>
    <t xml:space="preserve">Triticum jakubzineri</t>
  </si>
  <si>
    <t xml:space="preserve">NEIKER-Tecnalia</t>
  </si>
  <si>
    <t xml:space="preserve">Triticum junceum L.</t>
  </si>
  <si>
    <t xml:space="preserve">New Mexico State University USA</t>
  </si>
  <si>
    <t xml:space="preserve">Triticum juvenale</t>
  </si>
  <si>
    <t xml:space="preserve">New South Wales Agriculture</t>
  </si>
  <si>
    <t xml:space="preserve">Triticum juvenale Thell.</t>
  </si>
  <si>
    <t xml:space="preserve">New York State Agricultural Experiment Station, Cornell University</t>
  </si>
  <si>
    <t xml:space="preserve">Triticum karamyschevii Nevski</t>
  </si>
  <si>
    <t xml:space="preserve">New Zealand Institute for Crop and Food Research, Ltd.</t>
  </si>
  <si>
    <t xml:space="preserve">Triticum kiharae</t>
  </si>
  <si>
    <t xml:space="preserve">Newhall Land and Water Compagny</t>
  </si>
  <si>
    <t xml:space="preserve">Triticum kotschyi</t>
  </si>
  <si>
    <t xml:space="preserve">N.I. Vavilov All-Russian Scientific Research Institute of Plant Industry</t>
  </si>
  <si>
    <t xml:space="preserve">Triticum L.</t>
  </si>
  <si>
    <t xml:space="preserve">N.I. Vavilov Research Instituteof Plant Industry</t>
  </si>
  <si>
    <t xml:space="preserve">Triticum macrochaetum</t>
  </si>
  <si>
    <t xml:space="preserve">Nickerson</t>
  </si>
  <si>
    <t xml:space="preserve">Triticum monococcum</t>
  </si>
  <si>
    <t xml:space="preserve">Nimblegen Systems Inc</t>
  </si>
  <si>
    <t xml:space="preserve">Triticum monococcum boeoticum</t>
  </si>
  <si>
    <t xml:space="preserve">nite de Genetique et d'Amelioration des Fruits et Legumes</t>
  </si>
  <si>
    <t xml:space="preserve">Triticum monococcum L. subsp. boeoticum (Boiss.) MK.</t>
  </si>
  <si>
    <t xml:space="preserve">Njala University College</t>
  </si>
  <si>
    <t xml:space="preserve">Triticum monococcum monococcum</t>
  </si>
  <si>
    <t xml:space="preserve">Noiton Dominique, Hamilton - New Zealand</t>
  </si>
  <si>
    <t xml:space="preserve">Triticum monococcum ssp. boeoticum</t>
  </si>
  <si>
    <t xml:space="preserve">Nordic Genetic Resource Center</t>
  </si>
  <si>
    <t xml:space="preserve">Triticum monococcum urartu</t>
  </si>
  <si>
    <t xml:space="preserve">Nordostbayerischer Saatbauverband</t>
  </si>
  <si>
    <t xml:space="preserve">Triticum muticum</t>
  </si>
  <si>
    <t xml:space="preserve">North American Plant Breeders, Inc.</t>
  </si>
  <si>
    <t xml:space="preserve">Triticum neglectum</t>
  </si>
  <si>
    <t xml:space="preserve">North Carolina Agricultural Experiment Station, North Carolina State University</t>
  </si>
  <si>
    <t xml:space="preserve">Triticum orientale</t>
  </si>
  <si>
    <t xml:space="preserve">North Dakota Agricultural Experiment Station, North Dakota State University</t>
  </si>
  <si>
    <t xml:space="preserve">Triticum orientale Percival</t>
  </si>
  <si>
    <t xml:space="preserve">Northrup King &amp; Co.</t>
  </si>
  <si>
    <t xml:space="preserve">Triticum ovatum</t>
  </si>
  <si>
    <t xml:space="preserve">Northwest A&amp;F University</t>
  </si>
  <si>
    <t xml:space="preserve">Triticum palaeocolchicum Menabde</t>
  </si>
  <si>
    <t xml:space="preserve">Norwegian University for Life Sciences</t>
  </si>
  <si>
    <t xml:space="preserve">Triticum peregrinum</t>
  </si>
  <si>
    <t xml:space="preserve">Novodonskaya - Donetsk State Agricultural Experiment Station</t>
  </si>
  <si>
    <t xml:space="preserve">Triticum peregrinum Hackel</t>
  </si>
  <si>
    <t xml:space="preserve">Nunhems Spain (El Ejido)</t>
  </si>
  <si>
    <t xml:space="preserve">Triticum persicum</t>
  </si>
  <si>
    <t xml:space="preserve">Nunhems Spain (La Palma)</t>
  </si>
  <si>
    <t xml:space="preserve">Triticum persicum (Percival) Vavilov ex Zhukovsky</t>
  </si>
  <si>
    <t xml:space="preserve">Nutrition azote des plantes</t>
  </si>
  <si>
    <t xml:space="preserve">Triticum persicum Vav.</t>
  </si>
  <si>
    <t xml:space="preserve">N.V. Clovis Matton Plant Breeding Station, Kerkhove</t>
  </si>
  <si>
    <t xml:space="preserve">Triticum pyramidale Perc.</t>
  </si>
  <si>
    <t xml:space="preserve">N.V. Clovis Matton Plant Breeding Station, Tiegem</t>
  </si>
  <si>
    <t xml:space="preserve">Triticum rectum</t>
  </si>
  <si>
    <t xml:space="preserve">Occitane des Semences</t>
  </si>
  <si>
    <t xml:space="preserve">Triticum repens L.</t>
  </si>
  <si>
    <t xml:space="preserve">Odesa State Regional Agricultural Experimental Station</t>
  </si>
  <si>
    <t xml:space="preserve">Triticum sativum Lam.</t>
  </si>
  <si>
    <t xml:space="preserve">Ohio Agricultural Reasearch and Development Center, Ohio State University</t>
  </si>
  <si>
    <t xml:space="preserve">Triticum searsii</t>
  </si>
  <si>
    <t xml:space="preserve">Oklahoma Agricultural Experiment Station, Division of Agricultural Sciences &amp; Natural Resources</t>
  </si>
  <si>
    <t xml:space="preserve">Triticum secale Link</t>
  </si>
  <si>
    <t xml:space="preserve">Ontario Agricultural College, University of Guelph</t>
  </si>
  <si>
    <t xml:space="preserve">Triticum spelta</t>
  </si>
  <si>
    <t xml:space="preserve">Oregon Agricultural Experimental Sation, Oregon State University</t>
  </si>
  <si>
    <t xml:space="preserve">Triticum speltiforme</t>
  </si>
  <si>
    <t xml:space="preserve">Organisation Bretonne de Sélection</t>
  </si>
  <si>
    <t xml:space="preserve">Triticum speltoides</t>
  </si>
  <si>
    <t xml:space="preserve">Orsem S.A.</t>
  </si>
  <si>
    <t xml:space="preserve">Triticum speltoides (Tausch) Gre. ex Richter var. aucheri</t>
  </si>
  <si>
    <t xml:space="preserve">Osmab Tosum Gene Bank - Ankara University</t>
  </si>
  <si>
    <t xml:space="preserve">Triticum speltoides (Tausch) Gre. ex Richter var. ligustica</t>
  </si>
  <si>
    <t xml:space="preserve">Pajbjergfonden</t>
  </si>
  <si>
    <t xml:space="preserve">Triticum speltoides (Tausch) Gren. ex Richter var. aucheri</t>
  </si>
  <si>
    <t xml:space="preserve">Palais Carnolés</t>
  </si>
  <si>
    <t xml:space="preserve">Triticum speltoides (Tausch) Gren. ex Richter var. ligustica</t>
  </si>
  <si>
    <t xml:space="preserve">Parc Naturel Régional du Haut-Languedoc</t>
  </si>
  <si>
    <t xml:space="preserve">Triticum sphaerococcum Perc.</t>
  </si>
  <si>
    <t xml:space="preserve">Parc Naturel Régional du Luberon</t>
  </si>
  <si>
    <t xml:space="preserve">Triticum syriacum</t>
  </si>
  <si>
    <t xml:space="preserve">Parc Naturel Régional du Queyras</t>
  </si>
  <si>
    <t xml:space="preserve">Triticum syriacum Bowden</t>
  </si>
  <si>
    <t xml:space="preserve">PARTNERCHIP</t>
  </si>
  <si>
    <t xml:space="preserve">Triticum tauschii</t>
  </si>
  <si>
    <t xml:space="preserve">Peltier Graines (don't exist anymore)</t>
  </si>
  <si>
    <t xml:space="preserve">Triticum thaoudar</t>
  </si>
  <si>
    <t xml:space="preserve">Pennsylvania Agricultural Experiment Station, Pennsylvania State University</t>
  </si>
  <si>
    <t xml:space="preserve">Triticum timococcum</t>
  </si>
  <si>
    <t xml:space="preserve">Pépinière A. Pays</t>
  </si>
  <si>
    <t xml:space="preserve">Triticum timonovum</t>
  </si>
  <si>
    <t xml:space="preserve">Pépinière Burlat</t>
  </si>
  <si>
    <t xml:space="preserve">Triticum timopheevii</t>
  </si>
  <si>
    <t xml:space="preserve">Pépinière Cadoux</t>
  </si>
  <si>
    <t xml:space="preserve">Triticum timopheevii araraticum</t>
  </si>
  <si>
    <t xml:space="preserve">Pépinière Delbard</t>
  </si>
  <si>
    <t xml:space="preserve">Triticum timopheevii armeniacum</t>
  </si>
  <si>
    <t xml:space="preserve">Pépinière Dieudonné</t>
  </si>
  <si>
    <t xml:space="preserve">Triticum timopheevii L. var. zhukovskyi</t>
  </si>
  <si>
    <t xml:space="preserve">Pépinière Domingo Orero</t>
  </si>
  <si>
    <t xml:space="preserve">Triticum timopheevii ssp. araraticum</t>
  </si>
  <si>
    <t xml:space="preserve">Triticum timopheevii ssp. armeniacum</t>
  </si>
  <si>
    <t xml:space="preserve">Pépinière ESAT LEnvol</t>
  </si>
  <si>
    <t xml:space="preserve">Triticum timopheevii ssp. armeniacum (Jakubz.) van Slageren</t>
  </si>
  <si>
    <t xml:space="preserve">Pépinière Escande Benoit, Saint Vite - France</t>
  </si>
  <si>
    <t xml:space="preserve">Triticum timopheevii ssp. timopheevii</t>
  </si>
  <si>
    <t xml:space="preserve">Pépinière Fabre, Villeneuve s/Lot - France</t>
  </si>
  <si>
    <t xml:space="preserve">Triticum timopheevii timopheevii</t>
  </si>
  <si>
    <t xml:space="preserve">Pépinière Jouve-Racamond</t>
  </si>
  <si>
    <t xml:space="preserve">Triticum timopheevii var. zhukovskyi</t>
  </si>
  <si>
    <t xml:space="preserve">Pépinière Lambertin</t>
  </si>
  <si>
    <t xml:space="preserve">Triticum timopheevii Zhuk.</t>
  </si>
  <si>
    <t xml:space="preserve">Pépinière Lambertin - Nîmes - France</t>
  </si>
  <si>
    <t xml:space="preserve">Triticum timopheevii (Zhuk.) Zhuk.</t>
  </si>
  <si>
    <t xml:space="preserve">Pépinière Leroy</t>
  </si>
  <si>
    <t xml:space="preserve">Triticum timopheevii (Zhuk.) Zhuk. var. timopheevii</t>
  </si>
  <si>
    <t xml:space="preserve">Pépinière Martre</t>
  </si>
  <si>
    <t xml:space="preserve">Triticum timopheevii (Zhuk.) Zhuk. var. zhukovskii (Men. &amp; Er.) Morris &amp; Sears</t>
  </si>
  <si>
    <t xml:space="preserve">Pépinière Moreau</t>
  </si>
  <si>
    <t xml:space="preserve">Triticum timopheevii (Zhuk.) Zhuk. var. zhukovskii (Men. &amp; Er.) Morris &amp; Sears comb. nov.</t>
  </si>
  <si>
    <t xml:space="preserve">Pépinière Pinguet-Guindon</t>
  </si>
  <si>
    <t xml:space="preserve">Triticum timopheevii zhukovskyi</t>
  </si>
  <si>
    <t xml:space="preserve">Pépinière Taliani,  Garons - France</t>
  </si>
  <si>
    <t xml:space="preserve">Triticum triaristatum</t>
  </si>
  <si>
    <t xml:space="preserve">Pépinière Thuilleaux</t>
  </si>
  <si>
    <t xml:space="preserve">Triticum tripsacoides</t>
  </si>
  <si>
    <t xml:space="preserve">Pépinière Valla Georges SCEA, Valence - France</t>
  </si>
  <si>
    <t xml:space="preserve">Triticum turgidum</t>
  </si>
  <si>
    <t xml:space="preserve">Pépinière Veauvy</t>
  </si>
  <si>
    <t xml:space="preserve">Triticum turgidum aethiopicum</t>
  </si>
  <si>
    <t xml:space="preserve">Pépinières Bachelet-Charvot</t>
  </si>
  <si>
    <t xml:space="preserve">Triticum turgidum carthlicum</t>
  </si>
  <si>
    <t xml:space="preserve">Pépinières Baltet</t>
  </si>
  <si>
    <t xml:space="preserve">Triticum turgidum dicoccoïdes</t>
  </si>
  <si>
    <t xml:space="preserve">Pépinières Croux</t>
  </si>
  <si>
    <t xml:space="preserve">Triticum turgidum dicoccum</t>
  </si>
  <si>
    <t xml:space="preserve">Pépinières de La Tronche</t>
  </si>
  <si>
    <t xml:space="preserve">Triticum turgidum durum</t>
  </si>
  <si>
    <t xml:space="preserve">Pépinières Fabre</t>
  </si>
  <si>
    <t xml:space="preserve">Triticum turgidum group aethiopicum</t>
  </si>
  <si>
    <t xml:space="preserve">Pépinières Garbaye et Gravier</t>
  </si>
  <si>
    <t xml:space="preserve">Triticum turgidum group palaeocolchicum</t>
  </si>
  <si>
    <t xml:space="preserve">Pépinières L. Pin</t>
  </si>
  <si>
    <t xml:space="preserve">Triticum turgidum group turgidum</t>
  </si>
  <si>
    <t xml:space="preserve">Pépinières Lafitte</t>
  </si>
  <si>
    <t xml:space="preserve">Triticum turgidum ispahanicum</t>
  </si>
  <si>
    <t xml:space="preserve">Pépinières Levavasseur</t>
  </si>
  <si>
    <t xml:space="preserve">Triticum turgidum L. em. Bowden var. timopheevii (Zhuk.) Bowden f. timopheevii Bowden</t>
  </si>
  <si>
    <t xml:space="preserve">Pépinières Nomblot</t>
  </si>
  <si>
    <t xml:space="preserve">Triticum turgidum L. em. Bowden var. timopheevii (Zhuk.) Bowden f. zhukovskyi (Mem. &amp; Er.) Bowden</t>
  </si>
  <si>
    <t xml:space="preserve">Triticum turgidum L. em. Bowden var. tumanianii (Jakubz.) Bowden</t>
  </si>
  <si>
    <t xml:space="preserve">Pépinières Rolland Crosse</t>
  </si>
  <si>
    <t xml:space="preserve">Triticum turgidum L. em. Thell.</t>
  </si>
  <si>
    <t xml:space="preserve">Pépinières Simon</t>
  </si>
  <si>
    <t xml:space="preserve">Triticum turgidum L. group aethiopicum Bowden</t>
  </si>
  <si>
    <t xml:space="preserve">Petal Genomics</t>
  </si>
  <si>
    <t xml:space="preserve">Triticum turgidum L. group dicoccon (Schrank) Thell.</t>
  </si>
  <si>
    <t xml:space="preserve">Peter Henderson &amp; Co</t>
  </si>
  <si>
    <t xml:space="preserve">Triticum turgidum L. group durum (Desf.) Husnot</t>
  </si>
  <si>
    <t xml:space="preserve">Petoseed</t>
  </si>
  <si>
    <t xml:space="preserve">Triticum turgidum L. group palaeocolchicum Bowden</t>
  </si>
  <si>
    <t xml:space="preserve">Pflanzenzucht Dr. h.c. Carsten Inh. Erhardt Eger KG</t>
  </si>
  <si>
    <t xml:space="preserve">Triticum turgidum L. group polonicum Bowden</t>
  </si>
  <si>
    <t xml:space="preserve">Phu Guy Fruit Research Centre</t>
  </si>
  <si>
    <t xml:space="preserve">Triticum turgidum L. group turgidum Bowden</t>
  </si>
  <si>
    <t xml:space="preserve">Phu Ho Fruit Crops Research Centre</t>
  </si>
  <si>
    <t xml:space="preserve">Triticum turgidum L. (Nevski) group carthlicum Bowden</t>
  </si>
  <si>
    <t xml:space="preserve">Phytopathologie und Pflanzenschutz</t>
  </si>
  <si>
    <t xml:space="preserve">Triticum turgidum L. ssp. dicoccoides (Korn. ex Schweinf.) A. Love, comb. nov.</t>
  </si>
  <si>
    <t xml:space="preserve">Piast Hodowla Roslin Lagiewniki Sp. z o.o.</t>
  </si>
  <si>
    <t xml:space="preserve">Triticum turgidum L. ssp. dicoccoides (Korn.) Thell.</t>
  </si>
  <si>
    <t xml:space="preserve">Pioneer génétique</t>
  </si>
  <si>
    <t xml:space="preserve">Triticum turgidum L. ssp. palaeocolchicum (A. Love &amp; D. Love) A. Love, comb. nov.</t>
  </si>
  <si>
    <t xml:space="preserve">Pioneer Seed Co. Ltd.</t>
  </si>
  <si>
    <t xml:space="preserve">Triticum turgidum L. ssp. timopheevii (Zhuk.) A. Love &amp; D. Love</t>
  </si>
  <si>
    <t xml:space="preserve">Plant Biochemistry and  Molecular Biology Group,  Division ofBiochemical Sciences</t>
  </si>
  <si>
    <t xml:space="preserve">Triticum turgidum L. ssp. turanicum (Jakubz.) A. Love &amp; D. Love</t>
  </si>
  <si>
    <t xml:space="preserve">Plant Biology Division</t>
  </si>
  <si>
    <t xml:space="preserve">Triticum turgidum L. ssp. turanicum (Jakubz.) A. Love, comb. nov.</t>
  </si>
  <si>
    <t xml:space="preserve">Plant Biotech Research Center</t>
  </si>
  <si>
    <t xml:space="preserve">Triticum turgidum L. ssp. turgidum (L.) A. Love, comb. nov.</t>
  </si>
  <si>
    <t xml:space="preserve">Plant Biotechnology Institute,  National Research Council ofCanada</t>
  </si>
  <si>
    <t xml:space="preserve">Triticum turgidum (L.) Thell.</t>
  </si>
  <si>
    <t xml:space="preserve">Plant Biotechnology Institute,  National Research CouncilCanada</t>
  </si>
  <si>
    <t xml:space="preserve">Triticum turgidum (L.) Thell. subsp. carthlicum (Nevski) MK.</t>
  </si>
  <si>
    <t xml:space="preserve">Plant Biotechnology Key Laboratory</t>
  </si>
  <si>
    <t xml:space="preserve">Triticum turgidum (L.) Thell. subsp. dicoccoides (Korn.) Thell.</t>
  </si>
  <si>
    <t xml:space="preserve">Plant Breeding and Acclimatization Institute at Radzikow</t>
  </si>
  <si>
    <t xml:space="preserve">Triticum turgidum L. Thell. subsp. dicoccon (Schrank) Thell.</t>
  </si>
  <si>
    <t xml:space="preserve">Plant Breeding and Genetics Institute</t>
  </si>
  <si>
    <t xml:space="preserve">Triticum turgidum (L.) Thell. subsp. paleocolchicum Men.</t>
  </si>
  <si>
    <t xml:space="preserve">Plant Breeding Institute,  University of Sydney</t>
  </si>
  <si>
    <t xml:space="preserve">Triticum turgidum (L.) Thell. subsp. turgidum convar aethiopicum Jakubz.</t>
  </si>
  <si>
    <t xml:space="preserve">Plant Breeding International</t>
  </si>
  <si>
    <t xml:space="preserve">Triticum turgidum L. Thell. subsp. turgidum convar durum (Desf.) MK.</t>
  </si>
  <si>
    <t xml:space="preserve">Plant Breeding Station Laski</t>
  </si>
  <si>
    <t xml:space="preserve">Triticum turgidum L. Thell. subsp. turgidum convar polonicum (L.) MK.</t>
  </si>
  <si>
    <t xml:space="preserve">plant cellular biology laboratory/ Dr. STEINMETZ</t>
  </si>
  <si>
    <t xml:space="preserve">Triticum turgidum (L.) Thell. subsp. turgidum convar turanicum (Jakubz.) MK.</t>
  </si>
  <si>
    <t xml:space="preserve">Plant culture institute - Tammisto</t>
  </si>
  <si>
    <t xml:space="preserve">Triticum turgidum L. var. carthlicum (Nevski) A. Love &amp; D. Love</t>
  </si>
  <si>
    <t xml:space="preserve">Plant Development Biology</t>
  </si>
  <si>
    <t xml:space="preserve">Triticum turgidum L. var. dicoccoides (Korn. in litt. in Schweinf.) Bowden</t>
  </si>
  <si>
    <t xml:space="preserve">Plant Development Molecular Biology Lab</t>
  </si>
  <si>
    <t xml:space="preserve">Triticum turgidum L. var. polonicum (L.) A. Love &amp; D. Love</t>
  </si>
  <si>
    <t xml:space="preserve">Plant development molecular biology lab</t>
  </si>
  <si>
    <t xml:space="preserve">Triticum turgidum L. var. timopheevii</t>
  </si>
  <si>
    <t xml:space="preserve">Plant Developmental Genetics</t>
  </si>
  <si>
    <t xml:space="preserve">Triticum turgidum L. var. tumanianii</t>
  </si>
  <si>
    <t xml:space="preserve">Plant Functional Genomics Research Group</t>
  </si>
  <si>
    <t xml:space="preserve">Triticum turgidum paleocolchicum</t>
  </si>
  <si>
    <t xml:space="preserve">Plant Gene Expression Center</t>
  </si>
  <si>
    <t xml:space="preserve">Triticum turgidum polonicum</t>
  </si>
  <si>
    <t xml:space="preserve">Plant Gene Resources of Canada Central Exper. Farm, Agri. Canada</t>
  </si>
  <si>
    <t xml:space="preserve">Triticum turgidum ssp. carthlicum</t>
  </si>
  <si>
    <t xml:space="preserve">Plant Gene Resources of Canada, Saskatoon Research Centre, Agriculture and Agri-Food Canada</t>
  </si>
  <si>
    <t xml:space="preserve">Triticum turgidum ssp. dicoccoides</t>
  </si>
  <si>
    <t xml:space="preserve">Plant Genetic Resources Department</t>
  </si>
  <si>
    <t xml:space="preserve">Triticum turgidum ssp. dicoccon</t>
  </si>
  <si>
    <t xml:space="preserve">Plant Genetic Resources Unit</t>
  </si>
  <si>
    <t xml:space="preserve">Triticum turgidum ssp. durum</t>
  </si>
  <si>
    <t xml:space="preserve">Plant Genetics</t>
  </si>
  <si>
    <t xml:space="preserve">Triticum turgidum ssp. palaeocolchicum A. Love &amp; D. Love</t>
  </si>
  <si>
    <t xml:space="preserve">Plant Genetics and  Breeding</t>
  </si>
  <si>
    <t xml:space="preserve">Triticum turgidum ssp. paleocolchicum</t>
  </si>
  <si>
    <t xml:space="preserve">Plant Genome Center Co.,  Ltd</t>
  </si>
  <si>
    <t xml:space="preserve">Triticum turgidum ssp. polonicum</t>
  </si>
  <si>
    <t xml:space="preserve">Plant Genome Mapping Laboratory</t>
  </si>
  <si>
    <t xml:space="preserve">Triticum turgidum ssp. turanicum</t>
  </si>
  <si>
    <t xml:space="preserve">Plant Genomics Lab.,  Department of Crop,  Soil and Environmental Sciences</t>
  </si>
  <si>
    <t xml:space="preserve">Triticum turgidum ssp. turgidum</t>
  </si>
  <si>
    <t xml:space="preserve">Plant Molecular and Cellular Biology Program</t>
  </si>
  <si>
    <t xml:space="preserve">Triticum turgidum subsp. carthlicum x Secale strictum subsp.</t>
  </si>
  <si>
    <t xml:space="preserve">Plant Molecular Biology</t>
  </si>
  <si>
    <t xml:space="preserve">Triticum turgidum turanicum</t>
  </si>
  <si>
    <t xml:space="preserve">Plant Molecular Genetic Laboratory</t>
  </si>
  <si>
    <t xml:space="preserve">Triticum turgidum turgidum</t>
  </si>
  <si>
    <t xml:space="preserve">Plant Molecular Genetics</t>
  </si>
  <si>
    <t xml:space="preserve">Triticum turgidum var. carthlicum</t>
  </si>
  <si>
    <t xml:space="preserve">Plant Molecular Genetics Laboratory</t>
  </si>
  <si>
    <t xml:space="preserve">Triticum turgidum var. dicoccon</t>
  </si>
  <si>
    <t xml:space="preserve">Plant Molecular Physiology and  Functional Genomics</t>
  </si>
  <si>
    <t xml:space="preserve">Triticum turgidum var. dicoccon Bowden</t>
  </si>
  <si>
    <t xml:space="preserve">Plant Natural Products</t>
  </si>
  <si>
    <t xml:space="preserve">Triticum turgidum var. durum</t>
  </si>
  <si>
    <t xml:space="preserve">Plant Nematode Genetics Group</t>
  </si>
  <si>
    <t xml:space="preserve">Triticum turgidum var. durum Bowden</t>
  </si>
  <si>
    <t xml:space="preserve">Plant Pathology</t>
  </si>
  <si>
    <t xml:space="preserve">Triticum turgidum var. polonicum</t>
  </si>
  <si>
    <t xml:space="preserve">Plant Pathology Department</t>
  </si>
  <si>
    <t xml:space="preserve">Triticum umbellulatum</t>
  </si>
  <si>
    <t xml:space="preserve">Plant Protection Division I.C.I.</t>
  </si>
  <si>
    <t xml:space="preserve">Triticum uniaristatum</t>
  </si>
  <si>
    <t xml:space="preserve">Plant Research Institute</t>
  </si>
  <si>
    <t xml:space="preserve">Triticum urartu</t>
  </si>
  <si>
    <t xml:space="preserve">Plant Research International</t>
  </si>
  <si>
    <t xml:space="preserve">Triticum urartu Thumanian ex Gandilyan</t>
  </si>
  <si>
    <t xml:space="preserve">Plant Sciences</t>
  </si>
  <si>
    <t xml:space="preserve">Triticum vaillantianum</t>
  </si>
  <si>
    <t xml:space="preserve">PLANT SELECT, Ltd.</t>
  </si>
  <si>
    <t xml:space="preserve">Triticum vavilovii Jakubz.</t>
  </si>
  <si>
    <t xml:space="preserve">Plant Systems Biology</t>
  </si>
  <si>
    <t xml:space="preserve">Triticum vulgare ssp. hadropyrum Flaksb.</t>
  </si>
  <si>
    <t xml:space="preserve">plantechno srl</t>
  </si>
  <si>
    <t xml:space="preserve">Triticum vulgare ssp. irano-asiaticum Flaksb.</t>
  </si>
  <si>
    <t xml:space="preserve">Plantes legumineuses, DGAP</t>
  </si>
  <si>
    <t xml:space="preserve">Triticum vulgare var. dicoccon (Schrank) Korn</t>
  </si>
  <si>
    <t xml:space="preserve">PlantTec Biotechnologie</t>
  </si>
  <si>
    <t xml:space="preserve">Triticum vulgare Villars</t>
  </si>
  <si>
    <t xml:space="preserve">Plate-Forme de cytogÃ©nÃ©tique MolÃ©culaire</t>
  </si>
  <si>
    <t xml:space="preserve">Triticum zhukovskyi Menabde &amp; Ericzjan</t>
  </si>
  <si>
    <t xml:space="preserve">Plew Horticultural Experimental Station</t>
  </si>
  <si>
    <t xml:space="preserve">Vicia faba L.</t>
  </si>
  <si>
    <t xml:space="preserve">PMDV - Equipe Analyse fonctionnelle du genome de Botrytis cinerea</t>
  </si>
  <si>
    <t xml:space="preserve">Vicia faba subsp. equina</t>
  </si>
  <si>
    <t xml:space="preserve">Pole de biotechnologie vegetales UMR5546</t>
  </si>
  <si>
    <t xml:space="preserve">Vicia faba subsp. major</t>
  </si>
  <si>
    <t xml:space="preserve">Povolzhskii NII Selektsii i Semenovodstva Im. P.N. Konstantinova Ran</t>
  </si>
  <si>
    <t xml:space="preserve">Vicia faba subsp. minor</t>
  </si>
  <si>
    <t xml:space="preserve">Practical Scientific Institute of Plant Growing 'SELECTIA'</t>
  </si>
  <si>
    <t xml:space="preserve">Vicia faba subsp. paucijuga</t>
  </si>
  <si>
    <t xml:space="preserve">Probsdorfer Plant Breeding</t>
  </si>
  <si>
    <t xml:space="preserve">Vicia L.</t>
  </si>
  <si>
    <t xml:space="preserve">Programa de Recursos Genéticos Nicaragüenses  (REGEN)</t>
  </si>
  <si>
    <t xml:space="preserve">Vicia sativa L.</t>
  </si>
  <si>
    <t xml:space="preserve">Projet Arborea, Centre d'Etude de la Foret</t>
  </si>
  <si>
    <t xml:space="preserve">Vitaceae</t>
  </si>
  <si>
    <t xml:space="preserve">Propriété Saint Jean</t>
  </si>
  <si>
    <t xml:space="preserve">Vitis</t>
  </si>
  <si>
    <t xml:space="preserve">PROSEA Headquarters, Wageningen Agricultural University</t>
  </si>
  <si>
    <t xml:space="preserve">Vitis aestivalis Mchx.</t>
  </si>
  <si>
    <t xml:space="preserve">proteomique</t>
  </si>
  <si>
    <t xml:space="preserve">Vitis affinis Gagnep. ex Osmaston</t>
  </si>
  <si>
    <t xml:space="preserve">PSB Produccion Vegetal, Murcia - Spain</t>
  </si>
  <si>
    <t xml:space="preserve">Vitis amurensis Ruprecht</t>
  </si>
  <si>
    <t xml:space="preserve">Punjab Agricultural University</t>
  </si>
  <si>
    <t xml:space="preserve">Vitis apliniana Collett &amp; Hemsl.</t>
  </si>
  <si>
    <t xml:space="preserve">Queensland Wheat Research Institut Department of Primary Industries</t>
  </si>
  <si>
    <t xml:space="preserve">Vitis arizonica Engelm.</t>
  </si>
  <si>
    <t xml:space="preserve">RAGT</t>
  </si>
  <si>
    <t xml:space="preserve">Vitis armata Diels &amp; Gilg</t>
  </si>
  <si>
    <t xml:space="preserve">R.A.G.T. 2N</t>
  </si>
  <si>
    <t xml:space="preserve">Vitis aubertiana Gage</t>
  </si>
  <si>
    <t xml:space="preserve">Rapillard Charly, Conthey - Suisse</t>
  </si>
  <si>
    <t xml:space="preserve">Vitis austrokoreana Hatus.</t>
  </si>
  <si>
    <t xml:space="preserve">RDP (UMR5667 INRA/CNRS/ENSL/UCBL)</t>
  </si>
  <si>
    <t xml:space="preserve">Vitis baileyana Munson</t>
  </si>
  <si>
    <t xml:space="preserve">Redblush Nursery</t>
  </si>
  <si>
    <t xml:space="preserve">Vitis balansaeana Planch.</t>
  </si>
  <si>
    <t xml:space="preserve">Regional Fruit Research Station, PAU</t>
  </si>
  <si>
    <t xml:space="preserve">Vitis berlandieri Planch.</t>
  </si>
  <si>
    <t xml:space="preserve">Regional Station Shillong, NBPGR</t>
  </si>
  <si>
    <t xml:space="preserve">Vitis betulifolia Diels &amp; Gilg</t>
  </si>
  <si>
    <t xml:space="preserve">Reproduction et Developpement des Plantes</t>
  </si>
  <si>
    <t xml:space="preserve">Vitis bicolor Le Conte</t>
  </si>
  <si>
    <t xml:space="preserve">Research and Development Division</t>
  </si>
  <si>
    <t xml:space="preserve">Vitis blancoii Munson</t>
  </si>
  <si>
    <t xml:space="preserve">Research Branch Agriculture Canada</t>
  </si>
  <si>
    <t xml:space="preserve">Vitis bourgeana Planch.</t>
  </si>
  <si>
    <t xml:space="preserve">Research Institute for Bioresources</t>
  </si>
  <si>
    <t xml:space="preserve">Vitis bourquina Munson</t>
  </si>
  <si>
    <t xml:space="preserve">Research Institute for Cereals and Technical Plants Fundulea</t>
  </si>
  <si>
    <t xml:space="preserve">Vitis bryoniifolia Bunge</t>
  </si>
  <si>
    <t xml:space="preserve">Research Institute for Olive and Citrus Trees</t>
  </si>
  <si>
    <t xml:space="preserve">Vitis burmanica Collett &amp; Hemsl.</t>
  </si>
  <si>
    <t xml:space="preserve">Research Institute of Agricultural for South-East Region</t>
  </si>
  <si>
    <t xml:space="preserve">Vitis californica Bentham</t>
  </si>
  <si>
    <t xml:space="preserve">Research Institute of Crop Production</t>
  </si>
  <si>
    <t xml:space="preserve">Vitis candicans Engelm.</t>
  </si>
  <si>
    <t xml:space="preserve">Research Institute of Village Services</t>
  </si>
  <si>
    <t xml:space="preserve">Vitis caribaea D.C.</t>
  </si>
  <si>
    <t xml:space="preserve">Resistance des Plantes aux Bioagresseurs (RPB)</t>
  </si>
  <si>
    <t xml:space="preserve">Vitis champinii Planch.</t>
  </si>
  <si>
    <t xml:space="preserve">Resources Botany Research Center</t>
  </si>
  <si>
    <t xml:space="preserve">Vitis choii Hatus.</t>
  </si>
  <si>
    <t xml:space="preserve">Revol Jean-Pierre, Larnage - France</t>
  </si>
  <si>
    <t xml:space="preserve">Vitis chrysobotrys H.Lév. &amp; Vaniot</t>
  </si>
  <si>
    <t xml:space="preserve">RhoBio</t>
  </si>
  <si>
    <t xml:space="preserve">Vitis chunganensis Hu</t>
  </si>
  <si>
    <t xml:space="preserve">Rice Research Institute</t>
  </si>
  <si>
    <t xml:space="preserve">Vitis chungii F.P.Metcalf</t>
  </si>
  <si>
    <t xml:space="preserve">RICP Praha-Ruzyne Agricultural Research Station</t>
  </si>
  <si>
    <t xml:space="preserve">Vitis cinerea Engelm.</t>
  </si>
  <si>
    <t xml:space="preserve">Rijk Zwaan</t>
  </si>
  <si>
    <t xml:space="preserve">Vitis coignetiae cv. Ishikari</t>
  </si>
  <si>
    <t xml:space="preserve">Ringot</t>
  </si>
  <si>
    <t xml:space="preserve">Vitis coignetiae Pulliat</t>
  </si>
  <si>
    <t xml:space="preserve">Roberts WL, Grandview Washington - USA</t>
  </si>
  <si>
    <t xml:space="preserve">Vitis cordifolia cv. n°9 Couderc</t>
  </si>
  <si>
    <t xml:space="preserve">Roseworthy Agricultural College</t>
  </si>
  <si>
    <t xml:space="preserve">Vitis cordifolia Mchx.</t>
  </si>
  <si>
    <t xml:space="preserve">Royal Palm Nurseries</t>
  </si>
  <si>
    <t xml:space="preserve">Vitis coriacea Shuttl.</t>
  </si>
  <si>
    <t xml:space="preserve">Rubidoux laboratory</t>
  </si>
  <si>
    <t xml:space="preserve">Vitis davidii Romanet du Caillaud</t>
  </si>
  <si>
    <t xml:space="preserve">Rustica Prograin Genetique</t>
  </si>
  <si>
    <t xml:space="preserve">Vitis del rioi Galet</t>
  </si>
  <si>
    <t xml:space="preserve">Rutgers University - NJ - USA</t>
  </si>
  <si>
    <t xml:space="preserve">Vitis doaniana Munson</t>
  </si>
  <si>
    <t xml:space="preserve">Rutgers University - NJ - USA - M. Vinson P</t>
  </si>
  <si>
    <t xml:space="preserve">Vitis embergeri Galet</t>
  </si>
  <si>
    <t xml:space="preserve">Saatbau Linz / Oberoesterreichische Landessaatbaugenossenschaft</t>
  </si>
  <si>
    <t xml:space="preserve">Vitis ficifolioides Wang</t>
  </si>
  <si>
    <t xml:space="preserve">Saaten-Union France s.a.r.l - Saaten-Union Recherche s.a.s</t>
  </si>
  <si>
    <t xml:space="preserve">Vitis flexuosa Thunb.</t>
  </si>
  <si>
    <t xml:space="preserve">Saatzucht Bauer GmbH &amp; Co KG</t>
  </si>
  <si>
    <t xml:space="preserve">Vitis gigas Fennell</t>
  </si>
  <si>
    <t xml:space="preserve">Saatzucht Donau GesmbH. &amp; CoKG</t>
  </si>
  <si>
    <t xml:space="preserve">Vitis girdiana Munson</t>
  </si>
  <si>
    <t xml:space="preserve">Saatzucht Engelen Büchling Ohg</t>
  </si>
  <si>
    <t xml:space="preserve">Vitis glabrescens Fritsch</t>
  </si>
  <si>
    <t xml:space="preserve">Saatzucht Hans Schweiger &amp; Co. Ohg</t>
  </si>
  <si>
    <t xml:space="preserve">Vitis hancockii Hance</t>
  </si>
  <si>
    <t xml:space="preserve">Saatzucht Josef Breun GdbR</t>
  </si>
  <si>
    <t xml:space="preserve">Vitis helleri Small</t>
  </si>
  <si>
    <t xml:space="preserve">Saatzucht Piatti</t>
  </si>
  <si>
    <t xml:space="preserve">Vitis hexamera Gagnep.</t>
  </si>
  <si>
    <t xml:space="preserve">Saatzucht Streng GmbH &amp; Co. KG</t>
  </si>
  <si>
    <t xml:space="preserve">Vitis hissarica Vassilcz.</t>
  </si>
  <si>
    <t xml:space="preserve">Saatzuchtgesellschaft Nordsaat GmbH</t>
  </si>
  <si>
    <t xml:space="preserve">Vitis illex Bailey</t>
  </si>
  <si>
    <t xml:space="preserve">Saatzuchtwirtschaft Johann Firlbeck KG</t>
  </si>
  <si>
    <t xml:space="preserve">Vitis kelemgensis Momiyama</t>
  </si>
  <si>
    <t xml:space="preserve">Saatzuchtwirtschaft Lang-Doerfler</t>
  </si>
  <si>
    <t xml:space="preserve">Vitis kiusiama Momiyama</t>
  </si>
  <si>
    <t xml:space="preserve">Saatzuchtwirtschaft Otto Breustedt GmbH</t>
  </si>
  <si>
    <t xml:space="preserve">Vitis L.</t>
  </si>
  <si>
    <t xml:space="preserve">Sakata Seed France</t>
  </si>
  <si>
    <t xml:space="preserve">Vitis labrusca cv. Cambridge</t>
  </si>
  <si>
    <t xml:space="preserve">Samarskij Niish Im.N.M. Tulajkova</t>
  </si>
  <si>
    <t xml:space="preserve">Vitis labrusca cv. Caroline</t>
  </si>
  <si>
    <t xml:space="preserve">SantÃ© de la Vigne et QualitÃ© du Vin</t>
  </si>
  <si>
    <t xml:space="preserve">Vitis labrusca cv. Caywood</t>
  </si>
  <si>
    <t xml:space="preserve">Santé de la Vigne et Qualité du Vin</t>
  </si>
  <si>
    <t xml:space="preserve">Vitis labrusca cv. Concord</t>
  </si>
  <si>
    <t xml:space="preserve">S.A.S. Florimond Desprez</t>
  </si>
  <si>
    <t xml:space="preserve">Vitis labrusca cv. Creveling</t>
  </si>
  <si>
    <t xml:space="preserve">Satten-Ring Pfeuffer - Von Ruemker oHG</t>
  </si>
  <si>
    <t xml:space="preserve">Vitis labrusca cv. Early Victor</t>
  </si>
  <si>
    <t xml:space="preserve">SBAT El Ariana, Tunisie</t>
  </si>
  <si>
    <t xml:space="preserve">Vitis labrusca cv. Isabelle</t>
  </si>
  <si>
    <t xml:space="preserve">SCA - Agricultural Research Station Turda-Cluj</t>
  </si>
  <si>
    <t xml:space="preserve">Vitis labrusca cv. Israella</t>
  </si>
  <si>
    <t xml:space="preserve">SCA Adrien Momont et fils, S.A.</t>
  </si>
  <si>
    <t xml:space="preserve">Vitis labrusca cv. Ive's seedling</t>
  </si>
  <si>
    <t xml:space="preserve">Schnable Laboratory</t>
  </si>
  <si>
    <t xml:space="preserve">Vitis labrusca cv. Miles</t>
  </si>
  <si>
    <t xml:space="preserve">Schnable laboratory</t>
  </si>
  <si>
    <t xml:space="preserve">Vitis labrusca cv. Muncy</t>
  </si>
  <si>
    <t xml:space="preserve">School of Biological Sciences</t>
  </si>
  <si>
    <t xml:space="preserve">Vitis labrusca cv. North America</t>
  </si>
  <si>
    <t xml:space="preserve">Science de l'Horticulture, Rabat, Maroc</t>
  </si>
  <si>
    <t xml:space="preserve">Vitis labrusca cv. North Carolina</t>
  </si>
  <si>
    <t xml:space="preserve">Scott Research Farm</t>
  </si>
  <si>
    <t xml:space="preserve">Vitis labrusca cv. Pierce = California Concord</t>
  </si>
  <si>
    <t xml:space="preserve">SDR Fruit LLC, Boulder- CO - USA</t>
  </si>
  <si>
    <t xml:space="preserve">Vitis labrusca cv. Rentz</t>
  </si>
  <si>
    <t xml:space="preserve">Seagaga Research Station</t>
  </si>
  <si>
    <t xml:space="preserve">Vitis labrusca cv. Scarlett</t>
  </si>
  <si>
    <t xml:space="preserve">Seager Wheeler</t>
  </si>
  <si>
    <t xml:space="preserve">Vitis labrusca L.</t>
  </si>
  <si>
    <t xml:space="preserve">Secobra Saatzucht GmbH</t>
  </si>
  <si>
    <t xml:space="preserve">Vitis lanata Roxburgh</t>
  </si>
  <si>
    <t xml:space="preserve">Seed and Plant Improvement Institute</t>
  </si>
  <si>
    <t xml:space="preserve">Vitis lanceolata Roxb.</t>
  </si>
  <si>
    <t xml:space="preserve">Selekt Research and Breeding Institute</t>
  </si>
  <si>
    <t xml:space="preserve">Vitis leucocarpa Hayata</t>
  </si>
  <si>
    <t xml:space="preserve">SELGEN, Breeding Station Chlumec</t>
  </si>
  <si>
    <t xml:space="preserve">Vitis lincecumii Buckley</t>
  </si>
  <si>
    <t xml:space="preserve">SELGEN, Breeding Station Stupice</t>
  </si>
  <si>
    <t xml:space="preserve">Vitis longii Prince</t>
  </si>
  <si>
    <t xml:space="preserve">SELGEN, Breeding Station Uhretice</t>
  </si>
  <si>
    <t xml:space="preserve">Vitis monticola Buckley</t>
  </si>
  <si>
    <t xml:space="preserve">Semences Cargill, Centre de Recherches Céréales à Pailles et Colza</t>
  </si>
  <si>
    <t xml:space="preserve">Vitis novisinensis Vassilcz.</t>
  </si>
  <si>
    <t xml:space="preserve">Semences de Provence</t>
  </si>
  <si>
    <t xml:space="preserve">Vitis pedicellata M.A.Lawson</t>
  </si>
  <si>
    <t xml:space="preserve">Semiarid Prairie Agricultural Research Centre, Agriculture and Agri-Food Canada</t>
  </si>
  <si>
    <t xml:space="preserve">Vitis pentagona Diels &amp; Gilg</t>
  </si>
  <si>
    <t xml:space="preserve">Semillas Falco</t>
  </si>
  <si>
    <t xml:space="preserve">Vitis piasezkii cv. pagnuccii</t>
  </si>
  <si>
    <t xml:space="preserve">Seminis</t>
  </si>
  <si>
    <t xml:space="preserve">Vitis piasezkii Maximowicz</t>
  </si>
  <si>
    <t xml:space="preserve">Seoul National University</t>
  </si>
  <si>
    <t xml:space="preserve">Vitis piloso-nerva F.P.Metcalf</t>
  </si>
  <si>
    <t xml:space="preserve">SERASEM</t>
  </si>
  <si>
    <t xml:space="preserve">Vitis potanini Maxim.</t>
  </si>
  <si>
    <t xml:space="preserve">Servien Norbert et Pierre-Gilles - Granges lès Beaumont - France</t>
  </si>
  <si>
    <t xml:space="preserve">Vitis pseudoreticulata W.T.Wang</t>
  </si>
  <si>
    <t xml:space="preserve">Settore Biotecnologie e Agricoltura, Dipartimento Innovazione, ENEA</t>
  </si>
  <si>
    <t xml:space="preserve">Vitis punctata Raf.</t>
  </si>
  <si>
    <t xml:space="preserve">Seva Flora SRO, Valtice - République Tchèque</t>
  </si>
  <si>
    <t xml:space="preserve">Vitis reticulata Pamp.</t>
  </si>
  <si>
    <t xml:space="preserve">Shanghai Institute of Plant Physiology and  Ecology</t>
  </si>
  <si>
    <t xml:space="preserve">Vitis retordii Romanet du Caill. ex Planch.</t>
  </si>
  <si>
    <t xml:space="preserve">Shanxi Academy of Agricultural Sciences</t>
  </si>
  <si>
    <t xml:space="preserve">Vitis riparia cv. Riparia Gloire de Montpellier</t>
  </si>
  <si>
    <t xml:space="preserve">Shulaev's Lab</t>
  </si>
  <si>
    <t xml:space="preserve">Vitis riparia cv. Riparia grand glabre</t>
  </si>
  <si>
    <t xml:space="preserve">Siberian Research Institute of Agriculture</t>
  </si>
  <si>
    <t xml:space="preserve">Vitis riparia Mchx.</t>
  </si>
  <si>
    <t xml:space="preserve">SICA Centrex, Torreilles, France</t>
  </si>
  <si>
    <t xml:space="preserve">Vitis romanetii Romanet du Caillaud</t>
  </si>
  <si>
    <t xml:space="preserve">Sica La Tapy</t>
  </si>
  <si>
    <t xml:space="preserve">Vitis rubra cv. palmata</t>
  </si>
  <si>
    <t xml:space="preserve">Sica SE.CO.CE. Semences Dromigny et Hamel</t>
  </si>
  <si>
    <t xml:space="preserve">Vitis rubra Mchx.</t>
  </si>
  <si>
    <t xml:space="preserve">Sicarex Beaujolais</t>
  </si>
  <si>
    <t xml:space="preserve">Vitis rufotomentosa Small</t>
  </si>
  <si>
    <t xml:space="preserve">Sicarex du Sud-Ouest</t>
  </si>
  <si>
    <t xml:space="preserve">Vitis rupestris cv. Rupestris du Lot</t>
  </si>
  <si>
    <t xml:space="preserve">Signaling and  Plant Metabolism</t>
  </si>
  <si>
    <t xml:space="preserve">Vitis rupestris Sheele</t>
  </si>
  <si>
    <t xml:space="preserve">Signaux et messages cellulaires chez les vegetaux</t>
  </si>
  <si>
    <t xml:space="preserve">Vitis schumanniana Kuntze</t>
  </si>
  <si>
    <t xml:space="preserve">SIS - Societa Italiana Sementi</t>
  </si>
  <si>
    <t xml:space="preserve">Vitis seguinii H.Lév.</t>
  </si>
  <si>
    <t xml:space="preserve">Sladkovicovo Plant Breeding Station</t>
  </si>
  <si>
    <t xml:space="preserve">Vitis serroniana Glaz.</t>
  </si>
  <si>
    <t xml:space="preserve">Small Grains Research Centre, Agricultural Research Institute 'Serbia'</t>
  </si>
  <si>
    <t xml:space="preserve">Vitis shiragai Makino</t>
  </si>
  <si>
    <t xml:space="preserve">Societa Produttori Sementi</t>
  </si>
  <si>
    <t xml:space="preserve">Vitis silvestrii Pamp.</t>
  </si>
  <si>
    <t xml:space="preserve">Société de Viticulture du Jura</t>
  </si>
  <si>
    <t xml:space="preserve">Vitis simpsonii Munson</t>
  </si>
  <si>
    <t xml:space="preserve">Société Pomologique du Berry</t>
  </si>
  <si>
    <t xml:space="preserve">Vitis thunbergii Siebold &amp; Zucc.</t>
  </si>
  <si>
    <t xml:space="preserve">Société pour l'Encouragement de l'Orge de Brasserie</t>
  </si>
  <si>
    <t xml:space="preserve">Vitis treleasei Munson</t>
  </si>
  <si>
    <t xml:space="preserve">SOGROUP</t>
  </si>
  <si>
    <t xml:space="preserve">Vitis tsoii Merr.</t>
  </si>
  <si>
    <t xml:space="preserve">Solanum</t>
  </si>
  <si>
    <t xml:space="preserve">Vitis vicaryana Kurz</t>
  </si>
  <si>
    <t xml:space="preserve">Solanum Tourneur</t>
  </si>
  <si>
    <t xml:space="preserve">Vitis vinifera L.</t>
  </si>
  <si>
    <t xml:space="preserve">Solary Plant Breeding Station</t>
  </si>
  <si>
    <t xml:space="preserve">Vitis vinifera subsp sylvestris cv. Lambrusque métisse</t>
  </si>
  <si>
    <t xml:space="preserve">Sorghum genetics and  molecular biology lab</t>
  </si>
  <si>
    <t xml:space="preserve">Vitis vinifera subsp sylvestris cv. Lambrusque vraie</t>
  </si>
  <si>
    <t xml:space="preserve">South Dakota Agricultural Experiment Station, South Dakota State University</t>
  </si>
  <si>
    <t xml:space="preserve">Vitis vinifera subsp sylvestris L.</t>
  </si>
  <si>
    <t xml:space="preserve">Southwick Steve, El Macero, CA - USA</t>
  </si>
  <si>
    <t xml:space="preserve">Vitis vinifera subsp vinifera cv. A Kalatchel</t>
  </si>
  <si>
    <t xml:space="preserve">Special Research Centre,  Basic and  Applied Plant MolecularBiology</t>
  </si>
  <si>
    <t xml:space="preserve">Vitis vinifera subsp vinifera cv. A 406 SRLH</t>
  </si>
  <si>
    <t xml:space="preserve">SRA  INRA-CIRAD</t>
  </si>
  <si>
    <t xml:space="preserve">Vitis vinifera subsp vinifera cv. Abbuoto</t>
  </si>
  <si>
    <t xml:space="preserve">Star Fruit</t>
  </si>
  <si>
    <t xml:space="preserve">Vitis vinifera subsp vinifera cv. Abdjouch</t>
  </si>
  <si>
    <t xml:space="preserve">State Key Lab of Genetics</t>
  </si>
  <si>
    <t xml:space="preserve">Vitis vinifera subsp vinifera cv. Abondance</t>
  </si>
  <si>
    <t xml:space="preserve">State Lab of Plant Physiology and  Biochemistry</t>
  </si>
  <si>
    <t xml:space="preserve">Vitis vinifera subsp vinifera cv. Abondant</t>
  </si>
  <si>
    <t xml:space="preserve">State Lab of plant physiology and  biochemistry</t>
  </si>
  <si>
    <t xml:space="preserve">Vitis vinifera subsp vinifera cv. Abouhou</t>
  </si>
  <si>
    <t xml:space="preserve">Station Agrumicole de Lipa</t>
  </si>
  <si>
    <t xml:space="preserve">Vitis vinifera subsp vinifera cv. Abouriou</t>
  </si>
  <si>
    <t xml:space="preserve">Station Agrumicole de Nan</t>
  </si>
  <si>
    <t xml:space="preserve">Vitis vinifera subsp vinifera cv. Achlamiche</t>
  </si>
  <si>
    <t xml:space="preserve">Station Centrale de la Recherche sur les Agrumes, Institut National de la Recherche Agronomique du Maroc</t>
  </si>
  <si>
    <t xml:space="preserve">Vitis vinifera subsp vinifera cv. Adissi</t>
  </si>
  <si>
    <t xml:space="preserve">Station d'amelioration des arbres forestiers</t>
  </si>
  <si>
    <t xml:space="preserve">Vitis vinifera subsp vinifera cv. Admirable de Courtiller</t>
  </si>
  <si>
    <t xml:space="preserve">Station d'amelioration des plantes</t>
  </si>
  <si>
    <t xml:space="preserve">Vitis vinifera subsp vinifera cv. Aetoniki</t>
  </si>
  <si>
    <t xml:space="preserve">Station d'arboriculture de Poros - Trizinias (Grèce)</t>
  </si>
  <si>
    <t xml:space="preserve">Vitis vinifera subsp vinifera cv. Aetonychi kokkino</t>
  </si>
  <si>
    <t xml:space="preserve">Station de Betanimena</t>
  </si>
  <si>
    <t xml:space="preserve">Vitis vinifera subsp vinifera cv. Aetonychi mavro</t>
  </si>
  <si>
    <t xml:space="preserve">Station de cultures fruitières de Foulaya</t>
  </si>
  <si>
    <t xml:space="preserve">Vitis vinifera subsp vinifera cv. Aetonyki</t>
  </si>
  <si>
    <t xml:space="preserve">Station de Génétique et Amélioration des Plantes, INRA-Versailles</t>
  </si>
  <si>
    <t xml:space="preserve">Vitis vinifera subsp vinifera cv. Afarta pobres</t>
  </si>
  <si>
    <t xml:space="preserve">Station de Genetique et d'Amelioration des Plantes</t>
  </si>
  <si>
    <t xml:space="preserve">Vitis vinifera subsp vinifera cv. Affenthaler</t>
  </si>
  <si>
    <t xml:space="preserve">Station de Genetique et d'Amelioration des plantes</t>
  </si>
  <si>
    <t xml:space="preserve">Vitis vinifera subsp vinifera cv. Ag isioum</t>
  </si>
  <si>
    <t xml:space="preserve">Station de Génétique et d'Amélioration des Plantes, INRA-Dijon</t>
  </si>
  <si>
    <t xml:space="preserve">Vitis vinifera subsp vinifera cv. Ag Kiourdach</t>
  </si>
  <si>
    <t xml:space="preserve">Station de Genetique et dÕAmelioration des Plantes</t>
  </si>
  <si>
    <t xml:space="preserve">Vitis vinifera subsp vinifera cv. Agadaï</t>
  </si>
  <si>
    <t xml:space="preserve">Station de Genetique et dUAmelioration des Plantes</t>
  </si>
  <si>
    <t xml:space="preserve">Vitis vinifera subsp vinifera cv. Agapanthe</t>
  </si>
  <si>
    <t xml:space="preserve">Station de Genetique Vegetale</t>
  </si>
  <si>
    <t xml:space="preserve">Vitis vinifera subsp vinifera cv. Aghianniotico</t>
  </si>
  <si>
    <t xml:space="preserve">Station de Genetique Vegetale du Moulon</t>
  </si>
  <si>
    <t xml:space="preserve">Vitis vinifera subsp vinifera cv. Aghiorgitiko</t>
  </si>
  <si>
    <t xml:space="preserve">Station de Pathologie Vegetale</t>
  </si>
  <si>
    <t xml:space="preserve">Vitis vinifera subsp vinifera cv. Aglianico</t>
  </si>
  <si>
    <t xml:space="preserve">Station de Pathologie Végétale, INRA-Avignon</t>
  </si>
  <si>
    <t xml:space="preserve">Vitis vinifera subsp vinifera cv. Agostenga noir</t>
  </si>
  <si>
    <t xml:space="preserve">Station de recherche Agroscope Changins-Wädenswil</t>
  </si>
  <si>
    <t xml:space="preserve">Vitis vinifera subsp vinifera cv. Agourane</t>
  </si>
  <si>
    <t xml:space="preserve">Station de recherche Agroscope Changins-WÃ¤denswil</t>
  </si>
  <si>
    <t xml:space="preserve">Vitis vinifera subsp vinifera cv. Agrio mavro</t>
  </si>
  <si>
    <t xml:space="preserve">Station de Recherche du Comité Nord</t>
  </si>
  <si>
    <t xml:space="preserve">Vitis vinifera subsp vinifera cv. Aguyar</t>
  </si>
  <si>
    <t xml:space="preserve">Station de Recherche du Comité Nord &amp; GIPT</t>
  </si>
  <si>
    <t xml:space="preserve">Vitis vinifera subsp vinifera cv. Ahmar</t>
  </si>
  <si>
    <t xml:space="preserve">Station de Recherchedu Comité Nord &amp; GNIPTIT</t>
  </si>
  <si>
    <t xml:space="preserve">Vitis vinifera subsp vinifera cv. Ahmed</t>
  </si>
  <si>
    <t xml:space="preserve">Station Expérimentale Agronomique de Boufarik</t>
  </si>
  <si>
    <t xml:space="preserve">Vitis vinifera subsp vinifera cv. Ahmeh sal apyrène</t>
  </si>
  <si>
    <t xml:space="preserve">Station expérimentale de Oeiras Portugal</t>
  </si>
  <si>
    <t xml:space="preserve">Vitis vinifera subsp vinifera cv. Ahmeh Sal 9</t>
  </si>
  <si>
    <t xml:space="preserve">Station Régionale Horticole de Sefrou</t>
  </si>
  <si>
    <t xml:space="preserve">Vitis vinifera subsp vinifera cv. Ahmeur bou Ahmeur</t>
  </si>
  <si>
    <t xml:space="preserve">Statistique &amp; Genome</t>
  </si>
  <si>
    <t xml:space="preserve">Vitis vinifera subsp vinifera cv. Ahumat</t>
  </si>
  <si>
    <t xml:space="preserve">Statistique &amp; Génome</t>
  </si>
  <si>
    <t xml:space="preserve">Vitis vinifera subsp vinifera cv. Aïbatly</t>
  </si>
  <si>
    <t xml:space="preserve">Statiunea de Cercetare Dezvoltare Agricola Albota</t>
  </si>
  <si>
    <t xml:space="preserve">Vitis vinifera subsp vinifera cv. Aïda = Pirovano 233</t>
  </si>
  <si>
    <t xml:space="preserve">Ste Coopérative Agricole du Nord-Est de la Brie</t>
  </si>
  <si>
    <t xml:space="preserve">Vitis vinifera subsp vinifera cv. Aïdani mavro</t>
  </si>
  <si>
    <t xml:space="preserve">Stellenbosch University</t>
  </si>
  <si>
    <t xml:space="preserve">Vitis vinifera subsp vinifera cv. Aïn Begra</t>
  </si>
  <si>
    <t xml:space="preserve">Structure et Metabolisme des Plantes</t>
  </si>
  <si>
    <t xml:space="preserve">Vitis vinifera subsp vinifera cv. Aïn el Bouma</t>
  </si>
  <si>
    <t xml:space="preserve">Subtropical Horticultural Research Unit, National Germplasm Repository - Miami, USDA</t>
  </si>
  <si>
    <t xml:space="preserve">Vitis vinifera subsp vinifera cv. Aïn Kelba</t>
  </si>
  <si>
    <t xml:space="preserve">Suceava Genebank</t>
  </si>
  <si>
    <t xml:space="preserve">Vitis vinifera subsp vinifera cv. Airen</t>
  </si>
  <si>
    <t xml:space="preserve">Summerfield Nursery Co.</t>
  </si>
  <si>
    <t xml:space="preserve">Vitis vinifera subsp vinifera cv. Ak chekerek</t>
  </si>
  <si>
    <t xml:space="preserve">Sun World International - Bakersfield, CA - USA</t>
  </si>
  <si>
    <t xml:space="preserve">Vitis vinifera subsp vinifera cv. Ak ouzioum tagapskii</t>
  </si>
  <si>
    <t xml:space="preserve">Sunshine Nurseries</t>
  </si>
  <si>
    <t xml:space="preserve">Vitis vinifera subsp vinifera cv. Akiki</t>
  </si>
  <si>
    <t xml:space="preserve">Svalof Weibull AB Cereal Breeding Department</t>
  </si>
  <si>
    <t xml:space="preserve">Vitis vinifera subsp vinifera cv. Aklyk jaune</t>
  </si>
  <si>
    <t xml:space="preserve">SW Seed Hadmersleben GmbH</t>
  </si>
  <si>
    <t xml:space="preserve">Vitis vinifera subsp vinifera cv. Akominato</t>
  </si>
  <si>
    <t xml:space="preserve">Swedish University of Agricultural Sciences - Department of Plant Breeding Research</t>
  </si>
  <si>
    <t xml:space="preserve">Vitis vinifera subsp vinifera cv. Alabar noir</t>
  </si>
  <si>
    <t xml:space="preserve">Swiss Institute of Bioinformatics</t>
  </si>
  <si>
    <t xml:space="preserve">Vitis vinifera subsp vinifera cv. Alanttermö</t>
  </si>
  <si>
    <t xml:space="preserve">Syndicat de Producteurs de Marron de Charentes</t>
  </si>
  <si>
    <t xml:space="preserve">Vitis vinifera subsp vinifera cv. Alb rominesc</t>
  </si>
  <si>
    <t xml:space="preserve">Syndicat Général des Vignerons Réunis des Côtes-du-Rhône</t>
  </si>
  <si>
    <t xml:space="preserve">Vitis vinifera subsp vinifera cv. Alba aganin isioum</t>
  </si>
  <si>
    <t xml:space="preserve">Syngenta</t>
  </si>
  <si>
    <t xml:space="preserve">Vitis vinifera subsp vinifera cv. Alba imputotato</t>
  </si>
  <si>
    <t xml:space="preserve">Syngenta Seeds Ltd</t>
  </si>
  <si>
    <t xml:space="preserve">Vitis vinifera subsp vinifera cv. Alba magna = Pirovano 283</t>
  </si>
  <si>
    <t xml:space="preserve">Syngenta Seeds S.A.</t>
  </si>
  <si>
    <t xml:space="preserve">Vitis vinifera subsp vinifera cv. Albalonga = Würzburg B 51-2-1</t>
  </si>
  <si>
    <t xml:space="preserve">Syngenta Seeds S.A.S.</t>
  </si>
  <si>
    <t xml:space="preserve">Vitis vinifera subsp vinifera cv. Albana</t>
  </si>
  <si>
    <t xml:space="preserve">Takii recherche France</t>
  </si>
  <si>
    <t xml:space="preserve">Vitis vinifera subsp vinifera cv. Albanello</t>
  </si>
  <si>
    <t xml:space="preserve">Technisem</t>
  </si>
  <si>
    <t xml:space="preserve">Vitis vinifera subsp vinifera cv. Albaranzeuli bianco</t>
  </si>
  <si>
    <t xml:space="preserve">Technology Department</t>
  </si>
  <si>
    <t xml:space="preserve">Vitis vinifera subsp vinifera cv. Albarola</t>
  </si>
  <si>
    <t xml:space="preserve">Terr'Loire</t>
  </si>
  <si>
    <t xml:space="preserve">Vitis vinifera subsp vinifera cv. Albert Dientz</t>
  </si>
  <si>
    <t xml:space="preserve">Texas Agricultural Experiment Station, Texas A &amp; M University</t>
  </si>
  <si>
    <t xml:space="preserve">Vitis vinifera subsp vinifera cv. Albillo</t>
  </si>
  <si>
    <t xml:space="preserve">TEZIER S.A.</t>
  </si>
  <si>
    <t xml:space="preserve">Vitis vinifera subsp vinifera cv. Albino de Sousa</t>
  </si>
  <si>
    <t xml:space="preserve">The Agricultural Research Council - Grain Crops Institute</t>
  </si>
  <si>
    <t xml:space="preserve">Vitis vinifera subsp vinifera cv. Albourlah</t>
  </si>
  <si>
    <t xml:space="preserve">The Arabidopsis Information Resource</t>
  </si>
  <si>
    <t xml:space="preserve">Vitis vinifera subsp vinifera cv. Aléatico</t>
  </si>
  <si>
    <t xml:space="preserve">The Biotechnology Center</t>
  </si>
  <si>
    <t xml:space="preserve">Vitis vinifera subsp vinifera cv. Aledo</t>
  </si>
  <si>
    <t xml:space="preserve">The Citrus Nursery</t>
  </si>
  <si>
    <t xml:space="preserve">Vitis vinifera subsp vinifera cv. Alenky</t>
  </si>
  <si>
    <t xml:space="preserve">The First Laboratory for Plant Gene Research</t>
  </si>
  <si>
    <t xml:space="preserve">Vitis vinifera subsp vinifera cv. Alepou</t>
  </si>
  <si>
    <t xml:space="preserve">The Genome Analysis Centre</t>
  </si>
  <si>
    <t xml:space="preserve">Vitis vinifera subsp vinifera cv. Alexandroouli</t>
  </si>
  <si>
    <t xml:space="preserve">The Key Laboratory of Gene Engineering of Ministry ofEducation</t>
  </si>
  <si>
    <t xml:space="preserve">Vitis vinifera subsp vinifera cv. Alfrocheiro preto</t>
  </si>
  <si>
    <t xml:space="preserve">The Molecular Breeding Lab of Wheat Research Center - Henan Academy of Agricultural Sciences</t>
  </si>
  <si>
    <t xml:space="preserve">Vitis vinifera subsp vinifera cv. Algara</t>
  </si>
  <si>
    <t xml:space="preserve">The Rockefeller Foundation</t>
  </si>
  <si>
    <t xml:space="preserve">Vitis vinifera subsp vinifera cv. Alia boka</t>
  </si>
  <si>
    <t xml:space="preserve">The V.M. Remeslo Myronivka Institute for Wheat</t>
  </si>
  <si>
    <t xml:space="preserve">Vitis vinifera subsp vinifera cv. Alicante anglais blanc</t>
  </si>
  <si>
    <t xml:space="preserve">Tintori Nursery</t>
  </si>
  <si>
    <t xml:space="preserve">Vitis vinifera subsp vinifera cv. Alicante Bouschet érigé</t>
  </si>
  <si>
    <t xml:space="preserve">Top Semence</t>
  </si>
  <si>
    <t xml:space="preserve">Vitis vinifera subsp vinifera cv. Alicante Bouschet extra fertile</t>
  </si>
  <si>
    <t xml:space="preserve">Torbert Rocheford</t>
  </si>
  <si>
    <t xml:space="preserve">Vitis vinifera subsp vinifera cv. Alicante Bouschet n°1</t>
  </si>
  <si>
    <t xml:space="preserve">Toumelin (don't exist anymore)</t>
  </si>
  <si>
    <t xml:space="preserve">Vitis vinifera subsp vinifera cv. Alicante Bouschet n°2</t>
  </si>
  <si>
    <t xml:space="preserve">Tourneur Grandes Cultures Obtentions</t>
  </si>
  <si>
    <t xml:space="preserve">Vitis vinifera subsp vinifera cv. Alicante Bouschet n°7</t>
  </si>
  <si>
    <t xml:space="preserve">Trait and  Technology Development,  Agronomic Traits</t>
  </si>
  <si>
    <t xml:space="preserve">Vitis vinifera subsp vinifera cv. Alicante Bouschet n°8</t>
  </si>
  <si>
    <t xml:space="preserve">Trait and  Technology Development,  Food and  Feed Research</t>
  </si>
  <si>
    <t xml:space="preserve">Vitis vinifera subsp vinifera cv. Alicante Bouschet précoce (ou n°5)</t>
  </si>
  <si>
    <t xml:space="preserve">Transition Zone Agricultural Research Institute</t>
  </si>
  <si>
    <t xml:space="preserve">Vitis vinifera subsp vinifera cv. Alicante Bouschet tardif (ou n°6)</t>
  </si>
  <si>
    <t xml:space="preserve">TRANSPORT DES ASSIMILATS</t>
  </si>
  <si>
    <t xml:space="preserve">Vitis vinifera subsp vinifera cv. Alicante Bouschet x Piquepoul gris</t>
  </si>
  <si>
    <t xml:space="preserve">Trégor Sélection</t>
  </si>
  <si>
    <t xml:space="preserve">Vitis vinifera subsp vinifera cv. Alicante Bouschet x Piquepoul n°12</t>
  </si>
  <si>
    <t xml:space="preserve">Tribhuvan University</t>
  </si>
  <si>
    <t xml:space="preserve">Vitis vinifera subsp vinifera cv. Alicante Henri Bouschet</t>
  </si>
  <si>
    <t xml:space="preserve">Tropical Agricultural Research Station, Clonal Repository USDA/ARS</t>
  </si>
  <si>
    <t xml:space="preserve">Vitis vinifera subsp vinifera cv. Alicante rosa</t>
  </si>
  <si>
    <t xml:space="preserve">Tropical Crops Experimental Station</t>
  </si>
  <si>
    <t xml:space="preserve">Vitis vinifera subsp vinifera cv. Aligoté</t>
  </si>
  <si>
    <t xml:space="preserve">Truffaut</t>
  </si>
  <si>
    <t xml:space="preserve">Vitis vinifera subsp vinifera cv. Alii tierskii</t>
  </si>
  <si>
    <t xml:space="preserve">Tsukuba Life Science Center</t>
  </si>
  <si>
    <t xml:space="preserve">Vitis vinifera subsp vinifera cv. Alimchak</t>
  </si>
  <si>
    <t xml:space="preserve">T&amp;TD,  Agronomic Traits,  Yield Stability</t>
  </si>
  <si>
    <t xml:space="preserve">Vitis vinifera subsp vinifera cv. Almafre</t>
  </si>
  <si>
    <t xml:space="preserve">Tulun State Plant Breeding Station</t>
  </si>
  <si>
    <t xml:space="preserve">Vitis vinifera subsp vinifera cv. Alnwick seedling</t>
  </si>
  <si>
    <t xml:space="preserve">Turkmen Academy of Agricultural Sciences</t>
  </si>
  <si>
    <t xml:space="preserve">Vitis vinifera subsp vinifera cv. Alphonse Lavallée</t>
  </si>
  <si>
    <t xml:space="preserve">Twyford Plant Laborences (NPBGR), North Carolina State University</t>
  </si>
  <si>
    <t xml:space="preserve">Vitis vinifera subsp vinifera cv. Altesse</t>
  </si>
  <si>
    <t xml:space="preserve">Tystofte-Forsoggstation</t>
  </si>
  <si>
    <t xml:space="preserve">Vitis vinifera subsp vinifera cv. Alva</t>
  </si>
  <si>
    <t xml:space="preserve">UAGPF</t>
  </si>
  <si>
    <t xml:space="preserve">Vitis vinifera subsp vinifera cv. Alval = INRA 1552-24</t>
  </si>
  <si>
    <t xml:space="preserve">UCOPAC - Verneuil - Recherches</t>
  </si>
  <si>
    <t xml:space="preserve">Vitis vinifera subsp vinifera cv. Alvarelhao</t>
  </si>
  <si>
    <t xml:space="preserve">UE arboricole, INRA-Toulenne et INRA-Bourran</t>
  </si>
  <si>
    <t xml:space="preserve">Vitis vinifera subsp vinifera cv. Alvarinho</t>
  </si>
  <si>
    <t xml:space="preserve">UE Diascope, INRA-Montpellier</t>
  </si>
  <si>
    <t xml:space="preserve">Vitis vinifera subsp vinifera cv. Alvina = INRA 2121-61</t>
  </si>
  <si>
    <t xml:space="preserve">UE Maïs, INRA-Saint-Martin-de-Hinx</t>
  </si>
  <si>
    <t xml:space="preserve">Vitis vinifera subsp vinifera cv. Alwan</t>
  </si>
  <si>
    <t xml:space="preserve">Vitis vinifera subsp vinifera cv. Amaral</t>
  </si>
  <si>
    <t xml:space="preserve">UIPMSV</t>
  </si>
  <si>
    <t xml:space="preserve">Vitis vinifera subsp vinifera cv. Amaral branco</t>
  </si>
  <si>
    <t xml:space="preserve">ULICE</t>
  </si>
  <si>
    <t xml:space="preserve">Vitis vinifera subsp vinifera cv. Ambary</t>
  </si>
  <si>
    <t xml:space="preserve">Umea Plant Science Center</t>
  </si>
  <si>
    <t xml:space="preserve">Vitis vinifera subsp vinifera cv. Amellal</t>
  </si>
  <si>
    <t xml:space="preserve">Umea Plant Science Center, Department of Plant Physiology</t>
  </si>
  <si>
    <t xml:space="preserve">Vitis vinifera subsp vinifera cv. Amessasse</t>
  </si>
  <si>
    <t xml:space="preserve">UMR AGAP Amélioration Génétique et Adaptation des Plantes méditerranéennes et Tropicales</t>
  </si>
  <si>
    <t xml:space="preserve">Vitis vinifera subsp vinifera cv. Amfioni</t>
  </si>
  <si>
    <t xml:space="preserve">UMR Amélioration des Plantes et Biotechnologies Végétales, INRA-Rennes</t>
  </si>
  <si>
    <t xml:space="preserve">Vitis vinifera subsp vinifera cv. Amigne</t>
  </si>
  <si>
    <t xml:space="preserve">Vitis vinifera subsp vinifera cv. Amokrane</t>
  </si>
  <si>
    <t xml:space="preserve">UMR APBV</t>
  </si>
  <si>
    <t xml:space="preserve">Vitis vinifera subsp vinifera cv. Ampelakiotico galano</t>
  </si>
  <si>
    <t xml:space="preserve">UMR ASP 1095</t>
  </si>
  <si>
    <t xml:space="preserve">Vitis vinifera subsp vinifera cv. Ancellota</t>
  </si>
  <si>
    <t xml:space="preserve">UMR ASP 1095 (Amelioration et Sante des Plantes)</t>
  </si>
  <si>
    <t xml:space="preserve">Vitis vinifera subsp vinifera cv. Ancorat</t>
  </si>
  <si>
    <t xml:space="preserve">UMR BiO3P</t>
  </si>
  <si>
    <t xml:space="preserve">Vitis vinifera subsp vinifera cv. Aneb ben Koreli</t>
  </si>
  <si>
    <t xml:space="preserve">UMR CNRS/INRA 215</t>
  </si>
  <si>
    <t xml:space="preserve">Vitis vinifera subsp vinifera cv. Aneb bou Bezzoul</t>
  </si>
  <si>
    <t xml:space="preserve">UMR DAP 1098</t>
  </si>
  <si>
    <t xml:space="preserve">Vitis vinifera subsp vinifera cv. Aneb el Amar</t>
  </si>
  <si>
    <t xml:space="preserve">UMR de Genetique vegetale</t>
  </si>
  <si>
    <t xml:space="preserve">Vitis vinifera subsp vinifera cv. Angelo Longo = Pirovano 101</t>
  </si>
  <si>
    <t xml:space="preserve">UMR de Genetique Vegetale du Moulon</t>
  </si>
  <si>
    <t xml:space="preserve">Vitis vinifera subsp vinifera cv. Angelo Pirovano = Pirovano 2</t>
  </si>
  <si>
    <t xml:space="preserve">UMR de Ginitique Vigitale</t>
  </si>
  <si>
    <t xml:space="preserve">Vitis vinifera subsp vinifera cv. Angiola</t>
  </si>
  <si>
    <t xml:space="preserve">Vitis vinifera subsp vinifera cv. Angulato</t>
  </si>
  <si>
    <t xml:space="preserve">UMR DiaPC</t>
  </si>
  <si>
    <t xml:space="preserve">Vitis vinifera subsp vinifera cv. Annamaria</t>
  </si>
  <si>
    <t xml:space="preserve">UMR Diversité et Adaptation des Plantes Cultivées, INRA-Montpellier</t>
  </si>
  <si>
    <t xml:space="preserve">Vitis vinifera subsp vinifera cv. Antão vaz</t>
  </si>
  <si>
    <t xml:space="preserve">UMR Diversite et Genomes des Plantes Cultivees</t>
  </si>
  <si>
    <t xml:space="preserve">Vitis vinifera subsp vinifera cv. Aouillat</t>
  </si>
  <si>
    <t xml:space="preserve">Vitis vinifera subsp vinifera cv. Appley Towers</t>
  </si>
  <si>
    <t xml:space="preserve">Vitis vinifera subsp vinifera cv. Aprofeher</t>
  </si>
  <si>
    <t xml:space="preserve">Vitis vinifera subsp vinifera cv. Aptiche aga</t>
  </si>
  <si>
    <t xml:space="preserve">UMR Génétique et Horticulture GenHort, INRA-Angers</t>
  </si>
  <si>
    <t xml:space="preserve">Vitis vinifera subsp vinifera cv. Apyrène de Roussé</t>
  </si>
  <si>
    <t xml:space="preserve">UMR Génétique Végétale, INRA-Moulon</t>
  </si>
  <si>
    <t xml:space="preserve">Vitis vinifera subsp vinifera cv. Aragatzi</t>
  </si>
  <si>
    <t xml:space="preserve">UMR Génomique Végétale, INRA-Evry</t>
  </si>
  <si>
    <t xml:space="preserve">Vitis vinifera subsp vinifera cv. Araklinos</t>
  </si>
  <si>
    <t xml:space="preserve">UMR IaM - 1136</t>
  </si>
  <si>
    <t xml:space="preserve">Vitis vinifera subsp vinifera cv. Aramon</t>
  </si>
  <si>
    <t xml:space="preserve">UMR INRA 1088 Plante-Microbe-Environment</t>
  </si>
  <si>
    <t xml:space="preserve">Vitis vinifera subsp vinifera cv. Aramon blanc</t>
  </si>
  <si>
    <t xml:space="preserve">UMR INRA 1088/CNRS 5184/U. Bourgogne PME,  Inra</t>
  </si>
  <si>
    <t xml:space="preserve">Vitis vinifera subsp vinifera cv. Aramon blanc de la Calmette</t>
  </si>
  <si>
    <t xml:space="preserve">UMR INRA 1165 - CNRS 8114 - UEVE</t>
  </si>
  <si>
    <t xml:space="preserve">Vitis vinifera subsp vinifera cv. Aramon Bouschet n°1</t>
  </si>
  <si>
    <t xml:space="preserve">UMR INRA 1165 CNRS 8114 - UEVE</t>
  </si>
  <si>
    <t xml:space="preserve">Vitis vinifera subsp vinifera cv. Aramon Bouschet n°3</t>
  </si>
  <si>
    <t xml:space="preserve">UMR INRA-Agrocampus</t>
  </si>
  <si>
    <t xml:space="preserve">Vitis vinifera subsp vinifera cv. Aramon Bouschet n°5</t>
  </si>
  <si>
    <t xml:space="preserve">UMR INRA-ENSAR</t>
  </si>
  <si>
    <t xml:space="preserve">Vitis vinifera subsp vinifera cv. Aramon gris</t>
  </si>
  <si>
    <t xml:space="preserve">UMR INRA-INSA BF2I</t>
  </si>
  <si>
    <t xml:space="preserve">Vitis vinifera subsp vinifera cv. Aramon teinturier Bouschet</t>
  </si>
  <si>
    <t xml:space="preserve">UMR INRA-UBP Amilioration &amp; Santi des Plantes</t>
  </si>
  <si>
    <t xml:space="preserve">Vitis vinifera subsp vinifera cv. Aranel = INRA 1816-106</t>
  </si>
  <si>
    <t xml:space="preserve">UMR INRA-UHP 1137</t>
  </si>
  <si>
    <t xml:space="preserve">Vitis vinifera subsp vinifera cv. Aranyka sarga</t>
  </si>
  <si>
    <t xml:space="preserve">UMR Institut de Génétique, Environnement et Protection des Plantes, INRA-Rennes</t>
  </si>
  <si>
    <t xml:space="preserve">Vitis vinifera subsp vinifera cv. Ararati</t>
  </si>
  <si>
    <t xml:space="preserve">Vitis vinifera subsp vinifera cv. Araxeni tchernii</t>
  </si>
  <si>
    <t xml:space="preserve">UMR Institut de Génétique, Environnement et Protection des Plantes, INRA-Rennes, Site de Plougoulm</t>
  </si>
  <si>
    <t xml:space="preserve">Vitis vinifera subsp vinifera cv. Arbane</t>
  </si>
  <si>
    <t xml:space="preserve">UMR Peuplement Végétaux et Bioagresseurs en Milieu Tropical, CIRAD-Réunion</t>
  </si>
  <si>
    <t xml:space="preserve">Vitis vinifera subsp vinifera cv. Arbia</t>
  </si>
  <si>
    <t xml:space="preserve">Vitis vinifera subsp vinifera cv. Arbois rose</t>
  </si>
  <si>
    <t xml:space="preserve">UMR SPO</t>
  </si>
  <si>
    <t xml:space="preserve">Vitis vinifera subsp vinifera cv. Ardona = INRA 605-8</t>
  </si>
  <si>
    <t xml:space="preserve">UMR Stress Abiotiques et Différenciation des Végétaux Cultivés</t>
  </si>
  <si>
    <t xml:space="preserve">Vitis vinifera subsp vinifera cv. Ardonnet</t>
  </si>
  <si>
    <t xml:space="preserve">UMR UMR INRA 1165 - CNRS 8114 - UEVE</t>
  </si>
  <si>
    <t xml:space="preserve">Vitis vinifera subsp vinifera cv. Ardounet noir</t>
  </si>
  <si>
    <t xml:space="preserve">UMR UP-IRD-CNRS 5096</t>
  </si>
  <si>
    <t xml:space="preserve">Vitis vinifera subsp vinifera cv. Areni tchernii</t>
  </si>
  <si>
    <t xml:space="preserve">UMR USTL-INRA 1281 - Stress abiotique et difirenciation des vigitaux cultivis (SADV)</t>
  </si>
  <si>
    <t xml:space="preserve">Vitis vinifera subsp vinifera cv. Argant</t>
  </si>
  <si>
    <t xml:space="preserve">UMR 1095 INRA-UBP Amélioration &amp; Santé des Plantes</t>
  </si>
  <si>
    <t xml:space="preserve">Vitis vinifera subsp vinifera cv. Arinarnoa</t>
  </si>
  <si>
    <t xml:space="preserve">UMR 1095 INRA/UBP GDEC</t>
  </si>
  <si>
    <t xml:space="preserve">Vitis vinifera subsp vinifera cv. Ariño</t>
  </si>
  <si>
    <t xml:space="preserve">UMR 1095 INRA-UBP Génétique, Diversité et Ecophysiologie des Céréales</t>
  </si>
  <si>
    <t xml:space="preserve">Vitis vinifera subsp vinifera cv. Arinto de Bucelas</t>
  </si>
  <si>
    <t xml:space="preserve">UMR 1095 INRA-UBP Ginitique, Diversiti et Ecophysiologie des Ciriales</t>
  </si>
  <si>
    <t xml:space="preserve">Vitis vinifera subsp vinifera cv. Arinto du Dâo</t>
  </si>
  <si>
    <t xml:space="preserve">UMR 1096 / PIA</t>
  </si>
  <si>
    <t xml:space="preserve">Vitis vinifera subsp vinifera cv. Arizul</t>
  </si>
  <si>
    <t xml:space="preserve">UMR 1096 /PIA</t>
  </si>
  <si>
    <t xml:space="preserve">Vitis vinifera subsp vinifera cv. Armas</t>
  </si>
  <si>
    <t xml:space="preserve">UMR 1097 Vigne</t>
  </si>
  <si>
    <t xml:space="preserve">Vitis vinifera subsp vinifera cv. Armenia</t>
  </si>
  <si>
    <t xml:space="preserve">UMR 1136</t>
  </si>
  <si>
    <t xml:space="preserve">Vitis vinifera subsp vinifera cv. Arna guirna</t>
  </si>
  <si>
    <t xml:space="preserve">UMR 118 INRA-AgroCampus Rennes</t>
  </si>
  <si>
    <t xml:space="preserve">Vitis vinifera subsp vinifera cv. Arneis</t>
  </si>
  <si>
    <t xml:space="preserve">UMR 12 87 EGFV</t>
  </si>
  <si>
    <t xml:space="preserve">Vitis vinifera subsp vinifera cv. Aromatica = Pirovano 393</t>
  </si>
  <si>
    <t xml:space="preserve">UMR 320 Genetique Vegetale</t>
  </si>
  <si>
    <t xml:space="preserve">Vitis vinifera subsp vinifera cv. Aromriesling</t>
  </si>
  <si>
    <t xml:space="preserve">UMR 5004 laboratoire de physiologie et biologie moleculaire des plantes</t>
  </si>
  <si>
    <t xml:space="preserve">Vitis vinifera subsp vinifera cv. Arpad = Evêque Prohaszka</t>
  </si>
  <si>
    <t xml:space="preserve">UMR 5546 Pole de biotechnologies vegetales</t>
  </si>
  <si>
    <t xml:space="preserve">Vitis vinifera subsp vinifera cv. Arriloba</t>
  </si>
  <si>
    <t xml:space="preserve">UMR 619 - Equipe Biologie de la Vigne</t>
  </si>
  <si>
    <t xml:space="preserve">Vitis vinifera subsp vinifera cv. Arrouya</t>
  </si>
  <si>
    <t xml:space="preserve">UMR 8618 - Laboratoire Structure et Metabolisme des Plantes</t>
  </si>
  <si>
    <t xml:space="preserve">Vitis vinifera subsp vinifera cv. Arrufiac</t>
  </si>
  <si>
    <t xml:space="preserve">UMR-DAP</t>
  </si>
  <si>
    <t xml:space="preserve">Vitis vinifera subsp vinifera cv. Arturo Marescalchi = Pirovano 318</t>
  </si>
  <si>
    <t xml:space="preserve">UMR05 CNRS/INRA</t>
  </si>
  <si>
    <t xml:space="preserve">Vitis vinifera subsp vinifera cv. Arvesiniadu</t>
  </si>
  <si>
    <t xml:space="preserve">UMR1097 Vigne</t>
  </si>
  <si>
    <t xml:space="preserve">Vitis vinifera subsp vinifera cv. Arvignon</t>
  </si>
  <si>
    <t xml:space="preserve">UMR118 Amelioration des plantes</t>
  </si>
  <si>
    <t xml:space="preserve">Vitis vinifera subsp vinifera cv. Arvine</t>
  </si>
  <si>
    <t xml:space="preserve">UMR518 AgroParisTech/INRA</t>
  </si>
  <si>
    <t xml:space="preserve">Vitis vinifera subsp vinifera cv. Ascott Citronelle</t>
  </si>
  <si>
    <t xml:space="preserve">UMR759 Ecophysiologie des plantes sous stress environnementaux</t>
  </si>
  <si>
    <t xml:space="preserve">Vitis vinifera subsp vinifera cv. Askari</t>
  </si>
  <si>
    <t xml:space="preserve">UMR8576 CNRS/UST Lille</t>
  </si>
  <si>
    <t xml:space="preserve">Vitis vinifera subsp vinifera cv. Askeri</t>
  </si>
  <si>
    <t xml:space="preserve">UNCAC Cooperative Agricole Cereales</t>
  </si>
  <si>
    <t xml:space="preserve">Vitis vinifera subsp vinifera cv. Askudi</t>
  </si>
  <si>
    <t xml:space="preserve">UNCAC La Brosse Montceaux</t>
  </si>
  <si>
    <t xml:space="preserve">Vitis vinifera subsp vinifera cv. Asma</t>
  </si>
  <si>
    <t xml:space="preserve">Unicopa Clause</t>
  </si>
  <si>
    <t xml:space="preserve">Vitis vinifera subsp vinifera cv. Asmi assouad</t>
  </si>
  <si>
    <t xml:space="preserve">Unidad de Recursos Geneticos Universidad Autonoma de Chapingo</t>
  </si>
  <si>
    <t xml:space="preserve">Vitis vinifera subsp vinifera cv. Asmi blanc</t>
  </si>
  <si>
    <t xml:space="preserve">Union des Producteurs de Plaimont</t>
  </si>
  <si>
    <t xml:space="preserve">Vitis vinifera subsp vinifera cv. Aspiran Bouschet</t>
  </si>
  <si>
    <t xml:space="preserve">Unisigma Gie de Recherche et de Selection</t>
  </si>
  <si>
    <t xml:space="preserve">Vitis vinifera subsp vinifera cv. Aspiran rouge foncé</t>
  </si>
  <si>
    <t xml:space="preserve">Unit of Forest improvement, Genetics and Physiology</t>
  </si>
  <si>
    <t xml:space="preserve">Vitis vinifera subsp vinifera cv. Asprinio</t>
  </si>
  <si>
    <t xml:space="preserve">UnitÃ© AmÃ©lioration, GÃ©nÃ©tique et Physiologie ForestiÃ?res</t>
  </si>
  <si>
    <t xml:space="preserve">Vitis vinifera subsp vinifera cv. Asprouda de Santorini</t>
  </si>
  <si>
    <t xml:space="preserve">UnitC) de Nutrition AzotC)e des Plantes</t>
  </si>
  <si>
    <t xml:space="preserve">Vitis vinifera subsp vinifera cv. Asprouda Zakinthou</t>
  </si>
  <si>
    <t xml:space="preserve">Unite Centrale de la Miniere, GEVES</t>
  </si>
  <si>
    <t xml:space="preserve">Vitis vinifera subsp vinifera cv. Assali al arous</t>
  </si>
  <si>
    <t xml:space="preserve">Unite d'amelioration des plantes</t>
  </si>
  <si>
    <t xml:space="preserve">Vitis vinifera subsp vinifera cv. Assario roxo</t>
  </si>
  <si>
    <t xml:space="preserve">Unite de Biochime et Biologie Moleculaire des Cereales</t>
  </si>
  <si>
    <t xml:space="preserve">Vitis vinifera subsp vinifera cv. Assario Tinto</t>
  </si>
  <si>
    <t xml:space="preserve">Unite de Biochimie et Biologie Moleculaire des Cereales</t>
  </si>
  <si>
    <t xml:space="preserve">Vitis vinifera subsp vinifera cv. Assario (1)</t>
  </si>
  <si>
    <t xml:space="preserve">Unite de Genetique dt d amelioration des plantes fourrageres</t>
  </si>
  <si>
    <t xml:space="preserve">Vitis vinifera subsp vinifera cv. Assario (2)</t>
  </si>
  <si>
    <t xml:space="preserve">Unite de Genetique et d'Amelioration des Fruits et Legumes</t>
  </si>
  <si>
    <t xml:space="preserve">Vitis vinifera subsp vinifera cv. Asseli</t>
  </si>
  <si>
    <t xml:space="preserve">Unite de Genetique et d'Amelioration des Plantes Fourrageres (UGAPF)</t>
  </si>
  <si>
    <t xml:space="preserve">Vitis vinifera subsp vinifera cv. Asserghin</t>
  </si>
  <si>
    <t xml:space="preserve">Unite de Recherche des Produits de la Vigne</t>
  </si>
  <si>
    <t xml:space="preserve">Vitis vinifera subsp vinifera cv. Assouad Abou khislé</t>
  </si>
  <si>
    <t xml:space="preserve">Unite de Recherche en Genetique et Amelioration des plantes</t>
  </si>
  <si>
    <t xml:space="preserve">Vitis vinifera subsp vinifera cv. Assouad afranji</t>
  </si>
  <si>
    <t xml:space="preserve">Unite de Recherche en Genomique vegetale</t>
  </si>
  <si>
    <t xml:space="preserve">Vitis vinifera subsp vinifera cv. Assouad anouni</t>
  </si>
  <si>
    <t xml:space="preserve">Unite de Recherche Genomique-Info</t>
  </si>
  <si>
    <t xml:space="preserve">Vitis vinifera subsp vinifera cv. Assouad karech</t>
  </si>
  <si>
    <t xml:space="preserve">Unite de recherche sur les legumineuses (URLEG)</t>
  </si>
  <si>
    <t xml:space="preserve">Vitis vinifera subsp vinifera cv. Assoued kere</t>
  </si>
  <si>
    <t xml:space="preserve">Unite de Recherches en Sante Vegetale</t>
  </si>
  <si>
    <t xml:space="preserve">Vitis vinifera subsp vinifera cv. Assoued zeme</t>
  </si>
  <si>
    <t xml:space="preserve">Unite de recherches Interactions Plantes Microorganismes et Sante Vegetale</t>
  </si>
  <si>
    <t xml:space="preserve">Vitis vinifera subsp vinifera cv. Assul kara</t>
  </si>
  <si>
    <t xml:space="preserve">Unité Expérimentale du Domaine de Pech Rouge, INRA-Montpellier - UMR-SPO</t>
  </si>
  <si>
    <t xml:space="preserve">Vitis vinifera subsp vinifera cv. Assyrtico</t>
  </si>
  <si>
    <t xml:space="preserve">Vitis vinifera subsp vinifera cv. Athiri</t>
  </si>
  <si>
    <t xml:space="preserve">Unite experimentale du Magneraud, GEVES</t>
  </si>
  <si>
    <t xml:space="preserve">Vitis vinifera subsp vinifera cv. Athiri lefko</t>
  </si>
  <si>
    <t xml:space="preserve">Vitis vinifera subsp vinifera cv. Atomic</t>
  </si>
  <si>
    <t xml:space="preserve">Unite Genetique et amelioration des plantes</t>
  </si>
  <si>
    <t xml:space="preserve">Vitis vinifera subsp vinifera cv. Atomic apyrène</t>
  </si>
  <si>
    <t xml:space="preserve">Unite Interactions Plantes-Microorganismes et Sante Vegetale</t>
  </si>
  <si>
    <t xml:space="preserve">Vitis vinifera subsp vinifera cv. Attiki</t>
  </si>
  <si>
    <t xml:space="preserve">Unité mixte de recherche Génétique et ecophysiologie des légumineuses (UMRLEG)</t>
  </si>
  <si>
    <t xml:space="preserve">Vitis vinifera subsp vinifera cv. Attila</t>
  </si>
  <si>
    <t xml:space="preserve">Unité mixte de recherche Génétique et écophysiologie des légumineuses (UMRLEG)</t>
  </si>
  <si>
    <t xml:space="preserve">Vitis vinifera subsp vinifera cv. Attilio Ragioneri = Pirovano 150</t>
  </si>
  <si>
    <t xml:space="preserve">Unité mixte de recherche Physiologie Moléculaire des Semences (UMR PMS)</t>
  </si>
  <si>
    <t xml:space="preserve">Vitis vinifera subsp vinifera cv. Aubin</t>
  </si>
  <si>
    <t xml:space="preserve">United State Department of Agriculture by Agricultural Research Service, Washington - USA - Fogle H.</t>
  </si>
  <si>
    <t xml:space="preserve">Vitis vinifera subsp vinifera cv. Aubin vert</t>
  </si>
  <si>
    <t xml:space="preserve">United States Department of Agriculture Georgie USA</t>
  </si>
  <si>
    <t xml:space="preserve">Vitis vinifera subsp vinifera cv. Aubun</t>
  </si>
  <si>
    <t xml:space="preserve">Univ. Calif. Citrus Exp. Sta.</t>
  </si>
  <si>
    <t xml:space="preserve">Vitis vinifera subsp vinifera cv. Audibert</t>
  </si>
  <si>
    <t xml:space="preserve">Universidad de la Republica Oriental del Uruguay</t>
  </si>
  <si>
    <t xml:space="preserve">Vitis vinifera subsp vinifera cv. Augster blau</t>
  </si>
  <si>
    <t xml:space="preserve">Universidad Nacional Autonoma de Honduras</t>
  </si>
  <si>
    <t xml:space="preserve">Vitis vinifera subsp vinifera cv. Augster weisser</t>
  </si>
  <si>
    <t xml:space="preserve">Universidad Nacional Hermilio Abad del Cusco, Centro K'Ayra</t>
  </si>
  <si>
    <t xml:space="preserve">Vitis vinifera subsp vinifera cv. Aurata = Pirovano 110</t>
  </si>
  <si>
    <t xml:space="preserve">Universidade Federal do Rio Grande do Rio Grande</t>
  </si>
  <si>
    <t xml:space="preserve">Vitis vinifera subsp vinifera cv. Aurora = Pirovano 100</t>
  </si>
  <si>
    <t xml:space="preserve">Universita di Catania</t>
  </si>
  <si>
    <t xml:space="preserve">Vitis vinifera subsp vinifera cv. Autumn black</t>
  </si>
  <si>
    <t xml:space="preserve">Universitaet Hohenheim</t>
  </si>
  <si>
    <t xml:space="preserve">Vitis vinifera subsp vinifera cv. Autumn seedless</t>
  </si>
  <si>
    <t xml:space="preserve">Universite Grenoble Biologie moleculaire et vegetale</t>
  </si>
  <si>
    <t xml:space="preserve">Vitis vinifera subsp vinifera cv. Auxerrois</t>
  </si>
  <si>
    <t xml:space="preserve">University California USA</t>
  </si>
  <si>
    <t xml:space="preserve">Vitis vinifera subsp vinifera cv. Avana</t>
  </si>
  <si>
    <t xml:space="preserve">University Florida USA</t>
  </si>
  <si>
    <t xml:space="preserve">Vitis vinifera subsp vinifera cv. Avarengo</t>
  </si>
  <si>
    <t xml:space="preserve">University of Arizona</t>
  </si>
  <si>
    <t xml:space="preserve">Vitis vinifera subsp vinifera cv. Avassirkhva</t>
  </si>
  <si>
    <t xml:space="preserve">University of California</t>
  </si>
  <si>
    <t xml:space="preserve">Vitis vinifera subsp vinifera cv. Avesso</t>
  </si>
  <si>
    <t xml:space="preserve">University of Illinois,  Urbana-Champaign</t>
  </si>
  <si>
    <t xml:space="preserve">Vitis vinifera subsp vinifera cv. Avgoulato</t>
  </si>
  <si>
    <t xml:space="preserve">University of Pretoria</t>
  </si>
  <si>
    <t xml:space="preserve">Vitis vinifera subsp vinifera cv. Azal branco</t>
  </si>
  <si>
    <t xml:space="preserve">University of Puerto Rico</t>
  </si>
  <si>
    <t xml:space="preserve">Vitis vinifera subsp vinifera cv. Azal tinto</t>
  </si>
  <si>
    <t xml:space="preserve">University of Saskatchewan</t>
  </si>
  <si>
    <t xml:space="preserve">Vitis vinifera subsp vinifera cv. Azizi el Jaïa</t>
  </si>
  <si>
    <t xml:space="preserve">University of Sydney Plant Breeding Institute</t>
  </si>
  <si>
    <t xml:space="preserve">Vitis vinifera subsp vinifera cv. Azougah</t>
  </si>
  <si>
    <t xml:space="preserve">University of Udayana</t>
  </si>
  <si>
    <t xml:space="preserve">Vitis vinifera subsp vinifera cv. B 3-1</t>
  </si>
  <si>
    <t xml:space="preserve">University of Wuhan, Hubei</t>
  </si>
  <si>
    <t xml:space="preserve">Vitis vinifera subsp vinifera cv. B 5-6</t>
  </si>
  <si>
    <t xml:space="preserve">UNKNOWN</t>
  </si>
  <si>
    <t xml:space="preserve">Vitis vinifera subsp vinifera cv. Babeasca gris</t>
  </si>
  <si>
    <t xml:space="preserve">Vitis vinifera subsp vinifera cv. Babeasca neagra</t>
  </si>
  <si>
    <t xml:space="preserve">UPS Pole de Biotechnologie Vegetale</t>
  </si>
  <si>
    <t xml:space="preserve">Vitis vinifera subsp vinifera cv. Babic</t>
  </si>
  <si>
    <t xml:space="preserve">Vitis vinifera subsp vinifera cv. Bacchus = Geilweilerhof 33-29-133</t>
  </si>
  <si>
    <t xml:space="preserve">UR EFV</t>
  </si>
  <si>
    <t xml:space="preserve">Vitis vinifera subsp vinifera cv. Bacchus Bidault</t>
  </si>
  <si>
    <t xml:space="preserve">Vitis vinifera subsp vinifera cv. Bachet</t>
  </si>
  <si>
    <t xml:space="preserve">UR GAFL</t>
  </si>
  <si>
    <t xml:space="preserve">Vitis vinifera subsp vinifera cv. Badacsonyi Somzölö</t>
  </si>
  <si>
    <t xml:space="preserve">Vitis vinifera subsp vinifera cv. Baga</t>
  </si>
  <si>
    <t xml:space="preserve">Vitis vinifera subsp vinifera cv. Baïan Schirei</t>
  </si>
  <si>
    <t xml:space="preserve">Vitis vinifera subsp vinifera cv. Bakarka</t>
  </si>
  <si>
    <t xml:space="preserve">URGV</t>
  </si>
  <si>
    <t xml:space="preserve">Vitis vinifera subsp vinifera cv. Bakator kek</t>
  </si>
  <si>
    <t xml:space="preserve">URGV,  CNRS / INRA</t>
  </si>
  <si>
    <t xml:space="preserve">Vitis vinifera subsp vinifera cv. Bakator piros</t>
  </si>
  <si>
    <t xml:space="preserve">URGV - Plant Genomics Research Unit</t>
  </si>
  <si>
    <t xml:space="preserve">Vitis vinifera subsp vinifera cv. Bakator tüdöszinu</t>
  </si>
  <si>
    <t xml:space="preserve">Vitis vinifera subsp vinifera cv. Bakouri</t>
  </si>
  <si>
    <t xml:space="preserve">URP3F</t>
  </si>
  <si>
    <t xml:space="preserve">Vitis vinifera subsp vinifera cv. Balafant</t>
  </si>
  <si>
    <t xml:space="preserve">UR121 RIZ</t>
  </si>
  <si>
    <t xml:space="preserve">Vitis vinifera subsp vinifera cv. Balaton kincse</t>
  </si>
  <si>
    <t xml:space="preserve">UR254 Genetique et amelioration des plantes</t>
  </si>
  <si>
    <t xml:space="preserve">Vitis vinifera subsp vinifera cv. Balbut bijeli</t>
  </si>
  <si>
    <t xml:space="preserve">U.S. Date and Citrus Station</t>
  </si>
  <si>
    <t xml:space="preserve">Vitis vinifera subsp vinifera cv. Balint</t>
  </si>
  <si>
    <t xml:space="preserve">US Department of Agriculture,  Agriculture Research Service, Pacific West Area,  Western Regional Research Center</t>
  </si>
  <si>
    <t xml:space="preserve">Vitis vinifera subsp vinifera cv. Balouti</t>
  </si>
  <si>
    <t xml:space="preserve">US Department of Agriculture,  Agriculture Research Service, Plant Science and  Entomology Unit</t>
  </si>
  <si>
    <t xml:space="preserve">Vitis vinifera subsp vinifera cv. Balouzme</t>
  </si>
  <si>
    <t xml:space="preserve">U.S. Horticultural Field Station</t>
  </si>
  <si>
    <t xml:space="preserve">Vitis vinifera subsp vinifera cv. Balsamina nera</t>
  </si>
  <si>
    <t xml:space="preserve">U.S Horticultural Research</t>
  </si>
  <si>
    <t xml:space="preserve">Vitis vinifera subsp vinifera cv. Balsamino blanc</t>
  </si>
  <si>
    <t xml:space="preserve">US. Horticultural Research Lab,  Ft. Pierce,  FL</t>
  </si>
  <si>
    <t xml:space="preserve">Vitis vinifera subsp vinifera cv. Balzac blanc</t>
  </si>
  <si>
    <t xml:space="preserve">US Horticultural Research Laboratory</t>
  </si>
  <si>
    <t xml:space="preserve">Vitis vinifera subsp vinifera cv. Banati Rizling</t>
  </si>
  <si>
    <t xml:space="preserve">US Horticulture Research Laboratory, USDA/ARS</t>
  </si>
  <si>
    <t xml:space="preserve">Vitis vinifera subsp vinifera cv. Baratcsuha kek</t>
  </si>
  <si>
    <t xml:space="preserve">USDA, ARS Agricultural Research Service</t>
  </si>
  <si>
    <t xml:space="preserve">Vitis vinifera subsp vinifera cv. Baratcsuha szürke</t>
  </si>
  <si>
    <t xml:space="preserve">USDA, ARS, National Small Grains Collection</t>
  </si>
  <si>
    <t xml:space="preserve">Vitis vinifera subsp vinifera cv. Barbableu = Pirovano 81</t>
  </si>
  <si>
    <t xml:space="preserve">USDA, ARS, Plant Genetic Resources Unit, Cornell University, New York State Agricultural Experiment Station</t>
  </si>
  <si>
    <t xml:space="preserve">Vitis vinifera subsp vinifera cv. Barbaroux</t>
  </si>
  <si>
    <t xml:space="preserve">USDA, ARS, Washington State University, Irrigation Agricultural Research and Extension Center</t>
  </si>
  <si>
    <t xml:space="preserve">Vitis vinifera subsp vinifera cv. Barbera</t>
  </si>
  <si>
    <t xml:space="preserve">USDA, ARS, Western Regional Plant Introduction Station, Washington State University</t>
  </si>
  <si>
    <t xml:space="preserve">Vitis vinifera subsp vinifera cv. Barbera bianca</t>
  </si>
  <si>
    <t xml:space="preserve">USDA ARS WRRC</t>
  </si>
  <si>
    <t xml:space="preserve">Vitis vinifera subsp vinifera cv. Barcello</t>
  </si>
  <si>
    <t xml:space="preserve">USDA Beltsville Agricultural research Centre</t>
  </si>
  <si>
    <t xml:space="preserve">Vitis vinifera subsp vinifera cv. Barducis</t>
  </si>
  <si>
    <t xml:space="preserve">USDA/ARS Children's Nutrition Research Center</t>
  </si>
  <si>
    <t xml:space="preserve">Vitis vinifera subsp vinifera cv. Baresana</t>
  </si>
  <si>
    <t xml:space="preserve">USDA-ARS-JWDSRC</t>
  </si>
  <si>
    <t xml:space="preserve">Vitis vinifera subsp vinifera cv. Barlinka</t>
  </si>
  <si>
    <t xml:space="preserve">U.S.Department of Agriculture</t>
  </si>
  <si>
    <t xml:space="preserve">Vitis vinifera subsp vinifera cv. Barone dell Aterno = Pirovano 184</t>
  </si>
  <si>
    <t xml:space="preserve">U.S.Department of Agriculture - Agricultural Research Service</t>
  </si>
  <si>
    <t xml:space="preserve">Vitis vinifera subsp vinifera cv. Baroque</t>
  </si>
  <si>
    <t xml:space="preserve">Ustimovskaya Experimental Station for Plant Cultivation</t>
  </si>
  <si>
    <t xml:space="preserve">Vitis vinifera subsp vinifera cv. Baroque rose</t>
  </si>
  <si>
    <t xml:space="preserve">Utah Agricultural Experiment Station, Utah State University</t>
  </si>
  <si>
    <t xml:space="preserve">Vitis vinifera subsp vinifera cv. Barraquou</t>
  </si>
  <si>
    <t xml:space="preserve">Van borren, Tchécoslovaquie</t>
  </si>
  <si>
    <t xml:space="preserve">Vitis vinifera subsp vinifera cv. Barsaglina</t>
  </si>
  <si>
    <t xml:space="preserve">Van der Have GmbH</t>
  </si>
  <si>
    <t xml:space="preserve">Vitis vinifera subsp vinifera cv. Baserri</t>
  </si>
  <si>
    <t xml:space="preserve">Veg Saatzucht Hadmersleben</t>
  </si>
  <si>
    <t xml:space="preserve">Vitis vinifera subsp vinifera cv. Basicata</t>
  </si>
  <si>
    <t xml:space="preserve">Vegetable breeding station PEKIN</t>
  </si>
  <si>
    <t xml:space="preserve">Vitis vinifera subsp vinifera cv. Basicata faux</t>
  </si>
  <si>
    <t xml:space="preserve">Verger expérimental de l'Yonne (89) - France</t>
  </si>
  <si>
    <t xml:space="preserve">Vitis vinifera subsp vinifera cv. Basile Logothetis = Pirovano 77</t>
  </si>
  <si>
    <t xml:space="preserve">Villa Thuret</t>
  </si>
  <si>
    <t xml:space="preserve">Vitis vinifera subsp vinifera cv. Basilicumtraube</t>
  </si>
  <si>
    <t xml:space="preserve">Ville de Menton</t>
  </si>
  <si>
    <t xml:space="preserve">Vitis vinifera subsp vinifera cv. Bastardinho</t>
  </si>
  <si>
    <t xml:space="preserve">Vilmorin</t>
  </si>
  <si>
    <t xml:space="preserve">Vitis vinifera subsp vinifera cv. Bastardo Magaratchskii</t>
  </si>
  <si>
    <t xml:space="preserve">Vilmorin S.A.</t>
  </si>
  <si>
    <t xml:space="preserve">Vitis vinifera subsp vinifera cv. Batiki</t>
  </si>
  <si>
    <t xml:space="preserve">Vilmorin-Andrieux</t>
  </si>
  <si>
    <t xml:space="preserve">Vitis vinifera subsp vinifera cv. Batoca blanc</t>
  </si>
  <si>
    <t xml:space="preserve">Virginia Agricultural Experiment Station, Virginia Tech</t>
  </si>
  <si>
    <t xml:space="preserve">Vitis vinifera subsp vinifera cv. Battraube</t>
  </si>
  <si>
    <t xml:space="preserve">Vnii Sorgo I Drugih Zernovyh Kul'tur</t>
  </si>
  <si>
    <t xml:space="preserve">Vitis vinifera subsp vinifera cv. Batuta neagra</t>
  </si>
  <si>
    <t xml:space="preserve">Volcani Research Center</t>
  </si>
  <si>
    <t xml:space="preserve">Vitis vinifera subsp vinifera cv. Baude</t>
  </si>
  <si>
    <t xml:space="preserve">Waite Agricultural Research Institute University of Adelaide</t>
  </si>
  <si>
    <t xml:space="preserve">Vitis vinifera subsp vinifera cv. Baxtiori</t>
  </si>
  <si>
    <t xml:space="preserve">Wakayama Fruit Tree Experiment Station</t>
  </si>
  <si>
    <t xml:space="preserve">Vitis vinifera subsp vinifera cv. Bayad</t>
  </si>
  <si>
    <t xml:space="preserve">Washington State University Research Foundation - Pullman, WA - USA - Toyama TK</t>
  </si>
  <si>
    <t xml:space="preserve">Vitis vinifera subsp vinifera cv. Bayadi</t>
  </si>
  <si>
    <t xml:space="preserve">Washington State University Research Foundation, Pullman, WA - USA + Cot International, Generac - France</t>
  </si>
  <si>
    <t xml:space="preserve">Vitis vinifera subsp vinifera cv. Bayadi de Syrie</t>
  </si>
  <si>
    <t xml:space="preserve">Weizman Institute of Science</t>
  </si>
  <si>
    <t xml:space="preserve">Vitis vinifera subsp vinifera cv. Bayadi du Liban</t>
  </si>
  <si>
    <t xml:space="preserve">Western Australian Department of Agriculture</t>
  </si>
  <si>
    <t xml:space="preserve">Vitis vinifera subsp vinifera cv. BB 575-49 SRLH</t>
  </si>
  <si>
    <t xml:space="preserve">Wet-lowlands Islands Research Programme, Keravat</t>
  </si>
  <si>
    <t xml:space="preserve">Vitis vinifera subsp vinifera cv. Beala debela</t>
  </si>
  <si>
    <t xml:space="preserve">Wheat National Research Center</t>
  </si>
  <si>
    <t xml:space="preserve">Vitis vinifera subsp vinifera cv. Beaunoir</t>
  </si>
  <si>
    <t xml:space="preserve">Wheat Research Institute Ilam Research Centre</t>
  </si>
  <si>
    <t xml:space="preserve">Vitis vinifera subsp vinifera cv. Beauty seedless</t>
  </si>
  <si>
    <t xml:space="preserve">Wiersum Plant Breeding Station</t>
  </si>
  <si>
    <t xml:space="preserve">Vitis vinifera subsp vinifera cv. Béclan</t>
  </si>
  <si>
    <t xml:space="preserve">William James Farrer - Breeder</t>
  </si>
  <si>
    <t xml:space="preserve">Vitis vinifera subsp vinifera cv. Beid el Hamman</t>
  </si>
  <si>
    <t xml:space="preserve">Willits &amp; Newcomb Nurseries Co. Inc</t>
  </si>
  <si>
    <t xml:space="preserve">Vitis vinifera subsp vinifera cv. Beitamouni</t>
  </si>
  <si>
    <t xml:space="preserve">Winnipeg Research Station Agriculture Canada</t>
  </si>
  <si>
    <t xml:space="preserve">Vitis vinifera subsp vinifera cv. Belair</t>
  </si>
  <si>
    <t xml:space="preserve">Wisconsin Agricultural Experiment Station, University of Wisconsin</t>
  </si>
  <si>
    <t xml:space="preserve">Vitis vinifera subsp vinifera cv. Beldi x Ugni blanc</t>
  </si>
  <si>
    <t xml:space="preserve">World Seeds Inc.</t>
  </si>
  <si>
    <t xml:space="preserve">Vitis vinifera subsp vinifera cv. Beldi x Ugni blanc 36 L 4</t>
  </si>
  <si>
    <t xml:space="preserve">Yossef Ben-dor, Perot Oemashtalot Ltd. - Hama'ala - Israel</t>
  </si>
  <si>
    <t xml:space="preserve">Vitis vinifera subsp vinifera cv. Belle de Cegled</t>
  </si>
  <si>
    <t xml:space="preserve">Zaiger Floid, Modesto - CA - USA</t>
  </si>
  <si>
    <t xml:space="preserve">Vitis vinifera subsp vinifera cv. Bellevue</t>
  </si>
  <si>
    <t xml:space="preserve">Zelder B.V.</t>
  </si>
  <si>
    <t xml:space="preserve">Vitis vinifera subsp vinifera cv. Bellino</t>
  </si>
  <si>
    <t xml:space="preserve">Zeneca Seeds UK Limited - Plant Breeding and Research Centre</t>
  </si>
  <si>
    <t xml:space="preserve">Vitis vinifera subsp vinifera cv. Bellone</t>
  </si>
  <si>
    <t xml:space="preserve">Zeneca Wheat Improvement Centre,  Norwich Research Park</t>
  </si>
  <si>
    <t xml:space="preserve">Vitis vinifera subsp vinifera cv. Belz el Ansa</t>
  </si>
  <si>
    <t xml:space="preserve">Zhejiang University</t>
  </si>
  <si>
    <t xml:space="preserve">Vitis vinifera subsp vinifera cv. Bem tabornok = Général Bem</t>
  </si>
  <si>
    <t xml:space="preserve">Zjednocz. Hodowli Roslin i Nasiennictwa</t>
  </si>
  <si>
    <t xml:space="preserve">Vitis vinifera subsp vinifera cv. Ben Suilah</t>
  </si>
  <si>
    <t xml:space="preserve">ZMBP - Center for Molecular Biology of Plants</t>
  </si>
  <si>
    <t xml:space="preserve">Vitis vinifera subsp vinifera cv. Beneti noir</t>
  </si>
  <si>
    <t xml:space="preserve">Vitis vinifera subsp vinifera cv. Benicarlo</t>
  </si>
  <si>
    <t xml:space="preserve">Vitis vinifera subsp vinifera cv. Beogradska rana</t>
  </si>
  <si>
    <t xml:space="preserve">Vitis vinifera subsp vinifera cv. Béquignol</t>
  </si>
  <si>
    <t xml:space="preserve">Vitis vinifera subsp vinifera cv. Béquignol blanc</t>
  </si>
  <si>
    <t xml:space="preserve">Vitis vinifera subsp vinifera cv. Béquignol gris</t>
  </si>
  <si>
    <t xml:space="preserve">Vitis vinifera subsp vinifera cv. Beran</t>
  </si>
  <si>
    <t xml:space="preserve">Vitis vinifera subsp vinifera cv. Berbecel</t>
  </si>
  <si>
    <t xml:space="preserve">Vitis vinifera subsp vinifera cv. Berdomenel</t>
  </si>
  <si>
    <t xml:space="preserve">Vitis vinifera subsp vinifera cv. Beregi rozsas</t>
  </si>
  <si>
    <t xml:space="preserve">Vitis vinifera subsp vinifera cv. Beregi rozsas faux</t>
  </si>
  <si>
    <t xml:space="preserve">Vitis vinifera subsp vinifera cv. Bermestia bianca</t>
  </si>
  <si>
    <t xml:space="preserve">Vitis vinifera subsp vinifera cv. Bervedino</t>
  </si>
  <si>
    <t xml:space="preserve">Vitis vinifera subsp vinifera cv. Besgano nero</t>
  </si>
  <si>
    <t xml:space="preserve">Vitis vinifera subsp vinifera cv. Best's 22</t>
  </si>
  <si>
    <t xml:space="preserve">Vitis vinifera subsp vinifera cv. Bettlertraube</t>
  </si>
  <si>
    <t xml:space="preserve">Vitis vinifera subsp vinifera cv. Beylerce</t>
  </si>
  <si>
    <t xml:space="preserve">Vitis vinifera subsp vinifera cv. Bezoul el Aouda</t>
  </si>
  <si>
    <t xml:space="preserve">Vitis vinifera subsp vinifera cv. Bezoul el Kedima</t>
  </si>
  <si>
    <t xml:space="preserve">Vitis vinifera subsp vinifera cv. Bezoul el Kelba</t>
  </si>
  <si>
    <t xml:space="preserve">Vitis vinifera subsp vinifera cv. Bezoul el Khadem</t>
  </si>
  <si>
    <t xml:space="preserve">Vitis vinifera subsp vinifera cv. Bia blanc</t>
  </si>
  <si>
    <t xml:space="preserve">Vitis vinifera subsp vinifera cv. Biancame</t>
  </si>
  <si>
    <t xml:space="preserve">Vitis vinifera subsp vinifera cv. Biancazza</t>
  </si>
  <si>
    <t xml:space="preserve">Vitis vinifera subsp vinifera cv. Bianchetta genovese</t>
  </si>
  <si>
    <t xml:space="preserve">Vitis vinifera subsp vinifera cv. Bianchetta trevigiana</t>
  </si>
  <si>
    <t xml:space="preserve">Vitis vinifera subsp vinifera cv. Bianco d'Alessano</t>
  </si>
  <si>
    <t xml:space="preserve">Vitis vinifera subsp vinifera cv. Biancolella</t>
  </si>
  <si>
    <t xml:space="preserve">Vitis vinifera subsp vinifera cv. Biancone</t>
  </si>
  <si>
    <t xml:space="preserve">Vitis vinifera subsp vinifera cv. Biancu Gentile</t>
  </si>
  <si>
    <t xml:space="preserve">Vitis vinifera subsp vinifera cv. Bicane</t>
  </si>
  <si>
    <t xml:space="preserve">Vitis vinifera subsp vinifera cv. Bichtii</t>
  </si>
  <si>
    <t xml:space="preserve">Vitis vinifera subsp vinifera cv. Biczo balint emleke</t>
  </si>
  <si>
    <t xml:space="preserve">Vitis vinifera subsp vinifera cv. Biczö egon</t>
  </si>
  <si>
    <t xml:space="preserve">Vitis vinifera subsp vinifera cv. Bidaneh ghelmez</t>
  </si>
  <si>
    <t xml:space="preserve">Vitis vinifera subsp vinifera cv. Bien donné</t>
  </si>
  <si>
    <t xml:space="preserve">Vitis vinifera subsp vinifera cv. Big Perlon</t>
  </si>
  <si>
    <t xml:space="preserve">Vitis vinifera subsp vinifera cv. Bigasse</t>
  </si>
  <si>
    <t xml:space="preserve">Vitis vinifera subsp vinifera cv. Binisalem</t>
  </si>
  <si>
    <t xml:space="preserve">Vitis vinifera subsp vinifera cv. Black Alicante</t>
  </si>
  <si>
    <t xml:space="preserve">Vitis vinifera subsp vinifera cv. Black monukka</t>
  </si>
  <si>
    <t xml:space="preserve">Vitis vinifera subsp vinifera cv. Black Morocco</t>
  </si>
  <si>
    <t xml:space="preserve">Vitis vinifera subsp vinifera cv. Black Pearl Corrin</t>
  </si>
  <si>
    <t xml:space="preserve">Vitis vinifera subsp vinifera cv. Black Prince</t>
  </si>
  <si>
    <t xml:space="preserve">Vitis vinifera subsp vinifera cv. Black Rose = H 3-47</t>
  </si>
  <si>
    <t xml:space="preserve">Vitis vinifera subsp vinifera cv. Blanc Auba</t>
  </si>
  <si>
    <t xml:space="preserve">Vitis vinifera subsp vinifera cv. Blanc Cardon</t>
  </si>
  <si>
    <t xml:space="preserve">Vitis vinifera subsp vinifera cv. Blanc d'ambre</t>
  </si>
  <si>
    <t xml:space="preserve">Vitis vinifera subsp vinifera cv. Blanc Dame</t>
  </si>
  <si>
    <t xml:space="preserve">Vitis vinifera subsp vinifera cv. Blanc d'Automne</t>
  </si>
  <si>
    <t xml:space="preserve">Vitis vinifera subsp vinifera cv. Blanc de Creüe</t>
  </si>
  <si>
    <t xml:space="preserve">Vitis vinifera subsp vinifera cv. Blanc de Dellys</t>
  </si>
  <si>
    <t xml:space="preserve">Vitis vinifera subsp vinifera cv. Blanc de Dellys x Rhodites</t>
  </si>
  <si>
    <t xml:space="preserve">Vitis vinifera subsp vinifera cv. Blanc de Morgex</t>
  </si>
  <si>
    <t xml:space="preserve">Vitis vinifera subsp vinifera cv. Blanc de Rhafsaï</t>
  </si>
  <si>
    <t xml:space="preserve">Vitis vinifera subsp vinifera cv. Blanc Marquis</t>
  </si>
  <si>
    <t xml:space="preserve">Vitis vinifera subsp vinifera cv. Blanc Neyroud</t>
  </si>
  <si>
    <t xml:space="preserve">Vitis vinifera subsp vinifera cv. Blanc vert</t>
  </si>
  <si>
    <t xml:space="preserve">Vitis vinifera subsp vinifera cv. Blanca Gordal</t>
  </si>
  <si>
    <t xml:space="preserve">Vitis vinifera subsp vinifera cv. Blanca Superior para parral</t>
  </si>
  <si>
    <t xml:space="preserve">Vitis vinifera subsp vinifera cv. Blanca temprana Almeria</t>
  </si>
  <si>
    <t xml:space="preserve">Vitis vinifera subsp vinifera cv. Blancard</t>
  </si>
  <si>
    <t xml:space="preserve">Vitis vinifera subsp vinifera cv. Blanchier</t>
  </si>
  <si>
    <t xml:space="preserve">Vitis vinifera subsp vinifera cv. Blancorna</t>
  </si>
  <si>
    <t xml:space="preserve">Vitis vinifera subsp vinifera cv. Blank blauer</t>
  </si>
  <si>
    <t xml:space="preserve">Vitis vinifera subsp vinifera cv. Blanqueiron</t>
  </si>
  <si>
    <t xml:space="preserve">Vitis vinifera subsp vinifera cv. Blatina crna</t>
  </si>
  <si>
    <t xml:space="preserve">Vitis vinifera subsp vinifera cv. Blauburger</t>
  </si>
  <si>
    <t xml:space="preserve">Vitis vinifera subsp vinifera cv. Blauer Muskateller</t>
  </si>
  <si>
    <t xml:space="preserve">Vitis vinifera subsp vinifera cv. Blush seedless</t>
  </si>
  <si>
    <t xml:space="preserve">Vitis vinifera subsp vinifera cv. Boal cachudo</t>
  </si>
  <si>
    <t xml:space="preserve">Vitis vinifera subsp vinifera cv. Boal de Alicante Moscatel</t>
  </si>
  <si>
    <t xml:space="preserve">Vitis vinifera subsp vinifera cv. Boal de Madère</t>
  </si>
  <si>
    <t xml:space="preserve">Vitis vinifera subsp vinifera cv. Boal de Natura</t>
  </si>
  <si>
    <t xml:space="preserve">Vitis vinifera subsp vinifera cv. Boal molle</t>
  </si>
  <si>
    <t xml:space="preserve">Vitis vinifera subsp vinifera cv. Boal rosado</t>
  </si>
  <si>
    <t xml:space="preserve">Vitis vinifera subsp vinifera cv. Bobal</t>
  </si>
  <si>
    <t xml:space="preserve">Vitis vinifera subsp vinifera cv. Bocalilla</t>
  </si>
  <si>
    <t xml:space="preserve">Vitis vinifera subsp vinifera cv. Bogaz kere</t>
  </si>
  <si>
    <t xml:space="preserve">Vitis vinifera subsp vinifera cv. Bogdanusa</t>
  </si>
  <si>
    <t xml:space="preserve">Vitis vinifera subsp vinifera cv. Bogdanyi dinka</t>
  </si>
  <si>
    <t xml:space="preserve">Vitis vinifera subsp vinifera cv. Bogni 17 B</t>
  </si>
  <si>
    <t xml:space="preserve">Vitis vinifera subsp vinifera cv. Bogni 8</t>
  </si>
  <si>
    <t xml:space="preserve">Vitis vinifera subsp vinifera cv. Bombino bianco</t>
  </si>
  <si>
    <t xml:space="preserve">Vitis vinifera subsp vinifera cv. Bombino nero</t>
  </si>
  <si>
    <t xml:space="preserve">Vitis vinifera subsp vinifera cv. Bon blanc de Frangy</t>
  </si>
  <si>
    <t xml:space="preserve">Vitis vinifera subsp vinifera cv. Bonamico</t>
  </si>
  <si>
    <t xml:space="preserve">Vitis vinifera subsp vinifera cv. Bonarda piemontese</t>
  </si>
  <si>
    <t xml:space="preserve">Vitis vinifera subsp vinifera cv. Bonheur</t>
  </si>
  <si>
    <t xml:space="preserve">Vitis vinifera subsp vinifera cv. Bonne Vituaigne</t>
  </si>
  <si>
    <t xml:space="preserve">Vitis vinifera subsp vinifera cv. Bonnet de retord</t>
  </si>
  <si>
    <t xml:space="preserve">Vitis vinifera subsp vinifera cv. Bonnita</t>
  </si>
  <si>
    <t xml:space="preserve">Vitis vinifera subsp vinifera cv. Borba blanca</t>
  </si>
  <si>
    <t xml:space="preserve">Vitis vinifera subsp vinifera cv. Boriska</t>
  </si>
  <si>
    <t xml:space="preserve">Vitis vinifera subsp vinifera cv. Borraçal</t>
  </si>
  <si>
    <t xml:space="preserve">Vitis vinifera subsp vinifera cv. Borrado das moscas</t>
  </si>
  <si>
    <t xml:space="preserve">Vitis vinifera subsp vinifera cv. Bosco</t>
  </si>
  <si>
    <t xml:space="preserve">Vitis vinifera subsp vinifera cv. Boskokwi</t>
  </si>
  <si>
    <t xml:space="preserve">Vitis vinifera subsp vinifera cv. Botun</t>
  </si>
  <si>
    <t xml:space="preserve">Vitis vinifera subsp vinifera cv. Bou Khanzir blanc</t>
  </si>
  <si>
    <t xml:space="preserve">Vitis vinifera subsp vinifera cv. Bou Khanzir noir</t>
  </si>
  <si>
    <t xml:space="preserve">Vitis vinifera subsp vinifera cv. Bou Qsob faux</t>
  </si>
  <si>
    <t xml:space="preserve">Vitis vinifera subsp vinifera cv. Bou Rouguia</t>
  </si>
  <si>
    <t xml:space="preserve">Vitis vinifera subsp vinifera cv. Bouaki nor</t>
  </si>
  <si>
    <t xml:space="preserve">Vitis vinifera subsp vinifera cv. Bouaki tach</t>
  </si>
  <si>
    <t xml:space="preserve">Vitis vinifera subsp vinifera cv. Bouchalès</t>
  </si>
  <si>
    <t xml:space="preserve">Vitis vinifera subsp vinifera cv. Bouchereau</t>
  </si>
  <si>
    <t xml:space="preserve">Vitis vinifera subsp vinifera cv. Bouchouka</t>
  </si>
  <si>
    <t xml:space="preserve">Vitis vinifera subsp vinifera cv. Boudechouri tcherny</t>
  </si>
  <si>
    <t xml:space="preserve">Vitis vinifera subsp vinifera cv. Bouillan</t>
  </si>
  <si>
    <t xml:space="preserve">Vitis vinifera subsp vinifera cv. Bouillenc noir</t>
  </si>
  <si>
    <t xml:space="preserve">Vitis vinifera subsp vinifera cv. Bouillet</t>
  </si>
  <si>
    <t xml:space="preserve">Vitis vinifera subsp vinifera cv. Boulanoui</t>
  </si>
  <si>
    <t xml:space="preserve">Vitis vinifera subsp vinifera cv. Bouquet riesling</t>
  </si>
  <si>
    <t xml:space="preserve">Vitis vinifera subsp vinifera cv. Bouquet Sylvaner</t>
  </si>
  <si>
    <t xml:space="preserve">Vitis vinifera subsp vinifera cv. Bouquettraube</t>
  </si>
  <si>
    <t xml:space="preserve">Vitis vinifera subsp vinifera cv. Bourboulenc</t>
  </si>
  <si>
    <t xml:space="preserve">Vitis vinifera subsp vinifera cv. Bourdier 2-04-58</t>
  </si>
  <si>
    <t xml:space="preserve">Vitis vinifera subsp vinifera cv. Bourrisquou</t>
  </si>
  <si>
    <t xml:space="preserve">Vitis vinifera subsp vinifera cv. Bouteillan noir</t>
  </si>
  <si>
    <t xml:space="preserve">Vitis vinifera subsp vinifera cv. Bouvierrebe</t>
  </si>
  <si>
    <t xml:space="preserve">Vitis vinifera subsp vinifera cv. Bouzouga</t>
  </si>
  <si>
    <t xml:space="preserve">Vitis vinifera subsp vinifera cv. Bovale grande = Bovale di Spagna</t>
  </si>
  <si>
    <t xml:space="preserve">Vitis vinifera subsp vinifera cv. Bracciola nera</t>
  </si>
  <si>
    <t xml:space="preserve">Vitis vinifera subsp vinifera cv. Brachet</t>
  </si>
  <si>
    <t xml:space="preserve">Vitis vinifera subsp vinifera cv. Brachet 2</t>
  </si>
  <si>
    <t xml:space="preserve">Vitis vinifera subsp vinifera cv. Brachetto</t>
  </si>
  <si>
    <t xml:space="preserve">Vitis vinifera subsp vinifera cv. Braghina</t>
  </si>
  <si>
    <t xml:space="preserve">Vitis vinifera subsp vinifera cv. Bratkovina</t>
  </si>
  <si>
    <t xml:space="preserve">Vitis vinifera subsp vinifera cv. Bronnerstraube</t>
  </si>
  <si>
    <t xml:space="preserve">Vitis vinifera subsp vinifera cv. Broumest</t>
  </si>
  <si>
    <t xml:space="preserve">Vitis vinifera subsp vinifera cv. Brun argenté</t>
  </si>
  <si>
    <t xml:space="preserve">Vitis vinifera subsp vinifera cv. Brun Fourca</t>
  </si>
  <si>
    <t xml:space="preserve">Vitis vinifera subsp vinifera cv. Bruni 1 Sélection clonale</t>
  </si>
  <si>
    <t xml:space="preserve">Vitis vinifera subsp vinifera cv. Bruni 100</t>
  </si>
  <si>
    <t xml:space="preserve">Vitis vinifera subsp vinifera cv. Bruni 102</t>
  </si>
  <si>
    <t xml:space="preserve">Vitis vinifera subsp vinifera cv. Bruni 116</t>
  </si>
  <si>
    <t xml:space="preserve">Vitis vinifera subsp vinifera cv. Bruni 12</t>
  </si>
  <si>
    <t xml:space="preserve">Vitis vinifera subsp vinifera cv. Bruni 125</t>
  </si>
  <si>
    <t xml:space="preserve">Vitis vinifera subsp vinifera cv. Bruni 14</t>
  </si>
  <si>
    <t xml:space="preserve">Vitis vinifera subsp vinifera cv. Bruni 147</t>
  </si>
  <si>
    <t xml:space="preserve">Vitis vinifera subsp vinifera cv. Bruni 15</t>
  </si>
  <si>
    <t xml:space="preserve">Vitis vinifera subsp vinifera cv. Bruni 154</t>
  </si>
  <si>
    <t xml:space="preserve">Vitis vinifera subsp vinifera cv. Bruni 18 (hybride)</t>
  </si>
  <si>
    <t xml:space="preserve">Vitis vinifera subsp vinifera cv. Bruni 317</t>
  </si>
  <si>
    <t xml:space="preserve">Vitis vinifera subsp vinifera cv. Bruni 33</t>
  </si>
  <si>
    <t xml:space="preserve">Vitis vinifera subsp vinifera cv. Bruni 36</t>
  </si>
  <si>
    <t xml:space="preserve">Vitis vinifera subsp vinifera cv. Bruni 360</t>
  </si>
  <si>
    <t xml:space="preserve">Vitis vinifera subsp vinifera cv. Bruni 381</t>
  </si>
  <si>
    <t xml:space="preserve">Vitis vinifera subsp vinifera cv. Bruni 4</t>
  </si>
  <si>
    <t xml:space="preserve">Vitis vinifera subsp vinifera cv. Bruni 41</t>
  </si>
  <si>
    <t xml:space="preserve">Vitis vinifera subsp vinifera cv. Bruni 415</t>
  </si>
  <si>
    <t xml:space="preserve">Vitis vinifera subsp vinifera cv. Bruni 429</t>
  </si>
  <si>
    <t xml:space="preserve">Vitis vinifera subsp vinifera cv. Bruni 45</t>
  </si>
  <si>
    <t xml:space="preserve">Vitis vinifera subsp vinifera cv. Bruni 54</t>
  </si>
  <si>
    <t xml:space="preserve">Vitis vinifera subsp vinifera cv. Bruni 65</t>
  </si>
  <si>
    <t xml:space="preserve">Vitis vinifera subsp vinifera cv. Bruni 74</t>
  </si>
  <si>
    <t xml:space="preserve">Vitis vinifera subsp vinifera cv. Bruni 75</t>
  </si>
  <si>
    <t xml:space="preserve">Vitis vinifera subsp vinifera cv. Bruni 90</t>
  </si>
  <si>
    <t xml:space="preserve">Vitis vinifera subsp vinifera cv. Brunq noir</t>
  </si>
  <si>
    <t xml:space="preserve">Vitis vinifera subsp vinifera cv. Brustiano</t>
  </si>
  <si>
    <t xml:space="preserve">Vitis vinifera subsp vinifera cv. Brustiano faux</t>
  </si>
  <si>
    <t xml:space="preserve">Vitis vinifera subsp vinifera cv. Buckland sweet water</t>
  </si>
  <si>
    <t xml:space="preserve">Vitis vinifera subsp vinifera cv. Budai Szagos</t>
  </si>
  <si>
    <t xml:space="preserve">Vitis vinifera subsp vinifera cv. Budai zöld</t>
  </si>
  <si>
    <t xml:space="preserve">Vitis vinifera subsp vinifera cv. Burgrave de Hongrie</t>
  </si>
  <si>
    <t xml:space="preserve">Vitis vinifera subsp vinifera cv. Cabasma alba</t>
  </si>
  <si>
    <t xml:space="preserve">Vitis vinifera subsp vinifera cv. Cabernet franc</t>
  </si>
  <si>
    <t xml:space="preserve">Vitis vinifera subsp vinifera cv. Cabernet Lion</t>
  </si>
  <si>
    <t xml:space="preserve">Vitis vinifera subsp vinifera cv. Cabernet-Malbec n°1</t>
  </si>
  <si>
    <t xml:space="preserve">Vitis vinifera subsp vinifera cv. Cabernet-Malbec n°2</t>
  </si>
  <si>
    <t xml:space="preserve">Vitis vinifera subsp vinifera cv. Cabernet-Malbec n°4</t>
  </si>
  <si>
    <t xml:space="preserve">Vitis vinifera subsp vinifera cv. Cabernet-Sauvignon</t>
  </si>
  <si>
    <t xml:space="preserve">Vitis vinifera subsp vinifera cv. Cacaboué</t>
  </si>
  <si>
    <t xml:space="preserve">Vitis vinifera subsp vinifera cv. Caddiu</t>
  </si>
  <si>
    <t xml:space="preserve">Vitis vinifera subsp vinifera cv. Cainho branco</t>
  </si>
  <si>
    <t xml:space="preserve">Vitis vinifera subsp vinifera cv. Caiño longo</t>
  </si>
  <si>
    <t xml:space="preserve">Vitis vinifera subsp vinifera cv. Calabre</t>
  </si>
  <si>
    <t xml:space="preserve">Vitis vinifera subsp vinifera cv. Calabrese</t>
  </si>
  <si>
    <t xml:space="preserve">Vitis vinifera subsp vinifera cv. Caladoc = INRA 1510-104</t>
  </si>
  <si>
    <t xml:space="preserve">Vitis vinifera subsp vinifera cv. Calitor</t>
  </si>
  <si>
    <t xml:space="preserve">Vitis vinifera subsp vinifera cv. Calitor blanc</t>
  </si>
  <si>
    <t xml:space="preserve">Vitis vinifera subsp vinifera cv. Calitor gris</t>
  </si>
  <si>
    <t xml:space="preserve">Vitis vinifera subsp vinifera cv. Callet</t>
  </si>
  <si>
    <t xml:space="preserve">Vitis vinifera subsp vinifera cv. Calmeria = C11-31-5</t>
  </si>
  <si>
    <t xml:space="preserve">Vitis vinifera subsp vinifera cv. Caloria</t>
  </si>
  <si>
    <t xml:space="preserve">Vitis vinifera subsp vinifera cv. Calzin</t>
  </si>
  <si>
    <t xml:space="preserve">Vitis vinifera subsp vinifera cv. Camaralet de Lasseube</t>
  </si>
  <si>
    <t xml:space="preserve">Vitis vinifera subsp vinifera cv. Camaraou blanc</t>
  </si>
  <si>
    <t xml:space="preserve">Vitis vinifera subsp vinifera cv. Camaraou noir</t>
  </si>
  <si>
    <t xml:space="preserve">Vitis vinifera subsp vinifera cv. Canaiolo</t>
  </si>
  <si>
    <t xml:space="preserve">Vitis vinifera subsp vinifera cv. Canari</t>
  </si>
  <si>
    <t xml:space="preserve">Vitis vinifera subsp vinifera cv. Canina nera</t>
  </si>
  <si>
    <t xml:space="preserve">Vitis vinifera subsp vinifera cv. Canner seedless</t>
  </si>
  <si>
    <t xml:space="preserve">Vitis vinifera subsp vinifera cv. Cannon Hall</t>
  </si>
  <si>
    <t xml:space="preserve">Vitis vinifera subsp vinifera cv. Cannon Hall faux</t>
  </si>
  <si>
    <t xml:space="preserve">Vitis vinifera subsp vinifera cv. Cañocazo</t>
  </si>
  <si>
    <t xml:space="preserve">Vitis vinifera subsp vinifera cv. Cañorroyo</t>
  </si>
  <si>
    <t xml:space="preserve">Vitis vinifera subsp vinifera cv. Cape currant</t>
  </si>
  <si>
    <t xml:space="preserve">Vitis vinifera subsp vinifera cv. Caralicante</t>
  </si>
  <si>
    <t xml:space="preserve">Vitis vinifera subsp vinifera cv. Carcaces</t>
  </si>
  <si>
    <t xml:space="preserve">Vitis vinifera subsp vinifera cv. Carcajolo</t>
  </si>
  <si>
    <t xml:space="preserve">Vitis vinifera subsp vinifera cv. Carcajolo blanc</t>
  </si>
  <si>
    <t xml:space="preserve">Vitis vinifera subsp vinifera cv. Cardinal = G 10-30</t>
  </si>
  <si>
    <t xml:space="preserve">Vitis vinifera subsp vinifera cv. Carignan</t>
  </si>
  <si>
    <t xml:space="preserve">Vitis vinifera subsp vinifera cv. Carignan blanc</t>
  </si>
  <si>
    <t xml:space="preserve">Vitis vinifera subsp vinifera cv. Carignan Bouschet</t>
  </si>
  <si>
    <t xml:space="preserve">Vitis vinifera subsp vinifera cv. Carignan gris</t>
  </si>
  <si>
    <t xml:space="preserve">Vitis vinifera subsp vinifera cv. Carla = INRA 1650-10</t>
  </si>
  <si>
    <t xml:space="preserve">Vitis vinifera subsp vinifera cv. Carmenère</t>
  </si>
  <si>
    <t xml:space="preserve">Vitis vinifera subsp vinifera cv. Carminoir</t>
  </si>
  <si>
    <t xml:space="preserve">Vitis vinifera subsp vinifera cv. Carnelian</t>
  </si>
  <si>
    <t xml:space="preserve">Vitis vinifera subsp vinifera cv. Carrega somera</t>
  </si>
  <si>
    <t xml:space="preserve">Vitis vinifera subsp vinifera cv. Carricante</t>
  </si>
  <si>
    <t xml:space="preserve">Vitis vinifera subsp vinifera cv. Cartuja blanca</t>
  </si>
  <si>
    <t xml:space="preserve">Vitis vinifera subsp vinifera cv. Castellano morado</t>
  </si>
  <si>
    <t xml:space="preserve">Vitis vinifera subsp vinifera cv. Castets</t>
  </si>
  <si>
    <t xml:space="preserve">Vitis vinifera subsp vinifera cv. Castiglione</t>
  </si>
  <si>
    <t xml:space="preserve">Vitis vinifera subsp vinifera cv. Catalanesca</t>
  </si>
  <si>
    <t xml:space="preserve">Vitis vinifera subsp vinifera cv. Catanese nero</t>
  </si>
  <si>
    <t xml:space="preserve">Vitis vinifera subsp vinifera cv. Catarratto bianco comune</t>
  </si>
  <si>
    <t xml:space="preserve">Vitis vinifera subsp vinifera cv. Catarratto bianco lucido</t>
  </si>
  <si>
    <t xml:space="preserve">Vitis vinifera subsp vinifera cv. Catarratto nero</t>
  </si>
  <si>
    <t xml:space="preserve">Vitis vinifera subsp vinifera cv. Centennial seedless</t>
  </si>
  <si>
    <t xml:space="preserve">Vitis vinifera subsp vinifera cv. Centorotolli</t>
  </si>
  <si>
    <t xml:space="preserve">Vitis vinifera subsp vinifera cv. Cep rouge</t>
  </si>
  <si>
    <t xml:space="preserve">Vitis vinifera subsp vinifera cv. Cercial du Dão</t>
  </si>
  <si>
    <t xml:space="preserve">Vitis vinifera subsp vinifera cv. Cereza</t>
  </si>
  <si>
    <t xml:space="preserve">Vitis vinifera subsp vinifera cv. Cesanese comune</t>
  </si>
  <si>
    <t xml:space="preserve">Vitis vinifera subsp vinifera cv. César</t>
  </si>
  <si>
    <t xml:space="preserve">Vitis vinifera subsp vinifera cv. Chaani biely</t>
  </si>
  <si>
    <t xml:space="preserve">Vitis vinifera subsp vinifera cv. Chaani tchernii</t>
  </si>
  <si>
    <t xml:space="preserve">Vitis vinifera subsp vinifera cv. Chahnani</t>
  </si>
  <si>
    <t xml:space="preserve">Vitis vinifera subsp vinifera cv. Chaillaud</t>
  </si>
  <si>
    <t xml:space="preserve">Vitis vinifera subsp vinifera cv. Chakar angour de Tachkent</t>
  </si>
  <si>
    <t xml:space="preserve">Vitis vinifera subsp vinifera cv. Chalosse noire</t>
  </si>
  <si>
    <t xml:space="preserve">Vitis vinifera subsp vinifera cv. Chalosse noire = Négret castrais</t>
  </si>
  <si>
    <t xml:space="preserve">Vitis vinifera subsp vinifera cv. Chami</t>
  </si>
  <si>
    <t xml:space="preserve">Vitis vinifera subsp vinifera cv. Chany gris</t>
  </si>
  <si>
    <t xml:space="preserve">Vitis vinifera subsp vinifera cv. Chaouch blanc</t>
  </si>
  <si>
    <t xml:space="preserve">Vitis vinifera subsp vinifera cv. Chaouch rose</t>
  </si>
  <si>
    <t xml:space="preserve">Vitis vinifera subsp vinifera cv. Chaptal</t>
  </si>
  <si>
    <t xml:space="preserve">Vitis vinifera subsp vinifera cv. Chardonnay</t>
  </si>
  <si>
    <t xml:space="preserve">Vitis vinifera subsp vinifera cv. Chardonnay musqué</t>
  </si>
  <si>
    <t xml:space="preserve">Vitis vinifera subsp vinifera cv. Chardonnay rose</t>
  </si>
  <si>
    <t xml:space="preserve">Vitis vinifera subsp vinifera cv. Charmont</t>
  </si>
  <si>
    <t xml:space="preserve">Vitis vinifera subsp vinifera cv. Chasan = INRA 1527-78</t>
  </si>
  <si>
    <t xml:space="preserve">Vitis vinifera subsp vinifera cv. Chasselas</t>
  </si>
  <si>
    <t xml:space="preserve">Vitis vinifera subsp vinifera cv. Chasselas apyrène</t>
  </si>
  <si>
    <t xml:space="preserve">Vitis vinifera subsp vinifera cv. Chasselas des Bouches du Rhône</t>
  </si>
  <si>
    <t xml:space="preserve">Vitis vinifera subsp vinifera cv. Chasselas Duhamel</t>
  </si>
  <si>
    <t xml:space="preserve">Vitis vinifera subsp vinifera cv. Chasselas Impérial Oberlin</t>
  </si>
  <si>
    <t xml:space="preserve">Vitis vinifera subsp vinifera cv. Chasselas lacinifolié</t>
  </si>
  <si>
    <t xml:space="preserve">Vitis vinifera subsp vinifera cv. Chasselas Michel Tompa</t>
  </si>
  <si>
    <t xml:space="preserve">Vitis vinifera subsp vinifera cv. Chasselas musqué</t>
  </si>
  <si>
    <t xml:space="preserve">Vitis vinifera subsp vinifera cv. Chasselas noir</t>
  </si>
  <si>
    <t xml:space="preserve">Vitis vinifera subsp vinifera cv. Chasselas rose</t>
  </si>
  <si>
    <t xml:space="preserve">Vitis vinifera subsp vinifera cv. Chasselas rose royal</t>
  </si>
  <si>
    <t xml:space="preserve">Vitis vinifera subsp vinifera cv. Chasselas rouge</t>
  </si>
  <si>
    <t xml:space="preserve">Vitis vinifera subsp vinifera cv. Chasselas tétraploïde</t>
  </si>
  <si>
    <t xml:space="preserve">Vitis vinifera subsp vinifera cv. Chasselas violet</t>
  </si>
  <si>
    <t xml:space="preserve">Vitis vinifera subsp vinifera cv. Chatus</t>
  </si>
  <si>
    <t xml:space="preserve">Vitis vinifera subsp vinifera cv. Chenanson = INRA 1509-149</t>
  </si>
  <si>
    <t xml:space="preserve">Vitis vinifera subsp vinifera cv. Chenin</t>
  </si>
  <si>
    <t xml:space="preserve">Vitis vinifera subsp vinifera cv. Chichaud</t>
  </si>
  <si>
    <t xml:space="preserve">Vitis vinifera subsp vinifera cv. Chikki</t>
  </si>
  <si>
    <t xml:space="preserve">Vitis vinifera subsp vinifera cv. Chirai</t>
  </si>
  <si>
    <t xml:space="preserve">Vitis vinifera subsp vinifera cv. Chiroka Melnichka = Melnik</t>
  </si>
  <si>
    <t xml:space="preserve">Vitis vinifera subsp vinifera cv. Chirvan chakhi</t>
  </si>
  <si>
    <t xml:space="preserve">Vitis vinifera subsp vinifera cv. Chouchillon</t>
  </si>
  <si>
    <t xml:space="preserve">Vitis vinifera subsp vinifera cv. Christmas rose</t>
  </si>
  <si>
    <t xml:space="preserve">Vitis vinifera subsp vinifera cv. Chtour angour</t>
  </si>
  <si>
    <t xml:space="preserve">Vitis vinifera subsp vinifera cv. Ciclopica = Pirovano 60</t>
  </si>
  <si>
    <t xml:space="preserve">Vitis vinifera subsp vinifera cv. Ciganyszölö</t>
  </si>
  <si>
    <t xml:space="preserve">Vitis vinifera subsp vinifera cv. Ciliegiolo</t>
  </si>
  <si>
    <t xml:space="preserve">Vitis vinifera subsp vinifera cv. Cinsaut</t>
  </si>
  <si>
    <t xml:space="preserve">Vitis vinifera subsp vinifera cv. Cinsaut Bouschet</t>
  </si>
  <si>
    <t xml:space="preserve">Vitis vinifera subsp vinifera cv. Cioinic</t>
  </si>
  <si>
    <t xml:space="preserve">Vitis vinifera subsp vinifera cv. Circé</t>
  </si>
  <si>
    <t xml:space="preserve">Vitis vinifera subsp vinifera cv. Citana</t>
  </si>
  <si>
    <t xml:space="preserve">Vitis vinifera subsp vinifera cv. Citronelle</t>
  </si>
  <si>
    <t xml:space="preserve">Vitis vinifera subsp vinifera cv. Citronelle x Aramon</t>
  </si>
  <si>
    <t xml:space="preserve">Vitis vinifera subsp vinifera cv. Clairette</t>
  </si>
  <si>
    <t xml:space="preserve">Vitis vinifera subsp vinifera cv. Clairette Mazel</t>
  </si>
  <si>
    <t xml:space="preserve">Vitis vinifera subsp vinifera cv. Clairette rose</t>
  </si>
  <si>
    <t xml:space="preserve">Vitis vinifera subsp vinifera cv. Clairette x Beldi 36 L 2</t>
  </si>
  <si>
    <t xml:space="preserve">Vitis vinifera subsp vinifera cv. Clarin = INRA 573-11</t>
  </si>
  <si>
    <t xml:space="preserve">Vitis vinifera subsp vinifera cv. Claverie</t>
  </si>
  <si>
    <t xml:space="preserve">Vitis vinifera subsp vinifera cv. Claverie coulard</t>
  </si>
  <si>
    <t xml:space="preserve">Vitis vinifera subsp vinifera cv. Clotilde Prosperi = Prosperi 190</t>
  </si>
  <si>
    <t xml:space="preserve">Vitis vinifera subsp vinifera cv. Coada vulpii</t>
  </si>
  <si>
    <t xml:space="preserve">Vitis vinifera subsp vinifera cv. Coarna alba</t>
  </si>
  <si>
    <t xml:space="preserve">Vitis vinifera subsp vinifera cv. Coarna neagra</t>
  </si>
  <si>
    <t xml:space="preserve">Vitis vinifera subsp vinifera cv. Coarna rosie</t>
  </si>
  <si>
    <t xml:space="preserve">Vitis vinifera subsp vinifera cv. Cococciola</t>
  </si>
  <si>
    <t xml:space="preserve">Vitis vinifera subsp vinifera cv. Coda di volpe bianca</t>
  </si>
  <si>
    <t xml:space="preserve">Vitis vinifera subsp vinifera cv. Codega</t>
  </si>
  <si>
    <t xml:space="preserve">Vitis vinifera subsp vinifera cv. Codivarta</t>
  </si>
  <si>
    <t xml:space="preserve">Vitis vinifera subsp vinifera cv. Colman blanc</t>
  </si>
  <si>
    <t xml:space="preserve">Vitis vinifera subsp vinifera cv. Colombana nera</t>
  </si>
  <si>
    <t xml:space="preserve">Vitis vinifera subsp vinifera cv. Colombard</t>
  </si>
  <si>
    <t xml:space="preserve">Vitis vinifera subsp vinifera cv. Colombaud = Bouteillan blanc</t>
  </si>
  <si>
    <t xml:space="preserve">Vitis vinifera subsp vinifera cv. Colorino</t>
  </si>
  <si>
    <t xml:space="preserve">Vitis vinifera subsp vinifera cv. Completer</t>
  </si>
  <si>
    <t xml:space="preserve">Vitis vinifera subsp vinifera cv. Conca d'ora = Paulsen 152</t>
  </si>
  <si>
    <t xml:space="preserve">Vitis vinifera subsp vinifera cv. Conegliano 120</t>
  </si>
  <si>
    <t xml:space="preserve">Vitis vinifera subsp vinifera cv. Conegliano 199</t>
  </si>
  <si>
    <t xml:space="preserve">Vitis vinifera subsp vinifera cv. Conegliano 213</t>
  </si>
  <si>
    <t xml:space="preserve">Vitis vinifera subsp vinifera cv. Conegliano 218</t>
  </si>
  <si>
    <t xml:space="preserve">Vitis vinifera subsp vinifera cv. Constantinescu-Negreanu 2/13/8 (Victoria)</t>
  </si>
  <si>
    <t xml:space="preserve">Vitis vinifera subsp vinifera cv. Conte rosso = Pirovano 73</t>
  </si>
  <si>
    <t xml:space="preserve">Vitis vinifera subsp vinifera cv. Corbeau</t>
  </si>
  <si>
    <t xml:space="preserve">Vitis vinifera subsp vinifera cv. Corbina vicentina</t>
  </si>
  <si>
    <t xml:space="preserve">Vitis vinifera subsp vinifera cv. Corfiatis</t>
  </si>
  <si>
    <t xml:space="preserve">Vitis vinifera subsp vinifera cv. Corinthe blanc</t>
  </si>
  <si>
    <t xml:space="preserve">Vitis vinifera subsp vinifera cv. Corinthe noir</t>
  </si>
  <si>
    <t xml:space="preserve">Vitis vinifera subsp vinifera cv. Corinto bianco</t>
  </si>
  <si>
    <t xml:space="preserve">Vitis vinifera subsp vinifera cv. Corneille</t>
  </si>
  <si>
    <t xml:space="preserve">Vitis vinifera subsp vinifera cv. Cornet</t>
  </si>
  <si>
    <t xml:space="preserve">Vitis vinifera subsp vinifera cv. Cornichon violet</t>
  </si>
  <si>
    <t xml:space="preserve">Vitis vinifera subsp vinifera cv. Cornichon violet = Rosa menna di vacca</t>
  </si>
  <si>
    <t xml:space="preserve">Vitis vinifera subsp vinifera cv. Cornifesto</t>
  </si>
  <si>
    <t xml:space="preserve">Vitis vinifera subsp vinifera cv. Corniola bianca di Milazzo</t>
  </si>
  <si>
    <t xml:space="preserve">Vitis vinifera subsp vinifera cv. Corniola nera</t>
  </si>
  <si>
    <t xml:space="preserve">Vitis vinifera subsp vinifera cv. Corrin Seedless</t>
  </si>
  <si>
    <t xml:space="preserve">Vitis vinifera subsp vinifera cv. Cortese</t>
  </si>
  <si>
    <t xml:space="preserve">Vitis vinifera subsp vinifera cv. Corvina veronese</t>
  </si>
  <si>
    <t xml:space="preserve">Vitis vinifera subsp vinifera cv. Cot</t>
  </si>
  <si>
    <t xml:space="preserve">Vitis vinifera subsp vinifera cv. Cot de Chéragas</t>
  </si>
  <si>
    <t xml:space="preserve">Vitis vinifera subsp vinifera cv. Counoise</t>
  </si>
  <si>
    <t xml:space="preserve">Vitis vinifera subsp vinifera cv. Courbès</t>
  </si>
  <si>
    <t xml:space="preserve">Vitis vinifera subsp vinifera cv. Courbu</t>
  </si>
  <si>
    <t xml:space="preserve">Vitis vinifera subsp vinifera cv. Courbu noir</t>
  </si>
  <si>
    <t xml:space="preserve">Vitis vinifera subsp vinifera cv. Courtoisie</t>
  </si>
  <si>
    <t xml:space="preserve">Vitis vinifera subsp vinifera cv. Coutinho 6</t>
  </si>
  <si>
    <t xml:space="preserve">Vitis vinifera subsp vinifera cv. Crassostaphyllo</t>
  </si>
  <si>
    <t xml:space="preserve">Vitis vinifera subsp vinifera cv. Crimposie</t>
  </si>
  <si>
    <t xml:space="preserve">Vitis vinifera subsp vinifera cv. Crimson seedless</t>
  </si>
  <si>
    <t xml:space="preserve">Vitis vinifera subsp vinifera cv. Criolla chica 2</t>
  </si>
  <si>
    <t xml:space="preserve">Vitis vinifera subsp vinifera cv. Criolla mediana 2</t>
  </si>
  <si>
    <t xml:space="preserve">Vitis vinifera subsp vinifera cv. Criolla San Juanina</t>
  </si>
  <si>
    <t xml:space="preserve">Vitis vinifera subsp vinifera cv. Crista couleur d'ambre</t>
  </si>
  <si>
    <t xml:space="preserve">Vitis vinifera subsp vinifera cv. Croatina</t>
  </si>
  <si>
    <t xml:space="preserve">Vitis vinifera subsp vinifera cv. Croetto</t>
  </si>
  <si>
    <t xml:space="preserve">Vitis vinifera subsp vinifera cv. Crouchen</t>
  </si>
  <si>
    <t xml:space="preserve">Vitis vinifera subsp vinifera cv. Cruciulita</t>
  </si>
  <si>
    <t xml:space="preserve">Vitis vinifera subsp vinifera cv. Crujidera</t>
  </si>
  <si>
    <t xml:space="preserve">Vitis vinifera subsp vinifera cv. Crujillon</t>
  </si>
  <si>
    <t xml:space="preserve">Vitis vinifera subsp vinifera cv. Crvena slaubanic</t>
  </si>
  <si>
    <t xml:space="preserve">Vitis vinifera subsp vinifera cv. Crystal (Afrique du Sud)</t>
  </si>
  <si>
    <t xml:space="preserve">Vitis vinifera subsp vinifera cv. Crystal (Etats-Unis)</t>
  </si>
  <si>
    <t xml:space="preserve">Vitis vinifera subsp vinifera cv. Csoka szöllö</t>
  </si>
  <si>
    <t xml:space="preserve">Vitis vinifera subsp vinifera cv. Csomorika</t>
  </si>
  <si>
    <t xml:space="preserve">Vitis vinifera subsp vinifera cv. Cualtaccio</t>
  </si>
  <si>
    <t xml:space="preserve">Vitis vinifera subsp vinifera cv. Curisti</t>
  </si>
  <si>
    <t xml:space="preserve">Vitis vinifera subsp vinifera cv. Cyperntraube</t>
  </si>
  <si>
    <t xml:space="preserve">Vitis vinifera subsp vinifera cv. Dabouki</t>
  </si>
  <si>
    <t xml:space="preserve">Vitis vinifera subsp vinifera cv. Dalmasso III-33</t>
  </si>
  <si>
    <t xml:space="preserve">Vitis vinifera subsp vinifera cv. Dalmasso IX-1</t>
  </si>
  <si>
    <t xml:space="preserve">Vitis vinifera subsp vinifera cv. Dalmasso VIII-5</t>
  </si>
  <si>
    <t xml:space="preserve">Vitis vinifera subsp vinifera cv. Dalmasso VII-9</t>
  </si>
  <si>
    <t xml:space="preserve">Vitis vinifera subsp vinifera cv. Dalmasso VI-17</t>
  </si>
  <si>
    <t xml:space="preserve">Vitis vinifera subsp vinifera cv. Dalmasso VI-24</t>
  </si>
  <si>
    <t xml:space="preserve">Vitis vinifera subsp vinifera cv. Dalmasso VI-6</t>
  </si>
  <si>
    <t xml:space="preserve">Vitis vinifera subsp vinifera cv. Dalmasso XI-20</t>
  </si>
  <si>
    <t xml:space="preserve">Vitis vinifera subsp vinifera cv. Dalmasso XI-8</t>
  </si>
  <si>
    <t xml:space="preserve">Vitis vinifera subsp vinifera cv. Dalmasso XVIII-1</t>
  </si>
  <si>
    <t xml:space="preserve">Vitis vinifera subsp vinifera cv. Damas rouge</t>
  </si>
  <si>
    <t xml:space="preserve">Vitis vinifera subsp vinifera cv. Dameret</t>
  </si>
  <si>
    <t xml:space="preserve">Vitis vinifera subsp vinifera cv. Dameron</t>
  </si>
  <si>
    <t xml:space="preserve">Vitis vinifera subsp vinifera cv. Danam = INRA 1551-6</t>
  </si>
  <si>
    <t xml:space="preserve">Vitis vinifera subsp vinifera cv. Danlas = INRA 1548-20</t>
  </si>
  <si>
    <t xml:space="preserve">Vitis vinifera subsp vinifera cv. Danugue</t>
  </si>
  <si>
    <t xml:space="preserve">Vitis vinifera subsp vinifera cv. Danuta = INRA 1992-3</t>
  </si>
  <si>
    <t xml:space="preserve">Vitis vinifera subsp vinifera cv. Daphni</t>
  </si>
  <si>
    <t xml:space="preserve">Vitis vinifera subsp vinifera cv. Daranyi Ignac</t>
  </si>
  <si>
    <t xml:space="preserve">Vitis vinifera subsp vinifera cv. Darkaïa</t>
  </si>
  <si>
    <t xml:space="preserve">Vitis vinifera subsp vinifera cv. Dastatchine</t>
  </si>
  <si>
    <t xml:space="preserve">Vitis vinifera subsp vinifera cv. Datal = INRA 753-54</t>
  </si>
  <si>
    <t xml:space="preserve">Vitis vinifera subsp vinifera cv. Dattier de Beyrouth</t>
  </si>
  <si>
    <t xml:space="preserve">Vitis vinifera subsp vinifera cv. Dattier noir</t>
  </si>
  <si>
    <t xml:space="preserve">Vitis vinifera subsp vinifera cv. Dauphine</t>
  </si>
  <si>
    <t xml:space="preserve">Vitis vinifera subsp vinifera cv. David = Pirovano 109</t>
  </si>
  <si>
    <t xml:space="preserve">Vitis vinifera subsp vinifera cv. Dawn seedless</t>
  </si>
  <si>
    <t xml:space="preserve">Vitis vinifera subsp vinifera cv. De Hengril</t>
  </si>
  <si>
    <t xml:space="preserve">Vitis vinifera subsp vinifera cv. Debina</t>
  </si>
  <si>
    <t xml:space="preserve">Vitis vinifera subsp vinifera cv. Dedo de dama</t>
  </si>
  <si>
    <t xml:space="preserve">Vitis vinifera subsp vinifera cv. Delhro = JA148-59 SRLH</t>
  </si>
  <si>
    <t xml:space="preserve">Vitis vinifera subsp vinifera cv. Delight</t>
  </si>
  <si>
    <t xml:space="preserve">Vitis vinifera subsp vinifera cv. Delizia di Vaprio = Pirovano 46 a</t>
  </si>
  <si>
    <t xml:space="preserve">Vitis vinifera subsp vinifera cv. Delizia gialla = Pirovano 266</t>
  </si>
  <si>
    <t xml:space="preserve">Vitis vinifera subsp vinifera cv. Demir kara</t>
  </si>
  <si>
    <t xml:space="preserve">Vitis vinifera subsp vinifera cv. Derani</t>
  </si>
  <si>
    <t xml:space="preserve">Vitis vinifera subsp vinifera cv. Dermatas</t>
  </si>
  <si>
    <t xml:space="preserve">Vitis vinifera subsp vinifera cv. Diagalves</t>
  </si>
  <si>
    <t xml:space="preserve">Vitis vinifera subsp vinifera cv. Diamante nero = Pirovano 87</t>
  </si>
  <si>
    <t xml:space="preserve">Vitis vinifera subsp vinifera cv. Diamanttraube</t>
  </si>
  <si>
    <t xml:space="preserve">Vitis vinifera subsp vinifera cv. Diana</t>
  </si>
  <si>
    <t xml:space="preserve">Vitis vinifera subsp vinifera cv. Dimiat</t>
  </si>
  <si>
    <t xml:space="preserve">Vitis vinifera subsp vinifera cv. Diminitis</t>
  </si>
  <si>
    <t xml:space="preserve">Vitis vinifera subsp vinifera cv. Dimrit</t>
  </si>
  <si>
    <t xml:space="preserve">Vitis vinifera subsp vinifera cv. Dinka feher</t>
  </si>
  <si>
    <t xml:space="preserve">Vitis vinifera subsp vinifera cv. Dinka vörös</t>
  </si>
  <si>
    <t xml:space="preserve">Vitis vinifera subsp vinifera cv. Dinka zöld</t>
  </si>
  <si>
    <t xml:space="preserve">Vitis vinifera subsp vinifera cv. Diolinoir</t>
  </si>
  <si>
    <t xml:space="preserve">Vitis vinifera subsp vinifera cv. Directeur Tisserand</t>
  </si>
  <si>
    <t xml:space="preserve">Vitis vinifera subsp vinifera cv. Divromo</t>
  </si>
  <si>
    <t xml:space="preserve">Vitis vinifera subsp vinifera cv. Djandjal kara</t>
  </si>
  <si>
    <t xml:space="preserve">Vitis vinifera subsp vinifera cv. Djoura ousum</t>
  </si>
  <si>
    <t xml:space="preserve">Vitis vinifera subsp vinifera cv. Dlinnokhvosty</t>
  </si>
  <si>
    <t xml:space="preserve">Vitis vinifera subsp vinifera cv. Dobricic</t>
  </si>
  <si>
    <t xml:space="preserve">Vitis vinifera subsp vinifera cv. Doçal grande</t>
  </si>
  <si>
    <t xml:space="preserve">Vitis vinifera subsp vinifera cv. Dokay</t>
  </si>
  <si>
    <t xml:space="preserve">Vitis vinifera subsp vinifera cv. Dolcetto</t>
  </si>
  <si>
    <t xml:space="preserve">Vitis vinifera subsp vinifera cv. Dolosata</t>
  </si>
  <si>
    <t xml:space="preserve">Vitis vinifera subsp vinifera cv. Dominga</t>
  </si>
  <si>
    <t xml:space="preserve">Vitis vinifera subsp vinifera cv. Domvrena aspri</t>
  </si>
  <si>
    <t xml:space="preserve">Vitis vinifera subsp vinifera cv. Domvrena mavri</t>
  </si>
  <si>
    <t xml:space="preserve">Vitis vinifera subsp vinifera cv. Don Bueno</t>
  </si>
  <si>
    <t xml:space="preserve">Vitis vinifera subsp vinifera cv. Don Mariano</t>
  </si>
  <si>
    <t xml:space="preserve">Vitis vinifera subsp vinifera cv. Dona branca</t>
  </si>
  <si>
    <t xml:space="preserve">Vitis vinifera subsp vinifera cv. Dona Maria = Leao Ferreira da Almeida 31-54-41</t>
  </si>
  <si>
    <t xml:space="preserve">Vitis vinifera subsp vinifera cv. Dongine</t>
  </si>
  <si>
    <t xml:space="preserve">Vitis vinifera subsp vinifera cv. Donzelinho</t>
  </si>
  <si>
    <t xml:space="preserve">Vitis vinifera subsp vinifera cv. Donzelinho do Castelo</t>
  </si>
  <si>
    <t xml:space="preserve">Vitis vinifera subsp vinifera cv. Doradilla</t>
  </si>
  <si>
    <t xml:space="preserve">Vitis vinifera subsp vinifera cv. Doral</t>
  </si>
  <si>
    <t xml:space="preserve">Vitis vinifera subsp vinifera cv. Dorona di Venezia</t>
  </si>
  <si>
    <t xml:space="preserve">Vitis vinifera subsp vinifera cv. Douradinha</t>
  </si>
  <si>
    <t xml:space="preserve">Vitis vinifera subsp vinifera cv. Doux d'Henry</t>
  </si>
  <si>
    <t xml:space="preserve">Vitis vinifera subsp vinifera cv. Dronkane</t>
  </si>
  <si>
    <t xml:space="preserve">Vitis vinifera subsp vinifera cv. Duc d'Anjou</t>
  </si>
  <si>
    <t xml:space="preserve">Vitis vinifera subsp vinifera cv. Duc de Magenta</t>
  </si>
  <si>
    <t xml:space="preserve">Vitis vinifera subsp vinifera cv. Duchess of Buccleugh</t>
  </si>
  <si>
    <t xml:space="preserve">Vitis vinifera subsp vinifera cv. Duras</t>
  </si>
  <si>
    <t xml:space="preserve">Vitis vinifera subsp vinifera cv. Durella</t>
  </si>
  <si>
    <t xml:space="preserve">Vitis vinifera subsp vinifera cv. Dureza</t>
  </si>
  <si>
    <t xml:space="preserve">Vitis vinifera subsp vinifera cv. Durif</t>
  </si>
  <si>
    <t xml:space="preserve">Vitis vinifera subsp vinifera cv. Early Cardinal</t>
  </si>
  <si>
    <t xml:space="preserve">Vitis vinifera subsp vinifera cv. Early Muscat</t>
  </si>
  <si>
    <t xml:space="preserve">Vitis vinifera subsp vinifera cv. Ederena</t>
  </si>
  <si>
    <t xml:space="preserve">Vitis vinifera subsp vinifera cv. Egiodola</t>
  </si>
  <si>
    <t xml:space="preserve">Vitis vinifera subsp vinifera cv. Ehrenfelser = Gm 9-93</t>
  </si>
  <si>
    <t xml:space="preserve">Vitis vinifera subsp vinifera cv. Einuni</t>
  </si>
  <si>
    <t xml:space="preserve">Vitis vinifera subsp vinifera cv. Ekigaïna</t>
  </si>
  <si>
    <t xml:space="preserve">Vitis vinifera subsp vinifera cv. Ekim kara</t>
  </si>
  <si>
    <t xml:space="preserve">Vitis vinifera subsp vinifera cv. El Biod</t>
  </si>
  <si>
    <t xml:space="preserve">Vitis vinifera subsp vinifera cv. El Farryali</t>
  </si>
  <si>
    <t xml:space="preserve">Vitis vinifera subsp vinifera cv. El Gouz</t>
  </si>
  <si>
    <t xml:space="preserve">Vitis vinifera subsp vinifera cv. Elbling</t>
  </si>
  <si>
    <t xml:space="preserve">Vitis vinifera subsp vinifera cv. Elbling blau</t>
  </si>
  <si>
    <t xml:space="preserve">Vitis vinifera subsp vinifera cv. Elbling rose</t>
  </si>
  <si>
    <t xml:space="preserve">Vitis vinifera subsp vinifera cv. Elbling rot</t>
  </si>
  <si>
    <t xml:space="preserve">Vitis vinifera subsp vinifera cv. Elizabeth Krasnay</t>
  </si>
  <si>
    <t xml:space="preserve">Vitis vinifera subsp vinifera cv. Emerald Riesling</t>
  </si>
  <si>
    <t xml:space="preserve">Vitis vinifera subsp vinifera cv. Emerald seedless</t>
  </si>
  <si>
    <t xml:space="preserve">Vitis vinifera subsp vinifera cv. Emilia = Dalmasso VI-3</t>
  </si>
  <si>
    <t xml:space="preserve">Vitis vinifera subsp vinifera cv. Emperor</t>
  </si>
  <si>
    <t xml:space="preserve">Vitis vinifera subsp vinifera cv. Emperor seedless</t>
  </si>
  <si>
    <t xml:space="preserve">Vitis vinifera subsp vinifera cv. Empibotte</t>
  </si>
  <si>
    <t xml:space="preserve">Vitis vinifera subsp vinifera cv. En Kövidinkam</t>
  </si>
  <si>
    <t xml:space="preserve">Vitis vinifera subsp vinifera cv. Encruzado</t>
  </si>
  <si>
    <t xml:space="preserve">Vitis vinifera subsp vinifera cv. Enfariné</t>
  </si>
  <si>
    <t xml:space="preserve">Vitis vinifera subsp vinifera cv. Enfariné gris</t>
  </si>
  <si>
    <t xml:space="preserve">Vitis vinifera subsp vinifera cv. Epero de Gall</t>
  </si>
  <si>
    <t xml:space="preserve">Vitis vinifera subsp vinifera cv. Epinou</t>
  </si>
  <si>
    <t xml:space="preserve">Vitis vinifera subsp vinifera cv. Erbaluce</t>
  </si>
  <si>
    <t xml:space="preserve">Vitis vinifera subsp vinifera cv. Erdeifeher</t>
  </si>
  <si>
    <t xml:space="preserve">Vitis vinifera subsp vinifera cv. Espadeiro branco</t>
  </si>
  <si>
    <t xml:space="preserve">Vitis vinifera subsp vinifera cv. Espadeiro tinto</t>
  </si>
  <si>
    <t xml:space="preserve">Vitis vinifera subsp vinifera cv. Estaca saoumo</t>
  </si>
  <si>
    <t xml:space="preserve">Vitis vinifera subsp vinifera cv. Etraire de la Dui</t>
  </si>
  <si>
    <t xml:space="preserve">Vitis vinifera subsp vinifera cv. Exalta</t>
  </si>
  <si>
    <t xml:space="preserve">Vitis vinifera subsp vinifera cv. Exbrayat</t>
  </si>
  <si>
    <t xml:space="preserve">Vitis vinifera subsp vinifera cv. Exotic</t>
  </si>
  <si>
    <t xml:space="preserve">Vitis vinifera subsp vinifera cv. Ezereves Magyarorszag Emleke</t>
  </si>
  <si>
    <t xml:space="preserve">Vitis vinifera subsp vinifera cv. Ezerjo</t>
  </si>
  <si>
    <t xml:space="preserve">Vitis vinifera subsp vinifera cv. F. Lantini = Pirovano 263</t>
  </si>
  <si>
    <t xml:space="preserve">Vitis vinifera subsp vinifera cv. F 10-79</t>
  </si>
  <si>
    <t xml:space="preserve">Vitis vinifera subsp vinifera cv. Faberrebe = Alzey 10375</t>
  </si>
  <si>
    <t xml:space="preserve">Vitis vinifera subsp vinifera cv. Faddy zsiga dinka</t>
  </si>
  <si>
    <t xml:space="preserve">Vitis vinifera subsp vinifera cv. Fakhri</t>
  </si>
  <si>
    <t xml:space="preserve">Vitis vinifera subsp vinifera cv. Falanghina</t>
  </si>
  <si>
    <t xml:space="preserve">Vitis vinifera subsp vinifera cv. Fantasy seedless</t>
  </si>
  <si>
    <t xml:space="preserve">Vitis vinifera subsp vinifera cv. Farana noir</t>
  </si>
  <si>
    <t xml:space="preserve">Vitis vinifera subsp vinifera cv. Farbfränkisch</t>
  </si>
  <si>
    <t xml:space="preserve">Vitis vinifera subsp vinifera cv. Fatima</t>
  </si>
  <si>
    <t xml:space="preserve">Vitis vinifera subsp vinifera cv. Fatma</t>
  </si>
  <si>
    <t xml:space="preserve">Vitis vinifera subsp vinifera cv. Faux Courbu noir</t>
  </si>
  <si>
    <t xml:space="preserve">Vitis vinifera subsp vinifera cv. Faux Mauzac blanc</t>
  </si>
  <si>
    <t xml:space="preserve">Vitis vinifera subsp vinifera cv. Fayoumi</t>
  </si>
  <si>
    <t xml:space="preserve">Vitis vinifera subsp vinifera cv. Feher Kövidinka</t>
  </si>
  <si>
    <t xml:space="preserve">Vitis vinifera subsp vinifera cv. Feinriesling</t>
  </si>
  <si>
    <t xml:space="preserve">Vitis vinifera subsp vinifera cv. Fer</t>
  </si>
  <si>
    <t xml:space="preserve">Vitis vinifera subsp vinifera cv. Ferlé de Pegões = Leao Ferreira da Almeida 17-48-1</t>
  </si>
  <si>
    <t xml:space="preserve">Vitis vinifera subsp vinifera cv. Ferlé 76 = Leao Ferreira da Almeida 34-49-76</t>
  </si>
  <si>
    <t xml:space="preserve">Vitis vinifera subsp vinifera cv. Fernand rose</t>
  </si>
  <si>
    <t xml:space="preserve">Vitis vinifera subsp vinifera cv. Fernao Pires</t>
  </si>
  <si>
    <t xml:space="preserve">Vitis vinifera subsp vinifera cv. Ferral</t>
  </si>
  <si>
    <t xml:space="preserve">Vitis vinifera subsp vinifera cv. Ferral tamara</t>
  </si>
  <si>
    <t xml:space="preserve">Vitis vinifera subsp vinifera cv. Feteasca neagra</t>
  </si>
  <si>
    <t xml:space="preserve">Vitis vinifera subsp vinifera cv. Feteasca regala</t>
  </si>
  <si>
    <t xml:space="preserve">Vitis vinifera subsp vinifera cv. Feunate</t>
  </si>
  <si>
    <t xml:space="preserve">Vitis vinifera subsp vinifera cv. Fiano</t>
  </si>
  <si>
    <t xml:space="preserve">Vitis vinifera subsp vinifera cv. Fiesta</t>
  </si>
  <si>
    <t xml:space="preserve">Vitis vinifera subsp vinifera cv. Findling = Kimmig KP 1</t>
  </si>
  <si>
    <t xml:space="preserve">Vitis vinifera subsp vinifera cv. Fintendo</t>
  </si>
  <si>
    <t xml:space="preserve">Vitis vinifera subsp vinifera cv. Firnriesling</t>
  </si>
  <si>
    <t xml:space="preserve">Vitis vinifera subsp vinifera cv. Fitzrebe</t>
  </si>
  <si>
    <t xml:space="preserve">Vitis vinifera subsp vinifera cv. Flame seedless</t>
  </si>
  <si>
    <t xml:space="preserve">Vitis vinifera subsp vinifera cv. Flaming rose</t>
  </si>
  <si>
    <t xml:space="preserve">Vitis vinifera subsp vinifera cv. Fleur de Kecskemet</t>
  </si>
  <si>
    <t xml:space="preserve">Vitis vinifera subsp vinifera cv. Flora</t>
  </si>
  <si>
    <t xml:space="preserve">Vitis vinifera subsp vinifera cv. Focca</t>
  </si>
  <si>
    <t xml:space="preserve">Vitis vinifera subsp vinifera cv. Fogarina</t>
  </si>
  <si>
    <t xml:space="preserve">Vitis vinifera subsp vinifera cv. Foglia tonda</t>
  </si>
  <si>
    <t xml:space="preserve">Vitis vinifera subsp vinifera cv. Fogoneu</t>
  </si>
  <si>
    <t xml:space="preserve">Vitis vinifera subsp vinifera cv. Folignan</t>
  </si>
  <si>
    <t xml:space="preserve">Vitis vinifera subsp vinifera cv. Folle blanche</t>
  </si>
  <si>
    <t xml:space="preserve">Vitis vinifera subsp vinifera cv. Folle blanche du Minervois</t>
  </si>
  <si>
    <t xml:space="preserve">Vitis vinifera subsp vinifera cv. Fondo de Orza</t>
  </si>
  <si>
    <t xml:space="preserve">Vitis vinifera subsp vinifera cv. Forastera</t>
  </si>
  <si>
    <t xml:space="preserve">Vitis vinifera subsp vinifera cv. Forastera (Iles Canaries)</t>
  </si>
  <si>
    <t xml:space="preserve">Vitis vinifera subsp vinifera cv. Forcalla</t>
  </si>
  <si>
    <t xml:space="preserve">Vitis vinifera subsp vinifera cv. Forcellina</t>
  </si>
  <si>
    <t xml:space="preserve">Vitis vinifera subsp vinifera cv. Formosa = Pirovano 245</t>
  </si>
  <si>
    <t xml:space="preserve">Vitis vinifera subsp vinifera cv. Fortana</t>
  </si>
  <si>
    <t xml:space="preserve">Vitis vinifera subsp vinifera cv. Foster's white seedling</t>
  </si>
  <si>
    <t xml:space="preserve">Vitis vinifera subsp vinifera cv. Fotcha</t>
  </si>
  <si>
    <t xml:space="preserve">Vitis vinifera subsp vinifera cv. Franc noir de la Haute-Saône</t>
  </si>
  <si>
    <t xml:space="preserve">Vitis vinifera subsp vinifera cv. Francavidda</t>
  </si>
  <si>
    <t xml:space="preserve">Vitis vinifera subsp vinifera cv. François Ier</t>
  </si>
  <si>
    <t xml:space="preserve">Vitis vinifera subsp vinifera cv. François noir</t>
  </si>
  <si>
    <t xml:space="preserve">Vitis vinifera subsp vinifera cv. Francuse</t>
  </si>
  <si>
    <t xml:space="preserve">Vitis vinifera subsp vinifera cv. Frankamon</t>
  </si>
  <si>
    <t xml:space="preserve">Vitis vinifera subsp vinifera cv. Frankenthal</t>
  </si>
  <si>
    <t xml:space="preserve">Vitis vinifera subsp vinifera cv. Frankenthal rose foncé</t>
  </si>
  <si>
    <t xml:space="preserve">Vitis vinifera subsp vinifera cv. Frankenthal rouge foncé</t>
  </si>
  <si>
    <t xml:space="preserve">Vitis vinifera subsp vinifera cv. Frappato di Vittoria</t>
  </si>
  <si>
    <t xml:space="preserve">Vitis vinifera subsp vinifera cv. Fredericton</t>
  </si>
  <si>
    <t xml:space="preserve">Vitis vinifera subsp vinifera cv. Freisa</t>
  </si>
  <si>
    <t xml:space="preserve">Vitis vinifera subsp vinifera cv. Freisamer</t>
  </si>
  <si>
    <t xml:space="preserve">Vitis vinifera subsp vinifera cv. Frühgipfler I</t>
  </si>
  <si>
    <t xml:space="preserve">Vitis vinifera subsp vinifera cv. Frühmuscat Oberlin</t>
  </si>
  <si>
    <t xml:space="preserve">Vitis vinifera subsp vinifera cv. Frühriesling</t>
  </si>
  <si>
    <t xml:space="preserve">Vitis vinifera subsp vinifera cv. Fruttuosa = Pirovano 27</t>
  </si>
  <si>
    <t xml:space="preserve">Vitis vinifera subsp vinifera cv. Fuella nera</t>
  </si>
  <si>
    <t xml:space="preserve">Vitis vinifera subsp vinifera cv. Fulgens = Pirovano 347</t>
  </si>
  <si>
    <t xml:space="preserve">Vitis vinifera subsp vinifera cv. Fumin</t>
  </si>
  <si>
    <t xml:space="preserve">Vitis vinifera subsp vinifera cv. Furjmony feher</t>
  </si>
  <si>
    <t xml:space="preserve">Vitis vinifera subsp vinifera cv. Furmint</t>
  </si>
  <si>
    <t xml:space="preserve">Vitis vinifera subsp vinifera cv. Furmint piros</t>
  </si>
  <si>
    <t xml:space="preserve">Vitis vinifera subsp vinifera cv. Furmint valtözö</t>
  </si>
  <si>
    <t xml:space="preserve">Vitis vinifera subsp vinifera cv. Fürstentraube</t>
  </si>
  <si>
    <t xml:space="preserve">Vitis vinifera subsp vinifera cv. Fusca = Pirovano 142</t>
  </si>
  <si>
    <t xml:space="preserve">Vitis vinifera subsp vinifera cv. G. Molon = Pirovano 102</t>
  </si>
  <si>
    <t xml:space="preserve">Vitis vinifera subsp vinifera cv. G 367-49 SRLH</t>
  </si>
  <si>
    <t xml:space="preserve">Vitis vinifera subsp vinifera cv. Gaglioppo</t>
  </si>
  <si>
    <t xml:space="preserve">Vitis vinifera subsp vinifera cv. Gaïdouria</t>
  </si>
  <si>
    <t xml:space="preserve">Vitis vinifera subsp vinifera cv. Galbena de Odobesti</t>
  </si>
  <si>
    <t xml:space="preserve">Vitis vinifera subsp vinifera cv. Galbena uriasa</t>
  </si>
  <si>
    <t xml:space="preserve">Vitis vinifera subsp vinifera cv. Galbena verde</t>
  </si>
  <si>
    <t xml:space="preserve">Vitis vinifera subsp vinifera cv. Galego de Montemor</t>
  </si>
  <si>
    <t xml:space="preserve">Vitis vinifera subsp vinifera cv. Galego dourado</t>
  </si>
  <si>
    <t xml:space="preserve">Vitis vinifera subsp vinifera cv. Galotta</t>
  </si>
  <si>
    <t xml:space="preserve">Vitis vinifera subsp vinifera cv. Galvani = Pirovano 86</t>
  </si>
  <si>
    <t xml:space="preserve">Vitis vinifera subsp vinifera cv. Gamarelha branca</t>
  </si>
  <si>
    <t xml:space="preserve">Vitis vinifera subsp vinifera cv. Gamaret</t>
  </si>
  <si>
    <t xml:space="preserve">Vitis vinifera subsp vinifera cv. Gamay</t>
  </si>
  <si>
    <t xml:space="preserve">Vitis vinifera subsp vinifera cv. Gamay à fleurs doubles</t>
  </si>
  <si>
    <t xml:space="preserve">Vitis vinifera subsp vinifera cv. Gamay blanc Gloriod</t>
  </si>
  <si>
    <t xml:space="preserve">Vitis vinifera subsp vinifera cv. Gamay Castille</t>
  </si>
  <si>
    <t xml:space="preserve">Vitis vinifera subsp vinifera cv. Gamay Castille mutation blanche</t>
  </si>
  <si>
    <t xml:space="preserve">Vitis vinifera subsp vinifera cv. Gamay de Bouze</t>
  </si>
  <si>
    <t xml:space="preserve">Vitis vinifera subsp vinifera cv. Gamay de Chaudenay</t>
  </si>
  <si>
    <t xml:space="preserve">Vitis vinifera subsp vinifera cv. Gamay Fréaux</t>
  </si>
  <si>
    <t xml:space="preserve">Vitis vinifera subsp vinifera cv. Gamay gris</t>
  </si>
  <si>
    <t xml:space="preserve">Vitis vinifera subsp vinifera cv. Gamay mourot</t>
  </si>
  <si>
    <t xml:space="preserve">Vitis vinifera subsp vinifera cv. Gamay précoce noir</t>
  </si>
  <si>
    <t xml:space="preserve">Vitis vinifera subsp vinifera cv. Gamza de Varna</t>
  </si>
  <si>
    <t xml:space="preserve">Vitis vinifera subsp vinifera cv. Ganson = INRA 1509-73</t>
  </si>
  <si>
    <t xml:space="preserve">Vitis vinifera subsp vinifera cv. Gantziandan</t>
  </si>
  <si>
    <t xml:space="preserve">Vitis vinifera subsp vinifera cv. Garandmak</t>
  </si>
  <si>
    <t xml:space="preserve">Vitis vinifera subsp vinifera cv. Garganega</t>
  </si>
  <si>
    <t xml:space="preserve">Vitis vinifera subsp vinifera cv. Garrido fino</t>
  </si>
  <si>
    <t xml:space="preserve">Vitis vinifera subsp vinifera cv. Garrido macho</t>
  </si>
  <si>
    <t xml:space="preserve">Vitis vinifera subsp vinifera cv. Gascon</t>
  </si>
  <si>
    <t xml:space="preserve">Vitis vinifera subsp vinifera cv. Gateta</t>
  </si>
  <si>
    <t xml:space="preserve">Vitis vinifera subsp vinifera cv. Gegic</t>
  </si>
  <si>
    <t xml:space="preserve">Vitis vinifera subsp vinifera cv. Gelbholzer blau</t>
  </si>
  <si>
    <t xml:space="preserve">Vitis vinifera subsp vinifera cv. Gemre</t>
  </si>
  <si>
    <t xml:space="preserve">Vitis vinifera subsp vinifera cv. Général de la Marmora</t>
  </si>
  <si>
    <t xml:space="preserve">Vitis vinifera subsp vinifera cv. Général de la Marmora faux</t>
  </si>
  <si>
    <t xml:space="preserve">Vitis vinifera subsp vinifera cv. Genk Uzum</t>
  </si>
  <si>
    <t xml:space="preserve">Vitis vinifera subsp vinifera cv. Genouillet</t>
  </si>
  <si>
    <t xml:space="preserve">Vitis vinifera subsp vinifera cv. Genovèse</t>
  </si>
  <si>
    <t xml:space="preserve">Vitis vinifera subsp vinifera cv. Gewürztraminer</t>
  </si>
  <si>
    <t xml:space="preserve">Vitis vinifera subsp vinifera cv. Gheméra</t>
  </si>
  <si>
    <t xml:space="preserve">Vitis vinifera subsp vinifera cv. Ghiouroukiko</t>
  </si>
  <si>
    <t xml:space="preserve">Vitis vinifera subsp vinifera cv. Gholadon</t>
  </si>
  <si>
    <t xml:space="preserve">Vitis vinifera subsp vinifera cv. Gibert</t>
  </si>
  <si>
    <t xml:space="preserve">Vitis vinifera subsp vinifera cv. Gibi</t>
  </si>
  <si>
    <t xml:space="preserve">Vitis vinifera subsp vinifera cv. Gierniolat</t>
  </si>
  <si>
    <t xml:space="preserve">Vitis vinifera subsp vinifera cv. Gildé</t>
  </si>
  <si>
    <t xml:space="preserve">Vitis vinifera subsp vinifera cv. Giro</t>
  </si>
  <si>
    <t xml:space="preserve">Vitis vinifera subsp vinifera cv. Giro (Iles Baléares)</t>
  </si>
  <si>
    <t xml:space="preserve">Vitis vinifera subsp vinifera cv. Glacière</t>
  </si>
  <si>
    <t xml:space="preserve">Vitis vinifera subsp vinifera cv. Gloria Hungariae</t>
  </si>
  <si>
    <t xml:space="preserve">Vitis vinifera subsp vinifera cv. Glycostaphyllo</t>
  </si>
  <si>
    <t xml:space="preserve">Vitis vinifera subsp vinifera cv. Goher</t>
  </si>
  <si>
    <t xml:space="preserve">Vitis vinifera subsp vinifera cv. Goher Piros</t>
  </si>
  <si>
    <t xml:space="preserve">Vitis vinifera subsp vinifera cv. Goher valtözö</t>
  </si>
  <si>
    <t xml:space="preserve">Vitis vinifera subsp vinifera cv. Gold</t>
  </si>
  <si>
    <t xml:space="preserve">Vitis vinifera subsp vinifera cv. Golden champion = Mill Hill Hamburg</t>
  </si>
  <si>
    <t xml:space="preserve">Vitis vinifera subsp vinifera cv. Golden Queen</t>
  </si>
  <si>
    <t xml:space="preserve">Vitis vinifera subsp vinifera cv. Goldriesling B</t>
  </si>
  <si>
    <t xml:space="preserve">Vitis vinifera subsp vinifera cv. Gora Chirine</t>
  </si>
  <si>
    <t xml:space="preserve">Vitis vinifera subsp vinifera cv. Gora Chirine rose</t>
  </si>
  <si>
    <t xml:space="preserve">Vitis vinifera subsp vinifera cv. Gordan</t>
  </si>
  <si>
    <t xml:space="preserve">Vitis vinifera subsp vinifera cv. Gordin</t>
  </si>
  <si>
    <t xml:space="preserve">Vitis vinifera subsp vinifera cv. Gordin gurguiat</t>
  </si>
  <si>
    <t xml:space="preserve">Vitis vinifera subsp vinifera cv. Gorgollosa</t>
  </si>
  <si>
    <t xml:space="preserve">Vitis vinifera subsp vinifera cv. Goron</t>
  </si>
  <si>
    <t xml:space="preserve">Vitis vinifera subsp vinifera cv. Gouais blanc</t>
  </si>
  <si>
    <t xml:space="preserve">Vitis vinifera subsp vinifera cv. Gouget</t>
  </si>
  <si>
    <t xml:space="preserve">Vitis vinifera subsp vinifera cv. Gounaïa</t>
  </si>
  <si>
    <t xml:space="preserve">Vitis vinifera subsp vinifera cv. Goustoulidi</t>
  </si>
  <si>
    <t xml:space="preserve">Vitis vinifera subsp vinifera cv. Goyura</t>
  </si>
  <si>
    <t xml:space="preserve">Vitis vinifera subsp vinifera cv. Gradiska</t>
  </si>
  <si>
    <t xml:space="preserve">Vitis vinifera subsp vinifera cv. Graisse</t>
  </si>
  <si>
    <t xml:space="preserve">Vitis vinifera subsp vinifera cv. Gramon = INRA 1740-774</t>
  </si>
  <si>
    <t xml:space="preserve">Vitis vinifera subsp vinifera cv. Grand Noir de la Calmette</t>
  </si>
  <si>
    <t xml:space="preserve">Vitis vinifera subsp vinifera cv. Granoir</t>
  </si>
  <si>
    <t xml:space="preserve">Vitis vinifera subsp vinifera cv. Grappenoux</t>
  </si>
  <si>
    <t xml:space="preserve">Vitis vinifera subsp vinifera cv. Grasa de Cotnari</t>
  </si>
  <si>
    <t xml:space="preserve">Vitis vinifera subsp vinifera cv. Grassen</t>
  </si>
  <si>
    <t xml:space="preserve">Vitis vinifera subsp vinifera cv. Grec blanc</t>
  </si>
  <si>
    <t xml:space="preserve">Vitis vinifera subsp vinifera cv. Grec rouge</t>
  </si>
  <si>
    <t xml:space="preserve">Vitis vinifera subsp vinifera cv. Grecanico</t>
  </si>
  <si>
    <t xml:space="preserve">Vitis vinifera subsp vinifera cv. Grechetto</t>
  </si>
  <si>
    <t xml:space="preserve">Vitis vinifera subsp vinifera cv. Greco bianco</t>
  </si>
  <si>
    <t xml:space="preserve">Vitis vinifera subsp vinifera cv. Greco bianco di tufo</t>
  </si>
  <si>
    <t xml:space="preserve">Vitis vinifera subsp vinifera cv. Greco nero</t>
  </si>
  <si>
    <t xml:space="preserve">Vitis vinifera subsp vinifera cv. Grenache</t>
  </si>
  <si>
    <t xml:space="preserve">Vitis vinifera subsp vinifera cv. Grenache blanc</t>
  </si>
  <si>
    <t xml:space="preserve">Vitis vinifera subsp vinifera cv. Grenache gris</t>
  </si>
  <si>
    <t xml:space="preserve">Vitis vinifera subsp vinifera cv. Grenache noir femelle</t>
  </si>
  <si>
    <t xml:space="preserve">Vitis vinifera subsp vinifera cv. Grignolino</t>
  </si>
  <si>
    <t xml:space="preserve">Vitis vinifera subsp vinifera cv. Grillo</t>
  </si>
  <si>
    <t xml:space="preserve">Vitis vinifera subsp vinifera cv. Gringet</t>
  </si>
  <si>
    <t xml:space="preserve">Vitis vinifera subsp vinifera cv. Grk</t>
  </si>
  <si>
    <t xml:space="preserve">Vitis vinifera subsp vinifera cv. Grolleau</t>
  </si>
  <si>
    <t xml:space="preserve">Vitis vinifera subsp vinifera cv. Grolleau blanc</t>
  </si>
  <si>
    <t xml:space="preserve">Vitis vinifera subsp vinifera cv. Grolleau gris</t>
  </si>
  <si>
    <t xml:space="preserve">Vitis vinifera subsp vinifera cv. Gropello di San Stefano</t>
  </si>
  <si>
    <t xml:space="preserve">Vitis vinifera subsp vinifera cv. Gropello gentile</t>
  </si>
  <si>
    <t xml:space="preserve">Vitis vinifera subsp vinifera cv. Gros Bec</t>
  </si>
  <si>
    <t xml:space="preserve">Vitis vinifera subsp vinifera cv. Gros Blanc</t>
  </si>
  <si>
    <t xml:space="preserve">Vitis vinifera subsp vinifera cv. Gros Bourgogne</t>
  </si>
  <si>
    <t xml:space="preserve">Vitis vinifera subsp vinifera cv. Gros Bouschet</t>
  </si>
  <si>
    <t xml:space="preserve">Vitis vinifera subsp vinifera cv. Gros Cabernet</t>
  </si>
  <si>
    <t xml:space="preserve">Vitis vinifera subsp vinifera cv. Gros Colman</t>
  </si>
  <si>
    <t xml:space="preserve">Vitis vinifera subsp vinifera cv. Gros Manseng</t>
  </si>
  <si>
    <t xml:space="preserve">Vitis vinifera subsp vinifera cv. Gros Manseng de Lucq</t>
  </si>
  <si>
    <t xml:space="preserve">Vitis vinifera subsp vinifera cv. Gros Manseng Meunier</t>
  </si>
  <si>
    <t xml:space="preserve">Vitis vinifera subsp vinifera cv. Gros Mansois</t>
  </si>
  <si>
    <t xml:space="preserve">Vitis vinifera subsp vinifera cv. Gros Maroc</t>
  </si>
  <si>
    <t xml:space="preserve">Vitis vinifera subsp vinifera cv. Gros noir des Beni Abès</t>
  </si>
  <si>
    <t xml:space="preserve">Vitis vinifera subsp vinifera cv. Gros Péjac</t>
  </si>
  <si>
    <t xml:space="preserve">Vitis vinifera subsp vinifera cv. Gros Verdot</t>
  </si>
  <si>
    <t xml:space="preserve">Vitis vinifera subsp vinifera cv. Gros Vert</t>
  </si>
  <si>
    <t xml:space="preserve">Vitis vinifera subsp vinifera cv. Gros Vert noir</t>
  </si>
  <si>
    <t xml:space="preserve">Vitis vinifera subsp vinifera cv. Grosse Jacquère</t>
  </si>
  <si>
    <t xml:space="preserve">Vitis vinifera subsp vinifera cv. Grosse Roussette</t>
  </si>
  <si>
    <t xml:space="preserve">Vitis vinifera subsp vinifera cv. Guadurea</t>
  </si>
  <si>
    <t xml:space="preserve">Vitis vinifera subsp vinifera cv. Gualarido</t>
  </si>
  <si>
    <t xml:space="preserve">Vitis vinifera subsp vinifera cv. Guarnaccia</t>
  </si>
  <si>
    <t xml:space="preserve">Vitis vinifera subsp vinifera cv. Gueuche blanc</t>
  </si>
  <si>
    <t xml:space="preserve">Vitis vinifera subsp vinifera cv. Gueuche noir</t>
  </si>
  <si>
    <t xml:space="preserve">Vitis vinifera subsp vinifera cv. Guignard de Saintours</t>
  </si>
  <si>
    <t xml:space="preserve">Vitis vinifera subsp vinifera cv. Guillany Imre</t>
  </si>
  <si>
    <t xml:space="preserve">Vitis vinifera subsp vinifera cv. Guillemot</t>
  </si>
  <si>
    <t xml:space="preserve">Vitis vinifera subsp vinifera cv. Guiouliabi dagestanskii</t>
  </si>
  <si>
    <t xml:space="preserve">Vitis vinifera subsp vinifera cv. Gustavne Szauter</t>
  </si>
  <si>
    <t xml:space="preserve">Vitis vinifera subsp vinifera cv. Gyöngy feher</t>
  </si>
  <si>
    <t xml:space="preserve">Vitis vinifera subsp vinifera cv. Gyöngy szölö</t>
  </si>
  <si>
    <t xml:space="preserve">Vitis vinifera subsp vinifera cv. Hadari</t>
  </si>
  <si>
    <t xml:space="preserve">Vitis vinifera subsp vinifera cv. Hagi ali negru</t>
  </si>
  <si>
    <t xml:space="preserve">Vitis vinifera subsp vinifera cv. Halholyag</t>
  </si>
  <si>
    <t xml:space="preserve">Vitis vinifera subsp vinifera cv. Hammami</t>
  </si>
  <si>
    <t xml:space="preserve">Vitis vinifera subsp vinifera cv. Hamvas</t>
  </si>
  <si>
    <t xml:space="preserve">Vitis vinifera subsp vinifera cv. Hängling blau</t>
  </si>
  <si>
    <t xml:space="preserve">Vitis vinifera subsp vinifera cv. Hansen rot</t>
  </si>
  <si>
    <t xml:space="preserve">Vitis vinifera subsp vinifera cv. Harslevelu</t>
  </si>
  <si>
    <t xml:space="preserve">Vitis vinifera subsp vinifera cv. Hasan dede</t>
  </si>
  <si>
    <t xml:space="preserve">Vitis vinifera subsp vinifera cv. Hebron blanc</t>
  </si>
  <si>
    <t xml:space="preserve">Vitis vinifera subsp vinifera cv. Hegedüs Sandor</t>
  </si>
  <si>
    <t xml:space="preserve">Vitis vinifera subsp vinifera cv. Hegoa</t>
  </si>
  <si>
    <t xml:space="preserve">Vitis vinifera subsp vinifera cv. Helfensteiner = We S 5332</t>
  </si>
  <si>
    <t xml:space="preserve">Vitis vinifera subsp vinifera cv. Henab</t>
  </si>
  <si>
    <t xml:space="preserve">Vitis vinifera subsp vinifera cv. Henab turki faux</t>
  </si>
  <si>
    <t xml:space="preserve">Vitis vinifera subsp vinifera cv. Heptakilo</t>
  </si>
  <si>
    <t xml:space="preserve">Vitis vinifera subsp vinifera cv. Heroldrebe = We S 130</t>
  </si>
  <si>
    <t xml:space="preserve">Vitis vinifera subsp vinifera cv. Heunisch blanc</t>
  </si>
  <si>
    <t xml:space="preserve">Vitis vinifera subsp vinifera cv. Heunisch noir</t>
  </si>
  <si>
    <t xml:space="preserve">Vitis vinifera subsp vinifera cv. Heunisch rose</t>
  </si>
  <si>
    <t xml:space="preserve">Vitis vinifera subsp vinifera cv. Hibou blanc</t>
  </si>
  <si>
    <t xml:space="preserve">Vitis vinifera subsp vinifera cv. Hibou noir</t>
  </si>
  <si>
    <t xml:space="preserve">Vitis vinifera subsp vinifera cv. Himoniatiko</t>
  </si>
  <si>
    <t xml:space="preserve">Vitis vinifera subsp vinifera cv. Honigler</t>
  </si>
  <si>
    <t xml:space="preserve">Vitis vinifera subsp vinifera cv. Horoz karasi</t>
  </si>
  <si>
    <t xml:space="preserve">Vitis vinifera subsp vinifera cv. Hosszunyelu</t>
  </si>
  <si>
    <t xml:space="preserve">Vitis vinifera subsp vinifera cv. Humagne blanche</t>
  </si>
  <si>
    <t xml:space="preserve">Vitis vinifera subsp vinifera cv. Humagne rouge</t>
  </si>
  <si>
    <t xml:space="preserve">Vitis vinifera subsp vinifera cv. Hunisa</t>
  </si>
  <si>
    <t xml:space="preserve">Vitis vinifera subsp vinifera cv. Hunyadi = Horty Miklosné</t>
  </si>
  <si>
    <t xml:space="preserve">Vitis vinifera subsp vinifera cv. Husseini (Afghanistan)</t>
  </si>
  <si>
    <t xml:space="preserve">Vitis vinifera subsp vinifera cv. Husseini (Etats-Unis)</t>
  </si>
  <si>
    <t xml:space="preserve">Vitis vinifera subsp vinifera cv. Huxelrebe = Alzey 3962</t>
  </si>
  <si>
    <t xml:space="preserve">Vitis vinifera subsp vinifera cv. Icod de los Vinos</t>
  </si>
  <si>
    <t xml:space="preserve">Vitis vinifera subsp vinifera cv. Ida</t>
  </si>
  <si>
    <t xml:space="preserve">Vitis vinifera subsp vinifera cv. Igherziz</t>
  </si>
  <si>
    <t xml:space="preserve">Vitis vinifera subsp vinifera cv. Ignea = Pirovano 185</t>
  </si>
  <si>
    <t xml:space="preserve">Vitis vinifera subsp vinifera cv. ¿illade du 1er Août</t>
  </si>
  <si>
    <t xml:space="preserve">Vitis vinifera subsp vinifera cv. Imperatriz</t>
  </si>
  <si>
    <t xml:space="preserve">Vitis vinifera subsp vinifera cv. Impero = Pirovano 264</t>
  </si>
  <si>
    <t xml:space="preserve">Vitis vinifera subsp vinifera cv. Impigno</t>
  </si>
  <si>
    <t xml:space="preserve">Vitis vinifera subsp vinifera cv. Inab el Mir</t>
  </si>
  <si>
    <t xml:space="preserve">Vitis vinifera subsp vinifera cv. Inconnu blanc</t>
  </si>
  <si>
    <t xml:space="preserve">Vitis vinifera subsp vinifera cv. Inconnu blanc de Jongieux</t>
  </si>
  <si>
    <t xml:space="preserve">Vitis vinifera subsp vinifera cv. Inconnu noir</t>
  </si>
  <si>
    <t xml:space="preserve">Vitis vinifera subsp vinifera cv. Ingram's Hardy Prolific</t>
  </si>
  <si>
    <t xml:space="preserve">Vitis vinifera subsp vinifera cv. Inzolia</t>
  </si>
  <si>
    <t xml:space="preserve">Vitis vinifera subsp vinifera cv. Irki</t>
  </si>
  <si>
    <t xml:space="preserve">Vitis vinifera subsp vinifera cv. Irsay Oliver</t>
  </si>
  <si>
    <t xml:space="preserve">Vitis vinifera subsp vinifera cv. Isa = INRA 2012-55</t>
  </si>
  <si>
    <t xml:space="preserve">Vitis vinifera subsp vinifera cv. Ispisari</t>
  </si>
  <si>
    <t xml:space="preserve">Vitis vinifera subsp vinifera cv. Italia = Pirovano 65</t>
  </si>
  <si>
    <t xml:space="preserve">Vitis vinifera subsp vinifera cv. Italia rubi</t>
  </si>
  <si>
    <t xml:space="preserve">Vitis vinifera subsp vinifera cv. Itchkimar biely</t>
  </si>
  <si>
    <t xml:space="preserve">Vitis vinifera subsp vinifera cv. Ithaki</t>
  </si>
  <si>
    <t xml:space="preserve">Vitis vinifera subsp vinifera cv. Itshkimar</t>
  </si>
  <si>
    <t xml:space="preserve">Vitis vinifera subsp vinifera cv. Ivan</t>
  </si>
  <si>
    <t xml:space="preserve">Vitis vinifera subsp vinifera cv. Izsaki sarfeher</t>
  </si>
  <si>
    <t xml:space="preserve">Vitis vinifera subsp vinifera cv. Jacquère</t>
  </si>
  <si>
    <t xml:space="preserve">Vitis vinifera subsp vinifera cv. Jacquère noire faux</t>
  </si>
  <si>
    <t xml:space="preserve">Vitis vinifera subsp vinifera cv. Jaen</t>
  </si>
  <si>
    <t xml:space="preserve">Vitis vinifera subsp vinifera cv. Jaen negro</t>
  </si>
  <si>
    <t xml:space="preserve">Vitis vinifera subsp vinifera cv. Jaen noir</t>
  </si>
  <si>
    <t xml:space="preserve">Vitis vinifera subsp vinifera cv. Jahafi</t>
  </si>
  <si>
    <t xml:space="preserve">Vitis vinifera subsp vinifera cv. Jampal</t>
  </si>
  <si>
    <t xml:space="preserve">Vitis vinifera subsp vinifera cv. Jaoumet</t>
  </si>
  <si>
    <t xml:space="preserve">Vitis vinifera subsp vinifera cv. Jardovany</t>
  </si>
  <si>
    <t xml:space="preserve">Vitis vinifera subsp vinifera cv. Jardovany fekete</t>
  </si>
  <si>
    <t xml:space="preserve">Vitis vinifera subsp vinifera cv. Jaumin</t>
  </si>
  <si>
    <t xml:space="preserve">Vitis vinifera subsp vinifera cv. Javor gross</t>
  </si>
  <si>
    <t xml:space="preserve">Vitis vinifera subsp vinifera cv. Jean Bernath</t>
  </si>
  <si>
    <t xml:space="preserve">Vitis vinifera subsp vinifera cv. Jean Macé</t>
  </si>
  <si>
    <t xml:space="preserve">Vitis vinifera subsp vinifera cv. Jeludovii</t>
  </si>
  <si>
    <t xml:space="preserve">Vitis vinifera subsp vinifera cv. Jerez fina</t>
  </si>
  <si>
    <t xml:space="preserve">Vitis vinifera subsp vinifera cv. Jérusalem bleu</t>
  </si>
  <si>
    <t xml:space="preserve">Vitis vinifera subsp vinifera cv. Jijona</t>
  </si>
  <si>
    <t xml:space="preserve">Vitis vinifera subsp vinifera cv. Jo rizling</t>
  </si>
  <si>
    <t xml:space="preserve">Vitis vinifera subsp vinifera cv. Joamenco</t>
  </si>
  <si>
    <t xml:space="preserve">Vitis vinifera subsp vinifera cv. João Domingos</t>
  </si>
  <si>
    <t xml:space="preserve">Vitis vinifera subsp vinifera cv. Joubertin</t>
  </si>
  <si>
    <t xml:space="preserve">Vitis vinifera subsp vinifera cv. Joumalak biely</t>
  </si>
  <si>
    <t xml:space="preserve">Vitis vinifera subsp vinifera cv. Jubilé (Bulgarie)</t>
  </si>
  <si>
    <t xml:space="preserve">Vitis vinifera subsp vinifera cv. Juhfark</t>
  </si>
  <si>
    <t xml:space="preserve">Vitis vinifera subsp vinifera cv. Julius Caesar</t>
  </si>
  <si>
    <t xml:space="preserve">Vitis vinifera subsp vinifera cv. July Muscat</t>
  </si>
  <si>
    <t xml:space="preserve">Vitis vinifera subsp vinifera cv. Jurançon blanc</t>
  </si>
  <si>
    <t xml:space="preserve">Vitis vinifera subsp vinifera cv. Jurançon noir</t>
  </si>
  <si>
    <t xml:space="preserve">Vitis vinifera subsp vinifera cv. Kabyle noir</t>
  </si>
  <si>
    <t xml:space="preserve">Vitis vinifera subsp vinifera cv. Kadarka</t>
  </si>
  <si>
    <t xml:space="preserve">Vitis vinifera subsp vinifera cv. Kadarka Szürke</t>
  </si>
  <si>
    <t xml:space="preserve">Vitis vinifera subsp vinifera cv. Kadarka Török</t>
  </si>
  <si>
    <t xml:space="preserve">Vitis vinifera subsp vinifera cv. Kadarun</t>
  </si>
  <si>
    <t xml:space="preserve">Vitis vinifera subsp vinifera cv. Kaisermuskat</t>
  </si>
  <si>
    <t xml:space="preserve">Vitis vinifera subsp vinifera cv. Kakkete</t>
  </si>
  <si>
    <t xml:space="preserve">Vitis vinifera subsp vinifera cv. Kakourdess blanc</t>
  </si>
  <si>
    <t xml:space="preserve">Vitis vinifera subsp vinifera cv. Kalecik siyahi</t>
  </si>
  <si>
    <t xml:space="preserve">Vitis vinifera subsp vinifera cv. Kalili</t>
  </si>
  <si>
    <t xml:space="preserve">Vitis vinifera subsp vinifera cv. Kalina</t>
  </si>
  <si>
    <t xml:space="preserve">Vitis vinifera subsp vinifera cv. Kandahar</t>
  </si>
  <si>
    <t xml:space="preserve">Vitis vinifera subsp vinifera cv. Kandari</t>
  </si>
  <si>
    <t xml:space="preserve">Vitis vinifera subsp vinifera cv. Kanigl grün</t>
  </si>
  <si>
    <t xml:space="preserve">Vitis vinifera subsp vinifera cv. Kanzler = Alzey 3983</t>
  </si>
  <si>
    <t xml:space="preserve">Vitis vinifera subsp vinifera cv. Kaouchansky</t>
  </si>
  <si>
    <t xml:space="preserve">Vitis vinifera subsp vinifera cv. Kara kaltak</t>
  </si>
  <si>
    <t xml:space="preserve">Vitis vinifera subsp vinifera cv. Kara ouzume Aschkhabadsky</t>
  </si>
  <si>
    <t xml:space="preserve">Vitis vinifera subsp vinifera cv. Kara Palvan</t>
  </si>
  <si>
    <t xml:space="preserve">Vitis vinifera subsp vinifera cv. Kara papigi</t>
  </si>
  <si>
    <t xml:space="preserve">Vitis vinifera subsp vinifera cv. Karabraimis</t>
  </si>
  <si>
    <t xml:space="preserve">Vitis vinifera subsp vinifera cv. Karasakiz</t>
  </si>
  <si>
    <t xml:space="preserve">Vitis vinifera subsp vinifera cv. Karitsiotis</t>
  </si>
  <si>
    <t xml:space="preserve">Vitis vinifera subsp vinifera cv. Karmir Kakhani</t>
  </si>
  <si>
    <t xml:space="preserve">Vitis vinifera subsp vinifera cv. Karolowska</t>
  </si>
  <si>
    <t xml:space="preserve">Vitis vinifera subsp vinifera cv. Karroo belle</t>
  </si>
  <si>
    <t xml:space="preserve">Vitis vinifera subsp vinifera cv. Karydato</t>
  </si>
  <si>
    <t xml:space="preserve">Vitis vinifera subsp vinifera cv. Karystino</t>
  </si>
  <si>
    <t xml:space="preserve">Vitis vinifera subsp vinifera cv. Kasoufi de la Bekaa</t>
  </si>
  <si>
    <t xml:space="preserve">Vitis vinifera subsp vinifera cv. Kasoufi enta</t>
  </si>
  <si>
    <t xml:space="preserve">Vitis vinifera subsp vinifera cv. Kassoufi</t>
  </si>
  <si>
    <t xml:space="preserve">Vitis vinifera subsp vinifera cv. Kata</t>
  </si>
  <si>
    <t xml:space="preserve">Vitis vinifera subsp vinifera cv. Katsacoulias</t>
  </si>
  <si>
    <t xml:space="preserve">Vitis vinifera subsp vinifera cv. Katta kourgan</t>
  </si>
  <si>
    <t xml:space="preserve">Vitis vinifera subsp vinifera cv. Kauka blau</t>
  </si>
  <si>
    <t xml:space="preserve">Vitis vinifera subsp vinifera cv. Kaytagi rose</t>
  </si>
  <si>
    <t xml:space="preserve">Vitis vinifera subsp vinifera cv. Kechmisch aly violet</t>
  </si>
  <si>
    <t xml:space="preserve">Vitis vinifera subsp vinifera cv. Kecskecsecsu kek</t>
  </si>
  <si>
    <t xml:space="preserve">Vitis vinifera subsp vinifera cv. Kecskecsecsu roszas piros</t>
  </si>
  <si>
    <t xml:space="preserve">Vitis vinifera subsp vinifera cv. Kecskemet kincse</t>
  </si>
  <si>
    <t xml:space="preserve">Vitis vinifera subsp vinifera cv. Kecskemet Szepe</t>
  </si>
  <si>
    <t xml:space="preserve">Vitis vinifera subsp vinifera cv. Kecskemeti izes</t>
  </si>
  <si>
    <t xml:space="preserve">Vitis vinifera subsp vinifera cv. Kecskemeti rizling</t>
  </si>
  <si>
    <t xml:space="preserve">Vitis vinifera subsp vinifera cv. Kefessia</t>
  </si>
  <si>
    <t xml:space="preserve">Vitis vinifera subsp vinifera cv. Kekhlibar</t>
  </si>
  <si>
    <t xml:space="preserve">Vitis vinifera subsp vinifera cv. Keknyelü</t>
  </si>
  <si>
    <t xml:space="preserve">Vitis vinifera subsp vinifera cv. Kerner = We S 25-30</t>
  </si>
  <si>
    <t xml:space="preserve">Vitis vinifera subsp vinifera cv. Keropodia</t>
  </si>
  <si>
    <t xml:space="preserve">Vitis vinifera subsp vinifera cv. Khalili Piskakes</t>
  </si>
  <si>
    <t xml:space="preserve">Vitis vinifera subsp vinifera cv. Khalili tcherni</t>
  </si>
  <si>
    <t xml:space="preserve">Vitis vinifera subsp vinifera cv. Khalt</t>
  </si>
  <si>
    <t xml:space="preserve">Vitis vinifera subsp vinifera cv. Khatmi</t>
  </si>
  <si>
    <t xml:space="preserve">Vitis vinifera subsp vinifera cv. Khikhvi</t>
  </si>
  <si>
    <t xml:space="preserve">Vitis vinifera subsp vinifera cv. Khindogny</t>
  </si>
  <si>
    <t xml:space="preserve">Vitis vinifera subsp vinifera cv. Khoussaïné blanc</t>
  </si>
  <si>
    <t xml:space="preserve">Vitis vinifera subsp vinifera cv. Kibraiski</t>
  </si>
  <si>
    <t xml:space="preserve">Vitis vinifera subsp vinifera cv. Kichmich chichraou</t>
  </si>
  <si>
    <t xml:space="preserve">Vitis vinifera subsp vinifera cv. Kichmich rond</t>
  </si>
  <si>
    <t xml:space="preserve">Vitis vinifera subsp vinifera cv. Kincsem</t>
  </si>
  <si>
    <t xml:space="preserve">Vitis vinifera subsp vinifera cv. Kizil</t>
  </si>
  <si>
    <t xml:space="preserve">Vitis vinifera subsp vinifera cv. Kizil sapak</t>
  </si>
  <si>
    <t xml:space="preserve">Vitis vinifera subsp vinifera cv. Knipperlé</t>
  </si>
  <si>
    <t xml:space="preserve">Vitis vinifera subsp vinifera cv. Kocsis Irma</t>
  </si>
  <si>
    <t xml:space="preserve">Vitis vinifera subsp vinifera cv. Kocsis Pal szilvanija</t>
  </si>
  <si>
    <t xml:space="preserve">Vitis vinifera subsp vinifera cv. Kocsis Sandor</t>
  </si>
  <si>
    <t xml:space="preserve">Vitis vinifera subsp vinifera cv. Kokkinellia</t>
  </si>
  <si>
    <t xml:space="preserve">Vitis vinifera subsp vinifera cv. Kokkinostaphylo</t>
  </si>
  <si>
    <t xml:space="preserve">Vitis vinifera subsp vinifera cv. Kokour bely</t>
  </si>
  <si>
    <t xml:space="preserve">Vitis vinifera subsp vinifera cv. Kolliniatico</t>
  </si>
  <si>
    <t xml:space="preserve">Vitis vinifera subsp vinifera cv. Kölner blau</t>
  </si>
  <si>
    <t xml:space="preserve">Vitis vinifera subsp vinifera cv. Kolokythas avgoulatos</t>
  </si>
  <si>
    <t xml:space="preserve">Vitis vinifera subsp vinifera cv. Kolontar</t>
  </si>
  <si>
    <t xml:space="preserve">Vitis vinifera subsp vinifera cv. Königstraube</t>
  </si>
  <si>
    <t xml:space="preserve">Vitis vinifera subsp vinifera cv. Kontocladi</t>
  </si>
  <si>
    <t xml:space="preserve">Vitis vinifera subsp vinifera cv. Korai Olasz</t>
  </si>
  <si>
    <t xml:space="preserve">Vitis vinifera subsp vinifera cv. Korithi à gros grains</t>
  </si>
  <si>
    <t xml:space="preserve">Vitis vinifera subsp vinifera cv. Korithi aspro</t>
  </si>
  <si>
    <t xml:space="preserve">Vitis vinifera subsp vinifera cv. Korithi mavro</t>
  </si>
  <si>
    <t xml:space="preserve">Vitis vinifera subsp vinifera cv. Koritsanos rouge</t>
  </si>
  <si>
    <t xml:space="preserve">Vitis vinifera subsp vinifera cv. Koshu noir faux</t>
  </si>
  <si>
    <t xml:space="preserve">Vitis vinifera subsp vinifera cv. Kossorotovsky</t>
  </si>
  <si>
    <t xml:space="preserve">Vitis vinifera subsp vinifera cv. Kotselina</t>
  </si>
  <si>
    <t xml:space="preserve">Vitis vinifera subsp vinifera cv. Kotsiphali</t>
  </si>
  <si>
    <t xml:space="preserve">Vitis vinifera subsp vinifera cv. Koudsi</t>
  </si>
  <si>
    <t xml:space="preserve">Vitis vinifera subsp vinifera cv. Kouldjinsky</t>
  </si>
  <si>
    <t xml:space="preserve">Vitis vinifera subsp vinifera cv. Koumari</t>
  </si>
  <si>
    <t xml:space="preserve">Vitis vinifera subsp vinifera cv. Kouroupitsa</t>
  </si>
  <si>
    <t xml:space="preserve">Vitis vinifera subsp vinifera cv. Koussan</t>
  </si>
  <si>
    <t xml:space="preserve">Vitis vinifera subsp vinifera cv. Kovacsi feher</t>
  </si>
  <si>
    <t xml:space="preserve">Vitis vinifera subsp vinifera cv. Kovalevka</t>
  </si>
  <si>
    <t xml:space="preserve">Vitis vinifera subsp vinifera cv. Kövidinka</t>
  </si>
  <si>
    <t xml:space="preserve">Vitis vinifera subsp vinifera cv. Koytsoumbeli aspro</t>
  </si>
  <si>
    <t xml:space="preserve">Vitis vinifera subsp vinifera cv. Koz ouzioum</t>
  </si>
  <si>
    <t xml:space="preserve">Vitis vinifera subsp vinifera cv. Kozanitis</t>
  </si>
  <si>
    <t xml:space="preserve">Vitis vinifera subsp vinifera cv. Kozma</t>
  </si>
  <si>
    <t xml:space="preserve">Vitis vinifera subsp vinifera cv. Kracher gelber</t>
  </si>
  <si>
    <t xml:space="preserve">Vitis vinifera subsp vinifera cv. Krakhouna</t>
  </si>
  <si>
    <t xml:space="preserve">Vitis vinifera subsp vinifera cv. Krasnostop zolotowskii</t>
  </si>
  <si>
    <t xml:space="preserve">Vitis vinifera subsp vinifera cv. Kravi tzitzi</t>
  </si>
  <si>
    <t xml:space="preserve">Vitis vinifera subsp vinifera cv. Krestovsky</t>
  </si>
  <si>
    <t xml:space="preserve">Vitis vinifera subsp vinifera cv. Kroustalli</t>
  </si>
  <si>
    <t xml:space="preserve">Vitis vinifera subsp vinifera cv. Kujundzusa</t>
  </si>
  <si>
    <t xml:space="preserve">Vitis vinifera subsp vinifera cv. Kurtelaska</t>
  </si>
  <si>
    <t xml:space="preserve">Vitis vinifera subsp vinifera cv. Kypreiko</t>
  </si>
  <si>
    <t xml:space="preserve">Vitis vinifera subsp vinifera cv. La Guitte</t>
  </si>
  <si>
    <t xml:space="preserve">Vitis vinifera subsp vinifera cv. La Rochelle</t>
  </si>
  <si>
    <t xml:space="preserve">Vitis vinifera subsp vinifera cv. Laadari</t>
  </si>
  <si>
    <t xml:space="preserve">Vitis vinifera subsp vinifera cv. Labrusco</t>
  </si>
  <si>
    <t xml:space="preserve">Vitis vinifera subsp vinifera cv. Lacrima di Maria</t>
  </si>
  <si>
    <t xml:space="preserve">Vitis vinifera subsp vinifera cv. Lacryma Christi</t>
  </si>
  <si>
    <t xml:space="preserve">Vitis vinifera subsp vinifera cv. Ladikino</t>
  </si>
  <si>
    <t xml:space="preserve">Vitis vinifera subsp vinifera cv. Lady Downe's seedling</t>
  </si>
  <si>
    <t xml:space="preserve">Vitis vinifera subsp vinifera cv. Lady Hastings</t>
  </si>
  <si>
    <t xml:space="preserve">Vitis vinifera subsp vinifera cv. Lafayette</t>
  </si>
  <si>
    <t xml:space="preserve">Vitis vinifera subsp vinifera cv. Lagauzère A</t>
  </si>
  <si>
    <t xml:space="preserve">Vitis vinifera subsp vinifera cv. Lagauzère B</t>
  </si>
  <si>
    <t xml:space="preserve">Vitis vinifera subsp vinifera cv. Lagauzère C</t>
  </si>
  <si>
    <t xml:space="preserve">Vitis vinifera subsp vinifera cv. Lagauzère E</t>
  </si>
  <si>
    <t xml:space="preserve">Vitis vinifera subsp vinifera cv. Lagauzère 19</t>
  </si>
  <si>
    <t xml:space="preserve">Vitis vinifera subsp vinifera cv. Lagauzère 20</t>
  </si>
  <si>
    <t xml:space="preserve">Vitis vinifera subsp vinifera cv. Lagauzère 21</t>
  </si>
  <si>
    <t xml:space="preserve">Vitis vinifera subsp vinifera cv. Lagorthi</t>
  </si>
  <si>
    <t xml:space="preserve">Vitis vinifera subsp vinifera cv. Lagrein</t>
  </si>
  <si>
    <t xml:space="preserve">Vitis vinifera subsp vinifera cv. Lahntraube</t>
  </si>
  <si>
    <t xml:space="preserve">Vitis vinifera subsp vinifera cv. Lahntraube (Institut Oberlin)</t>
  </si>
  <si>
    <t xml:space="preserve">Vitis vinifera subsp vinifera cv. Lallée</t>
  </si>
  <si>
    <t xml:space="preserve">Vitis vinifera subsp vinifera cv. Lambrusco à foglia frastigliata</t>
  </si>
  <si>
    <t xml:space="preserve">Vitis vinifera subsp vinifera cv. Lambrusco di Sorbara</t>
  </si>
  <si>
    <t xml:space="preserve">Vitis vinifera subsp vinifera cv. Lambrusco grasparossa</t>
  </si>
  <si>
    <t xml:space="preserve">Vitis vinifera subsp vinifera cv. Lambrusco Maestri</t>
  </si>
  <si>
    <t xml:space="preserve">Vitis vinifera subsp vinifera cv. Lambrusco Marani</t>
  </si>
  <si>
    <t xml:space="preserve">Vitis vinifera subsp vinifera cv. Lambrusco Monterico</t>
  </si>
  <si>
    <t xml:space="preserve">Vitis vinifera subsp vinifera cv. Lambrusco oliva</t>
  </si>
  <si>
    <t xml:space="preserve">Vitis vinifera subsp vinifera cv. Lambrusco salamino</t>
  </si>
  <si>
    <t xml:space="preserve">Vitis vinifera subsp vinifera cv. Lambrusco Viadanese</t>
  </si>
  <si>
    <t xml:space="preserve">Vitis vinifera subsp vinifera cv. Lambruscone</t>
  </si>
  <si>
    <t xml:space="preserve">Vitis vinifera subsp vinifera cv. Lambrusque A</t>
  </si>
  <si>
    <t xml:space="preserve">Vitis vinifera subsp vinifera cv. lambrusque C</t>
  </si>
  <si>
    <t xml:space="preserve">Vitis vinifera subsp vinifera cv. Lambrusque D</t>
  </si>
  <si>
    <t xml:space="preserve">Vitis vinifera subsp vinifera cv. Lambrusque E</t>
  </si>
  <si>
    <t xml:space="preserve">Vitis vinifera subsp vinifera cv. Lambrusque F</t>
  </si>
  <si>
    <t xml:space="preserve">Vitis vinifera subsp vinifera cv. Lambrusque I</t>
  </si>
  <si>
    <t xml:space="preserve">Vitis vinifera subsp vinifera cv. Lambrusque J</t>
  </si>
  <si>
    <t xml:space="preserve">Vitis vinifera subsp vinifera cv. Lambrusque spontanée coloniale</t>
  </si>
  <si>
    <t xml:space="preserve">Vitis vinifera subsp vinifera cv. Lambrusque subspontanée</t>
  </si>
  <si>
    <t xml:space="preserve">Vitis vinifera subsp vinifera cv. Lamparfahr de Vany</t>
  </si>
  <si>
    <t xml:space="preserve">Vitis vinifera subsp vinifera cv. Landroter</t>
  </si>
  <si>
    <t xml:space="preserve">Vitis vinifera subsp vinifera cv. Lanjaron claro</t>
  </si>
  <si>
    <t xml:space="preserve">Vitis vinifera subsp vinifera cv. Larião</t>
  </si>
  <si>
    <t xml:space="preserve">Vitis vinifera subsp vinifera cv. Lasina</t>
  </si>
  <si>
    <t xml:space="preserve">Vitis vinifera subsp vinifera cv. Laska</t>
  </si>
  <si>
    <t xml:space="preserve">Vitis vinifera subsp vinifera cv. Latina = Pirovano 711</t>
  </si>
  <si>
    <t xml:space="preserve">Vitis vinifera subsp vinifera cv. Lattuario nero</t>
  </si>
  <si>
    <t xml:space="preserve">Vitis vinifera subsp vinifera cv. Lauzet</t>
  </si>
  <si>
    <t xml:space="preserve">Vitis vinifera subsp vinifera cv. Leanyka</t>
  </si>
  <si>
    <t xml:space="preserve">Vitis vinifera subsp vinifera cv. Leao Ferreira da Almeida 10-48-24</t>
  </si>
  <si>
    <t xml:space="preserve">Vitis vinifera subsp vinifera cv. Leao Ferreira da Almeida 29-54-30</t>
  </si>
  <si>
    <t xml:space="preserve">Vitis vinifera subsp vinifera cv. Leao Ferreira da Almeida 29-54-7</t>
  </si>
  <si>
    <t xml:space="preserve">Vitis vinifera subsp vinifera cv. Leao Ferreira da Almeida 34-49-48</t>
  </si>
  <si>
    <t xml:space="preserve">Vitis vinifera subsp vinifera cv. Leao Ferreira da Almeida 34-49-50</t>
  </si>
  <si>
    <t xml:space="preserve">Vitis vinifera subsp vinifera cv. Leao Ferreira da Almeida 37-50-8</t>
  </si>
  <si>
    <t xml:space="preserve">Vitis vinifera subsp vinifera cv. Leao Ferreira da Almeida 4-49-44</t>
  </si>
  <si>
    <t xml:space="preserve">Vitis vinifera subsp vinifera cv. Leao Ferreira da Almeida 7-49-35</t>
  </si>
  <si>
    <t xml:space="preserve">Vitis vinifera subsp vinifera cv. Lefcas</t>
  </si>
  <si>
    <t xml:space="preserve">Vitis vinifera subsp vinifera cv. Len de l'El</t>
  </si>
  <si>
    <t xml:space="preserve">Vitis vinifera subsp vinifera cv. L'Enfant trouvé</t>
  </si>
  <si>
    <t xml:space="preserve">Vitis vinifera subsp vinifera cv. Léopold III</t>
  </si>
  <si>
    <t xml:space="preserve">Vitis vinifera subsp vinifera cv. Lercat</t>
  </si>
  <si>
    <t xml:space="preserve">Vitis vinifera subsp vinifera cv. Lesz meg hazam</t>
  </si>
  <si>
    <t xml:space="preserve">Vitis vinifera subsp vinifera cv. Lialmigui</t>
  </si>
  <si>
    <t xml:space="preserve">Vitis vinifera subsp vinifera cv. Liatico</t>
  </si>
  <si>
    <t xml:space="preserve">Vitis vinifera subsp vinifera cv. Lignage</t>
  </si>
  <si>
    <t xml:space="preserve">Vitis vinifera subsp vinifera cv. Lignan</t>
  </si>
  <si>
    <t xml:space="preserve">Vitis vinifera subsp vinifera cv. Liliorila</t>
  </si>
  <si>
    <t xml:space="preserve">Vitis vinifera subsp vinifera cv. Limberger</t>
  </si>
  <si>
    <t xml:space="preserve">Vitis vinifera subsp vinifera cv. Limniona</t>
  </si>
  <si>
    <t xml:space="preserve">Vitis vinifera subsp vinifera cv. Linné</t>
  </si>
  <si>
    <t xml:space="preserve">Vitis vinifera subsp vinifera cv. Listan</t>
  </si>
  <si>
    <t xml:space="preserve">Vitis vinifera subsp vinifera cv. Lisztes feher feketefaju</t>
  </si>
  <si>
    <t xml:space="preserve">Vitis vinifera subsp vinifera cv. Lisztes piros</t>
  </si>
  <si>
    <t xml:space="preserve">Vitis vinifera subsp vinifera cv. Littorio = Pirovano 90</t>
  </si>
  <si>
    <t xml:space="preserve">Vitis vinifera subsp vinifera cv. Lival = INRA 696-11</t>
  </si>
  <si>
    <t xml:space="preserve">Vitis vinifera subsp vinifera cv. Lkeny noir</t>
  </si>
  <si>
    <t xml:space="preserve">Vitis vinifera subsp vinifera cv. Lledoner pelut</t>
  </si>
  <si>
    <t xml:space="preserve">Vitis vinifera subsp vinifera cv. Lombardia = Pirovano 353</t>
  </si>
  <si>
    <t xml:space="preserve">Vitis vinifera subsp vinifera cv. Louali</t>
  </si>
  <si>
    <t xml:space="preserve">Vitis vinifera subsp vinifera cv. Loureiro</t>
  </si>
  <si>
    <t xml:space="preserve">Vitis vinifera subsp vinifera cv. Lucien Baltet</t>
  </si>
  <si>
    <t xml:space="preserve">Vitis vinifera subsp vinifera cv. Luigi Razza = Pirovano 365</t>
  </si>
  <si>
    <t xml:space="preserve">Vitis vinifera subsp vinifera cv. Luisa blanca</t>
  </si>
  <si>
    <t xml:space="preserve">Vitis vinifera subsp vinifera cv. Lumassina</t>
  </si>
  <si>
    <t xml:space="preserve">Vitis vinifera subsp vinifera cv. Luparello</t>
  </si>
  <si>
    <t xml:space="preserve">Vitis vinifera subsp vinifera cv. Lutea = Pirovano 167</t>
  </si>
  <si>
    <t xml:space="preserve">Vitis vinifera subsp vinifera cv. Maabouri</t>
  </si>
  <si>
    <t xml:space="preserve">Vitis vinifera subsp vinifera cv. Maça</t>
  </si>
  <si>
    <t xml:space="preserve">Vitis vinifera subsp vinifera cv. Macabeu</t>
  </si>
  <si>
    <t xml:space="preserve">Vitis vinifera subsp vinifera cv. Maceratino</t>
  </si>
  <si>
    <t xml:space="preserve">Vitis vinifera subsp vinifera cv. Mackensen</t>
  </si>
  <si>
    <t xml:space="preserve">Vitis vinifera subsp vinifera cv. Madeleine angevine</t>
  </si>
  <si>
    <t xml:space="preserve">Vitis vinifera subsp vinifera cv. Madeleine angevine Oberlin</t>
  </si>
  <si>
    <t xml:space="preserve">Vitis vinifera subsp vinifera cv. Madeleine Céline</t>
  </si>
  <si>
    <t xml:space="preserve">Vitis vinifera subsp vinifera cv. Madeleine de Clermont</t>
  </si>
  <si>
    <t xml:space="preserve">Vitis vinifera subsp vinifera cv. Madeleine royale</t>
  </si>
  <si>
    <t xml:space="preserve">Vitis vinifera subsp vinifera cv. Madeleine Salomon</t>
  </si>
  <si>
    <t xml:space="preserve">Vitis vinifera subsp vinifera cv. Madeleine Sämling 18</t>
  </si>
  <si>
    <t xml:space="preserve">Vitis vinifera subsp vinifera cv. Madeleine Sämling 22</t>
  </si>
  <si>
    <t xml:space="preserve">Vitis vinifera subsp vinifera cv. Madina = INRA 2004-9</t>
  </si>
  <si>
    <t xml:space="preserve">Vitis vinifera subsp vinifera cv. Magliocco</t>
  </si>
  <si>
    <t xml:space="preserve">Vitis vinifera subsp vinifera cv. Magyartraube</t>
  </si>
  <si>
    <t xml:space="preserve">Vitis vinifera subsp vinifera cv. Maingonat 50 L 2</t>
  </si>
  <si>
    <t xml:space="preserve">Vitis vinifera subsp vinifera cv. Maingonnat 11 L 13</t>
  </si>
  <si>
    <t xml:space="preserve">Vitis vinifera subsp vinifera cv. Maingonnat 12 L 11</t>
  </si>
  <si>
    <t xml:space="preserve">Vitis vinifera subsp vinifera cv. Maingonnat 14 L 23</t>
  </si>
  <si>
    <t xml:space="preserve">Vitis vinifera subsp vinifera cv. Maingonnat 16 L 4</t>
  </si>
  <si>
    <t xml:space="preserve">Vitis vinifera subsp vinifera cv. Maingonnat 17 L 24</t>
  </si>
  <si>
    <t xml:space="preserve">Vitis vinifera subsp vinifera cv. Maingonnat 19 L 25</t>
  </si>
  <si>
    <t xml:space="preserve">Vitis vinifera subsp vinifera cv. Maingonnat 20 L 12</t>
  </si>
  <si>
    <t xml:space="preserve">Vitis vinifera subsp vinifera cv. Maingonnat 20 L 22</t>
  </si>
  <si>
    <t xml:space="preserve">Vitis vinifera subsp vinifera cv. Maingonnat 25 L 5</t>
  </si>
  <si>
    <t xml:space="preserve">Vitis vinifera subsp vinifera cv. Maingonnat 27 L1</t>
  </si>
  <si>
    <t xml:space="preserve">Vitis vinifera subsp vinifera cv. Maingonnat 3 L 1</t>
  </si>
  <si>
    <t xml:space="preserve">Vitis vinifera subsp vinifera cv. Maingonnat 3 L 22</t>
  </si>
  <si>
    <t xml:space="preserve">Vitis vinifera subsp vinifera cv. Maingonnat 30 L 22</t>
  </si>
  <si>
    <t xml:space="preserve">Vitis vinifera subsp vinifera cv. Maingonnat 31 L 10</t>
  </si>
  <si>
    <t xml:space="preserve">Vitis vinifera subsp vinifera cv. Maingonnat 31 L 11</t>
  </si>
  <si>
    <t xml:space="preserve">Vitis vinifera subsp vinifera cv. Maingonnat 34 L 5</t>
  </si>
  <si>
    <t xml:space="preserve">Vitis vinifera subsp vinifera cv. Maingonnat 4 L 22</t>
  </si>
  <si>
    <t xml:space="preserve">Vitis vinifera subsp vinifera cv. Maingonnat 42 L 10</t>
  </si>
  <si>
    <t xml:space="preserve">Vitis vinifera subsp vinifera cv. Maingonnat 48 L 2</t>
  </si>
  <si>
    <t xml:space="preserve">Vitis vinifera subsp vinifera cv. Maingonnat 48 L 4</t>
  </si>
  <si>
    <t xml:space="preserve">Vitis vinifera subsp vinifera cv. Maingonnat 50 L 4</t>
  </si>
  <si>
    <t xml:space="preserve">Vitis vinifera subsp vinifera cv. Maingonnat 7 L 1</t>
  </si>
  <si>
    <t xml:space="preserve">Vitis vinifera subsp vinifera cv. Maingonnat 9 L 24</t>
  </si>
  <si>
    <t xml:space="preserve">Vitis vinifera subsp vinifera cv. Malaga II</t>
  </si>
  <si>
    <t xml:space="preserve">Vitis vinifera subsp vinifera cv. Malaga noir</t>
  </si>
  <si>
    <t xml:space="preserve">Vitis vinifera subsp vinifera cv. Maloukato</t>
  </si>
  <si>
    <t xml:space="preserve">Vitis vinifera subsp vinifera cv. Malpé (1)</t>
  </si>
  <si>
    <t xml:space="preserve">Vitis vinifera subsp vinifera cv. Malpé (2)</t>
  </si>
  <si>
    <t xml:space="preserve">Vitis vinifera subsp vinifera cv. Malvar</t>
  </si>
  <si>
    <t xml:space="preserve">Vitis vinifera subsp vinifera cv. Malvarisco</t>
  </si>
  <si>
    <t xml:space="preserve">Vitis vinifera subsp vinifera cv. Malvasia</t>
  </si>
  <si>
    <t xml:space="preserve">Vitis vinifera subsp vinifera cv. Malvasia del Chianti</t>
  </si>
  <si>
    <t xml:space="preserve">Vitis vinifera subsp vinifera cv. Malvasia del Lazio</t>
  </si>
  <si>
    <t xml:space="preserve">Vitis vinifera subsp vinifera cv. Malvasia di Candia</t>
  </si>
  <si>
    <t xml:space="preserve">Vitis vinifera subsp vinifera cv. Malvasia di Candia aromatica</t>
  </si>
  <si>
    <t xml:space="preserve">Vitis vinifera subsp vinifera cv. Malvasia di Casorzo</t>
  </si>
  <si>
    <t xml:space="preserve">Vitis vinifera subsp vinifera cv. Malvasia di Sardegna</t>
  </si>
  <si>
    <t xml:space="preserve">Vitis vinifera subsp vinifera cv. Malvasia di Schierano</t>
  </si>
  <si>
    <t xml:space="preserve">Vitis vinifera subsp vinifera cv. Malvasia fina</t>
  </si>
  <si>
    <t xml:space="preserve">Vitis vinifera subsp vinifera cv. Malvasia istriana</t>
  </si>
  <si>
    <t xml:space="preserve">Vitis vinifera subsp vinifera cv. Malvasia Moscatel Fonte grande</t>
  </si>
  <si>
    <t xml:space="preserve">Vitis vinifera subsp vinifera cv. Malvasia nera di Brindisi</t>
  </si>
  <si>
    <t xml:space="preserve">Vitis vinifera subsp vinifera cv. Malvasia nera di Lecce</t>
  </si>
  <si>
    <t xml:space="preserve">Vitis vinifera subsp vinifera cv. Malvasia rei</t>
  </si>
  <si>
    <t xml:space="preserve">Vitis vinifera subsp vinifera cv. Malvina</t>
  </si>
  <si>
    <t xml:space="preserve">Vitis vinifera subsp vinifera cv. Malvoisie de Sitges fausse</t>
  </si>
  <si>
    <t xml:space="preserve">Vitis vinifera subsp vinifera cv. Mamelon</t>
  </si>
  <si>
    <t xml:space="preserve">Vitis vinifera subsp vinifera cv. Mammolo</t>
  </si>
  <si>
    <t xml:space="preserve">Vitis vinifera subsp vinifera cv. Mancens</t>
  </si>
  <si>
    <t xml:space="preserve">Vitis vinifera subsp vinifera cv. Mancin</t>
  </si>
  <si>
    <t xml:space="preserve">Vitis vinifera subsp vinifera cv. Mandrègue</t>
  </si>
  <si>
    <t xml:space="preserve">Vitis vinifera subsp vinifera cv. Manseng noir</t>
  </si>
  <si>
    <t xml:space="preserve">Vitis vinifera subsp vinifera cv. Manseng vert</t>
  </si>
  <si>
    <t xml:space="preserve">Vitis vinifera subsp vinifera cv. Mansonnet</t>
  </si>
  <si>
    <t xml:space="preserve">Vitis vinifera subsp vinifera cv. Manteudo</t>
  </si>
  <si>
    <t xml:space="preserve">Vitis vinifera subsp vinifera cv. Mantheudo</t>
  </si>
  <si>
    <t xml:space="preserve">Vitis vinifera subsp vinifera cv. Mantilaria</t>
  </si>
  <si>
    <t xml:space="preserve">Vitis vinifera subsp vinifera cv. Mantuo de Pilas</t>
  </si>
  <si>
    <t xml:space="preserve">Vitis vinifera subsp vinifera cv. Manzoni 1-50</t>
  </si>
  <si>
    <t xml:space="preserve">Vitis vinifera subsp vinifera cv. Manzoni 2-15</t>
  </si>
  <si>
    <t xml:space="preserve">Vitis vinifera subsp vinifera cv. Manzoni 3-26</t>
  </si>
  <si>
    <t xml:space="preserve">Vitis vinifera subsp vinifera cv. Maratheftico</t>
  </si>
  <si>
    <t xml:space="preserve">Vitis vinifera subsp vinifera cv. Marawi</t>
  </si>
  <si>
    <t xml:space="preserve">Vitis vinifera subsp vinifera cv. Maréchal Bosquet</t>
  </si>
  <si>
    <t xml:space="preserve">Vitis vinifera subsp vinifera cv. Maréchal Gallieni</t>
  </si>
  <si>
    <t xml:space="preserve">Vitis vinifera subsp vinifera cv. Marengo = Pirovano 205</t>
  </si>
  <si>
    <t xml:space="preserve">Vitis vinifera subsp vinifera cv. Maria Pirovano = Pirovano 165</t>
  </si>
  <si>
    <t xml:space="preserve">Vitis vinifera subsp vinifera cv. Marienriesling</t>
  </si>
  <si>
    <t xml:space="preserve">Vitis vinifera subsp vinifera cv. Mariensteiner = Würzburg B 51-7-3</t>
  </si>
  <si>
    <t xml:space="preserve">Vitis vinifera subsp vinifera cv. Mario Mariani = Pirovano 276</t>
  </si>
  <si>
    <t xml:space="preserve">Vitis vinifera subsp vinifera cv. Marocain gris</t>
  </si>
  <si>
    <t xml:space="preserve">Vitis vinifera subsp vinifera cv. Marocain noir</t>
  </si>
  <si>
    <t xml:space="preserve">Vitis vinifera subsp vinifera cv. Maroo seedless</t>
  </si>
  <si>
    <t xml:space="preserve">Vitis vinifera subsp vinifera cv. Marouhé</t>
  </si>
  <si>
    <t xml:space="preserve">Vitis vinifera subsp vinifera cv. Marsanne</t>
  </si>
  <si>
    <t xml:space="preserve">Vitis vinifera subsp vinifera cv. Marsanne de Pays</t>
  </si>
  <si>
    <t xml:space="preserve">Vitis vinifera subsp vinifera cv. Marselan = INRA 1810-68</t>
  </si>
  <si>
    <t xml:space="preserve">Vitis vinifera subsp vinifera cv. Marsigliana nera</t>
  </si>
  <si>
    <t xml:space="preserve">Vitis vinifera subsp vinifera cv. Martien</t>
  </si>
  <si>
    <t xml:space="preserve">Vitis vinifera subsp vinifera cv. Marzemino</t>
  </si>
  <si>
    <t xml:space="preserve">Vitis vinifera subsp vinifera cv. Massecamp</t>
  </si>
  <si>
    <t xml:space="preserve">Vitis vinifera subsp vinifera cv. Mateu</t>
  </si>
  <si>
    <t xml:space="preserve">Vitis vinifera subsp vinifera cv. Mathiasz Janos Diadala muskotaly</t>
  </si>
  <si>
    <t xml:space="preserve">Vitis vinifera subsp vinifera cv. Mathiasz Janos Emleke</t>
  </si>
  <si>
    <t xml:space="preserve">Vitis vinifera subsp vinifera cv. Mathiasz Janosne</t>
  </si>
  <si>
    <t xml:space="preserve">Vitis vinifera subsp vinifera cv. Mathiasz Muskotaly = Revai tranonor</t>
  </si>
  <si>
    <t xml:space="preserve">Vitis vinifera subsp vinifera cv. Mathiasz 215 faux</t>
  </si>
  <si>
    <t xml:space="preserve">Vitis vinifera subsp vinifera cv. Maticha</t>
  </si>
  <si>
    <t xml:space="preserve">Vitis vinifera subsp vinifera cv. Matilde</t>
  </si>
  <si>
    <t xml:space="preserve">Vitis vinifera subsp vinifera cv. Matrassa</t>
  </si>
  <si>
    <t xml:space="preserve">Vitis vinifera subsp vinifera cv. Maturana</t>
  </si>
  <si>
    <t xml:space="preserve">Vitis vinifera subsp vinifera cv. Mauvaise Roussette</t>
  </si>
  <si>
    <t xml:space="preserve">Vitis vinifera subsp vinifera cv. Mauzac</t>
  </si>
  <si>
    <t xml:space="preserve">Vitis vinifera subsp vinifera cv. Mauzac noir</t>
  </si>
  <si>
    <t xml:space="preserve">Vitis vinifera subsp vinifera cv. Mauzac rose</t>
  </si>
  <si>
    <t xml:space="preserve">Vitis vinifera subsp vinifera cv. Mavro Kymis</t>
  </si>
  <si>
    <t xml:space="preserve">Vitis vinifera subsp vinifera cv. Mavrodaphni</t>
  </si>
  <si>
    <t xml:space="preserve">Vitis vinifera subsp vinifera cv. Mavrostypho</t>
  </si>
  <si>
    <t xml:space="preserve">Vitis vinifera subsp vinifera cv. Mavrotragano</t>
  </si>
  <si>
    <t xml:space="preserve">Vitis vinifera subsp vinifera cv. Mavroudi</t>
  </si>
  <si>
    <t xml:space="preserve">Vitis vinifera subsp vinifera cv. Mavrud</t>
  </si>
  <si>
    <t xml:space="preserve">Vitis vinifera subsp vinifera cv. Mavrud Varnenski</t>
  </si>
  <si>
    <t xml:space="preserve">Vitis vinifera subsp vinifera cv. Mayorquin</t>
  </si>
  <si>
    <t xml:space="preserve">Vitis vinifera subsp vinifera cv. Mazzari</t>
  </si>
  <si>
    <t xml:space="preserve">Vitis vinifera subsp vinifera cv. Mècle de Bourgoin</t>
  </si>
  <si>
    <t xml:space="preserve">Vitis vinifera subsp vinifera cv. Médoc noir</t>
  </si>
  <si>
    <t xml:space="preserve">Vitis vinifera subsp vinifera cv. Mehdik</t>
  </si>
  <si>
    <t xml:space="preserve">Vitis vinifera subsp vinifera cv. Mehlweiss</t>
  </si>
  <si>
    <t xml:space="preserve">Vitis vinifera subsp vinifera cv. Melbento</t>
  </si>
  <si>
    <t xml:space="preserve">Vitis vinifera subsp vinifera cv. Melon</t>
  </si>
  <si>
    <t xml:space="preserve">Vitis vinifera subsp vinifera cv. Melon noir</t>
  </si>
  <si>
    <t xml:space="preserve">Vitis vinifera subsp vinifera cv. Mencia</t>
  </si>
  <si>
    <t xml:space="preserve">Vitis vinifera subsp vinifera cv. Mendel = Pirovano 532</t>
  </si>
  <si>
    <t xml:space="preserve">Vitis vinifera subsp vinifera cv. Mérille</t>
  </si>
  <si>
    <t xml:space="preserve">Vitis vinifera subsp vinifera cv. Merlot</t>
  </si>
  <si>
    <t xml:space="preserve">Vitis vinifera subsp vinifera cv. Merlot blanc</t>
  </si>
  <si>
    <t xml:space="preserve">Vitis vinifera subsp vinifera cv. Merlot gris</t>
  </si>
  <si>
    <t xml:space="preserve">Vitis vinifera subsp vinifera cv. Merseguera</t>
  </si>
  <si>
    <t xml:space="preserve">Vitis vinifera subsp vinifera cv. Meslier noir</t>
  </si>
  <si>
    <t xml:space="preserve">Vitis vinifera subsp vinifera cv. Meslier Saint-François</t>
  </si>
  <si>
    <t xml:space="preserve">Vitis vinifera subsp vinifera cv. Métis Clerc</t>
  </si>
  <si>
    <t xml:space="preserve">Vitis vinifera subsp vinifera cv. Meunier</t>
  </si>
  <si>
    <t xml:space="preserve">Vitis vinifera subsp vinifera cv. Meunier Court Maillé</t>
  </si>
  <si>
    <t xml:space="preserve">Vitis vinifera subsp vinifera cv. Meunier tête de nègre</t>
  </si>
  <si>
    <t xml:space="preserve">Vitis vinifera subsp vinifera cv. Mezesfeher</t>
  </si>
  <si>
    <t xml:space="preserve">Vitis vinifera subsp vinifera cv. Mezesfekete</t>
  </si>
  <si>
    <t xml:space="preserve">Vitis vinifera subsp vinifera cv. Mezi</t>
  </si>
  <si>
    <t xml:space="preserve">Vitis vinifera subsp vinifera cv. Mgaloblichvili</t>
  </si>
  <si>
    <t xml:space="preserve">Vitis vinifera subsp vinifera cv. Michele Palieri = Palieri 5</t>
  </si>
  <si>
    <t xml:space="preserve">Vitis vinifera subsp vinifera cv. Miguel de Arco</t>
  </si>
  <si>
    <t xml:space="preserve">Vitis vinifera subsp vinifera cv. Mikveh 17</t>
  </si>
  <si>
    <t xml:space="preserve">Vitis vinifera subsp vinifera cv. Milgranet</t>
  </si>
  <si>
    <t xml:space="preserve">Vitis vinifera subsp vinifera cv. Milton</t>
  </si>
  <si>
    <t xml:space="preserve">Vitis vinifera subsp vinifera cv. Minnella bianca</t>
  </si>
  <si>
    <t xml:space="preserve">Vitis vinifera subsp vinifera cv. Mireille = Mi 108 C</t>
  </si>
  <si>
    <t xml:space="preserve">Vitis vinifera subsp vinifera cv. Mirifica = Pirovano 432</t>
  </si>
  <si>
    <t xml:space="preserve">Vitis vinifera subsp vinifera cv. Mirni</t>
  </si>
  <si>
    <t xml:space="preserve">Vitis vinifera subsp vinifera cv. Misguli kara</t>
  </si>
  <si>
    <t xml:space="preserve">Vitis vinifera subsp vinifera cv. Mishung</t>
  </si>
  <si>
    <t xml:space="preserve">Vitis vinifera subsp vinifera cv. Misket tcherven</t>
  </si>
  <si>
    <t xml:space="preserve">Vitis vinifera subsp vinifera cv. Misket vratchansky</t>
  </si>
  <si>
    <t xml:space="preserve">Vitis vinifera subsp vinifera cv. Mission</t>
  </si>
  <si>
    <t xml:space="preserve">Vitis vinifera subsp vinifera cv. Mistress Hall</t>
  </si>
  <si>
    <t xml:space="preserve">Vitis vinifera subsp vinifera cv. Mohzel</t>
  </si>
  <si>
    <t xml:space="preserve">Vitis vinifera subsp vinifera cv. Moldovanka</t>
  </si>
  <si>
    <t xml:space="preserve">Vitis vinifera subsp vinifera cv. Molette</t>
  </si>
  <si>
    <t xml:space="preserve">Vitis vinifera subsp vinifera cv. Molinara</t>
  </si>
  <si>
    <t xml:space="preserve">Vitis vinifera subsp vinifera cv. Molinera gorda</t>
  </si>
  <si>
    <t xml:space="preserve">Vitis vinifera subsp vinifera cv. Mollar</t>
  </si>
  <si>
    <t xml:space="preserve">Vitis vinifera subsp vinifera cv. Mollard</t>
  </si>
  <si>
    <t xml:space="preserve">Vitis vinifera subsp vinifera cv. Monaca</t>
  </si>
  <si>
    <t xml:space="preserve">Vitis vinifera subsp vinifera cv. Monbadon</t>
  </si>
  <si>
    <t xml:space="preserve">Vitis vinifera subsp vinifera cv. Mondeuse</t>
  </si>
  <si>
    <t xml:space="preserve">Vitis vinifera subsp vinifera cv. Mondeuse blanche</t>
  </si>
  <si>
    <t xml:space="preserve">Vitis vinifera subsp vinifera cv. Mondeuse du Piémont</t>
  </si>
  <si>
    <t xml:space="preserve">Vitis vinifera subsp vinifera cv. Mondeuse grise</t>
  </si>
  <si>
    <t xml:space="preserve">Vitis vinifera subsp vinifera cv. Monemvassia</t>
  </si>
  <si>
    <t xml:space="preserve">Vitis vinifera subsp vinifera cv. Monerac = INRA 1740-1142</t>
  </si>
  <si>
    <t xml:space="preserve">Vitis vinifera subsp vinifera cv. Monica</t>
  </si>
  <si>
    <t xml:space="preserve">Vitis vinifera subsp vinifera cv. Monique</t>
  </si>
  <si>
    <t xml:space="preserve">Vitis vinifera subsp vinifera cv. Monte d'oro = Pirovano 240</t>
  </si>
  <si>
    <t xml:space="preserve">Vitis vinifera subsp vinifera cv. Montepulciano</t>
  </si>
  <si>
    <t xml:space="preserve">Vitis vinifera subsp vinifera cv. Montils</t>
  </si>
  <si>
    <t xml:space="preserve">Vitis vinifera subsp vinifera cv. Montonico bianco</t>
  </si>
  <si>
    <t xml:space="preserve">Vitis vinifera subsp vinifera cv. Montu</t>
  </si>
  <si>
    <t xml:space="preserve">Vitis vinifera subsp vinifera cv. Montuonico</t>
  </si>
  <si>
    <t xml:space="preserve">Vitis vinifera subsp vinifera cv. Morenillo</t>
  </si>
  <si>
    <t xml:space="preserve">Vitis vinifera subsp vinifera cv. Moreto</t>
  </si>
  <si>
    <t xml:space="preserve">Vitis vinifera subsp vinifera cv. Moriot Muskat = Geilweilerhof I-28-30</t>
  </si>
  <si>
    <t xml:space="preserve">Vitis vinifera subsp vinifera cv. Morisca</t>
  </si>
  <si>
    <t xml:space="preserve">Vitis vinifera subsp vinifera cv. Morlin gris</t>
  </si>
  <si>
    <t xml:space="preserve">Vitis vinifera subsp vinifera cv. Mornen</t>
  </si>
  <si>
    <t xml:space="preserve">Vitis vinifera subsp vinifera cv. Morrastel</t>
  </si>
  <si>
    <t xml:space="preserve">Vitis vinifera subsp vinifera cv. Morrastel Bouschet à gros grains</t>
  </si>
  <si>
    <t xml:space="preserve">Vitis vinifera subsp vinifera cv. Moscatel de Camarate</t>
  </si>
  <si>
    <t xml:space="preserve">Vitis vinifera subsp vinifera cv. Moscatel de San Ildefonso</t>
  </si>
  <si>
    <t xml:space="preserve">Vitis vinifera subsp vinifera cv. Moscatel Dr Soares Franco</t>
  </si>
  <si>
    <t xml:space="preserve">Vitis vinifera subsp vinifera cv. Moscatel rosa = Leao Ferreira da Almeida 37-51-15</t>
  </si>
  <si>
    <t xml:space="preserve">Vitis vinifera subsp vinifera cv. Moscatel rosado</t>
  </si>
  <si>
    <t xml:space="preserve">Vitis vinifera subsp vinifera cv. Moscato Cerletti</t>
  </si>
  <si>
    <t xml:space="preserve">Vitis vinifera subsp vinifera cv. Moscato d'Adda</t>
  </si>
  <si>
    <t xml:space="preserve">Vitis vinifera subsp vinifera cv. Moscato giallo</t>
  </si>
  <si>
    <t xml:space="preserve">Vitis vinifera subsp vinifera cv. Moscato Tiammor = Pirovano 672</t>
  </si>
  <si>
    <t xml:space="preserve">Vitis vinifera subsp vinifera cv. Moschardina</t>
  </si>
  <si>
    <t xml:space="preserve">Vitis vinifera subsp vinifera cv. Moschopatata</t>
  </si>
  <si>
    <t xml:space="preserve">Vitis vinifera subsp vinifera cv. Mouchketny</t>
  </si>
  <si>
    <t xml:space="preserve">Vitis vinifera subsp vinifera cv. Moudjouretouli</t>
  </si>
  <si>
    <t xml:space="preserve">Vitis vinifera subsp vinifera cv. Mourisco branco</t>
  </si>
  <si>
    <t xml:space="preserve">Vitis vinifera subsp vinifera cv. Mourisco de Semente</t>
  </si>
  <si>
    <t xml:space="preserve">Vitis vinifera subsp vinifera cv. Mourisco du Minho</t>
  </si>
  <si>
    <t xml:space="preserve">Vitis vinifera subsp vinifera cv. Mourisco nacional</t>
  </si>
  <si>
    <t xml:space="preserve">Vitis vinifera subsp vinifera cv. Mourisco tinto</t>
  </si>
  <si>
    <t xml:space="preserve">Vitis vinifera subsp vinifera cv. Mourtaou</t>
  </si>
  <si>
    <t xml:space="preserve">Vitis vinifera subsp vinifera cv. Mourtès</t>
  </si>
  <si>
    <t xml:space="preserve">Vitis vinifera subsp vinifera cv. Mourvaison</t>
  </si>
  <si>
    <t xml:space="preserve">Vitis vinifera subsp vinifera cv. Mourvèdre</t>
  </si>
  <si>
    <t xml:space="preserve">Vitis vinifera subsp vinifera cv. Mourvèdre gris</t>
  </si>
  <si>
    <t xml:space="preserve">Vitis vinifera subsp vinifera cv. Mouscha</t>
  </si>
  <si>
    <t xml:space="preserve">Vitis vinifera subsp vinifera cv. Mouyssaguès</t>
  </si>
  <si>
    <t xml:space="preserve">Vitis vinifera subsp vinifera cv. Mskhali</t>
  </si>
  <si>
    <t xml:space="preserve">Vitis vinifera subsp vinifera cv. Mtzvané</t>
  </si>
  <si>
    <t xml:space="preserve">Vitis vinifera subsp vinifera cv. Mulata = Leao Ferreira da Almeida 11-48-49</t>
  </si>
  <si>
    <t xml:space="preserve">Vitis vinifera subsp vinifera cv. Müller-Thurgau</t>
  </si>
  <si>
    <t xml:space="preserve">Vitis vinifera subsp vinifera cv. Munkatsy Jozsef Muskotaly</t>
  </si>
  <si>
    <t xml:space="preserve">Vitis vinifera subsp vinifera cv. Muresconu = Morescono</t>
  </si>
  <si>
    <t xml:space="preserve">Vitis vinifera subsp vinifera cv. Mureto</t>
  </si>
  <si>
    <t xml:space="preserve">Vitis vinifera subsp vinifera cv. Murrâo</t>
  </si>
  <si>
    <t xml:space="preserve">Vitis vinifera subsp vinifera cv. Muscadelle</t>
  </si>
  <si>
    <t xml:space="preserve">Vitis vinifera subsp vinifera cv. Muscardin</t>
  </si>
  <si>
    <t xml:space="preserve">Vitis vinifera subsp vinifera cv. Muscat à petits grains blancs</t>
  </si>
  <si>
    <t xml:space="preserve">Vitis vinifera subsp vinifera cv. Muscat à petits grains roses</t>
  </si>
  <si>
    <t xml:space="preserve">Vitis vinifera subsp vinifera cv. Muscat à petits grains rouges</t>
  </si>
  <si>
    <t xml:space="preserve">Vitis vinifera subsp vinifera cv. Muscat bifère</t>
  </si>
  <si>
    <t xml:space="preserve">Vitis vinifera subsp vinifera cv. Muscat Bouschet</t>
  </si>
  <si>
    <t xml:space="preserve">Vitis vinifera subsp vinifera cv. Muscat cendré</t>
  </si>
  <si>
    <t xml:space="preserve">Vitis vinifera subsp vinifera cv. Muscat d'Alexandrie</t>
  </si>
  <si>
    <t xml:space="preserve">Vitis vinifera subsp vinifera cv. Muscat d'Alexandrie rouge</t>
  </si>
  <si>
    <t xml:space="preserve">Vitis vinifera subsp vinifera cv. Muscat de Hambourg</t>
  </si>
  <si>
    <t xml:space="preserve">Vitis vinifera subsp vinifera cv. Muscat de Pantelleria</t>
  </si>
  <si>
    <t xml:space="preserve">Vitis vinifera subsp vinifera cv. Muscat de Roussé</t>
  </si>
  <si>
    <t xml:space="preserve">Vitis vinifera subsp vinifera cv. Muscat de Sarbelle</t>
  </si>
  <si>
    <t xml:space="preserve">Vitis vinifera subsp vinifera cv. Muscat de Saumur</t>
  </si>
  <si>
    <t xml:space="preserve">Vitis vinifera subsp vinifera cv. Muscat de Terracina</t>
  </si>
  <si>
    <t xml:space="preserve">Vitis vinifera subsp vinifera cv. Muscat d'Eisenstadt</t>
  </si>
  <si>
    <t xml:space="preserve">Vitis vinifera subsp vinifera cv. Muscat d'Istamboul</t>
  </si>
  <si>
    <t xml:space="preserve">Vitis vinifera subsp vinifera cv. Muscat d'Ouzbekistan</t>
  </si>
  <si>
    <t xml:space="preserve">Vitis vinifera subsp vinifera cv. Muscat fleur d'oranger</t>
  </si>
  <si>
    <t xml:space="preserve">Vitis vinifera subsp vinifera cv. Muscat fleur d'oranger faux</t>
  </si>
  <si>
    <t xml:space="preserve">Vitis vinifera subsp vinifera cv. Muscat gris de la Calmette</t>
  </si>
  <si>
    <t xml:space="preserve">Vitis vinifera subsp vinifera cv. Muscat Laserelle</t>
  </si>
  <si>
    <t xml:space="preserve">Vitis vinifera subsp vinifera cv. Muscat Lierval</t>
  </si>
  <si>
    <t xml:space="preserve">Vitis vinifera subsp vinifera cv. Muscat Madresfield Court</t>
  </si>
  <si>
    <t xml:space="preserve">Vitis vinifera subsp vinifera cv. Muscat Mikveh</t>
  </si>
  <si>
    <t xml:space="preserve">Vitis vinifera subsp vinifera cv. Muscat Oberlin</t>
  </si>
  <si>
    <t xml:space="preserve">Vitis vinifera subsp vinifera cv. Muscat Ottonel</t>
  </si>
  <si>
    <t xml:space="preserve">Vitis vinifera subsp vinifera cv. Muscat Paulsen = Paulsen 122</t>
  </si>
  <si>
    <t xml:space="preserve">Vitis vinifera subsp vinifera cv. Muscat Pince's black</t>
  </si>
  <si>
    <t xml:space="preserve">Vitis vinifera subsp vinifera cv. Muscat rouge de Madère</t>
  </si>
  <si>
    <t xml:space="preserve">Vitis vinifera subsp vinifera cv. Muscat Saint-Laurent</t>
  </si>
  <si>
    <t xml:space="preserve">Vitis vinifera subsp vinifera cv. Muscat Salomon</t>
  </si>
  <si>
    <t xml:space="preserve">Vitis vinifera subsp vinifera cv. Muscat Vira</t>
  </si>
  <si>
    <t xml:space="preserve">Vitis vinifera subsp vinifera cv. Muscat Vörösmarty</t>
  </si>
  <si>
    <t xml:space="preserve">Vitis vinifera subsp vinifera cv. Muskat blume</t>
  </si>
  <si>
    <t xml:space="preserve">Vitis vinifera subsp vinifera cv. Muskat bouquet</t>
  </si>
  <si>
    <t xml:space="preserve">Vitis vinifera subsp vinifera cv. Müsküle</t>
  </si>
  <si>
    <t xml:space="preserve">Vitis vinifera subsp vinifera cv. Mustos feher</t>
  </si>
  <si>
    <t xml:space="preserve">Vitis vinifera subsp vinifera cv. Nagyfüger</t>
  </si>
  <si>
    <t xml:space="preserve">Vitis vinifera subsp vinifera cv. Naosé</t>
  </si>
  <si>
    <t xml:space="preserve">Vitis vinifera subsp vinifera cv. Narince</t>
  </si>
  <si>
    <t xml:space="preserve">Vitis vinifera subsp vinifera cv. Narma</t>
  </si>
  <si>
    <t xml:space="preserve">Vitis vinifera subsp vinifera cv. Nasco</t>
  </si>
  <si>
    <t xml:space="preserve">Vitis vinifera subsp vinifera cv. Nave</t>
  </si>
  <si>
    <t xml:space="preserve">Vitis vinifera subsp vinifera cv. Nebbiolo</t>
  </si>
  <si>
    <t xml:space="preserve">Vitis vinifera subsp vinifera cv. Nedelcsev magvatlana</t>
  </si>
  <si>
    <t xml:space="preserve">Vitis vinifera subsp vinifera cv. Nedeltchev VI-4</t>
  </si>
  <si>
    <t xml:space="preserve">Vitis vinifera subsp vinifera cv. Nedeltchev V-6</t>
  </si>
  <si>
    <t xml:space="preserve">Vitis vinifera subsp vinifera cv. Negra corriente</t>
  </si>
  <si>
    <t xml:space="preserve">Vitis vinifera subsp vinifera cv. Negra mole</t>
  </si>
  <si>
    <t xml:space="preserve">Vitis vinifera subsp vinifera cv. Negra rayada</t>
  </si>
  <si>
    <t xml:space="preserve">Vitis vinifera subsp vinifera cv. Negral</t>
  </si>
  <si>
    <t xml:space="preserve">Vitis vinifera subsp vinifera cv. Negrara trentina</t>
  </si>
  <si>
    <t xml:space="preserve">Vitis vinifera subsp vinifera cv. Negrara veronese</t>
  </si>
  <si>
    <t xml:space="preserve">Vitis vinifera subsp vinifera cv. Négret de Banhars</t>
  </si>
  <si>
    <t xml:space="preserve">Vitis vinifera subsp vinifera cv. Négret de la Canourgue</t>
  </si>
  <si>
    <t xml:space="preserve">Vitis vinifera subsp vinifera cv. Négret pointu</t>
  </si>
  <si>
    <t xml:space="preserve">Vitis vinifera subsp vinifera cv. Négrette</t>
  </si>
  <si>
    <t xml:space="preserve">Vitis vinifera subsp vinifera cv. Negretto</t>
  </si>
  <si>
    <t xml:space="preserve">Vitis vinifera subsp vinifera cv. Negro amaro</t>
  </si>
  <si>
    <t xml:space="preserve">Vitis vinifera subsp vinifera cv. Negro mouro</t>
  </si>
  <si>
    <t xml:space="preserve">Vitis vinifera subsp vinifera cv. Negronza</t>
  </si>
  <si>
    <t xml:space="preserve">Vitis vinifera subsp vinifera cv. Negru de Causani</t>
  </si>
  <si>
    <t xml:space="preserve">Vitis vinifera subsp vinifera cv. Negru mare</t>
  </si>
  <si>
    <t xml:space="preserve">Vitis vinifera subsp vinifera cv. Negru moale</t>
  </si>
  <si>
    <t xml:space="preserve">Vitis vinifera subsp vinifera cv. Negru virtos</t>
  </si>
  <si>
    <t xml:space="preserve">Vitis vinifera subsp vinifera cv. Nehelescol</t>
  </si>
  <si>
    <t xml:space="preserve">Vitis vinifera subsp vinifera cv. Nemorin</t>
  </si>
  <si>
    <t xml:space="preserve">Vitis vinifera subsp vinifera cv. Nerello cappucio</t>
  </si>
  <si>
    <t xml:space="preserve">Vitis vinifera subsp vinifera cv. Nerello mascalese</t>
  </si>
  <si>
    <t xml:space="preserve">Vitis vinifera subsp vinifera cv. Neretta cuneese</t>
  </si>
  <si>
    <t xml:space="preserve">Vitis vinifera subsp vinifera cv. Neretto di Bairo</t>
  </si>
  <si>
    <t xml:space="preserve">Vitis vinifera subsp vinifera cv. Neretto grosso monregalese</t>
  </si>
  <si>
    <t xml:space="preserve">Vitis vinifera subsp vinifera cv. Nerona</t>
  </si>
  <si>
    <t xml:space="preserve">Vitis vinifera subsp vinifera cv. Netter</t>
  </si>
  <si>
    <t xml:space="preserve">Vitis vinifera subsp vinifera cv. Neuburger</t>
  </si>
  <si>
    <t xml:space="preserve">Vitis vinifera subsp vinifera cv. Neuburger (Roumanie)</t>
  </si>
  <si>
    <t xml:space="preserve">Vitis vinifera subsp vinifera cv. Nieddera</t>
  </si>
  <si>
    <t xml:space="preserve">Vitis vinifera subsp vinifera cv. Nieddu mannu gris</t>
  </si>
  <si>
    <t xml:space="preserve">Vitis vinifera subsp vinifera cv. Nielluccio</t>
  </si>
  <si>
    <t xml:space="preserve">Vitis vinifera subsp vinifera cv. Niger = Pirovano 486</t>
  </si>
  <si>
    <t xml:space="preserve">Vitis vinifera subsp vinifera cv. Nimrang</t>
  </si>
  <si>
    <t xml:space="preserve">Vitis vinifera subsp vinifera cv. Nimrang rouge</t>
  </si>
  <si>
    <t xml:space="preserve">Vitis vinifera subsp vinifera cv. Nincusa</t>
  </si>
  <si>
    <t xml:space="preserve">Vitis vinifera subsp vinifera cv. Niou-Sin</t>
  </si>
  <si>
    <t xml:space="preserve">Vitis vinifera subsp vinifera cv. Nobling = 128-40 Fribourg</t>
  </si>
  <si>
    <t xml:space="preserve">Vitis vinifera subsp vinifera cv. Nocera</t>
  </si>
  <si>
    <t xml:space="preserve">Vitis vinifera subsp vinifera cv. Noé</t>
  </si>
  <si>
    <t xml:space="preserve">Vitis vinifera subsp vinifera cv. Nogier 58-1</t>
  </si>
  <si>
    <t xml:space="preserve">Vitis vinifera subsp vinifera cv. Noir Fleurien</t>
  </si>
  <si>
    <t xml:space="preserve">Vitis vinifera subsp vinifera cv. Noir Glady</t>
  </si>
  <si>
    <t xml:space="preserve">Vitis vinifera subsp vinifera cv. Noir hâtif de Marseille</t>
  </si>
  <si>
    <t xml:space="preserve">Vitis vinifera subsp vinifera cv. Nosiola</t>
  </si>
  <si>
    <t xml:space="preserve">Vitis vinifera subsp vinifera cv. Noual</t>
  </si>
  <si>
    <t xml:space="preserve">Vitis vinifera subsp vinifera cv. Noulisok</t>
  </si>
  <si>
    <t xml:space="preserve">Vitis vinifera subsp vinifera cv. Novraste</t>
  </si>
  <si>
    <t xml:space="preserve">Vitis vinifera subsp vinifera cv. Nuno gomes</t>
  </si>
  <si>
    <t xml:space="preserve">Vitis vinifera subsp vinifera cv. Nuragus</t>
  </si>
  <si>
    <t xml:space="preserve">Vitis vinifera subsp vinifera cv. Obak bieli</t>
  </si>
  <si>
    <t xml:space="preserve">Vitis vinifera subsp vinifera cv. Obeidi</t>
  </si>
  <si>
    <t xml:space="preserve">Vitis vinifera subsp vinifera cv. Odem</t>
  </si>
  <si>
    <t xml:space="preserve">Vitis vinifera subsp vinifera cv. Odesky tcherny</t>
  </si>
  <si>
    <t xml:space="preserve">Vitis vinifera subsp vinifera cv. Odjalechi</t>
  </si>
  <si>
    <t xml:space="preserve">Vitis vinifera subsp vinifera cv. Odjou batak</t>
  </si>
  <si>
    <t xml:space="preserve">Vitis vinifera subsp vinifera cv. Odola</t>
  </si>
  <si>
    <t xml:space="preserve">Vitis vinifera subsp vinifera cv. Oeillade Bouschet n°1</t>
  </si>
  <si>
    <t xml:space="preserve">Vitis vinifera subsp vinifera cv. Oeillade bouschet n°4</t>
  </si>
  <si>
    <t xml:space="preserve">Vitis vinifera subsp vinifera cv. Oeillade noire</t>
  </si>
  <si>
    <t xml:space="preserve">Vitis vinifera subsp vinifera cv. Ofner</t>
  </si>
  <si>
    <t xml:space="preserve">Vitis vinifera subsp vinifera cv. Ohanès</t>
  </si>
  <si>
    <t xml:space="preserve">Vitis vinifera subsp vinifera cv. Okatac</t>
  </si>
  <si>
    <t xml:space="preserve">Vitis vinifera subsp vinifera cv. Oktiabrskii</t>
  </si>
  <si>
    <t xml:space="preserve">Vitis vinifera subsp vinifera cv. Öküz gözü</t>
  </si>
  <si>
    <t xml:space="preserve">Vitis vinifera subsp vinifera cv. Öküz gözü par erreur</t>
  </si>
  <si>
    <t xml:space="preserve">Vitis vinifera subsp vinifera cv. Olasz kadarka</t>
  </si>
  <si>
    <t xml:space="preserve">Vitis vinifera subsp vinifera cv. Olber weiss</t>
  </si>
  <si>
    <t xml:space="preserve">Vitis vinifera subsp vinifera cv. Olho de cocco</t>
  </si>
  <si>
    <t xml:space="preserve">Vitis vinifera subsp vinifera cv. Olho de Pargo</t>
  </si>
  <si>
    <t xml:space="preserve">Vitis vinifera subsp vinifera cv. Olivette Barthelet</t>
  </si>
  <si>
    <t xml:space="preserve">Vitis vinifera subsp vinifera cv. Olivette blanche</t>
  </si>
  <si>
    <t xml:space="preserve">Vitis vinifera subsp vinifera cv. Olivette noire</t>
  </si>
  <si>
    <t xml:space="preserve">Vitis vinifera subsp vinifera cv. Olivette rose</t>
  </si>
  <si>
    <t xml:space="preserve">Vitis vinifera subsp vinifera cv. Om Reu</t>
  </si>
  <si>
    <t xml:space="preserve">Vitis vinifera subsp vinifera cv. Onchette</t>
  </si>
  <si>
    <t xml:space="preserve">Vitis vinifera subsp vinifera cv. Ondenc</t>
  </si>
  <si>
    <t xml:space="preserve">Vitis vinifera subsp vinifera cv. Onusta</t>
  </si>
  <si>
    <t xml:space="preserve">Vitis vinifera subsp vinifera cv. Opale = Pirovano 213</t>
  </si>
  <si>
    <t xml:space="preserve">Vitis vinifera subsp vinifera cv. Oporto feher</t>
  </si>
  <si>
    <t xml:space="preserve">Vitis vinifera subsp vinifera cv. Oporto szürke</t>
  </si>
  <si>
    <t xml:space="preserve">Vitis vinifera subsp vinifera cv. Opsimos Edessis</t>
  </si>
  <si>
    <t xml:space="preserve">Vitis vinifera subsp vinifera cv. Optima = Geilweilerhof 33-13-113</t>
  </si>
  <si>
    <t xml:space="preserve">Vitis vinifera subsp vinifera cv. Ora = INRA 2403-3</t>
  </si>
  <si>
    <t xml:space="preserve">Vitis vinifera subsp vinifera cv. Orangetraube</t>
  </si>
  <si>
    <t xml:space="preserve">Vitis vinifera subsp vinifera cv. Orbois = Arbois</t>
  </si>
  <si>
    <t xml:space="preserve">Vitis vinifera subsp vinifera cv. Org tokos</t>
  </si>
  <si>
    <t xml:space="preserve">Vitis vinifera subsp vinifera cv. Orléans jaune</t>
  </si>
  <si>
    <t xml:space="preserve">Vitis vinifera subsp vinifera cv. Orlovi nogti</t>
  </si>
  <si>
    <t xml:space="preserve">Vitis vinifera subsp vinifera cv. Orlovi nokti cerni</t>
  </si>
  <si>
    <t xml:space="preserve">Vitis vinifera subsp vinifera cv. Ornove</t>
  </si>
  <si>
    <t xml:space="preserve">Vitis vinifera subsp vinifera cv. Ornove 2</t>
  </si>
  <si>
    <t xml:space="preserve">Vitis vinifera subsp vinifera cv. Örrökké piros</t>
  </si>
  <si>
    <t xml:space="preserve">Vitis vinifera subsp vinifera cv. Ortega = Würzburg B 48-21-4</t>
  </si>
  <si>
    <t xml:space="preserve">Vitis vinifera subsp vinifera cv. Ortrugo</t>
  </si>
  <si>
    <t xml:space="preserve">Vitis vinifera subsp vinifera cv. Otcha bala</t>
  </si>
  <si>
    <t xml:space="preserve">Vitis vinifera subsp vinifera cv. Ötfürtü</t>
  </si>
  <si>
    <t xml:space="preserve">Vitis vinifera subsp vinifera cv. Oul b'Ouzgueur</t>
  </si>
  <si>
    <t xml:space="preserve">Vitis vinifera subsp vinifera cv. Ouliven</t>
  </si>
  <si>
    <t xml:space="preserve">Vitis vinifera subsp vinifera cv. Ouroum üzümü</t>
  </si>
  <si>
    <t xml:space="preserve">Vitis vinifera subsp vinifera cv. Oussakheloouri</t>
  </si>
  <si>
    <t xml:space="preserve">Vitis vinifera subsp vinifera cv. Outanant</t>
  </si>
  <si>
    <t xml:space="preserve">Vitis vinifera subsp vinifera cv. Ovis</t>
  </si>
  <si>
    <t xml:space="preserve">Vitis vinifera subsp vinifera cv. Ozaan Daii</t>
  </si>
  <si>
    <t xml:space="preserve">Vitis vinifera subsp vinifera cv. Padeiro de Basto</t>
  </si>
  <si>
    <t xml:space="preserve">Vitis vinifera subsp vinifera cv. Pagadebiti</t>
  </si>
  <si>
    <t xml:space="preserve">Vitis vinifera subsp vinifera cv. Pagadebito</t>
  </si>
  <si>
    <t xml:space="preserve">Vitis vinifera subsp vinifera cv. Païs</t>
  </si>
  <si>
    <t xml:space="preserve">Vitis vinifera subsp vinifera cv. Palarusa</t>
  </si>
  <si>
    <t xml:space="preserve">Vitis vinifera subsp vinifera cv. Palestina Oberlin I</t>
  </si>
  <si>
    <t xml:space="preserve">Vitis vinifera subsp vinifera cv. Palestina Oberlin II</t>
  </si>
  <si>
    <t xml:space="preserve">Vitis vinifera subsp vinifera cv. Palestina Oberlin III</t>
  </si>
  <si>
    <t xml:space="preserve">Vitis vinifera subsp vinifera cv. Pallagrello nero</t>
  </si>
  <si>
    <t xml:space="preserve">Vitis vinifera subsp vinifera cv. Pamid</t>
  </si>
  <si>
    <t xml:space="preserve">Vitis vinifera subsp vinifera cv. Pamid bial</t>
  </si>
  <si>
    <t xml:space="preserve">Vitis vinifera subsp vinifera cv. Pamid siv</t>
  </si>
  <si>
    <t xml:space="preserve">Vitis vinifera subsp vinifera cv. Pamid tcher</t>
  </si>
  <si>
    <t xml:space="preserve">Vitis vinifera subsp vinifera cv. Pamidi</t>
  </si>
  <si>
    <t xml:space="preserve">Vitis vinifera subsp vinifera cv. Pannonia kincse</t>
  </si>
  <si>
    <t xml:space="preserve">Vitis vinifera subsp vinifera cv. Panse précoce</t>
  </si>
  <si>
    <t xml:space="preserve">Vitis vinifera subsp vinifera cv. Pansera</t>
  </si>
  <si>
    <t xml:space="preserve">Vitis vinifera subsp vinifera cv. Papadiko</t>
  </si>
  <si>
    <t xml:space="preserve">Vitis vinifera subsp vinifera cv. Papasca neagra</t>
  </si>
  <si>
    <t xml:space="preserve">Vitis vinifera subsp vinifera cv. Papaskarasi</t>
  </si>
  <si>
    <t xml:space="preserve">Vitis vinifera subsp vinifera cv. Paradisa</t>
  </si>
  <si>
    <t xml:space="preserve">Vitis vinifera subsp vinifera cv. Pardillo</t>
  </si>
  <si>
    <t xml:space="preserve">Vitis vinifera subsp vinifera cv. Pardina = Pirovano 130</t>
  </si>
  <si>
    <t xml:space="preserve">Vitis vinifera subsp vinifera cv. Pardotte</t>
  </si>
  <si>
    <t xml:space="preserve">Vitis vinifera subsp vinifera cv. Parduca</t>
  </si>
  <si>
    <t xml:space="preserve">Vitis vinifera subsp vinifera cv. Parellada</t>
  </si>
  <si>
    <t xml:space="preserve">Vitis vinifera subsp vinifera cv. Pariano</t>
  </si>
  <si>
    <t xml:space="preserve">Vitis vinifera subsp vinifera cv. Parkent</t>
  </si>
  <si>
    <t xml:space="preserve">Vitis vinifera subsp vinifera cv. Pascal</t>
  </si>
  <si>
    <t xml:space="preserve">Vitis vinifera subsp vinifera cv. Pascale di Cagliari</t>
  </si>
  <si>
    <t xml:space="preserve">Vitis vinifera subsp vinifera cv. Pasiga</t>
  </si>
  <si>
    <t xml:space="preserve">Vitis vinifera subsp vinifera cv. Patagonia</t>
  </si>
  <si>
    <t xml:space="preserve">Vitis vinifera subsp vinifera cv. Pattaresco</t>
  </si>
  <si>
    <t xml:space="preserve">Vitis vinifera subsp vinifera cv. Patte d'oie</t>
  </si>
  <si>
    <t xml:space="preserve">Vitis vinifera subsp vinifera cv. Pau Ferro</t>
  </si>
  <si>
    <t xml:space="preserve">Vitis vinifera subsp vinifera cv. Paulsen 157</t>
  </si>
  <si>
    <t xml:space="preserve">Vitis vinifera subsp vinifera cv. Pavana</t>
  </si>
  <si>
    <t xml:space="preserve">Vitis vinifera subsp vinifera cv. Pé de Perdiz</t>
  </si>
  <si>
    <t xml:space="preserve">Vitis vinifera subsp vinifera cv. Pé de Perdrix</t>
  </si>
  <si>
    <t xml:space="preserve">Vitis vinifera subsp vinifera cv. Peck</t>
  </si>
  <si>
    <t xml:space="preserve">Vitis vinifera subsp vinifera cv. Pecorino</t>
  </si>
  <si>
    <t xml:space="preserve">Vitis vinifera subsp vinifera cv. Pecsi dinka</t>
  </si>
  <si>
    <t xml:space="preserve">Vitis vinifera subsp vinifera cv. Pecsi Szagos</t>
  </si>
  <si>
    <t xml:space="preserve">Vitis vinifera subsp vinifera cv. Pedevenda</t>
  </si>
  <si>
    <t xml:space="preserve">Vitis vinifera subsp vinifera cv. Pedro Gimenez faux</t>
  </si>
  <si>
    <t xml:space="preserve">Vitis vinifera subsp vinifera cv. Pedro Jimenez</t>
  </si>
  <si>
    <t xml:space="preserve">Vitis vinifera subsp vinifera cv. Pedro Luis</t>
  </si>
  <si>
    <t xml:space="preserve">Vitis vinifera subsp vinifera cv. Pedrol</t>
  </si>
  <si>
    <t xml:space="preserve">Vitis vinifera subsp vinifera cv. Peikani</t>
  </si>
  <si>
    <t xml:space="preserve">Vitis vinifera subsp vinifera cv. Peince</t>
  </si>
  <si>
    <t xml:space="preserve">Vitis vinifera subsp vinifera cv. Peloursin</t>
  </si>
  <si>
    <t xml:space="preserve">Vitis vinifera subsp vinifera cv. Peloursin gris</t>
  </si>
  <si>
    <t xml:space="preserve">Vitis vinifera subsp vinifera cv. Penouille</t>
  </si>
  <si>
    <t xml:space="preserve">Vitis vinifera subsp vinifera cv. Perdea</t>
  </si>
  <si>
    <t xml:space="preserve">Vitis vinifera subsp vinifera cv. Perel</t>
  </si>
  <si>
    <t xml:space="preserve">Vitis vinifera subsp vinifera cv. Pergolese</t>
  </si>
  <si>
    <t xml:space="preserve">Vitis vinifera subsp vinifera cv. Pergrandis = Pirovano 388</t>
  </si>
  <si>
    <t xml:space="preserve">Vitis vinifera subsp vinifera cv. Periquita</t>
  </si>
  <si>
    <t xml:space="preserve">Vitis vinifera subsp vinifera cv. Perla nera = Pirovano 218</t>
  </si>
  <si>
    <t xml:space="preserve">Vitis vinifera subsp vinifera cv. Perlaut = INRA 669-45</t>
  </si>
  <si>
    <t xml:space="preserve">Vitis vinifera subsp vinifera cv. Perle = Scheu 3951</t>
  </si>
  <si>
    <t xml:space="preserve">Vitis vinifera subsp vinifera cv. Perle de Csaba</t>
  </si>
  <si>
    <t xml:space="preserve">Vitis vinifera subsp vinifera cv. Perle de Csaba rouge</t>
  </si>
  <si>
    <t xml:space="preserve">Vitis vinifera subsp vinifera cv. Perle impériale blanche</t>
  </si>
  <si>
    <t xml:space="preserve">Vitis vinifera subsp vinifera cv. Perlette</t>
  </si>
  <si>
    <t xml:space="preserve">Vitis vinifera subsp vinifera cv. Perlon</t>
  </si>
  <si>
    <t xml:space="preserve">Vitis vinifera subsp vinifera cv. Perlona = Pirovano 54</t>
  </si>
  <si>
    <t xml:space="preserve">Vitis vinifera subsp vinifera cv. Perola da Gestosa</t>
  </si>
  <si>
    <t xml:space="preserve">Vitis vinifera subsp vinifera cv. Perricone</t>
  </si>
  <si>
    <t xml:space="preserve">Vitis vinifera subsp vinifera cv. Perrier noir</t>
  </si>
  <si>
    <t xml:space="preserve">Vitis vinifera subsp vinifera cv. Perrum</t>
  </si>
  <si>
    <t xml:space="preserve">Vitis vinifera subsp vinifera cv. Perruno</t>
  </si>
  <si>
    <t xml:space="preserve">Vitis vinifera subsp vinifera cv. Persagne grise</t>
  </si>
  <si>
    <t xml:space="preserve">Vitis vinifera subsp vinifera cv. Persan</t>
  </si>
  <si>
    <t xml:space="preserve">Vitis vinifera subsp vinifera cv. Pervenetz praskoveisky</t>
  </si>
  <si>
    <t xml:space="preserve">Vitis vinifera subsp vinifera cv. Petinos</t>
  </si>
  <si>
    <t xml:space="preserve">Vitis vinifera subsp vinifera cv. Petit Blanchou</t>
  </si>
  <si>
    <t xml:space="preserve">Vitis vinifera subsp vinifera cv. Petit Bouschet</t>
  </si>
  <si>
    <t xml:space="preserve">Vitis vinifera subsp vinifera cv. Petit Bouschet à feuilles de Malvoisie</t>
  </si>
  <si>
    <t xml:space="preserve">Vitis vinifera subsp vinifera cv. Petit Bouschet à feuilles lisses x Aramon n°2</t>
  </si>
  <si>
    <t xml:space="preserve">Vitis vinifera subsp vinifera cv. Petit Bouschet à feuilles lisses x Aramon n°3</t>
  </si>
  <si>
    <t xml:space="preserve">Vitis vinifera subsp vinifera cv. Petit Bouschet à feuilles lisses x Aramon n°5</t>
  </si>
  <si>
    <t xml:space="preserve">Vitis vinifera subsp vinifera cv. Petit Bouschet extra fertile</t>
  </si>
  <si>
    <t xml:space="preserve">Vitis vinifera subsp vinifera cv. Petit Bouschet x Aramon n°1</t>
  </si>
  <si>
    <t xml:space="preserve">Vitis vinifera subsp vinifera cv. Petit Bouschet x Aramon n°2</t>
  </si>
  <si>
    <t xml:space="preserve">Vitis vinifera subsp vinifera cv. Petit Bouschet x Aramon n°4</t>
  </si>
  <si>
    <t xml:space="preserve">Vitis vinifera subsp vinifera cv. Petit Bouschet x Aramon n°6</t>
  </si>
  <si>
    <t xml:space="preserve">Vitis vinifera subsp vinifera cv. Petit Bouschet x Aramon n°7</t>
  </si>
  <si>
    <t xml:space="preserve">Vitis vinifera subsp vinifera cv. Petit Bouschet x Aramon n°8</t>
  </si>
  <si>
    <t xml:space="preserve">Vitis vinifera subsp vinifera cv. Petit Bouschet x Aramon n°9</t>
  </si>
  <si>
    <t xml:space="preserve">Vitis vinifera subsp vinifera cv. Petit Bouschet x Morrastel fleuri n°1</t>
  </si>
  <si>
    <t xml:space="preserve">Vitis vinifera subsp vinifera cv. Petit Bouschet x Morrastel n°3</t>
  </si>
  <si>
    <t xml:space="preserve">Vitis vinifera subsp vinifera cv. Petit Bouschet x Morrastel n°7</t>
  </si>
  <si>
    <t xml:space="preserve">Vitis vinifera subsp vinifera cv. Petit Bouschet x Piquepoul n°2</t>
  </si>
  <si>
    <t xml:space="preserve">Vitis vinifera subsp vinifera cv. Petit Bouschet x Terret gris</t>
  </si>
  <si>
    <t xml:space="preserve">Vitis vinifera subsp vinifera cv. Petit Courbu</t>
  </si>
  <si>
    <t xml:space="preserve">Vitis vinifera subsp vinifera cv. Petit Manseng</t>
  </si>
  <si>
    <t xml:space="preserve">Vitis vinifera subsp vinifera cv. Petit Meslier</t>
  </si>
  <si>
    <t xml:space="preserve">Vitis vinifera subsp vinifera cv. Petit Meslier rose</t>
  </si>
  <si>
    <t xml:space="preserve">Vitis vinifera subsp vinifera cv. Petit Péjac</t>
  </si>
  <si>
    <t xml:space="preserve">Vitis vinifera subsp vinifera cv. Petit rouge</t>
  </si>
  <si>
    <t xml:space="preserve">Vitis vinifera subsp vinifera cv. Petit Verdot</t>
  </si>
  <si>
    <t xml:space="preserve">Vitis vinifera subsp vinifera cv. Pétoin</t>
  </si>
  <si>
    <t xml:space="preserve">Vitis vinifera subsp vinifera cv. Peurion</t>
  </si>
  <si>
    <t xml:space="preserve">Vitis vinifera subsp vinifera cv. Peverella</t>
  </si>
  <si>
    <t xml:space="preserve">Vitis vinifera subsp vinifera cv. Peygamber üzümü</t>
  </si>
  <si>
    <t xml:space="preserve">Vitis vinifera subsp vinifera cv. Phakhri</t>
  </si>
  <si>
    <t xml:space="preserve">Vitis vinifera subsp vinifera cv. Phidia</t>
  </si>
  <si>
    <t xml:space="preserve">Vitis vinifera subsp vinifera cv. Phileri attikis</t>
  </si>
  <si>
    <t xml:space="preserve">Vitis vinifera subsp vinifera cv. Phileri rose</t>
  </si>
  <si>
    <t xml:space="preserve">Vitis vinifera subsp vinifera cv. Phileri rose musqué</t>
  </si>
  <si>
    <t xml:space="preserve">Vitis vinifera subsp vinifera cv. Phokiano</t>
  </si>
  <si>
    <t xml:space="preserve">Vitis vinifera subsp vinifera cv. Phraoula rose</t>
  </si>
  <si>
    <t xml:space="preserve">Vitis vinifera subsp vinifera cv. Picadillo blanco</t>
  </si>
  <si>
    <t xml:space="preserve">Vitis vinifera subsp vinifera cv. Picardan = Araignan blanc</t>
  </si>
  <si>
    <t xml:space="preserve">Vitis vinifera subsp vinifera cv. Piccola nera</t>
  </si>
  <si>
    <t xml:space="preserve">Vitis vinifera subsp vinifera cv. Piccolit</t>
  </si>
  <si>
    <t xml:space="preserve">Vitis vinifera subsp vinifera cv. Picolin</t>
  </si>
  <si>
    <t xml:space="preserve">Vitis vinifera subsp vinifera cv. Piedirosso</t>
  </si>
  <si>
    <t xml:space="preserve">Vitis vinifera subsp vinifera cv. Pigeonnet</t>
  </si>
  <si>
    <t xml:space="preserve">Vitis vinifera subsp vinifera cv. Pignol</t>
  </si>
  <si>
    <t xml:space="preserve">Vitis vinifera subsp vinifera cv. Pignola valtellinese</t>
  </si>
  <si>
    <t xml:space="preserve">Vitis vinifera subsp vinifera cv. Piment</t>
  </si>
  <si>
    <t xml:space="preserve">Vitis vinifera subsp vinifera cv. Pin el pou Tao</t>
  </si>
  <si>
    <t xml:space="preserve">Vitis vinifera subsp vinifera cv. Pineau d'Aunis</t>
  </si>
  <si>
    <t xml:space="preserve">Vitis vinifera subsp vinifera cv. Pineau d'Aunis teinturier</t>
  </si>
  <si>
    <t xml:space="preserve">Vitis vinifera subsp vinifera cv. Pinella bianca</t>
  </si>
  <si>
    <t xml:space="preserve">Vitis vinifera subsp vinifera cv. Pinot à fleurs doubles</t>
  </si>
  <si>
    <t xml:space="preserve">Vitis vinifera subsp vinifera cv. Pinot blanc</t>
  </si>
  <si>
    <t xml:space="preserve">Vitis vinifera subsp vinifera cv. Pinot gris</t>
  </si>
  <si>
    <t xml:space="preserve">Vitis vinifera subsp vinifera cv. Pinot lacinifolié</t>
  </si>
  <si>
    <t xml:space="preserve">Vitis vinifera subsp vinifera cv. Pinot noir</t>
  </si>
  <si>
    <t xml:space="preserve">Vitis vinifera subsp vinifera cv. Pinot précoce noir</t>
  </si>
  <si>
    <t xml:space="preserve">Vitis vinifera subsp vinifera cv. Pinot rouge</t>
  </si>
  <si>
    <t xml:space="preserve">Vitis vinifera subsp vinifera cv. Pinot teinturier</t>
  </si>
  <si>
    <t xml:space="preserve">Vitis vinifera subsp vinifera cv. Pinot tête de nègre</t>
  </si>
  <si>
    <t xml:space="preserve">Vitis vinifera subsp vinifera cv. Pinotage</t>
  </si>
  <si>
    <t xml:space="preserve">Vitis vinifera subsp vinifera cv. Piquepoul blanc</t>
  </si>
  <si>
    <t xml:space="preserve">Vitis vinifera subsp vinifera cv. Piquepoul Bouschet</t>
  </si>
  <si>
    <t xml:space="preserve">Vitis vinifera subsp vinifera cv. Piquepoul gris</t>
  </si>
  <si>
    <t xml:space="preserve">Vitis vinifera subsp vinifera cv. Piquepoul noir</t>
  </si>
  <si>
    <t xml:space="preserve">Vitis vinifera subsp vinifera cv. Pirciu</t>
  </si>
  <si>
    <t xml:space="preserve">Vitis vinifera subsp vinifera cv. Pirovano 1</t>
  </si>
  <si>
    <t xml:space="preserve">Vitis vinifera subsp vinifera cv. Pirovano 11</t>
  </si>
  <si>
    <t xml:space="preserve">Vitis vinifera subsp vinifera cv. Pirovano 111</t>
  </si>
  <si>
    <t xml:space="preserve">Vitis vinifera subsp vinifera cv. Pirovano 112</t>
  </si>
  <si>
    <t xml:space="preserve">Vitis vinifera subsp vinifera cv. Pirovano 113</t>
  </si>
  <si>
    <t xml:space="preserve">Vitis vinifera subsp vinifera cv. Pirovano 115</t>
  </si>
  <si>
    <t xml:space="preserve">Vitis vinifera subsp vinifera cv. Pirovano 123</t>
  </si>
  <si>
    <t xml:space="preserve">Vitis vinifera subsp vinifera cv. Pirovano 14</t>
  </si>
  <si>
    <t xml:space="preserve">Vitis vinifera subsp vinifera cv. Pirovano 15</t>
  </si>
  <si>
    <t xml:space="preserve">Vitis vinifera subsp vinifera cv. Pirovano 153</t>
  </si>
  <si>
    <t xml:space="preserve">Vitis vinifera subsp vinifera cv. Pirovano 154</t>
  </si>
  <si>
    <t xml:space="preserve">Vitis vinifera subsp vinifera cv. Pirovano 155</t>
  </si>
  <si>
    <t xml:space="preserve">Vitis vinifera subsp vinifera cv. Pirovano 156</t>
  </si>
  <si>
    <t xml:space="preserve">Vitis vinifera subsp vinifera cv. Pirovano 157</t>
  </si>
  <si>
    <t xml:space="preserve">Vitis vinifera subsp vinifera cv. Pirovano 159</t>
  </si>
  <si>
    <t xml:space="preserve">Vitis vinifera subsp vinifera cv. Pirovano 17</t>
  </si>
  <si>
    <t xml:space="preserve">Vitis vinifera subsp vinifera cv. Pirovano 174</t>
  </si>
  <si>
    <t xml:space="preserve">Vitis vinifera subsp vinifera cv. Pirovano 175</t>
  </si>
  <si>
    <t xml:space="preserve">Vitis vinifera subsp vinifera cv. Pirovano 182</t>
  </si>
  <si>
    <t xml:space="preserve">Vitis vinifera subsp vinifera cv. Pirovano 186</t>
  </si>
  <si>
    <t xml:space="preserve">Vitis vinifera subsp vinifera cv. Pirovano 186 a</t>
  </si>
  <si>
    <t xml:space="preserve">Vitis vinifera subsp vinifera cv. Pirovano 188</t>
  </si>
  <si>
    <t xml:space="preserve">Vitis vinifera subsp vinifera cv. Pirovano 19</t>
  </si>
  <si>
    <t xml:space="preserve">Vitis vinifera subsp vinifera cv. Pirovano 190</t>
  </si>
  <si>
    <t xml:space="preserve">Vitis vinifera subsp vinifera cv. Pirovano 21</t>
  </si>
  <si>
    <t xml:space="preserve">Vitis vinifera subsp vinifera cv. Pirovano 217</t>
  </si>
  <si>
    <t xml:space="preserve">Vitis vinifera subsp vinifera cv. Pirovano 219</t>
  </si>
  <si>
    <t xml:space="preserve">Vitis vinifera subsp vinifera cv. Pirovano 220 b</t>
  </si>
  <si>
    <t xml:space="preserve">Vitis vinifera subsp vinifera cv. Pirovano 225</t>
  </si>
  <si>
    <t xml:space="preserve">Vitis vinifera subsp vinifera cv. Pirovano 235</t>
  </si>
  <si>
    <t xml:space="preserve">Vitis vinifera subsp vinifera cv. Pirovano 24</t>
  </si>
  <si>
    <t xml:space="preserve">Vitis vinifera subsp vinifera cv. Pirovano 25</t>
  </si>
  <si>
    <t xml:space="preserve">Vitis vinifera subsp vinifera cv. Pirovano 28</t>
  </si>
  <si>
    <t xml:space="preserve">Vitis vinifera subsp vinifera cv. Pirovano 3</t>
  </si>
  <si>
    <t xml:space="preserve">Vitis vinifera subsp vinifera cv. Pirovano 306</t>
  </si>
  <si>
    <t xml:space="preserve">Vitis vinifera subsp vinifera cv. Pirovano 31</t>
  </si>
  <si>
    <t xml:space="preserve">Vitis vinifera subsp vinifera cv. Pirovano 312</t>
  </si>
  <si>
    <t xml:space="preserve">Vitis vinifera subsp vinifera cv. Pirovano 313 a</t>
  </si>
  <si>
    <t xml:space="preserve">Vitis vinifera subsp vinifera cv. Pirovano 315</t>
  </si>
  <si>
    <t xml:space="preserve">Vitis vinifera subsp vinifera cv. Pirovano 32</t>
  </si>
  <si>
    <t xml:space="preserve">Vitis vinifera subsp vinifera cv. Pirovano 321</t>
  </si>
  <si>
    <t xml:space="preserve">Vitis vinifera subsp vinifera cv. Pirovano 322</t>
  </si>
  <si>
    <t xml:space="preserve">Vitis vinifera subsp vinifera cv. Pirovano 338</t>
  </si>
  <si>
    <t xml:space="preserve">Vitis vinifera subsp vinifera cv. Pirovano 344</t>
  </si>
  <si>
    <t xml:space="preserve">Vitis vinifera subsp vinifera cv. Pirovano 346</t>
  </si>
  <si>
    <t xml:space="preserve">Vitis vinifera subsp vinifera cv. Pirovano 349</t>
  </si>
  <si>
    <t xml:space="preserve">Vitis vinifera subsp vinifera cv. Pirovano 352 faux</t>
  </si>
  <si>
    <t xml:space="preserve">Vitis vinifera subsp vinifera cv. Pirovano 359</t>
  </si>
  <si>
    <t xml:space="preserve">Vitis vinifera subsp vinifera cv. Pirovano 36</t>
  </si>
  <si>
    <t xml:space="preserve">Vitis vinifera subsp vinifera cv. Pirovano 378</t>
  </si>
  <si>
    <t xml:space="preserve">Vitis vinifera subsp vinifera cv. Pirovano 398</t>
  </si>
  <si>
    <t xml:space="preserve">Vitis vinifera subsp vinifera cv. Pirovano 399</t>
  </si>
  <si>
    <t xml:space="preserve">Vitis vinifera subsp vinifera cv. Pirovano 4</t>
  </si>
  <si>
    <t xml:space="preserve">Vitis vinifera subsp vinifera cv. Pirovano 428</t>
  </si>
  <si>
    <t xml:space="preserve">Vitis vinifera subsp vinifera cv. Pirovano 436</t>
  </si>
  <si>
    <t xml:space="preserve">Vitis vinifera subsp vinifera cv. Pirovano 46</t>
  </si>
  <si>
    <t xml:space="preserve">Vitis vinifera subsp vinifera cv. Pirovano 468</t>
  </si>
  <si>
    <t xml:space="preserve">Vitis vinifera subsp vinifera cv. Pirovano 471</t>
  </si>
  <si>
    <t xml:space="preserve">Vitis vinifera subsp vinifera cv. Pirovano 477 a</t>
  </si>
  <si>
    <t xml:space="preserve">Vitis vinifera subsp vinifera cv. Pirovano 49</t>
  </si>
  <si>
    <t xml:space="preserve">Vitis vinifera subsp vinifera cv. Pirovano 5</t>
  </si>
  <si>
    <t xml:space="preserve">Vitis vinifera subsp vinifera cv. Pirovano 50</t>
  </si>
  <si>
    <t xml:space="preserve">Vitis vinifera subsp vinifera cv. Pirovano 51</t>
  </si>
  <si>
    <t xml:space="preserve">Vitis vinifera subsp vinifera cv. Pirovano 53</t>
  </si>
  <si>
    <t xml:space="preserve">Vitis vinifera subsp vinifera cv. Pirovano 530</t>
  </si>
  <si>
    <t xml:space="preserve">Vitis vinifera subsp vinifera cv. Pirovano 531</t>
  </si>
  <si>
    <t xml:space="preserve">Vitis vinifera subsp vinifera cv. Pirovano 536</t>
  </si>
  <si>
    <t xml:space="preserve">Vitis vinifera subsp vinifera cv. Pirovano 54 A</t>
  </si>
  <si>
    <t xml:space="preserve">Vitis vinifera subsp vinifera cv. Pirovano 540 A</t>
  </si>
  <si>
    <t xml:space="preserve">Vitis vinifera subsp vinifera cv. Pirovano 544</t>
  </si>
  <si>
    <t xml:space="preserve">Vitis vinifera subsp vinifera cv. Pirovano 55 faux</t>
  </si>
  <si>
    <t xml:space="preserve">Vitis vinifera subsp vinifera cv. Pirovano 56</t>
  </si>
  <si>
    <t xml:space="preserve">Vitis vinifera subsp vinifera cv. Pirovano 57</t>
  </si>
  <si>
    <t xml:space="preserve">Vitis vinifera subsp vinifera cv. Pirovano 575</t>
  </si>
  <si>
    <t xml:space="preserve">Vitis vinifera subsp vinifera cv. Pirovano 61</t>
  </si>
  <si>
    <t xml:space="preserve">Vitis vinifera subsp vinifera cv. Pirovano 62</t>
  </si>
  <si>
    <t xml:space="preserve">Vitis vinifera subsp vinifera cv. Pirovano 620</t>
  </si>
  <si>
    <t xml:space="preserve">Vitis vinifera subsp vinifera cv. Pirovano 63</t>
  </si>
  <si>
    <t xml:space="preserve">Vitis vinifera subsp vinifera cv. Pirovano 64</t>
  </si>
  <si>
    <t xml:space="preserve">Vitis vinifera subsp vinifera cv. Pirovano 66</t>
  </si>
  <si>
    <t xml:space="preserve">Vitis vinifera subsp vinifera cv. Pirovano 671</t>
  </si>
  <si>
    <t xml:space="preserve">Vitis vinifera subsp vinifera cv. Pirovano 69</t>
  </si>
  <si>
    <t xml:space="preserve">Vitis vinifera subsp vinifera cv. Pirovano 74</t>
  </si>
  <si>
    <t xml:space="preserve">Vitis vinifera subsp vinifera cv. Pirovano 76</t>
  </si>
  <si>
    <t xml:space="preserve">Vitis vinifera subsp vinifera cv. Pirovano 79</t>
  </si>
  <si>
    <t xml:space="preserve">Vitis vinifera subsp vinifera cv. Pirovano 80</t>
  </si>
  <si>
    <t xml:space="preserve">Vitis vinifera subsp vinifera cv. Pirovano 84</t>
  </si>
  <si>
    <t xml:space="preserve">Vitis vinifera subsp vinifera cv. Pirovano 88</t>
  </si>
  <si>
    <t xml:space="preserve">Vitis vinifera subsp vinifera cv. Pirovano 91</t>
  </si>
  <si>
    <t xml:space="preserve">Vitis vinifera subsp vinifera cv. Pirovano 92</t>
  </si>
  <si>
    <t xml:space="preserve">Vitis vinifera subsp vinifera cv. Pirovano 93</t>
  </si>
  <si>
    <t xml:space="preserve">Vitis vinifera subsp vinifera cv. Pirovano 94</t>
  </si>
  <si>
    <t xml:space="preserve">Vitis vinifera subsp vinifera cv. Pirovano 95</t>
  </si>
  <si>
    <t xml:space="preserve">Vitis vinifera subsp vinifera cv. Pirovano 96</t>
  </si>
  <si>
    <t xml:space="preserve">Vitis vinifera subsp vinifera cv. Pirovano 97</t>
  </si>
  <si>
    <t xml:space="preserve">Vitis vinifera subsp vinifera cv. Pirovano 98</t>
  </si>
  <si>
    <t xml:space="preserve">Vitis vinifera subsp vinifera cv. Pirovano 99</t>
  </si>
  <si>
    <t xml:space="preserve">Vitis vinifera subsp vinifera cv. Pizzutello nero</t>
  </si>
  <si>
    <t xml:space="preserve">Vitis vinifera subsp vinifera cv. Plant d'Aoste</t>
  </si>
  <si>
    <t xml:space="preserve">Vitis vinifera subsp vinifera cv. Plant de Brunel</t>
  </si>
  <si>
    <t xml:space="preserve">Vitis vinifera subsp vinifera cv. Plant de Couston</t>
  </si>
  <si>
    <t xml:space="preserve">Vitis vinifera subsp vinifera cv. Plant de Flassans</t>
  </si>
  <si>
    <t xml:space="preserve">Vitis vinifera subsp vinifera cv. Plant droit</t>
  </si>
  <si>
    <t xml:space="preserve">Vitis vinifera subsp vinifera cv. Plant Vert</t>
  </si>
  <si>
    <t xml:space="preserve">Vitis vinifera subsp vinifera cv. Planta mula</t>
  </si>
  <si>
    <t xml:space="preserve">Vitis vinifera subsp vinifera cv. Planta nova</t>
  </si>
  <si>
    <t xml:space="preserve">Vitis vinifera subsp vinifera cv. Plassa</t>
  </si>
  <si>
    <t xml:space="preserve">Vitis vinifera subsp vinifera cv. Platyracho</t>
  </si>
  <si>
    <t xml:space="preserve">Vitis vinifera subsp vinifera cv. Plavac mali (Jelaska)</t>
  </si>
  <si>
    <t xml:space="preserve">Vitis vinifera subsp vinifera cv. Plavaï</t>
  </si>
  <si>
    <t xml:space="preserve">Vitis vinifera subsp vinifera cv. Plavina crna</t>
  </si>
  <si>
    <t xml:space="preserve">Vitis vinifera subsp vinifera cv. Pletchistik</t>
  </si>
  <si>
    <t xml:space="preserve">Vitis vinifera subsp vinifera cv. Plyto</t>
  </si>
  <si>
    <t xml:space="preserve">Vitis vinifera subsp vinifera cv. Pobeda</t>
  </si>
  <si>
    <t xml:space="preserve">Vitis vinifera subsp vinifera cv. Pointu</t>
  </si>
  <si>
    <t xml:space="preserve">Vitis vinifera subsp vinifera cv. Pollera nera</t>
  </si>
  <si>
    <t xml:space="preserve">Vitis vinifera subsp vinifera cv. Pollita</t>
  </si>
  <si>
    <t xml:space="preserve">Vitis vinifera subsp vinifera cv. Portan = INRA 1508-25</t>
  </si>
  <si>
    <t xml:space="preserve">Vitis vinifera subsp vinifera cv. Portugais blanc</t>
  </si>
  <si>
    <t xml:space="preserve">Vitis vinifera subsp vinifera cv. Portugais bleu</t>
  </si>
  <si>
    <t xml:space="preserve">Vitis vinifera subsp vinifera cv. Posip</t>
  </si>
  <si>
    <t xml:space="preserve">Vitis vinifera subsp vinifera cv. Potamissio</t>
  </si>
  <si>
    <t xml:space="preserve">Vitis vinifera subsp vinifera cv. Pougayen</t>
  </si>
  <si>
    <t xml:space="preserve">Vitis vinifera subsp vinifera cv. Pougnet</t>
  </si>
  <si>
    <t xml:space="preserve">Vitis vinifera subsp vinifera cv. Poulsard</t>
  </si>
  <si>
    <t xml:space="preserve">Vitis vinifera subsp vinifera cv. Poulsard blanc</t>
  </si>
  <si>
    <t xml:space="preserve">Vitis vinifera subsp vinifera cv. Poulsard rouge</t>
  </si>
  <si>
    <t xml:space="preserve">Vitis vinifera subsp vinifera cv. Pozsonyi feher</t>
  </si>
  <si>
    <t xml:space="preserve">Vitis vinifera subsp vinifera cv. Prc</t>
  </si>
  <si>
    <t xml:space="preserve">Vitis vinifera subsp vinifera cv. Précoce Bousquet</t>
  </si>
  <si>
    <t xml:space="preserve">Vitis vinifera subsp vinifera cv. Précoce de Malingre</t>
  </si>
  <si>
    <t xml:space="preserve">Vitis vinifera subsp vinifera cv. Précoce di Roma = Pirovano 707</t>
  </si>
  <si>
    <t xml:space="preserve">Vitis vinifera subsp vinifera cv. Premier</t>
  </si>
  <si>
    <t xml:space="preserve">Vitis vinifera subsp vinifera cv. Président Carnot</t>
  </si>
  <si>
    <t xml:space="preserve">Vitis vinifera subsp vinifera cv. Preto Martinho</t>
  </si>
  <si>
    <t xml:space="preserve">Vitis vinifera subsp vinifera cv. Preto salmoura</t>
  </si>
  <si>
    <t xml:space="preserve">Vitis vinifera subsp vinifera cv. Prima =  INRA 2719-122</t>
  </si>
  <si>
    <t xml:space="preserve">Vitis vinifera subsp vinifera cv. Primiera = Pirovano 309</t>
  </si>
  <si>
    <t xml:space="preserve">Vitis vinifera subsp vinifera cv. Primitivo</t>
  </si>
  <si>
    <t xml:space="preserve">Vitis vinifera subsp vinifera cv. Prin blanc</t>
  </si>
  <si>
    <t xml:space="preserve">Vitis vinifera subsp vinifera cv. Prince of Wales</t>
  </si>
  <si>
    <t xml:space="preserve">Vitis vinifera subsp vinifera cv. Princeps = Pirovano 357</t>
  </si>
  <si>
    <t xml:space="preserve">Vitis vinifera subsp vinifera cv. Principessa di Piemonte = Pirovano 108</t>
  </si>
  <si>
    <t xml:space="preserve">Vitis vinifera subsp vinifera cv. Prista</t>
  </si>
  <si>
    <t xml:space="preserve">Vitis vinifera subsp vinifera cv. Prodigiosa = Pirovano 59</t>
  </si>
  <si>
    <t xml:space="preserve">Vitis vinifera subsp vinifera cv. Prokupac</t>
  </si>
  <si>
    <t xml:space="preserve">Vitis vinifera subsp vinifera cv. Prosecco</t>
  </si>
  <si>
    <t xml:space="preserve">Vitis vinifera subsp vinifera cv. Prosecco lungo</t>
  </si>
  <si>
    <t xml:space="preserve">Vitis vinifera subsp vinifera cv. Prosperi 102</t>
  </si>
  <si>
    <t xml:space="preserve">Vitis vinifera subsp vinifera cv. Prosperi 167</t>
  </si>
  <si>
    <t xml:space="preserve">Vitis vinifera subsp vinifera cv. Prosperi 201</t>
  </si>
  <si>
    <t xml:space="preserve">Vitis vinifera subsp vinifera cv. Prosperi 204</t>
  </si>
  <si>
    <t xml:space="preserve">Vitis vinifera subsp vinifera cv. Prosperi 262</t>
  </si>
  <si>
    <t xml:space="preserve">Vitis vinifera subsp vinifera cv. Prosperi 268</t>
  </si>
  <si>
    <t xml:space="preserve">Vitis vinifera subsp vinifera cv. Prosperi 285</t>
  </si>
  <si>
    <t xml:space="preserve">Vitis vinifera subsp vinifera cv. Prosperi 37</t>
  </si>
  <si>
    <t xml:space="preserve">Vitis vinifera subsp vinifera cv. Prosperi 371</t>
  </si>
  <si>
    <t xml:space="preserve">Vitis vinifera subsp vinifera cv. Prosperi 8</t>
  </si>
  <si>
    <t xml:space="preserve">Vitis vinifera subsp vinifera cv. Prosperi 97</t>
  </si>
  <si>
    <t xml:space="preserve">Vitis vinifera subsp vinifera cv. Proueral</t>
  </si>
  <si>
    <t xml:space="preserve">Vitis vinifera subsp vinifera cv. Prueras</t>
  </si>
  <si>
    <t xml:space="preserve">Vitis vinifera subsp vinifera cv. Prune de Cazouls</t>
  </si>
  <si>
    <t xml:space="preserve">Vitis vinifera subsp vinifera cv. Prunelard</t>
  </si>
  <si>
    <t xml:space="preserve">Vitis vinifera subsp vinifera cv. Prunella moscato = Pirovano 47</t>
  </si>
  <si>
    <t xml:space="preserve">Vitis vinifera subsp vinifera cv. Prunesta nera</t>
  </si>
  <si>
    <t xml:space="preserve">Vitis vinifera subsp vinifera cv. Prunesta rosso violacea</t>
  </si>
  <si>
    <t xml:space="preserve">Vitis vinifera subsp vinifera cv. Psarotherico</t>
  </si>
  <si>
    <t xml:space="preserve">Vitis vinifera subsp vinifera cv. Pseudosyrico</t>
  </si>
  <si>
    <t xml:space="preserve">Vitis vinifera subsp vinifera cv. Puljïzanac</t>
  </si>
  <si>
    <t xml:space="preserve">Vitis vinifera subsp vinifera cv. Purcsin</t>
  </si>
  <si>
    <t xml:space="preserve">Vitis vinifera subsp vinifera cv. Putzscheere</t>
  </si>
  <si>
    <t xml:space="preserve">Vitis vinifera subsp vinifera cv. Quebranta</t>
  </si>
  <si>
    <t xml:space="preserve">Vitis vinifera subsp vinifera cv. Queen</t>
  </si>
  <si>
    <t xml:space="preserve">Vitis vinifera subsp vinifera cv. Quiebratinajas</t>
  </si>
  <si>
    <t xml:space="preserve">Vitis vinifera subsp vinifera cv. Quigat</t>
  </si>
  <si>
    <t xml:space="preserve">Vitis vinifera subsp vinifera cv. Rabigato</t>
  </si>
  <si>
    <t xml:space="preserve">Vitis vinifera subsp vinifera cv. Rabigato du Douro</t>
  </si>
  <si>
    <t xml:space="preserve">Vitis vinifera subsp vinifera cv. Raboso piave</t>
  </si>
  <si>
    <t xml:space="preserve">Vitis vinifera subsp vinifera cv. Raboso Veronese</t>
  </si>
  <si>
    <t xml:space="preserve">Vitis vinifera subsp vinifera cv. Raffiat de Moncade</t>
  </si>
  <si>
    <t xml:space="preserve">Vitis vinifera subsp vinifera cv. Raisaine</t>
  </si>
  <si>
    <t xml:space="preserve">Vitis vinifera subsp vinifera cv. Raisin de Kossuth</t>
  </si>
  <si>
    <t xml:space="preserve">Vitis vinifera subsp vinifera cv. Rakszölö</t>
  </si>
  <si>
    <t xml:space="preserve">Vitis vinifera subsp vinifera cv. Rami = Vidal 119</t>
  </si>
  <si>
    <t xml:space="preserve">Vitis vinifera subsp vinifera cv. Ramisco</t>
  </si>
  <si>
    <t xml:space="preserve">Vitis vinifera subsp vinifera cv. Rannii Vira</t>
  </si>
  <si>
    <t xml:space="preserve">Vitis vinifera subsp vinifera cv. Ranny Magaratcha = Magaratch 372</t>
  </si>
  <si>
    <t xml:space="preserve">Vitis vinifera subsp vinifera cv. Rassegui</t>
  </si>
  <si>
    <t xml:space="preserve">Vitis vinifera subsp vinifera cv. Rauschling</t>
  </si>
  <si>
    <t xml:space="preserve">Vitis vinifera subsp vinifera cv. Razachie alba</t>
  </si>
  <si>
    <t xml:space="preserve">Vitis vinifera subsp vinifera cv. Razachie rosie</t>
  </si>
  <si>
    <t xml:space="preserve">Vitis vinifera subsp vinifera cv. Razakiia mirisliva</t>
  </si>
  <si>
    <t xml:space="preserve">Vitis vinifera subsp vinifera cv. Razakiia piembiana</t>
  </si>
  <si>
    <t xml:space="preserve">Vitis vinifera subsp vinifera cv. Razdani</t>
  </si>
  <si>
    <t xml:space="preserve">Vitis vinifera subsp vinifera cv. Raziki</t>
  </si>
  <si>
    <t xml:space="preserve">Vitis vinifera subsp vinifera cv. Red globe</t>
  </si>
  <si>
    <t xml:space="preserve">Vitis vinifera subsp vinifera cv. Red May</t>
  </si>
  <si>
    <t xml:space="preserve">Vitis vinifera subsp vinifera cv. Refosco dal pedonculo rosso</t>
  </si>
  <si>
    <t xml:space="preserve">Vitis vinifera subsp vinifera cv. Refoscone</t>
  </si>
  <si>
    <t xml:space="preserve">Vitis vinifera subsp vinifera cv. Regenerator</t>
  </si>
  <si>
    <t xml:space="preserve">Vitis vinifera subsp vinifera cv. Reichensteiner</t>
  </si>
  <si>
    <t xml:space="preserve">Vitis vinifera subsp vinifera cv. Reichriesling</t>
  </si>
  <si>
    <t xml:space="preserve">Vitis vinifera subsp vinifera cv. Reichsfränkisch</t>
  </si>
  <si>
    <t xml:space="preserve">Vitis vinifera subsp vinifera cv. Reine des Vignes</t>
  </si>
  <si>
    <t xml:space="preserve">Vitis vinifera subsp vinifera cv. Retagliado bianco = Arrotelas</t>
  </si>
  <si>
    <t xml:space="preserve">Vitis vinifera subsp vinifera cv. Revers Cepens</t>
  </si>
  <si>
    <t xml:space="preserve">Vitis vinifera subsp vinifera cv. Rèze</t>
  </si>
  <si>
    <t xml:space="preserve">Vitis vinifera subsp vinifera cv. Rhoditis</t>
  </si>
  <si>
    <t xml:space="preserve">Vitis vinifera subsp vinifera cv. Ribier gris</t>
  </si>
  <si>
    <t xml:space="preserve">Vitis vinifera subsp vinifera cv. Ribier noir</t>
  </si>
  <si>
    <t xml:space="preserve">Vitis vinifera subsp vinifera cv. Ribol = INRA 1597-131</t>
  </si>
  <si>
    <t xml:space="preserve">Vitis vinifera subsp vinifera cv. Ribolla gialla</t>
  </si>
  <si>
    <t xml:space="preserve">Vitis vinifera subsp vinifera cv. Ribote</t>
  </si>
  <si>
    <t xml:space="preserve">Vitis vinifera subsp vinifera cv. Rieslaner = Würzburg NI 11-17</t>
  </si>
  <si>
    <t xml:space="preserve">Vitis vinifera subsp vinifera cv. Riesling</t>
  </si>
  <si>
    <t xml:space="preserve">Vitis vinifera subsp vinifera cv. Riesling italico</t>
  </si>
  <si>
    <t xml:space="preserve">Vitis vinifera subsp vinifera cv. Riesling Lion</t>
  </si>
  <si>
    <t xml:space="preserve">Vitis vinifera subsp vinifera cv. Riesling rouge</t>
  </si>
  <si>
    <t xml:space="preserve">Vitis vinifera subsp vinifera cv. Rigolbouillé</t>
  </si>
  <si>
    <t xml:space="preserve">Vitis vinifera subsp vinifera cv. Riminèse</t>
  </si>
  <si>
    <t xml:space="preserve">Vitis vinifera subsp vinifera cv. Rindjaga</t>
  </si>
  <si>
    <t xml:space="preserve">Vitis vinifera subsp vinifera cv. Rivairenc = Aspiran noir</t>
  </si>
  <si>
    <t xml:space="preserve">Vitis vinifera subsp vinifera cv. Rivairenc blanc = Aspiran blanc</t>
  </si>
  <si>
    <t xml:space="preserve">Vitis vinifera subsp vinifera cv. Rivairenc gris = Aspiran gris</t>
  </si>
  <si>
    <t xml:space="preserve">Vitis vinifera subsp vinifera cv. Rizamat</t>
  </si>
  <si>
    <t xml:space="preserve">Vitis vinifera subsp vinifera cv. Rizens</t>
  </si>
  <si>
    <t xml:space="preserve">Vitis vinifera subsp vinifera cv. Rkatsitelli</t>
  </si>
  <si>
    <t xml:space="preserve">Vitis vinifera subsp vinifera cv. Rkatziteli krasni</t>
  </si>
  <si>
    <t xml:space="preserve">Vitis vinifera subsp vinifera cv. Robin noir</t>
  </si>
  <si>
    <t xml:space="preserve">Vitis vinifera subsp vinifera cv. Rodi = Pirovano 166</t>
  </si>
  <si>
    <t xml:space="preserve">Vitis vinifera subsp vinifera cv. Rohrtraube</t>
  </si>
  <si>
    <t xml:space="preserve">Vitis vinifera subsp vinifera cv. Roi des précoces</t>
  </si>
  <si>
    <t xml:space="preserve">Vitis vinifera subsp vinifera cv. Roma = Pirovano 210</t>
  </si>
  <si>
    <t xml:space="preserve">Vitis vinifera subsp vinifera cv. Rombola noir</t>
  </si>
  <si>
    <t xml:space="preserve">Vitis vinifera subsp vinifera cv. Romeïco</t>
  </si>
  <si>
    <t xml:space="preserve">Vitis vinifera subsp vinifera cv. Romorantin</t>
  </si>
  <si>
    <t xml:space="preserve">Vitis vinifera subsp vinifera cv. Rondinella</t>
  </si>
  <si>
    <t xml:space="preserve">Vitis vinifera subsp vinifera cv. Ronelle</t>
  </si>
  <si>
    <t xml:space="preserve">Vitis vinifera subsp vinifera cv. Rosa del Peru type 1</t>
  </si>
  <si>
    <t xml:space="preserve">Vitis vinifera subsp vinifera cv. Rosa del Peru type 2</t>
  </si>
  <si>
    <t xml:space="preserve">Vitis vinifera subsp vinifera cv. Rosa menna di vacca</t>
  </si>
  <si>
    <t xml:space="preserve">Vitis vinifera subsp vinifera cv. Rosa steen</t>
  </si>
  <si>
    <t xml:space="preserve">Vitis vinifera subsp vinifera cv. Rosaki blanc de semis</t>
  </si>
  <si>
    <t xml:space="preserve">Vitis vinifera subsp vinifera cv. Rosaki noir de semis</t>
  </si>
  <si>
    <t xml:space="preserve">Vitis vinifera subsp vinifera cv. Rosé du Var</t>
  </si>
  <si>
    <t xml:space="preserve">Vitis vinifera subsp vinifera cv. Rossara trentina</t>
  </si>
  <si>
    <t xml:space="preserve">Vitis vinifera subsp vinifera cv. Rossese</t>
  </si>
  <si>
    <t xml:space="preserve">Vitis vinifera subsp vinifera cv. Rossignola</t>
  </si>
  <si>
    <t xml:space="preserve">Vitis vinifera subsp vinifera cv. Rossola bianca</t>
  </si>
  <si>
    <t xml:space="preserve">Vitis vinifera subsp vinifera cv. Rotberger = Gm 3-37</t>
  </si>
  <si>
    <t xml:space="preserve">Vitis vinifera subsp vinifera cv. Rotgipfler</t>
  </si>
  <si>
    <t xml:space="preserve">Vitis vinifera subsp vinifera cv. Roubinoy de Magaratch = Magaratch 56</t>
  </si>
  <si>
    <t xml:space="preserve">Vitis vinifera subsp vinifera cv. Roublot</t>
  </si>
  <si>
    <t xml:space="preserve">Vitis vinifera subsp vinifera cv. Rouchaki</t>
  </si>
  <si>
    <t xml:space="preserve">Vitis vinifera subsp vinifera cv. Rouge de Fully</t>
  </si>
  <si>
    <t xml:space="preserve">Vitis vinifera subsp vinifera cv. Roumi noir</t>
  </si>
  <si>
    <t xml:space="preserve">Vitis vinifera subsp vinifera cv. Roussaïtis</t>
  </si>
  <si>
    <t xml:space="preserve">Vitis vinifera subsp vinifera cv. Roussanne</t>
  </si>
  <si>
    <t xml:space="preserve">Vitis vinifera subsp vinifera cv. Roussaou</t>
  </si>
  <si>
    <t xml:space="preserve">Vitis vinifera subsp vinifera cv. Roussette d'Ayze</t>
  </si>
  <si>
    <t xml:space="preserve">Vitis vinifera subsp vinifera cv. Roxo dos pintos</t>
  </si>
  <si>
    <t xml:space="preserve">Vitis vinifera subsp vinifera cv. Royal</t>
  </si>
  <si>
    <t xml:space="preserve">Vitis vinifera subsp vinifera cv. Royal Ascot</t>
  </si>
  <si>
    <t xml:space="preserve">Vitis vinifera subsp vinifera cv. Royal Askant</t>
  </si>
  <si>
    <t xml:space="preserve">Vitis vinifera subsp vinifera cv. Royal Molenberg</t>
  </si>
  <si>
    <t xml:space="preserve">Vitis vinifera subsp vinifera cv. Royal Vineyard</t>
  </si>
  <si>
    <t xml:space="preserve">Vitis vinifera subsp vinifera cv. Rubi</t>
  </si>
  <si>
    <t xml:space="preserve">Vitis vinifera subsp vinifera cv. Ruby Cabernet</t>
  </si>
  <si>
    <t xml:space="preserve">Vitis vinifera subsp vinifera cv. Ruby seedless</t>
  </si>
  <si>
    <t xml:space="preserve">Vitis vinifera subsp vinifera cv. Rudezusa</t>
  </si>
  <si>
    <t xml:space="preserve">Vitis vinifera subsp vinifera cv. Ruzevina</t>
  </si>
  <si>
    <t xml:space="preserve">Vitis vinifera subsp vinifera cv. Sabalkanskoï</t>
  </si>
  <si>
    <t xml:space="preserve">Vitis vinifera subsp vinifera cv. Sabaté</t>
  </si>
  <si>
    <t xml:space="preserve">Vitis vinifera subsp vinifera cv. Sabra</t>
  </si>
  <si>
    <t xml:space="preserve">Vitis vinifera subsp vinifera cv. Sacavem = C27 Coutinho</t>
  </si>
  <si>
    <t xml:space="preserve">Vitis vinifera subsp vinifera cv. Sacy</t>
  </si>
  <si>
    <t xml:space="preserve">Vitis vinifera subsp vinifera cv. Sagrantino</t>
  </si>
  <si>
    <t xml:space="preserve">Vitis vinifera subsp vinifera cv. Sahami</t>
  </si>
  <si>
    <t xml:space="preserve">Vitis vinifera subsp vinifera cv. Sahebi</t>
  </si>
  <si>
    <t xml:space="preserve">Vitis vinifera subsp vinifera cv. Sahibi sorh</t>
  </si>
  <si>
    <t xml:space="preserve">Vitis vinifera subsp vinifera cv. Sahilii</t>
  </si>
  <si>
    <t xml:space="preserve">Vitis vinifera subsp vinifera cv. Saint-Emilion x Sémillon D</t>
  </si>
  <si>
    <t xml:space="preserve">Vitis vinifera subsp vinifera cv. Saint-Laurent</t>
  </si>
  <si>
    <t xml:space="preserve">Vitis vinifera subsp vinifera cv. Saint-Louis faux</t>
  </si>
  <si>
    <t xml:space="preserve">Vitis vinifera subsp vinifera cv. Saint-Macaire</t>
  </si>
  <si>
    <t xml:space="preserve">Vitis vinifera subsp vinifera cv. Sainton = Vidal 9</t>
  </si>
  <si>
    <t xml:space="preserve">Vitis vinifera subsp vinifera cv. Saint-Pierre doré</t>
  </si>
  <si>
    <t xml:space="preserve">Vitis vinifera subsp vinifera cv. Sakasli</t>
  </si>
  <si>
    <t xml:space="preserve">Vitis vinifera subsp vinifera cv. Salagnin</t>
  </si>
  <si>
    <t xml:space="preserve">Vitis vinifera subsp vinifera cv. Salba</t>
  </si>
  <si>
    <t xml:space="preserve">Vitis vinifera subsp vinifera cv. Salicette</t>
  </si>
  <si>
    <t xml:space="preserve">Vitis vinifera subsp vinifera cv. Samarrinho preto</t>
  </si>
  <si>
    <t xml:space="preserve">Vitis vinifera subsp vinifera cv. Samoriau</t>
  </si>
  <si>
    <t xml:space="preserve">Vitis vinifera subsp vinifera cv. Samoveanca</t>
  </si>
  <si>
    <t xml:space="preserve">Vitis vinifera subsp vinifera cv. San Antoni</t>
  </si>
  <si>
    <t xml:space="preserve">Vitis vinifera subsp vinifera cv. San Francisco</t>
  </si>
  <si>
    <t xml:space="preserve">Vitis vinifera subsp vinifera cv. San Jeronimo</t>
  </si>
  <si>
    <t xml:space="preserve">Vitis vinifera subsp vinifera cv. San Martino = Pirovano 215</t>
  </si>
  <si>
    <t xml:space="preserve">Vitis vinifera subsp vinifera cv. Sanginella di Salerno</t>
  </si>
  <si>
    <t xml:space="preserve">Vitis vinifera subsp vinifera cv. Santa Barbara = Pirovano 480</t>
  </si>
  <si>
    <t xml:space="preserve">Vitis vinifera subsp vinifera cv. Santa Magdalena</t>
  </si>
  <si>
    <t xml:space="preserve">Vitis vinifera subsp vinifera cv. Santa Morena</t>
  </si>
  <si>
    <t xml:space="preserve">Vitis vinifera subsp vinifera cv. Santa Paula</t>
  </si>
  <si>
    <t xml:space="preserve">Vitis vinifera subsp vinifera cv. Saperavi</t>
  </si>
  <si>
    <t xml:space="preserve">Vitis vinifera subsp vinifera cv. Sapere otzkhanouri</t>
  </si>
  <si>
    <t xml:space="preserve">Vitis vinifera subsp vinifera cv. Sarfeher</t>
  </si>
  <si>
    <t xml:space="preserve">Vitis vinifera subsp vinifera cv. Sary pandass</t>
  </si>
  <si>
    <t xml:space="preserve">Vitis vinifera subsp vinifera cv. Sateni bely</t>
  </si>
  <si>
    <t xml:space="preserve">Vitis vinifera subsp vinifera cv. Sateni tcherny</t>
  </si>
  <si>
    <t xml:space="preserve">Vitis vinifera subsp vinifera cv. Satino Kokkino</t>
  </si>
  <si>
    <t xml:space="preserve">Vitis vinifera subsp vinifera cv. Sauterne blanc</t>
  </si>
  <si>
    <t xml:space="preserve">Vitis vinifera subsp vinifera cv. Sauvaget</t>
  </si>
  <si>
    <t xml:space="preserve">Vitis vinifera subsp vinifera cv. Sauvignon</t>
  </si>
  <si>
    <t xml:space="preserve">Vitis vinifera subsp vinifera cv. Sauvignon gris</t>
  </si>
  <si>
    <t xml:space="preserve">Vitis vinifera subsp vinifera cv. Sauvignon rouge</t>
  </si>
  <si>
    <t xml:space="preserve">Vitis vinifera subsp vinifera cv. Sauvignonasse</t>
  </si>
  <si>
    <t xml:space="preserve">Vitis vinifera subsp vinifera cv. Savagnin blanc</t>
  </si>
  <si>
    <t xml:space="preserve">Vitis vinifera subsp vinifera cv. Savagnin rose</t>
  </si>
  <si>
    <t xml:space="preserve">Vitis vinifera subsp vinifera cv. Savvatiano</t>
  </si>
  <si>
    <t xml:space="preserve">Vitis vinifera subsp vinifera cv. Scaliger</t>
  </si>
  <si>
    <t xml:space="preserve">Vitis vinifera subsp vinifera cv. Schabasche</t>
  </si>
  <si>
    <t xml:space="preserve">Vitis vinifera subsp vinifera cv. Scheu 10514</t>
  </si>
  <si>
    <t xml:space="preserve">Vitis vinifera subsp vinifera cv. Scheurebe</t>
  </si>
  <si>
    <t xml:space="preserve">Vitis vinifera subsp vinifera cv. Schiava gentile</t>
  </si>
  <si>
    <t xml:space="preserve">Vitis vinifera subsp vinifera cv. Schiava grigia</t>
  </si>
  <si>
    <t xml:space="preserve">Vitis vinifera subsp vinifera cv. Schiava lombarda</t>
  </si>
  <si>
    <t xml:space="preserve">Vitis vinifera subsp vinifera cv. Schiradzouli</t>
  </si>
  <si>
    <t xml:space="preserve">Vitis vinifera subsp vinifera cv. Schiradzouli violet</t>
  </si>
  <si>
    <t xml:space="preserve">Vitis vinifera subsp vinifera cv. Schiras</t>
  </si>
  <si>
    <t xml:space="preserve">Vitis vinifera subsp vinifera cv. Sciaccarello</t>
  </si>
  <si>
    <t xml:space="preserve">Vitis vinifera subsp vinifera cv. Sciascinoso</t>
  </si>
  <si>
    <t xml:space="preserve">Vitis vinifera subsp vinifera cv. Sebai assouad</t>
  </si>
  <si>
    <t xml:space="preserve">Vitis vinifera subsp vinifera cv. Sécal</t>
  </si>
  <si>
    <t xml:space="preserve">Vitis vinifera subsp vinifera cv. Segalin = INRA 1377-174</t>
  </si>
  <si>
    <t xml:space="preserve">Vitis vinifera subsp vinifera cv. Seibel 60</t>
  </si>
  <si>
    <t xml:space="preserve">Vitis vinifera subsp vinifera cv. Select = Vidal 100 T</t>
  </si>
  <si>
    <t xml:space="preserve">Vitis vinifera subsp vinifera cv. Semebat</t>
  </si>
  <si>
    <t xml:space="preserve">Vitis vinifera subsp vinifera cv. Semidano</t>
  </si>
  <si>
    <t xml:space="preserve">Vitis vinifera subsp vinifera cv. Semillon</t>
  </si>
  <si>
    <t xml:space="preserve">Vitis vinifera subsp vinifera cv. Septimer = Alzey 3952</t>
  </si>
  <si>
    <t xml:space="preserve">Vitis vinifera subsp vinifera cv. Sercial</t>
  </si>
  <si>
    <t xml:space="preserve">Vitis vinifera subsp vinifera cv. Serénèze de Moirans</t>
  </si>
  <si>
    <t xml:space="preserve">Vitis vinifera subsp vinifera cv. Serénèze de Voreppe</t>
  </si>
  <si>
    <t xml:space="preserve">Vitis vinifera subsp vinifera cv. Serna</t>
  </si>
  <si>
    <t xml:space="preserve">Vitis vinifera subsp vinifera cv. Servabilis = Pirovano 221</t>
  </si>
  <si>
    <t xml:space="preserve">Vitis vinifera subsp vinifera cv. Servanin</t>
  </si>
  <si>
    <t xml:space="preserve">Vitis vinifera subsp vinifera cv. Servant</t>
  </si>
  <si>
    <t xml:space="preserve">Vitis vinifera subsp vinifera cv. Sevan</t>
  </si>
  <si>
    <t xml:space="preserve">Vitis vinifera subsp vinifera cv. Sgavetta</t>
  </si>
  <si>
    <t xml:space="preserve">Vitis vinifera subsp vinifera cv. Sguigarda</t>
  </si>
  <si>
    <t xml:space="preserve">Vitis vinifera subsp vinifera cv. Shenidani</t>
  </si>
  <si>
    <t xml:space="preserve">Vitis vinifera subsp vinifera cv. Shindo Khani</t>
  </si>
  <si>
    <t xml:space="preserve">Vitis vinifera subsp vinifera cv. Shirazi</t>
  </si>
  <si>
    <t xml:space="preserve">Vitis vinifera subsp vinifera cv. Siah</t>
  </si>
  <si>
    <t xml:space="preserve">Vitis vinifera subsp vinifera cv. Sibirkovy</t>
  </si>
  <si>
    <t xml:space="preserve">Vitis vinifera subsp vinifera cv. Sicilien faux</t>
  </si>
  <si>
    <t xml:space="preserve">Vitis vinifera subsp vinifera cv. Sideritis</t>
  </si>
  <si>
    <t xml:space="preserve">Vitis vinifera subsp vinifera cv. Siegerrebe = Scheu 7957</t>
  </si>
  <si>
    <t xml:space="preserve">Vitis vinifera subsp vinifera cv. Silberweiss</t>
  </si>
  <si>
    <t xml:space="preserve">Vitis vinifera subsp vinifera cv. Skiadopoulo</t>
  </si>
  <si>
    <t xml:space="preserve">Vitis vinifera subsp vinifera cv. Skyloklima</t>
  </si>
  <si>
    <t xml:space="preserve">Vitis vinifera subsp vinifera cv. Skylopnichtis</t>
  </si>
  <si>
    <t xml:space="preserve">Vitis vinifera subsp vinifera cv. Skylopnichtis blanc</t>
  </si>
  <si>
    <t xml:space="preserve">Vitis vinifera subsp vinifera cv. Slankamenka blanc</t>
  </si>
  <si>
    <t xml:space="preserve">Vitis vinifera subsp vinifera cv. Soiaki</t>
  </si>
  <si>
    <t xml:space="preserve">Vitis vinifera subsp vinifera cv. Soic</t>
  </si>
  <si>
    <t xml:space="preserve">Vitis vinifera subsp vinifera cv. Solferino = Pirovano 316</t>
  </si>
  <si>
    <t xml:space="preserve">Vitis vinifera subsp vinifera cv. Somarello rosso</t>
  </si>
  <si>
    <t xml:space="preserve">Vitis vinifera subsp vinifera cv. Somzölö kek</t>
  </si>
  <si>
    <t xml:space="preserve">Vitis vinifera subsp vinifera cv. Sorok Let Oktiabria</t>
  </si>
  <si>
    <t xml:space="preserve">Vitis vinifera subsp vinifera cv. Soukholimansky bely</t>
  </si>
  <si>
    <t xml:space="preserve">Vitis vinifera subsp vinifera cv. Souri (1)</t>
  </si>
  <si>
    <t xml:space="preserve">Vitis vinifera subsp vinifera cv. Souri (2)</t>
  </si>
  <si>
    <t xml:space="preserve">Vitis vinifera subsp vinifera cv. Sourkhak biely</t>
  </si>
  <si>
    <t xml:space="preserve">Vitis vinifera subsp vinifera cv. Sourkhak kitabsky</t>
  </si>
  <si>
    <t xml:space="preserve">Vitis vinifera subsp vinifera cv. Souvenir du Congrès</t>
  </si>
  <si>
    <t xml:space="preserve">Vitis vinifera subsp vinifera cv. Souzao</t>
  </si>
  <si>
    <t xml:space="preserve">Vitis vinifera subsp vinifera cv. Sovrana = Pirovano 244</t>
  </si>
  <si>
    <t xml:space="preserve">Vitis vinifera subsp vinifera cv. Staphidampelo</t>
  </si>
  <si>
    <t xml:space="preserve">Vitis vinifera subsp vinifera cv. Staphidostaphylo</t>
  </si>
  <si>
    <t xml:space="preserve">Vitis vinifera subsp vinifera cv. Steinschiller blanc</t>
  </si>
  <si>
    <t xml:space="preserve">Vitis vinifera subsp vinifera cv. Strophyliatico</t>
  </si>
  <si>
    <t xml:space="preserve">Vitis vinifera subsp vinifera cv. Suavis = Pirovano 365 s</t>
  </si>
  <si>
    <t xml:space="preserve">Vitis vinifera subsp vinifera cv. Subirat Parent</t>
  </si>
  <si>
    <t xml:space="preserve">Vitis vinifera subsp vinifera cv. Sugrafive = Early Supérior seedless</t>
  </si>
  <si>
    <t xml:space="preserve">Vitis vinifera subsp vinifera cv. Sugraone = Superior seedless</t>
  </si>
  <si>
    <t xml:space="preserve">Vitis vinifera subsp vinifera cv. Sulivan blanc</t>
  </si>
  <si>
    <t xml:space="preserve">Vitis vinifera subsp vinifera cv. Sultana moscata = Pirovano 75</t>
  </si>
  <si>
    <t xml:space="preserve">Vitis vinifera subsp vinifera cv. Sultanina</t>
  </si>
  <si>
    <t xml:space="preserve">Vitis vinifera subsp vinifera cv. Sultanine</t>
  </si>
  <si>
    <t xml:space="preserve">Vitis vinifera subsp vinifera cv. Sultanine monococco</t>
  </si>
  <si>
    <t xml:space="preserve">Vitis vinifera subsp vinifera cv. Sultanine rose</t>
  </si>
  <si>
    <t xml:space="preserve">Vitis vinifera subsp vinifera cv. Sultanine rouge</t>
  </si>
  <si>
    <t xml:space="preserve">Vitis vinifera subsp vinifera cv. Sumoll</t>
  </si>
  <si>
    <t xml:space="preserve">Vitis vinifera subsp vinifera cv. Suntory blanc</t>
  </si>
  <si>
    <t xml:space="preserve">Vitis vinifera subsp vinifera cv. Superba = Pirovano 476 a</t>
  </si>
  <si>
    <t xml:space="preserve">Vitis vinifera subsp vinifera cv. Superfrankenthal = Pirovano 243</t>
  </si>
  <si>
    <t xml:space="preserve">Vitis vinifera subsp vinifera cv. Superzibibbo = Pirovano 107 a</t>
  </si>
  <si>
    <t xml:space="preserve">Vitis vinifera subsp vinifera cv. Suscan crni</t>
  </si>
  <si>
    <t xml:space="preserve">Vitis vinifera subsp vinifera cv. Susumaniello</t>
  </si>
  <si>
    <t xml:space="preserve">Vitis vinifera subsp vinifera cv. Sykiotis</t>
  </si>
  <si>
    <t xml:space="preserve">Vitis vinifera subsp vinifera cv. Sylvaner</t>
  </si>
  <si>
    <t xml:space="preserve">Vitis vinifera subsp vinifera cv. Sylvaner blau</t>
  </si>
  <si>
    <t xml:space="preserve">Vitis vinifera subsp vinifera cv. Sylvaner rot</t>
  </si>
  <si>
    <t xml:space="preserve">Vitis vinifera subsp vinifera cv. Syrah</t>
  </si>
  <si>
    <t xml:space="preserve">Vitis vinifera subsp vinifera cv. Syriki</t>
  </si>
  <si>
    <t xml:space="preserve">Vitis vinifera subsp vinifera cv. Szagos Bajnar</t>
  </si>
  <si>
    <t xml:space="preserve">Vitis vinifera subsp vinifera cv. Szauter Gusztav</t>
  </si>
  <si>
    <t xml:space="preserve">Vitis vinifera subsp vinifera cv. Szegedi</t>
  </si>
  <si>
    <t xml:space="preserve">Vitis vinifera subsp vinifera cv. Szegeny ember szölöje</t>
  </si>
  <si>
    <t xml:space="preserve">Vitis vinifera subsp vinifera cv. Szent Laszlö</t>
  </si>
  <si>
    <t xml:space="preserve">Vitis vinifera subsp vinifera cv. Szeredi</t>
  </si>
  <si>
    <t xml:space="preserve">Vitis vinifera subsp vinifera cv. Szeremi zöld</t>
  </si>
  <si>
    <t xml:space="preserve">Vitis vinifera subsp vinifera cv. Tachtas</t>
  </si>
  <si>
    <t xml:space="preserve">Vitis vinifera subsp vinifera cv. Taferielt</t>
  </si>
  <si>
    <t xml:space="preserve">Vitis vinifera subsp vinifera cv. Tagleit n'timilli</t>
  </si>
  <si>
    <t xml:space="preserve">Vitis vinifera subsp vinifera cv. Tagobi</t>
  </si>
  <si>
    <t xml:space="preserve">Vitis vinifera subsp vinifera cv. Taifi belyi</t>
  </si>
  <si>
    <t xml:space="preserve">Vitis vinifera subsp vinifera cv. Taïfi rosovy</t>
  </si>
  <si>
    <t xml:space="preserve">Vitis vinifera subsp vinifera cv. Taïlilout</t>
  </si>
  <si>
    <t xml:space="preserve">Vitis vinifera subsp vinifera cv. Tamares</t>
  </si>
  <si>
    <t xml:space="preserve">Vitis vinifera subsp vinifera cv. Tamarez Moscatel 31-3-3</t>
  </si>
  <si>
    <t xml:space="preserve">Vitis vinifera subsp vinifera cv. Tana kouzy</t>
  </si>
  <si>
    <t xml:space="preserve">Vitis vinifera subsp vinifera cv. Tanagos</t>
  </si>
  <si>
    <t xml:space="preserve">Vitis vinifera subsp vinifera cv. Tankert</t>
  </si>
  <si>
    <t xml:space="preserve">Vitis vinifera subsp vinifera cv. Tannat</t>
  </si>
  <si>
    <t xml:space="preserve">Vitis vinifera subsp vinifera cv. Tantovina</t>
  </si>
  <si>
    <t xml:space="preserve">Vitis vinifera subsp vinifera cv. Tarabassié</t>
  </si>
  <si>
    <t xml:space="preserve">Vitis vinifera subsp vinifera cv. Tardif</t>
  </si>
  <si>
    <t xml:space="preserve">Vitis vinifera subsp vinifera cv. Tarnaou</t>
  </si>
  <si>
    <t xml:space="preserve">Vitis vinifera subsp vinifera cv. Tarragonins</t>
  </si>
  <si>
    <t xml:space="preserve">Vitis vinifera subsp vinifera cv. Tarrango</t>
  </si>
  <si>
    <t xml:space="preserve">Vitis vinifera subsp vinifera cv. Taschly</t>
  </si>
  <si>
    <t xml:space="preserve">Vitis vinifera subsp vinifera cv. Tavkveri</t>
  </si>
  <si>
    <t xml:space="preserve">Vitis vinifera subsp vinifera cv. Tavrida = Magaratch 171</t>
  </si>
  <si>
    <t xml:space="preserve">Vitis vinifera subsp vinifera cv. Tchaïnak</t>
  </si>
  <si>
    <t xml:space="preserve">Vitis vinifera subsp vinifera cv. Tchernii Crimski</t>
  </si>
  <si>
    <t xml:space="preserve">Vitis vinifera subsp vinifera cv. Tchilar</t>
  </si>
  <si>
    <t xml:space="preserve">Vitis vinifera subsp vinifera cv. Tchiliaki blanc</t>
  </si>
  <si>
    <t xml:space="preserve">Vitis vinifera subsp vinifera cv. Tchiliaki rouge</t>
  </si>
  <si>
    <t xml:space="preserve">Vitis vinifera subsp vinifera cv. Tchingin kara</t>
  </si>
  <si>
    <t xml:space="preserve">Vitis vinifera subsp vinifera cv. Tchinouri</t>
  </si>
  <si>
    <t xml:space="preserve">Vitis vinifera subsp vinifera cv. Tchkhaveri</t>
  </si>
  <si>
    <t xml:space="preserve">Vitis vinifera subsp vinifera cv. Teinturier</t>
  </si>
  <si>
    <t xml:space="preserve">Vitis vinifera subsp vinifera cv. Teli granat</t>
  </si>
  <si>
    <t xml:space="preserve">Vitis vinifera subsp vinifera cv. Tempranilla</t>
  </si>
  <si>
    <t xml:space="preserve">Vitis vinifera subsp vinifera cv. Tempranillo</t>
  </si>
  <si>
    <t xml:space="preserve">Vitis vinifera subsp vinifera cv. Téoulier</t>
  </si>
  <si>
    <t xml:space="preserve">Vitis vinifera subsp vinifera cv. Téoulier blanc</t>
  </si>
  <si>
    <t xml:space="preserve">Vitis vinifera subsp vinifera cv. Terbasch</t>
  </si>
  <si>
    <t xml:space="preserve">Vitis vinifera subsp vinifera cv. Teresita = Dalmasso XVIII-24</t>
  </si>
  <si>
    <t xml:space="preserve">Vitis vinifera subsp vinifera cv. Terlaner</t>
  </si>
  <si>
    <t xml:space="preserve">Vitis vinifera subsp vinifera cv. Teroldego</t>
  </si>
  <si>
    <t xml:space="preserve">Vitis vinifera subsp vinifera cv. Terr Gulmek</t>
  </si>
  <si>
    <t xml:space="preserve">Vitis vinifera subsp vinifera cv. Terramon long</t>
  </si>
  <si>
    <t xml:space="preserve">Vitis vinifera subsp vinifera cv. Terramon rond</t>
  </si>
  <si>
    <t xml:space="preserve">Vitis vinifera subsp vinifera cv. Terrano</t>
  </si>
  <si>
    <t xml:space="preserve">Vitis vinifera subsp vinifera cv. Terrantez de Madère</t>
  </si>
  <si>
    <t xml:space="preserve">Vitis vinifera subsp vinifera cv. Terrantez du Dão</t>
  </si>
  <si>
    <t xml:space="preserve">Vitis vinifera subsp vinifera cv. Terret blanc</t>
  </si>
  <si>
    <t xml:space="preserve">Vitis vinifera subsp vinifera cv. Terret Bouschet</t>
  </si>
  <si>
    <t xml:space="preserve">Vitis vinifera subsp vinifera cv. Terret gris</t>
  </si>
  <si>
    <t xml:space="preserve">Vitis vinifera subsp vinifera cv. Terret noir</t>
  </si>
  <si>
    <t xml:space="preserve">Vitis vinifera subsp vinifera cv. Teta de Vaca</t>
  </si>
  <si>
    <t xml:space="preserve">Vitis vinifera subsp vinifera cv. Thallocsy Lajos muskotaly = Muscat Thallocsy</t>
  </si>
  <si>
    <t xml:space="preserve">Vitis vinifera subsp vinifera cv. Thermi</t>
  </si>
  <si>
    <t xml:space="preserve">Vitis vinifera subsp vinifera cv. Tibouren</t>
  </si>
  <si>
    <t xml:space="preserve">Vitis vinifera subsp vinifera cv. Tihany</t>
  </si>
  <si>
    <t xml:space="preserve">Vitis vinifera subsp vinifera cv. Timorasso</t>
  </si>
  <si>
    <t xml:space="preserve">Vitis vinifera subsp vinifera cv. Timpurie</t>
  </si>
  <si>
    <t xml:space="preserve">Vitis vinifera subsp vinifera cv. Tini</t>
  </si>
  <si>
    <t xml:space="preserve">Vitis vinifera subsp vinifera cv. Tiniouine</t>
  </si>
  <si>
    <t xml:space="preserve">Vitis vinifera subsp vinifera cv. Tinos noir</t>
  </si>
  <si>
    <t xml:space="preserve">Vitis vinifera subsp vinifera cv. Tinta amarella</t>
  </si>
  <si>
    <t xml:space="preserve">Vitis vinifera subsp vinifera cv. Tinta Barroca</t>
  </si>
  <si>
    <t xml:space="preserve">Vitis vinifera subsp vinifera cv. Tinta carvalha</t>
  </si>
  <si>
    <t xml:space="preserve">Vitis vinifera subsp vinifera cv. Tinta castellõa</t>
  </si>
  <si>
    <t xml:space="preserve">Vitis vinifera subsp vinifera cv. Tinta de Madeira</t>
  </si>
  <si>
    <t xml:space="preserve">Vitis vinifera subsp vinifera cv. Tinta francisca</t>
  </si>
  <si>
    <t xml:space="preserve">Vitis vinifera subsp vinifera cv. Tinta pinheira</t>
  </si>
  <si>
    <t xml:space="preserve">Vitis vinifera subsp vinifera cv. Tintillo</t>
  </si>
  <si>
    <t xml:space="preserve">Vitis vinifera subsp vinifera cv. Tintinha = Leao Ferreira da Almeida 11-48-122</t>
  </si>
  <si>
    <t xml:space="preserve">Vitis vinifera subsp vinifera cv. Tinto Cao</t>
  </si>
  <si>
    <t xml:space="preserve">Vitis vinifera subsp vinifera cv. Tintora</t>
  </si>
  <si>
    <t xml:space="preserve">Vitis vinifera subsp vinifera cv. Tita Caprei</t>
  </si>
  <si>
    <t xml:space="preserve">Vitis vinifera subsp vinifera cv. Tolstokorii</t>
  </si>
  <si>
    <t xml:space="preserve">Vitis vinifera subsp vinifera cv. Török Mazsola</t>
  </si>
  <si>
    <t xml:space="preserve">Vitis vinifera subsp vinifera cv. Torralba</t>
  </si>
  <si>
    <t xml:space="preserve">Vitis vinifera subsp vinifera cv. Torrontès</t>
  </si>
  <si>
    <t xml:space="preserve">Vitis vinifera subsp vinifera cv. Torrontès mendocino</t>
  </si>
  <si>
    <t xml:space="preserve">Vitis vinifera subsp vinifera cv. Torrontès riojano</t>
  </si>
  <si>
    <t xml:space="preserve">Vitis vinifera subsp vinifera cv. Torrontès sanjuanino</t>
  </si>
  <si>
    <t xml:space="preserve">Vitis vinifera subsp vinifera cv. Tortozon</t>
  </si>
  <si>
    <t xml:space="preserve">Vitis vinifera subsp vinifera cv. Tourbat</t>
  </si>
  <si>
    <t xml:space="preserve">Vitis vinifera subsp vinifera cv. Touriga</t>
  </si>
  <si>
    <t xml:space="preserve">Vitis vinifera subsp vinifera cv. Toutrissin</t>
  </si>
  <si>
    <t xml:space="preserve">Vitis vinifera subsp vinifera cv. Tre voto</t>
  </si>
  <si>
    <t xml:space="preserve">Vitis vinifera subsp vinifera cv. Trebbiano</t>
  </si>
  <si>
    <t xml:space="preserve">Vitis vinifera subsp vinifera cv. Trebbiano di Soave</t>
  </si>
  <si>
    <t xml:space="preserve">Vitis vinifera subsp vinifera cv. Trebbiano giallo</t>
  </si>
  <si>
    <t xml:space="preserve">Vitis vinifera subsp vinifera cv. Trebbiano romagnolo</t>
  </si>
  <si>
    <t xml:space="preserve">Vitis vinifera subsp vinifera cv. Trebbiano spoletino</t>
  </si>
  <si>
    <t xml:space="preserve">Vitis vinifera subsp vinifera cv. Treixadura</t>
  </si>
  <si>
    <t xml:space="preserve">Vitis vinifera subsp vinifera cv. Trentham black faux</t>
  </si>
  <si>
    <t xml:space="preserve">Vitis vinifera subsp vinifera cv. Treolina</t>
  </si>
  <si>
    <t xml:space="preserve">Vitis vinifera subsp vinifera cv. Tressot</t>
  </si>
  <si>
    <t xml:space="preserve">Vitis vinifera subsp vinifera cv. Tressot blanc</t>
  </si>
  <si>
    <t xml:space="preserve">Vitis vinifera subsp vinifera cv. Tressot panaché</t>
  </si>
  <si>
    <t xml:space="preserve">Vitis vinifera subsp vinifera cv. Tressot panaché faux</t>
  </si>
  <si>
    <t xml:space="preserve">Vitis vinifera subsp vinifera cv. Trevisana nera</t>
  </si>
  <si>
    <t xml:space="preserve">Vitis vinifera subsp vinifera cv. Trieste = Pirovano 299</t>
  </si>
  <si>
    <t xml:space="preserve">Vitis vinifera subsp vinifera cv. Tripoli = Pirovano 352</t>
  </si>
  <si>
    <t xml:space="preserve">Vitis vinifera subsp vinifera cv. Trollinger blaudüftig</t>
  </si>
  <si>
    <t xml:space="preserve">Vitis vinifera subsp vinifera cv. Trollinger Muskat</t>
  </si>
  <si>
    <t xml:space="preserve">Vitis vinifera subsp vinifera cv. Trollingi feher</t>
  </si>
  <si>
    <t xml:space="preserve">Vitis vinifera subsp vinifera cv. Trousseau</t>
  </si>
  <si>
    <t xml:space="preserve">Vitis vinifera subsp vinifera cv. Trousseau gris</t>
  </si>
  <si>
    <t xml:space="preserve">Vitis vinifera subsp vinifera cv. Troyen</t>
  </si>
  <si>
    <t xml:space="preserve">Vitis vinifera subsp vinifera cv. Trunzo</t>
  </si>
  <si>
    <t xml:space="preserve">Vitis vinifera subsp vinifera cv. Tsambato</t>
  </si>
  <si>
    <t xml:space="preserve">Vitis vinifera subsp vinifera cv. Tschetirbak</t>
  </si>
  <si>
    <t xml:space="preserve">Vitis vinifera subsp vinifera cv. Tuia tiche</t>
  </si>
  <si>
    <t xml:space="preserve">Vitis vinifera subsp vinifera cv. Tuia tiche faux</t>
  </si>
  <si>
    <t xml:space="preserve">Vitis vinifera subsp vinifera cv. Tulillah</t>
  </si>
  <si>
    <t xml:space="preserve">Vitis vinifera subsp vinifera cv. Turki</t>
  </si>
  <si>
    <t xml:space="preserve">Vitis vinifera subsp vinifera cv. Turruntes</t>
  </si>
  <si>
    <t xml:space="preserve">Vitis vinifera subsp vinifera cv. Turska dinka</t>
  </si>
  <si>
    <t xml:space="preserve">Vitis vinifera subsp vinifera cv. Tzimlansky blanc</t>
  </si>
  <si>
    <t xml:space="preserve">Vitis vinifera subsp vinifera cv. Tzimlansky noir</t>
  </si>
  <si>
    <t xml:space="preserve">Vitis vinifera subsp vinifera cv. Tzitzka</t>
  </si>
  <si>
    <t xml:space="preserve">Vitis vinifera subsp vinifera cv. Tzolikoouri</t>
  </si>
  <si>
    <t xml:space="preserve">Vitis vinifera subsp vinifera cv. Ugni blanc</t>
  </si>
  <si>
    <t xml:space="preserve">Vitis vinifera subsp vinifera cv. Ugni blanc à feuilles découpées</t>
  </si>
  <si>
    <t xml:space="preserve">Vitis vinifera subsp vinifera cv. Ugni rouge</t>
  </si>
  <si>
    <t xml:space="preserve">Vitis vinifera subsp vinifera cv. Urben blau</t>
  </si>
  <si>
    <t xml:space="preserve">Vitis vinifera subsp vinifera cv. Urben rot</t>
  </si>
  <si>
    <t xml:space="preserve">Vitis vinifera subsp vinifera cv. Urreti</t>
  </si>
  <si>
    <t xml:space="preserve">Vitis vinifera subsp vinifera cv. Uva Cao</t>
  </si>
  <si>
    <t xml:space="preserve">Vitis vinifera subsp vinifera cv. Uva de Rey</t>
  </si>
  <si>
    <t xml:space="preserve">Vitis vinifera subsp vinifera cv. Uva di Troia</t>
  </si>
  <si>
    <t xml:space="preserve">Vitis vinifera subsp vinifera cv. Uva melona</t>
  </si>
  <si>
    <t xml:space="preserve">Vitis vinifera subsp vinifera cv. V 155 (J.P. Vidal)</t>
  </si>
  <si>
    <t xml:space="preserve">Vitis vinifera subsp vinifera cv. Valais noir</t>
  </si>
  <si>
    <t xml:space="preserve">Vitis vinifera subsp vinifera cv. Valdepeñas</t>
  </si>
  <si>
    <t xml:space="preserve">Vitis vinifera subsp vinifera cv. Valdiguié</t>
  </si>
  <si>
    <t xml:space="preserve">Vitis vinifera subsp vinifera cv. Valdiguié pissaïré</t>
  </si>
  <si>
    <t xml:space="preserve">Vitis vinifera subsp vinifera cv. Valenci blanco</t>
  </si>
  <si>
    <t xml:space="preserve">Vitis vinifera subsp vinifera cv. Valenci blanco faux</t>
  </si>
  <si>
    <t xml:space="preserve">Vitis vinifera subsp vinifera cv. Valensi noir</t>
  </si>
  <si>
    <t xml:space="preserve">Vitis vinifera subsp vinifera cv. Vapsa</t>
  </si>
  <si>
    <t xml:space="preserve">Vitis vinifera subsp vinifera cv. Vassarga bielaia</t>
  </si>
  <si>
    <t xml:space="preserve">Vitis vinifera subsp vinifera cv. Vassarga tchernaia</t>
  </si>
  <si>
    <t xml:space="preserve">Vitis vinifera subsp vinifera cv. Vékonyhéju</t>
  </si>
  <si>
    <t xml:space="preserve">Vitis vinifera subsp vinifera cv. Velteliner rouge</t>
  </si>
  <si>
    <t xml:space="preserve">Vitis vinifera subsp vinifera cv. Velteliner rouge précoce</t>
  </si>
  <si>
    <t xml:space="preserve">Vitis vinifera subsp vinifera cv. Velteliner vert</t>
  </si>
  <si>
    <t xml:space="preserve">Vitis vinifera subsp vinifera cv. Verdanel</t>
  </si>
  <si>
    <t xml:space="preserve">Vitis vinifera subsp vinifera cv. Verdea</t>
  </si>
  <si>
    <t xml:space="preserve">Vitis vinifera subsp vinifera cv. Verdeca</t>
  </si>
  <si>
    <t xml:space="preserve">Vitis vinifera subsp vinifera cv. Verdejo blanco</t>
  </si>
  <si>
    <t xml:space="preserve">Vitis vinifera subsp vinifera cv. Verdejo negro</t>
  </si>
  <si>
    <t xml:space="preserve">Vitis vinifera subsp vinifera cv. Verdelho</t>
  </si>
  <si>
    <t xml:space="preserve">Vitis vinifera subsp vinifera cv. Verdelho du Dâo</t>
  </si>
  <si>
    <t xml:space="preserve">Vitis vinifera subsp vinifera cv. Verdelho feijão</t>
  </si>
  <si>
    <t xml:space="preserve">Vitis vinifera subsp vinifera cv. Verdelho tinto femelle</t>
  </si>
  <si>
    <t xml:space="preserve">Vitis vinifera subsp vinifera cv. Verdesse</t>
  </si>
  <si>
    <t xml:space="preserve">Vitis vinifera subsp vinifera cv. Verdicchio</t>
  </si>
  <si>
    <t xml:space="preserve">Vitis vinifera subsp vinifera cv. Verdiso</t>
  </si>
  <si>
    <t xml:space="preserve">Vitis vinifera subsp vinifera cv. Verduschia</t>
  </si>
  <si>
    <t xml:space="preserve">Vitis vinifera subsp vinifera cv. Verduzzo friulano</t>
  </si>
  <si>
    <t xml:space="preserve">Vitis vinifera subsp vinifera cv. Verduzzo trevigiano</t>
  </si>
  <si>
    <t xml:space="preserve">Vitis vinifera subsp vinifera cv. Verico</t>
  </si>
  <si>
    <t xml:space="preserve">Vitis vinifera subsp vinifera cv. Verjus</t>
  </si>
  <si>
    <t xml:space="preserve">Vitis vinifera subsp vinifera cv. Vermentino</t>
  </si>
  <si>
    <t xml:space="preserve">Vitis vinifera subsp vinifera cv. Vermentino nero</t>
  </si>
  <si>
    <t xml:space="preserve">Vitis vinifera subsp vinifera cv. Vernaccia di Oristano</t>
  </si>
  <si>
    <t xml:space="preserve">Vitis vinifera subsp vinifera cv. Vernaccia di San Gimignano</t>
  </si>
  <si>
    <t xml:space="preserve">Vitis vinifera subsp vinifera cv. Vernaccia nera</t>
  </si>
  <si>
    <t xml:space="preserve">Vitis vinifera subsp vinifera cv. Vernaccina</t>
  </si>
  <si>
    <t xml:space="preserve">Vitis vinifera subsp vinifera cv. Verona = Pirovano 52</t>
  </si>
  <si>
    <t xml:space="preserve">Vitis vinifera subsp vinifera cv. Vespaiola</t>
  </si>
  <si>
    <t xml:space="preserve">Vitis vinifera subsp vinifera cv. Vespolina</t>
  </si>
  <si>
    <t xml:space="preserve">Vitis vinifera subsp vinifera cv. Vesprino</t>
  </si>
  <si>
    <t xml:space="preserve">Vitis vinifera subsp vinifera cv. Victor = Pirovano 314</t>
  </si>
  <si>
    <t xml:space="preserve">Vitis vinifera subsp vinifera cv. Vidal 117</t>
  </si>
  <si>
    <t xml:space="preserve">Vitis vinifera subsp vinifera cv. Vidal 31</t>
  </si>
  <si>
    <t xml:space="preserve">Vitis vinifera subsp vinifera cv. Vidal 311</t>
  </si>
  <si>
    <t xml:space="preserve">Vitis vinifera subsp vinifera cv. Vidal 36</t>
  </si>
  <si>
    <t xml:space="preserve">Vitis vinifera subsp vinifera cv. Vidal 539</t>
  </si>
  <si>
    <t xml:space="preserve">Vitis vinifera subsp vinifera cv. Vidal 544</t>
  </si>
  <si>
    <t xml:space="preserve">Vitis vinifera subsp vinifera cv. Vidal 547</t>
  </si>
  <si>
    <t xml:space="preserve">Vitis vinifera subsp vinifera cv. Vidal 548</t>
  </si>
  <si>
    <t xml:space="preserve">Vitis vinifera subsp vinifera cv. Vidal 595</t>
  </si>
  <si>
    <t xml:space="preserve">Vitis vinifera subsp vinifera cv. Vidal 662</t>
  </si>
  <si>
    <t xml:space="preserve">Vitis vinifera subsp vinifera cv. Vidal 678</t>
  </si>
  <si>
    <t xml:space="preserve">Vitis vinifera subsp vinifera cv. Vidal 686</t>
  </si>
  <si>
    <t xml:space="preserve">Vitis vinifera subsp vinifera cv. Vidal 76 T</t>
  </si>
  <si>
    <t xml:space="preserve">Vitis vinifera subsp vinifera cv. Vidal 800</t>
  </si>
  <si>
    <t xml:space="preserve">Vitis vinifera subsp vinifera cv. Vidal 804</t>
  </si>
  <si>
    <t xml:space="preserve">Vitis vinifera subsp vinifera cv. Vidal 808</t>
  </si>
  <si>
    <t xml:space="preserve">Vitis vinifera subsp vinifera cv. Vidal 815</t>
  </si>
  <si>
    <t xml:space="preserve">Vitis vinifera subsp vinifera cv. Vidal 83 T</t>
  </si>
  <si>
    <t xml:space="preserve">Vitis vinifera subsp vinifera cv. Vidal 98 T</t>
  </si>
  <si>
    <t xml:space="preserve">Vitis vinifera subsp vinifera cv. Vidal 99 T</t>
  </si>
  <si>
    <t xml:space="preserve">Vitis vinifera subsp vinifera cv. Vidiano</t>
  </si>
  <si>
    <t xml:space="preserve">Vitis vinifera subsp vinifera cv. Vien de Nus</t>
  </si>
  <si>
    <t xml:space="preserve">Vitis vinifera subsp vinifera cv. Vigne de Wood</t>
  </si>
  <si>
    <t xml:space="preserve">Vitis vinifera subsp vinifera cv. Vijiriega</t>
  </si>
  <si>
    <t xml:space="preserve">Vitis vinifera subsp vinifera cv. Vilana</t>
  </si>
  <si>
    <t xml:space="preserve">Vitis vinifera subsp vinifera cv. Villardiell</t>
  </si>
  <si>
    <t xml:space="preserve">Vitis vinifera subsp vinifera cv. Vinta</t>
  </si>
  <si>
    <t xml:space="preserve">Vitis vinifera subsp vinifera cv. Vintaïu</t>
  </si>
  <si>
    <t xml:space="preserve">Vitis vinifera subsp vinifera cv. Viognier</t>
  </si>
  <si>
    <t xml:space="preserve">Vitis vinifera subsp vinifera cv. Viola = Dalmasso XVIII-3</t>
  </si>
  <si>
    <t xml:space="preserve">Vitis vinifera subsp vinifera cv. Viosinho</t>
  </si>
  <si>
    <t xml:space="preserve">Vitis vinifera subsp vinifera cv. Viska</t>
  </si>
  <si>
    <t xml:space="preserve">Vitis vinifera subsp vinifera cv. Vital</t>
  </si>
  <si>
    <t xml:space="preserve">Vitis vinifera subsp vinifera cv. Volavna feher</t>
  </si>
  <si>
    <t xml:space="preserve">Vitis vinifera subsp vinifera cv. Volta = Pirovano 105</t>
  </si>
  <si>
    <t xml:space="preserve">Vitis vinifera subsp vinifera cv. Vörös vallas kek</t>
  </si>
  <si>
    <t xml:space="preserve">Vitis vinifera subsp vinifera cv. Voskeat</t>
  </si>
  <si>
    <t xml:space="preserve">Vitis vinifera subsp vinifera cv. Voudomato</t>
  </si>
  <si>
    <t xml:space="preserve">Vitis vinifera subsp vinifera cv. Vranac crni</t>
  </si>
  <si>
    <t xml:space="preserve">Vitis vinifera subsp vinifera cv. Vugava</t>
  </si>
  <si>
    <t xml:space="preserve">Vitis vinifera subsp vinifera cv. Vulpea</t>
  </si>
  <si>
    <t xml:space="preserve">Vitis vinifera subsp vinifera cv. Weisse Geisdutte par erreur</t>
  </si>
  <si>
    <t xml:space="preserve">Vitis vinifera subsp vinifera cv. West Freisia</t>
  </si>
  <si>
    <t xml:space="preserve">Vitis vinifera subsp vinifera cv. White Cinsaut</t>
  </si>
  <si>
    <t xml:space="preserve">Vitis vinifera subsp vinifera cv. White Lisbon</t>
  </si>
  <si>
    <t xml:space="preserve">Vitis vinifera subsp vinifera cv. White Muscadel</t>
  </si>
  <si>
    <t xml:space="preserve">Vitis vinifera subsp vinifera cv. White Prince</t>
  </si>
  <si>
    <t xml:space="preserve">Vitis vinifera subsp vinifera cv. Wildbacher blau</t>
  </si>
  <si>
    <t xml:space="preserve">Vitis vinifera subsp vinifera cv. Xarello</t>
  </si>
  <si>
    <t xml:space="preserve">Vitis vinifera subsp vinifera cv. Xarello vermell</t>
  </si>
  <si>
    <t xml:space="preserve">Vitis vinifera subsp vinifera cv. Xynomavro</t>
  </si>
  <si>
    <t xml:space="preserve">Vitis vinifera subsp vinifera cv. Yaghasti</t>
  </si>
  <si>
    <t xml:space="preserve">Vitis vinifera subsp vinifera cv. Yaï isioum rosovy</t>
  </si>
  <si>
    <t xml:space="preserve">Vitis vinifera subsp vinifera cv. Yapindjac</t>
  </si>
  <si>
    <t xml:space="preserve">Vitis vinifera subsp vinifera cv. Yekroa</t>
  </si>
  <si>
    <t xml:space="preserve">Vitis vinifera subsp vinifera cv. Ygia</t>
  </si>
  <si>
    <t xml:space="preserve">Vitis vinifera subsp vinifera cv. Yhsouh ali</t>
  </si>
  <si>
    <t xml:space="preserve">Vitis vinifera subsp vinifera cv. Zadarka bijela</t>
  </si>
  <si>
    <t xml:space="preserve">Vitis vinifera subsp vinifera cv. Zagtaïr</t>
  </si>
  <si>
    <t xml:space="preserve">Vitis vinifera subsp vinifera cv. Zalema</t>
  </si>
  <si>
    <t xml:space="preserve">Vitis vinifera subsp vinifera cv. Zalovitico</t>
  </si>
  <si>
    <t xml:space="preserve">Vitis vinifera subsp vinifera cv. Zampara</t>
  </si>
  <si>
    <t xml:space="preserve">Vitis vinifera subsp vinifera cv. Zeini</t>
  </si>
  <si>
    <t xml:space="preserve">Vitis vinifera subsp vinifera cv. Zeini abiad</t>
  </si>
  <si>
    <t xml:space="preserve">Vitis vinifera subsp vinifera cv. Zeini baladi</t>
  </si>
  <si>
    <t xml:space="preserve">Vitis vinifera subsp vinifera cv. Zeini rouge</t>
  </si>
  <si>
    <t xml:space="preserve">Vitis vinifera subsp vinifera cv. Zghihara de Husi</t>
  </si>
  <si>
    <t xml:space="preserve">Vitis vinifera subsp vinifera cv. Zierfandler rot</t>
  </si>
  <si>
    <t xml:space="preserve">Vitis vinifera subsp vinifera cv. Zilavka</t>
  </si>
  <si>
    <t xml:space="preserve">Vitis vinifera subsp vinifera cv. Zimsko belo</t>
  </si>
  <si>
    <t xml:space="preserve">Vitis vinifera subsp vinifera cv. Zizine</t>
  </si>
  <si>
    <t xml:space="preserve">Vitis vinifera subsp vinifera cv. Zlatarica bijela</t>
  </si>
  <si>
    <t xml:space="preserve">Vitis vinifera subsp vinifera cv. Zöldfürtü</t>
  </si>
  <si>
    <t xml:space="preserve">Vitis vinifera subsp vinifera cv. Zrinyi Ilona</t>
  </si>
  <si>
    <t xml:space="preserve">Vitis vinifera subsp vinifera cv. Zsitvai dinka</t>
  </si>
  <si>
    <t xml:space="preserve">Vitis vinifera subsp vinifera cv. Zweigelt blau</t>
  </si>
  <si>
    <t xml:space="preserve">Vitis vinifera subsp vinifera L.</t>
  </si>
  <si>
    <t xml:space="preserve">Vitis wenchowensis C.Ling</t>
  </si>
  <si>
    <t xml:space="preserve">Vitis x interspécifique</t>
  </si>
  <si>
    <t xml:space="preserve">Vitis x interspécifique cv. Aladin</t>
  </si>
  <si>
    <t xml:space="preserve">Vitis x interspécifique cv. Albenc = Galibert 36-1</t>
  </si>
  <si>
    <t xml:space="preserve">Vitis x interspécifique cv. Albignac = Galibert 12-1</t>
  </si>
  <si>
    <t xml:space="preserve">Vitis x interspécifique cv. Albignan</t>
  </si>
  <si>
    <t xml:space="preserve">Vitis x interspécifique cv. Alicante Ganzin</t>
  </si>
  <si>
    <t xml:space="preserve">Vitis x interspécifique cv. Alicante Terras 20</t>
  </si>
  <si>
    <t xml:space="preserve">Vitis x interspécifique cv. Amandin</t>
  </si>
  <si>
    <t xml:space="preserve">Vitis x interspécifique cv. Ambror = Seibel 10173</t>
  </si>
  <si>
    <t xml:space="preserve">Vitis x interspécifique cv. Aramond du Gard = Seibel 2007</t>
  </si>
  <si>
    <t xml:space="preserve">Vitis x interspécifique cv. Aramon-Rupestris Ganzin 1</t>
  </si>
  <si>
    <t xml:space="preserve">Vitis x interspécifique cv. Aramon-Rupestris Ganzin 2</t>
  </si>
  <si>
    <t xml:space="preserve">Vitis x interspécifique cv. Aramon-Rupestris Ganzin 9</t>
  </si>
  <si>
    <t xml:space="preserve">Vitis x interspécifique cv. Arboras = Galibert 22-5</t>
  </si>
  <si>
    <t xml:space="preserve">Vitis x interspécifique cv. Arnaud Fabre 3</t>
  </si>
  <si>
    <t xml:space="preserve">Vitis x interspécifique cv. Arnold 3401</t>
  </si>
  <si>
    <t xml:space="preserve">Vitis x interspécifique cv. Aspignan noir n° 1 = Galibert 239-35</t>
  </si>
  <si>
    <t xml:space="preserve">Vitis x interspécifique cv. Aspignan noir n°2 = Galibert 239-36</t>
  </si>
  <si>
    <t xml:space="preserve">Vitis x interspécifique cv. Aspignan n°1 = Galibert 239-34</t>
  </si>
  <si>
    <t xml:space="preserve">Vitis x interspécifique cv. Aurore = Seibel 5279</t>
  </si>
  <si>
    <t xml:space="preserve">Vitis x interspécifique cv. B Maclet</t>
  </si>
  <si>
    <t xml:space="preserve">Vitis x interspécifique cv. Baco blanc = Baco 22 A</t>
  </si>
  <si>
    <t xml:space="preserve">Vitis x interspécifique cv. Baco Noir = Baco 1</t>
  </si>
  <si>
    <t xml:space="preserve">Vitis x interspécifique cv. Baco 23 A</t>
  </si>
  <si>
    <t xml:space="preserve">Vitis x interspécifique cv. Baco 9-11</t>
  </si>
  <si>
    <t xml:space="preserve">Vitis x interspécifique cv. Beaujolais x 23657 S.V. n°1</t>
  </si>
  <si>
    <t xml:space="preserve">Vitis x interspécifique cv. Beaujolais x 23657 S.V. n°10</t>
  </si>
  <si>
    <t xml:space="preserve">Vitis x interspécifique cv. Beaujolais x 23657 S.V. n°11</t>
  </si>
  <si>
    <t xml:space="preserve">Vitis x interspécifique cv. Beaujolais x 23657 S.V. n°12</t>
  </si>
  <si>
    <t xml:space="preserve">Vitis x interspécifique cv. Beaujolais x 23657 S.V. n°13</t>
  </si>
  <si>
    <t xml:space="preserve">Vitis x interspécifique cv. Beaujolais x 23657 S.V. n°14</t>
  </si>
  <si>
    <t xml:space="preserve">Vitis x interspécifique cv. Beaujolais x 23657 S.V. n°15</t>
  </si>
  <si>
    <t xml:space="preserve">Vitis x interspécifique cv. Beaujolais x 23657 S.V. n°16</t>
  </si>
  <si>
    <t xml:space="preserve">Vitis x interspécifique cv. Beaujolais x 23657 S.V. n°17</t>
  </si>
  <si>
    <t xml:space="preserve">Vitis x interspécifique cv. Beaujolais x 23657 S.V. n°18</t>
  </si>
  <si>
    <t xml:space="preserve">Vitis x interspécifique cv. Beaujolais x 23657 S.V. n°2</t>
  </si>
  <si>
    <t xml:space="preserve">Vitis x interspécifique cv. Beaujolais x 23657 S.V. n°3</t>
  </si>
  <si>
    <t xml:space="preserve">Vitis x interspécifique cv. Beaujolais x 23657 S.V. n°4</t>
  </si>
  <si>
    <t xml:space="preserve">Vitis x interspécifique cv. Beaujolais x 23657 S.V. n°5</t>
  </si>
  <si>
    <t xml:space="preserve">Vitis x interspécifique cv. Beaujolais x 23657 S.V. n°6</t>
  </si>
  <si>
    <t xml:space="preserve">Vitis x interspécifique cv. Beaujolais x 23657 S.V. n°7</t>
  </si>
  <si>
    <t xml:space="preserve">Vitis x interspécifique cv. Beaujolais x 23657 S.V. n°8</t>
  </si>
  <si>
    <t xml:space="preserve">Vitis x interspécifique cv. Beaujolais x 23657 S.V. n°9</t>
  </si>
  <si>
    <t xml:space="preserve">Vitis x interspécifique cv. Bel Castel = Castel 13706</t>
  </si>
  <si>
    <t xml:space="preserve">Vitis x interspécifique cv. Bellandais = Seibel 14596</t>
  </si>
  <si>
    <t xml:space="preserve">Vitis x interspécifique cv. Bénédiction de Pecs</t>
  </si>
  <si>
    <t xml:space="preserve">Vitis x interspécifique cv. berlandieri x ?</t>
  </si>
  <si>
    <t xml:space="preserve">Vitis x interspécifique cv. Berlandieri-Colombard 1 A</t>
  </si>
  <si>
    <t xml:space="preserve">Vitis x interspécifique cv. Berlandieri-Colombard 1 B</t>
  </si>
  <si>
    <t xml:space="preserve">Vitis x interspécifique cv. Berlandieri-Colombard 2 = BC 2</t>
  </si>
  <si>
    <t xml:space="preserve">Vitis x interspécifique cv. Berlandieri-Colombard 3</t>
  </si>
  <si>
    <t xml:space="preserve">Vitis x interspécifique cv. Bertille Seyve 1125</t>
  </si>
  <si>
    <t xml:space="preserve">Vitis x interspécifique cv. Bertille Seyve 1127</t>
  </si>
  <si>
    <t xml:space="preserve">Vitis x interspécifique cv. Bertille Seyve 1129</t>
  </si>
  <si>
    <t xml:space="preserve">Vitis x interspécifique cv. Bertille Seyve 1134</t>
  </si>
  <si>
    <t xml:space="preserve">Vitis x interspécifique cv. Bertille Seyve 1353</t>
  </si>
  <si>
    <t xml:space="preserve">Vitis x interspécifique cv. Bertille Seyve 1372</t>
  </si>
  <si>
    <t xml:space="preserve">Vitis x interspécifique cv. Bertille Seyve 1516</t>
  </si>
  <si>
    <t xml:space="preserve">Vitis x interspécifique cv. Bertille Seyve 1522</t>
  </si>
  <si>
    <t xml:space="preserve">Vitis x interspécifique cv. Bertille Seyve 1523</t>
  </si>
  <si>
    <t xml:space="preserve">Vitis x interspécifique cv. Bertille Seyve 1630 faux</t>
  </si>
  <si>
    <t xml:space="preserve">Vitis x interspécifique cv. Bertille Seyve 1808</t>
  </si>
  <si>
    <t xml:space="preserve">Vitis x interspécifique cv. Bertille Seyve 1838</t>
  </si>
  <si>
    <t xml:space="preserve">Vitis x interspécifique cv. Bertille Seyve 2048</t>
  </si>
  <si>
    <t xml:space="preserve">Vitis x interspécifique cv. Bertille Seyve 2049</t>
  </si>
  <si>
    <t xml:space="preserve">Vitis x interspécifique cv. Bertille Seyve 2050</t>
  </si>
  <si>
    <t xml:space="preserve">Vitis x interspécifique cv. Bertille Seyve 2117</t>
  </si>
  <si>
    <t xml:space="preserve">Vitis x interspécifique cv. Bertille Seyve 2179</t>
  </si>
  <si>
    <t xml:space="preserve">Vitis x interspécifique cv. Bertille Seyve 2240</t>
  </si>
  <si>
    <t xml:space="preserve">Vitis x interspécifique cv. Bertille Seyve 2381</t>
  </si>
  <si>
    <t xml:space="preserve">Vitis x interspécifique cv. Bertille Seyve 2400</t>
  </si>
  <si>
    <t xml:space="preserve">Vitis x interspécifique cv. Bertille Seyve 2409</t>
  </si>
  <si>
    <t xml:space="preserve">Vitis x interspécifique cv. Bertille Seyve 2475</t>
  </si>
  <si>
    <t xml:space="preserve">Vitis x interspécifique cv. Bertille Seyve 2491</t>
  </si>
  <si>
    <t xml:space="preserve">Vitis x interspécifique cv. Bertille Seyve 2499</t>
  </si>
  <si>
    <t xml:space="preserve">Vitis x interspécifique cv. Bertille Seyve 2502</t>
  </si>
  <si>
    <t xml:space="preserve">Vitis x interspécifique cv. Bertille Seyve 2508</t>
  </si>
  <si>
    <t xml:space="preserve">Vitis x interspécifique cv. Bertille Seyve 2533</t>
  </si>
  <si>
    <t xml:space="preserve">Vitis x interspécifique cv. Bertille Seyve 2578</t>
  </si>
  <si>
    <t xml:space="preserve">Vitis x interspécifique cv. Bertille Seyve 2603</t>
  </si>
  <si>
    <t xml:space="preserve">Vitis x interspécifique cv. Bertille Seyve 2758</t>
  </si>
  <si>
    <t xml:space="preserve">Vitis x interspécifique cv. Bertille Seyve 2760</t>
  </si>
  <si>
    <t xml:space="preserve">Vitis x interspécifique cv. Bertille Seyve 2833</t>
  </si>
  <si>
    <t xml:space="preserve">Vitis x interspécifique cv. Bertille Seyve 2845</t>
  </si>
  <si>
    <t xml:space="preserve">Vitis x interspécifique cv. Bertille Seyve 2846</t>
  </si>
  <si>
    <t xml:space="preserve">Vitis x interspécifique cv. Bertille Seyve 3027</t>
  </si>
  <si>
    <t xml:space="preserve">Vitis x interspécifique cv. Bertille Seyve 3064</t>
  </si>
  <si>
    <t xml:space="preserve">Vitis x interspécifique cv. Bertille Seyve 3072</t>
  </si>
  <si>
    <t xml:space="preserve">Vitis x interspécifique cv. Bertille Seyve 3101</t>
  </si>
  <si>
    <t xml:space="preserve">Vitis x interspécifique cv. Bertille Seyve 3114</t>
  </si>
  <si>
    <t xml:space="preserve">Vitis x interspécifique cv. Bertille Seyve 3118</t>
  </si>
  <si>
    <t xml:space="preserve">Vitis x interspécifique cv. Bertille Seyve 3144</t>
  </si>
  <si>
    <t xml:space="preserve">Vitis x interspécifique cv. Bertille Seyve 3246</t>
  </si>
  <si>
    <t xml:space="preserve">Vitis x interspécifique cv. Bertille Seyve 3310</t>
  </si>
  <si>
    <t xml:space="preserve">Vitis x interspécifique cv. Bertille Seyve 3408</t>
  </si>
  <si>
    <t xml:space="preserve">Vitis x interspécifique cv. Bertille Seyve 3411</t>
  </si>
  <si>
    <t xml:space="preserve">Vitis x interspécifique cv. Bertille Seyve 3434</t>
  </si>
  <si>
    <t xml:space="preserve">Vitis x interspécifique cv. Bertille Seyve 3585</t>
  </si>
  <si>
    <t xml:space="preserve">Vitis x interspécifique cv. Bertille Seyve 3600</t>
  </si>
  <si>
    <t xml:space="preserve">Vitis x interspécifique cv. Bertille Seyve 4127</t>
  </si>
  <si>
    <t xml:space="preserve">Vitis x interspécifique cv. Bertille Seyve 413</t>
  </si>
  <si>
    <t xml:space="preserve">Vitis x interspécifique cv. Bertille Seyve 4176</t>
  </si>
  <si>
    <t xml:space="preserve">Vitis x interspécifique cv. Bertille Seyve 4201</t>
  </si>
  <si>
    <t xml:space="preserve">Vitis x interspécifique cv. Bertille Seyve 433</t>
  </si>
  <si>
    <t xml:space="preserve">Vitis x interspécifique cv. Bertille Seyve 450</t>
  </si>
  <si>
    <t xml:space="preserve">Vitis x interspécifique cv. Bertille Seyve 453</t>
  </si>
  <si>
    <t xml:space="preserve">Vitis x interspécifique cv. Bertille Seyve 460</t>
  </si>
  <si>
    <t xml:space="preserve">Vitis x interspécifique cv. Bertille Seyve 4825</t>
  </si>
  <si>
    <t xml:space="preserve">Vitis x interspécifique cv. Bertille Seyve 618</t>
  </si>
  <si>
    <t xml:space="preserve">Vitis x interspécifique cv. Bertille Seyve 6264</t>
  </si>
  <si>
    <t xml:space="preserve">Vitis x interspécifique cv. Bertille Seyve 6283</t>
  </si>
  <si>
    <t xml:space="preserve">Vitis x interspécifique cv. Bertille Seyve 822</t>
  </si>
  <si>
    <t xml:space="preserve">Vitis x interspécifique cv. Bertille Seyve 872</t>
  </si>
  <si>
    <t xml:space="preserve">Vitis x interspécifique cv. Bertille Seyve 893</t>
  </si>
  <si>
    <t xml:space="preserve">Vitis x interspécifique cv. Beta grape de Chaunac = Beta</t>
  </si>
  <si>
    <t xml:space="preserve">Vitis x interspécifique cv. Beyer 2</t>
  </si>
  <si>
    <t xml:space="preserve">Vitis x interspécifique cv. Black Queen</t>
  </si>
  <si>
    <t xml:space="preserve">Vitis x interspécifique cv. Blanche musquée = Galibert 256-73</t>
  </si>
  <si>
    <t xml:space="preserve">Vitis x interspécifique cv. Bogni 15</t>
  </si>
  <si>
    <t xml:space="preserve">Vitis x interspécifique cv. Bon Laurent = Kühlmann 267-1</t>
  </si>
  <si>
    <t xml:space="preserve">Vitis x interspécifique cv. Bon noir = Kühlmann 278-2</t>
  </si>
  <si>
    <t xml:space="preserve">Vitis x interspécifique cv. Bouchalès x 18315 S.V. n°30</t>
  </si>
  <si>
    <t xml:space="preserve">Vitis x interspécifique cv. Boujannoir = Galibert 6-1</t>
  </si>
  <si>
    <t xml:space="preserve">Vitis x interspécifique cv. Breider 19975</t>
  </si>
  <si>
    <t xml:space="preserve">Vitis x interspécifique cv. Brémont</t>
  </si>
  <si>
    <t xml:space="preserve">Vitis x interspécifique cv. Bronner = FR 250-75</t>
  </si>
  <si>
    <t xml:space="preserve">Vitis x interspécifique cv. Bronx seedless</t>
  </si>
  <si>
    <t xml:space="preserve">Vitis x interspécifique cv. Burdin 10010</t>
  </si>
  <si>
    <t xml:space="preserve">Vitis x interspécifique cv. Burdin 1582</t>
  </si>
  <si>
    <t xml:space="preserve">Vitis x interspécifique cv. Burdin 1585</t>
  </si>
  <si>
    <t xml:space="preserve">Vitis x interspécifique cv. Burdin 1605</t>
  </si>
  <si>
    <t xml:space="preserve">Vitis x interspécifique cv. Burdin 4077</t>
  </si>
  <si>
    <t xml:space="preserve">Vitis x interspécifique cv. Burdin 4502</t>
  </si>
  <si>
    <t xml:space="preserve">Vitis x interspécifique cv. Burdin 4503</t>
  </si>
  <si>
    <t xml:space="preserve">Vitis x interspécifique cv. Burdin 4560</t>
  </si>
  <si>
    <t xml:space="preserve">Vitis x interspécifique cv. Burdin 4582</t>
  </si>
  <si>
    <t xml:space="preserve">Vitis x interspécifique cv. Burdin 4601</t>
  </si>
  <si>
    <t xml:space="preserve">Vitis x interspécifique cv. Burdin 4650</t>
  </si>
  <si>
    <t xml:space="preserve">Vitis x interspécifique cv. Burdin 4655</t>
  </si>
  <si>
    <t xml:space="preserve">Vitis x interspécifique cv. Burdin 4672</t>
  </si>
  <si>
    <t xml:space="preserve">Vitis x interspécifique cv. Burdin 4687</t>
  </si>
  <si>
    <t xml:space="preserve">Vitis x interspécifique cv. Burdin 4695</t>
  </si>
  <si>
    <t xml:space="preserve">Vitis x interspécifique cv. Burdin 4716</t>
  </si>
  <si>
    <t xml:space="preserve">Vitis x interspécifique cv. Burdin 4795</t>
  </si>
  <si>
    <t xml:space="preserve">Vitis x interspécifique cv. Burdin 4855</t>
  </si>
  <si>
    <t xml:space="preserve">Vitis x interspécifique cv. Burdin 5201</t>
  </si>
  <si>
    <t xml:space="preserve">Vitis x interspécifique cv. Burdin 5400</t>
  </si>
  <si>
    <t xml:space="preserve">Vitis x interspécifique cv. Burdin 5406</t>
  </si>
  <si>
    <t xml:space="preserve">Vitis x interspécifique cv. Burdin 5440</t>
  </si>
  <si>
    <t xml:space="preserve">Vitis x interspécifique cv. Burdin 5535</t>
  </si>
  <si>
    <t xml:space="preserve">Vitis x interspécifique cv. Burdin 5539</t>
  </si>
  <si>
    <t xml:space="preserve">Vitis x interspécifique cv. Burdin 5540</t>
  </si>
  <si>
    <t xml:space="preserve">Vitis x interspécifique cv. Burdin 5580</t>
  </si>
  <si>
    <t xml:space="preserve">Vitis x interspécifique cv. Burdin 5581</t>
  </si>
  <si>
    <t xml:space="preserve">Vitis x interspécifique cv. Burdin 5620</t>
  </si>
  <si>
    <t xml:space="preserve">Vitis x interspécifique cv. Burdin 5833</t>
  </si>
  <si>
    <t xml:space="preserve">Vitis x interspécifique cv. Burdin 5894</t>
  </si>
  <si>
    <t xml:space="preserve">Vitis x interspécifique cv. Burdin 5957</t>
  </si>
  <si>
    <t xml:space="preserve">Vitis x interspécifique cv. Burdin 5960</t>
  </si>
  <si>
    <t xml:space="preserve">Vitis x interspécifique cv. Burdin 5963</t>
  </si>
  <si>
    <t xml:space="preserve">Vitis x interspécifique cv. Burdin 5984</t>
  </si>
  <si>
    <t xml:space="preserve">Vitis x interspécifique cv. Burdin 6004</t>
  </si>
  <si>
    <t xml:space="preserve">Vitis x interspécifique cv. Burdin 6055</t>
  </si>
  <si>
    <t xml:space="preserve">Vitis x interspécifique cv. Burdin 6154</t>
  </si>
  <si>
    <t xml:space="preserve">Vitis x interspécifique cv. Burdin 6189</t>
  </si>
  <si>
    <t xml:space="preserve">Vitis x interspécifique cv. Burdin 6205</t>
  </si>
  <si>
    <t xml:space="preserve">Vitis x interspécifique cv. Burdin 6316</t>
  </si>
  <si>
    <t xml:space="preserve">Vitis x interspécifique cv. Burdin 6422</t>
  </si>
  <si>
    <t xml:space="preserve">Vitis x interspécifique cv. Burdin 6541</t>
  </si>
  <si>
    <t xml:space="preserve">Vitis x interspécifique cv. Burdin 6621</t>
  </si>
  <si>
    <t xml:space="preserve">Vitis x interspécifique cv. Burdin 7037</t>
  </si>
  <si>
    <t xml:space="preserve">Vitis x interspécifique cv. Burdin 7044</t>
  </si>
  <si>
    <t xml:space="preserve">Vitis x interspécifique cv. Burdin 7061</t>
  </si>
  <si>
    <t xml:space="preserve">Vitis x interspécifique cv. Burdin 7187</t>
  </si>
  <si>
    <t xml:space="preserve">Vitis x interspécifique cv. Burdin 7194</t>
  </si>
  <si>
    <t xml:space="preserve">Vitis x interspécifique cv. Burdin 7200</t>
  </si>
  <si>
    <t xml:space="preserve">Vitis x interspécifique cv. Burdin 7206</t>
  </si>
  <si>
    <t xml:space="preserve">Vitis x interspécifique cv. Burdin 7215</t>
  </si>
  <si>
    <t xml:space="preserve">Vitis x interspécifique cv. Burdin 7216</t>
  </si>
  <si>
    <t xml:space="preserve">Vitis x interspécifique cv. Burdin 7334</t>
  </si>
  <si>
    <t xml:space="preserve">Vitis x interspécifique cv. Burdin 7352</t>
  </si>
  <si>
    <t xml:space="preserve">Vitis x interspécifique cv. Burdin 7353</t>
  </si>
  <si>
    <t xml:space="preserve">Vitis x interspécifique cv. Burdin 7357</t>
  </si>
  <si>
    <t xml:space="preserve">Vitis x interspécifique cv. Burdin 7358</t>
  </si>
  <si>
    <t xml:space="preserve">Vitis x interspécifique cv. Burdin 7360</t>
  </si>
  <si>
    <t xml:space="preserve">Vitis x interspécifique cv. Burdin 7365</t>
  </si>
  <si>
    <t xml:space="preserve">Vitis x interspécifique cv. Burdin 7368</t>
  </si>
  <si>
    <t xml:space="preserve">Vitis x interspécifique cv. Burdin 7369</t>
  </si>
  <si>
    <t xml:space="preserve">Vitis x interspécifique cv. Burdin 7371</t>
  </si>
  <si>
    <t xml:space="preserve">Vitis x interspécifique cv. Burdin 7374</t>
  </si>
  <si>
    <t xml:space="preserve">Vitis x interspécifique cv. Burdin 7375</t>
  </si>
  <si>
    <t xml:space="preserve">Vitis x interspécifique cv. Burdin 7380</t>
  </si>
  <si>
    <t xml:space="preserve">Vitis x interspécifique cv. Burdin 7405</t>
  </si>
  <si>
    <t xml:space="preserve">Vitis x interspécifique cv. Burdin 7468</t>
  </si>
  <si>
    <t xml:space="preserve">Vitis x interspécifique cv. Burdin 7510</t>
  </si>
  <si>
    <t xml:space="preserve">Vitis x interspécifique cv. Burdin 7515</t>
  </si>
  <si>
    <t xml:space="preserve">Vitis x interspécifique cv. Burdin 7582</t>
  </si>
  <si>
    <t xml:space="preserve">Vitis x interspécifique cv. Burdin 7595</t>
  </si>
  <si>
    <t xml:space="preserve">Vitis x interspécifique cv. Burdin 7618</t>
  </si>
  <si>
    <t xml:space="preserve">Vitis x interspécifique cv. Burdin 7638</t>
  </si>
  <si>
    <t xml:space="preserve">Vitis x interspécifique cv. Burdin 7648</t>
  </si>
  <si>
    <t xml:space="preserve">Vitis x interspécifique cv. Burdin 7696</t>
  </si>
  <si>
    <t xml:space="preserve">Vitis x interspécifique cv. Burdin 8649</t>
  </si>
  <si>
    <t xml:space="preserve">Vitis x interspécifique cv. Burdin 8796</t>
  </si>
  <si>
    <t xml:space="preserve">Vitis x interspécifique cv. Burdin 8811</t>
  </si>
  <si>
    <t xml:space="preserve">Vitis x interspécifique cv. Burdin 9010</t>
  </si>
  <si>
    <t xml:space="preserve">Vitis x interspécifique cv. C 26 Maclet</t>
  </si>
  <si>
    <t xml:space="preserve">Vitis x interspécifique cv. C 49 Maclet</t>
  </si>
  <si>
    <t xml:space="preserve">Vitis x interspécifique cv. C 69 Maclet</t>
  </si>
  <si>
    <t xml:space="preserve">Vitis x interspécifique cv. C 86 Maclet</t>
  </si>
  <si>
    <t xml:space="preserve">Vitis x interspécifique cv. C 98 Maclet</t>
  </si>
  <si>
    <t xml:space="preserve">Vitis x interspécifique cv. Cadamon 1</t>
  </si>
  <si>
    <t xml:space="preserve">Vitis x interspécifique cv. Cadamon 1 = Galibert 133-6</t>
  </si>
  <si>
    <t xml:space="preserve">Vitis x interspécifique cv. Cadamon 2 = Galibert 201-5</t>
  </si>
  <si>
    <t xml:space="preserve">Vitis x interspécifique cv. Cadillon doré = Galibert 261-13</t>
  </si>
  <si>
    <t xml:space="preserve">Vitis x interspécifique cv. Cadillon tardif = Galibert 261-12</t>
  </si>
  <si>
    <t xml:space="preserve">Vitis x interspécifique cv. Cadougnan blanc = Galibert 217-36</t>
  </si>
  <si>
    <t xml:space="preserve">Vitis x interspécifique cv. Cadougnan noir n° 2 = Galibert 217-33</t>
  </si>
  <si>
    <t xml:space="preserve">Vitis x interspécifique cv. Cadoulas n°1 = Galibert 207-86</t>
  </si>
  <si>
    <t xml:space="preserve">Vitis x interspécifique cv. Cadoulas n°2 = Galibert 114-14</t>
  </si>
  <si>
    <t xml:space="preserve">Vitis x interspécifique cv. Cadoulenc n°3 = Galibert 239-92</t>
  </si>
  <si>
    <t xml:space="preserve">Vitis x interspécifique cv. Cadoulenc 2</t>
  </si>
  <si>
    <t xml:space="preserve">Vitis x interspécifique cv. Caille 16</t>
  </si>
  <si>
    <t xml:space="preserve">Vitis x interspécifique cv. Caille 78</t>
  </si>
  <si>
    <t xml:space="preserve">Vitis x interspécifique cv. Calignon 2</t>
  </si>
  <si>
    <t xml:space="preserve">Vitis x interspécifique cv. Camirane blanche = Fourquier 16-45</t>
  </si>
  <si>
    <t xml:space="preserve">Vitis x interspécifique cv. Camirane rose = Fourquier 5-45</t>
  </si>
  <si>
    <t xml:space="preserve">Vitis x interspécifique cv. Candin</t>
  </si>
  <si>
    <t xml:space="preserve">Vitis x interspécifique cv. Carubis = Galibert 21-1</t>
  </si>
  <si>
    <t xml:space="preserve">Vitis x interspécifique cv. Cassady</t>
  </si>
  <si>
    <t xml:space="preserve">Vitis x interspécifique cv. Castel 120</t>
  </si>
  <si>
    <t xml:space="preserve">Vitis x interspécifique cv. Castel 121</t>
  </si>
  <si>
    <t xml:space="preserve">Vitis x interspécifique cv. Castel 12412</t>
  </si>
  <si>
    <t xml:space="preserve">Vitis x interspécifique cv. Castel 12827</t>
  </si>
  <si>
    <t xml:space="preserve">Vitis x interspécifique cv. Castel 12916</t>
  </si>
  <si>
    <t xml:space="preserve">Vitis x interspécifique cv. Castel 18311</t>
  </si>
  <si>
    <t xml:space="preserve">Vitis x interspécifique cv. Castel 1832</t>
  </si>
  <si>
    <t xml:space="preserve">Vitis x interspécifique cv. Castel 188-04</t>
  </si>
  <si>
    <t xml:space="preserve">Vitis x interspécifique cv. Castel 188-08</t>
  </si>
  <si>
    <t xml:space="preserve">Vitis x interspécifique cv. Castel 188-15</t>
  </si>
  <si>
    <t xml:space="preserve">Vitis x interspécifique cv. Castel 19637</t>
  </si>
  <si>
    <t xml:space="preserve">Vitis x interspécifique cv. Castel 20029</t>
  </si>
  <si>
    <t xml:space="preserve">Vitis x interspécifique cv. Castel 20031</t>
  </si>
  <si>
    <t xml:space="preserve">Vitis x interspécifique cv. Castel 20035</t>
  </si>
  <si>
    <t xml:space="preserve">Vitis x interspécifique cv. Castel 20410</t>
  </si>
  <si>
    <t xml:space="preserve">Vitis x interspécifique cv. Castel 20415</t>
  </si>
  <si>
    <t xml:space="preserve">Vitis x interspécifique cv. Castel 20418</t>
  </si>
  <si>
    <t xml:space="preserve">Vitis x interspécifique cv. Castel 215-1</t>
  </si>
  <si>
    <t xml:space="preserve">Vitis x interspécifique cv. Castel 227-1</t>
  </si>
  <si>
    <t xml:space="preserve">Vitis x interspécifique cv. Castel 3431</t>
  </si>
  <si>
    <t xml:space="preserve">Vitis x interspécifique cv. Castel 4337</t>
  </si>
  <si>
    <t xml:space="preserve">Vitis x interspécifique cv. Castel 4515</t>
  </si>
  <si>
    <t xml:space="preserve">Vitis x interspécifique cv. Castel 4639</t>
  </si>
  <si>
    <t xml:space="preserve">Vitis x interspécifique cv. Castel 6011</t>
  </si>
  <si>
    <t xml:space="preserve">Vitis x interspécifique cv. Castel 6021</t>
  </si>
  <si>
    <t xml:space="preserve">Vitis x interspécifique cv. Castel 6831</t>
  </si>
  <si>
    <t xml:space="preserve">Vitis x interspécifique cv. Castel 7229</t>
  </si>
  <si>
    <t xml:space="preserve">Vitis x interspécifique cv. Castel 7501</t>
  </si>
  <si>
    <t xml:space="preserve">Vitis x interspécifique cv. Castel 7605</t>
  </si>
  <si>
    <t xml:space="preserve">Vitis x interspécifique cv. Chambaudière 113</t>
  </si>
  <si>
    <t xml:space="preserve">Vitis x interspécifique cv. Chambaudière 1330</t>
  </si>
  <si>
    <t xml:space="preserve">Vitis x interspécifique cv. Chambaudière 1336</t>
  </si>
  <si>
    <t xml:space="preserve">Vitis x interspécifique cv. Chambaudière 1337</t>
  </si>
  <si>
    <t xml:space="preserve">Vitis x interspécifique cv. Chambaudière 1349</t>
  </si>
  <si>
    <t xml:space="preserve">Vitis x interspécifique cv. Chambaudière 1375</t>
  </si>
  <si>
    <t xml:space="preserve">Vitis x interspécifique cv. Chambaudière 1391</t>
  </si>
  <si>
    <t xml:space="preserve">Vitis x interspécifique cv. Chambaudière 426</t>
  </si>
  <si>
    <t xml:space="preserve">Vitis x interspécifique cv. Chambaudière 442</t>
  </si>
  <si>
    <t xml:space="preserve">Vitis x interspécifique cv. Chambaudière 540</t>
  </si>
  <si>
    <t xml:space="preserve">Vitis x interspécifique cv. Chambourcin = Joannès Seyve 26205</t>
  </si>
  <si>
    <t xml:space="preserve">Vitis x interspécifique cv. Chancellor = Seibel 7053</t>
  </si>
  <si>
    <t xml:space="preserve">Vitis x interspécifique cv. Chasselas Baco = Baco 7 A</t>
  </si>
  <si>
    <t xml:space="preserve">Vitis x interspécifique cv. Chazalon</t>
  </si>
  <si>
    <t xml:space="preserve">Vitis x interspécifique cv. Chelois = Seibel 10878</t>
  </si>
  <si>
    <t xml:space="preserve">Vitis x interspécifique cv. Chenivesse</t>
  </si>
  <si>
    <t xml:space="preserve">Vitis x interspécifique cv. Chevalier 3401</t>
  </si>
  <si>
    <t xml:space="preserve">Vitis x interspécifique cv. Chevalier 4002</t>
  </si>
  <si>
    <t xml:space="preserve">Vitis x interspécifique cv. cinerea x davidii</t>
  </si>
  <si>
    <t xml:space="preserve">Vitis x interspécifique cv. Claire Kühlmann = Kühlmann 477-1</t>
  </si>
  <si>
    <t xml:space="preserve">Vitis x interspécifique cv. Clairette dorée Ganzin</t>
  </si>
  <si>
    <t xml:space="preserve">Vitis x interspécifique cv. Clairette résistante</t>
  </si>
  <si>
    <t xml:space="preserve">Vitis x interspécifique cv. Clinton = Kilianstraube</t>
  </si>
  <si>
    <t xml:space="preserve">Vitis x interspécifique cv. Colobel = Seibel 8357</t>
  </si>
  <si>
    <t xml:space="preserve">Vitis x interspécifique cv. coriacea x cinerea</t>
  </si>
  <si>
    <t xml:space="preserve">Vitis x interspécifique cv. Cosmo 10</t>
  </si>
  <si>
    <t xml:space="preserve">Vitis x interspécifique cv. Cosmo 2</t>
  </si>
  <si>
    <t xml:space="preserve">Vitis x interspécifique cv. Couderc noir = Couderc 7120</t>
  </si>
  <si>
    <t xml:space="preserve">Vitis x interspécifique cv. Couderc 1</t>
  </si>
  <si>
    <t xml:space="preserve">Vitis x interspécifique cv. Couderc 10</t>
  </si>
  <si>
    <t xml:space="preserve">Vitis x interspécifique cv. Couderc 101</t>
  </si>
  <si>
    <t xml:space="preserve">Vitis x interspécifique cv. Couderc 102-5 ter</t>
  </si>
  <si>
    <t xml:space="preserve">Vitis x interspécifique cv. Couderc 106-46</t>
  </si>
  <si>
    <t xml:space="preserve">Vitis x interspécifique cv. Couderc 106-51</t>
  </si>
  <si>
    <t xml:space="preserve">Vitis x interspécifique cv. Couderc 109-4</t>
  </si>
  <si>
    <t xml:space="preserve">Vitis x interspécifique cv. Couderc 11</t>
  </si>
  <si>
    <t xml:space="preserve">Vitis x interspécifique cv. Couderc 117-3</t>
  </si>
  <si>
    <t xml:space="preserve">Vitis x interspécifique cv. Couderc 117-4</t>
  </si>
  <si>
    <t xml:space="preserve">Vitis x interspécifique cv. Couderc 119</t>
  </si>
  <si>
    <t xml:space="preserve">Vitis x interspécifique cv. Couderc 12</t>
  </si>
  <si>
    <t xml:space="preserve">Vitis x interspécifique cv. Couderc 1202</t>
  </si>
  <si>
    <t xml:space="preserve">Vitis x interspécifique cv. Couderc 124-12</t>
  </si>
  <si>
    <t xml:space="preserve">Vitis x interspécifique cv. Couderc 126-8</t>
  </si>
  <si>
    <t xml:space="preserve">Vitis x interspécifique cv. Couderc 128-29 = N 6-53</t>
  </si>
  <si>
    <t xml:space="preserve">Vitis x interspécifique cv. Couderc 13</t>
  </si>
  <si>
    <t xml:space="preserve">Vitis x interspécifique cv. Couderc 1305</t>
  </si>
  <si>
    <t xml:space="preserve">Vitis x interspécifique cv. Couderc 13-11</t>
  </si>
  <si>
    <t xml:space="preserve">Vitis x interspécifique cv. Couderc 132</t>
  </si>
  <si>
    <t xml:space="preserve">Vitis x interspécifique cv. Couderc 13-205 ou 132-5</t>
  </si>
  <si>
    <t xml:space="preserve">Vitis x interspécifique cv. Couderc 136-4</t>
  </si>
  <si>
    <t xml:space="preserve">Vitis x interspécifique cv. Couderc 14</t>
  </si>
  <si>
    <t xml:space="preserve">Vitis x interspécifique cv. Couderc 1401</t>
  </si>
  <si>
    <t xml:space="preserve">Vitis x interspécifique cv. Couderc 146-51</t>
  </si>
  <si>
    <t xml:space="preserve">Vitis x interspécifique cv. Couderc 15</t>
  </si>
  <si>
    <t xml:space="preserve">Vitis x interspécifique cv. Couderc 157-11</t>
  </si>
  <si>
    <t xml:space="preserve">Vitis x interspécifique cv. Couderc 157-21</t>
  </si>
  <si>
    <t xml:space="preserve">Vitis x interspécifique cv. Couderc 16</t>
  </si>
  <si>
    <t xml:space="preserve">Vitis x interspécifique cv. Couderc 1613</t>
  </si>
  <si>
    <t xml:space="preserve">Vitis x interspécifique cv. Couderc 1615</t>
  </si>
  <si>
    <t xml:space="preserve">Vitis x interspécifique cv. Couderc 1616 (Colmar 1984)</t>
  </si>
  <si>
    <t xml:space="preserve">Vitis x interspécifique cv. Couderc 1616 Davy (pubescent)</t>
  </si>
  <si>
    <t xml:space="preserve">Vitis x interspécifique cv. Couderc 1616 E</t>
  </si>
  <si>
    <t xml:space="preserve">Vitis x interspécifique cv. Couderc 162</t>
  </si>
  <si>
    <t xml:space="preserve">Vitis x interspécifique cv. Couderc 162-46</t>
  </si>
  <si>
    <t xml:space="preserve">Vitis x interspécifique cv. Couderc 162-5</t>
  </si>
  <si>
    <t xml:space="preserve">Vitis x interspécifique cv. Couderc 162-97</t>
  </si>
  <si>
    <t xml:space="preserve">Vitis x interspécifique cv. Couderc 17</t>
  </si>
  <si>
    <t xml:space="preserve">Vitis x interspécifique cv. Couderc 175</t>
  </si>
  <si>
    <t xml:space="preserve">Vitis x interspécifique cv. Couderc 18</t>
  </si>
  <si>
    <t xml:space="preserve">Vitis x interspécifique cv. Couderc 19 = 299-35</t>
  </si>
  <si>
    <t xml:space="preserve">Vitis x interspécifique cv. Couderc 197-94</t>
  </si>
  <si>
    <t xml:space="preserve">Vitis x interspécifique cv. Couderc 198-21</t>
  </si>
  <si>
    <t xml:space="preserve">Vitis x interspécifique cv. Couderc 198-89</t>
  </si>
  <si>
    <t xml:space="preserve">Vitis x interspécifique cv. Couderc 199-88</t>
  </si>
  <si>
    <t xml:space="preserve">Vitis x interspécifique cv. Couderc 2</t>
  </si>
  <si>
    <t xml:space="preserve">Vitis x interspécifique cv. Couderc 20</t>
  </si>
  <si>
    <t xml:space="preserve">Vitis x interspécifique cv. Couderc 201</t>
  </si>
  <si>
    <t xml:space="preserve">Vitis x interspécifique cv. Couderc 202-137</t>
  </si>
  <si>
    <t xml:space="preserve">Vitis x interspécifique cv. Couderc 203-143</t>
  </si>
  <si>
    <t xml:space="preserve">Vitis x interspécifique cv. Couderc 21</t>
  </si>
  <si>
    <t xml:space="preserve">Vitis x interspécifique cv. Couderc 2-10 = 2 Baronne</t>
  </si>
  <si>
    <t xml:space="preserve">Vitis x interspécifique cv. Couderc 216-2</t>
  </si>
  <si>
    <t xml:space="preserve">Vitis x interspécifique cv. Couderc 22</t>
  </si>
  <si>
    <t xml:space="preserve">Vitis x interspécifique cv. Couderc 226-58</t>
  </si>
  <si>
    <t xml:space="preserve">Vitis x interspécifique cv. Couderc 23</t>
  </si>
  <si>
    <t xml:space="preserve">Vitis x interspécifique cv. Couderc 235-120</t>
  </si>
  <si>
    <t xml:space="preserve">Vitis x interspécifique cv. Couderc 24</t>
  </si>
  <si>
    <t xml:space="preserve">Vitis x interspécifique cv. Couderc 241-123</t>
  </si>
  <si>
    <t xml:space="preserve">Vitis x interspécifique cv. Couderc 241-125</t>
  </si>
  <si>
    <t xml:space="preserve">Vitis x interspécifique cv. Couderc 246-123</t>
  </si>
  <si>
    <t xml:space="preserve">Vitis x interspécifique cv. Couderc 25</t>
  </si>
  <si>
    <t xml:space="preserve">Vitis x interspécifique cv. Couderc 251-150</t>
  </si>
  <si>
    <t xml:space="preserve">Vitis x interspécifique cv. Couderc 251-50</t>
  </si>
  <si>
    <t xml:space="preserve">Vitis x interspécifique cv. Couderc 252-14</t>
  </si>
  <si>
    <t xml:space="preserve">Vitis x interspécifique cv. Couderc 252-15</t>
  </si>
  <si>
    <t xml:space="preserve">Vitis x interspécifique cv. Couderc 26</t>
  </si>
  <si>
    <t xml:space="preserve">Vitis x interspécifique cv. Couderc 261-50</t>
  </si>
  <si>
    <t xml:space="preserve">Vitis x interspécifique cv. Couderc 2627-11</t>
  </si>
  <si>
    <t xml:space="preserve">Vitis x interspécifique cv. Couderc 267-27</t>
  </si>
  <si>
    <t xml:space="preserve">Vitis x interspécifique cv. Couderc 272-60</t>
  </si>
  <si>
    <t xml:space="preserve">Vitis x interspécifique cv. Couderc 28-112</t>
  </si>
  <si>
    <t xml:space="preserve">Vitis x interspécifique cv. Couderc 286-68</t>
  </si>
  <si>
    <t xml:space="preserve">Vitis x interspécifique cv. Couderc 299-17</t>
  </si>
  <si>
    <t xml:space="preserve">Vitis x interspécifique cv. Couderc 299-35</t>
  </si>
  <si>
    <t xml:space="preserve">Vitis x interspécifique cv. Couderc 3</t>
  </si>
  <si>
    <t xml:space="preserve">Vitis x interspécifique cv. Couderc 302-60</t>
  </si>
  <si>
    <t xml:space="preserve">Vitis x interspécifique cv. Couderc 3304</t>
  </si>
  <si>
    <t xml:space="preserve">Vitis x interspécifique cv. Couderc 3306</t>
  </si>
  <si>
    <t xml:space="preserve">Vitis x interspécifique cv. Couderc 3307</t>
  </si>
  <si>
    <t xml:space="preserve">Vitis x interspécifique cv. Couderc 3310</t>
  </si>
  <si>
    <t xml:space="preserve">Vitis x interspécifique cv. Couderc 343-14</t>
  </si>
  <si>
    <t xml:space="preserve">Vitis x interspécifique cv. Couderc 3601</t>
  </si>
  <si>
    <t xml:space="preserve">Vitis x interspécifique cv. Couderc 3905</t>
  </si>
  <si>
    <t xml:space="preserve">Vitis x interspécifique cv. Couderc 3907</t>
  </si>
  <si>
    <t xml:space="preserve">Vitis x interspécifique cv. Couderc 4</t>
  </si>
  <si>
    <t xml:space="preserve">Vitis x interspécifique cv. Couderc 404</t>
  </si>
  <si>
    <t xml:space="preserve">Vitis x interspécifique cv. Couderc 4306</t>
  </si>
  <si>
    <t xml:space="preserve">Vitis x interspécifique cv. Couderc 4308</t>
  </si>
  <si>
    <t xml:space="preserve">Vitis x interspécifique cv. Couderc 5</t>
  </si>
  <si>
    <t xml:space="preserve">Vitis x interspécifique cv. Couderc 501</t>
  </si>
  <si>
    <t xml:space="preserve">Vitis x interspécifique cv. Couderc 503</t>
  </si>
  <si>
    <t xml:space="preserve">Vitis x interspécifique cv. Couderc 504</t>
  </si>
  <si>
    <t xml:space="preserve">Vitis x interspécifique cv. Couderc 5407</t>
  </si>
  <si>
    <t xml:space="preserve">Vitis x interspécifique cv. Couderc 548-1</t>
  </si>
  <si>
    <t xml:space="preserve">Vitis x interspécifique cv. Couderc 554-5</t>
  </si>
  <si>
    <t xml:space="preserve">Vitis x interspécifique cv. Couderc 6</t>
  </si>
  <si>
    <t xml:space="preserve">Vitis x interspécifique cv. Couderc 601</t>
  </si>
  <si>
    <t xml:space="preserve">Vitis x interspécifique cv. Couderc 602</t>
  </si>
  <si>
    <t xml:space="preserve">Vitis x interspécifique cv. Couderc 603</t>
  </si>
  <si>
    <t xml:space="preserve">Vitis x interspécifique cv. Couderc 62-66</t>
  </si>
  <si>
    <t xml:space="preserve">Vitis x interspécifique cv. Couderc 633 H</t>
  </si>
  <si>
    <t xml:space="preserve">Vitis x interspécifique cv. Couderc 7</t>
  </si>
  <si>
    <t xml:space="preserve">Vitis x interspécifique cv. Couderc 71-03</t>
  </si>
  <si>
    <t xml:space="preserve">Vitis x interspécifique cv. Couderc 71-04</t>
  </si>
  <si>
    <t xml:space="preserve">Vitis x interspécifique cv. Couderc 7106</t>
  </si>
  <si>
    <t xml:space="preserve">Vitis x interspécifique cv. Couderc 7160</t>
  </si>
  <si>
    <t xml:space="preserve">Vitis x interspécifique cv. Couderc 71-61 = Contassot 2</t>
  </si>
  <si>
    <t xml:space="preserve">Vitis x interspécifique cv. Couderc 7301</t>
  </si>
  <si>
    <t xml:space="preserve">Vitis x interspécifique cv. Couderc 7417</t>
  </si>
  <si>
    <t xml:space="preserve">Vitis x interspécifique cv. Couderc 7502</t>
  </si>
  <si>
    <t xml:space="preserve">Vitis x interspécifique cv. Couderc 8</t>
  </si>
  <si>
    <t xml:space="preserve">Vitis x interspécifique cv. Couderc 81-2</t>
  </si>
  <si>
    <t xml:space="preserve">Vitis x interspécifique cv. Couderc 82-12</t>
  </si>
  <si>
    <t xml:space="preserve">Vitis x interspécifique cv. Couderc 8232</t>
  </si>
  <si>
    <t xml:space="preserve">Vitis x interspécifique cv. Couderc 84-10</t>
  </si>
  <si>
    <t xml:space="preserve">Vitis x interspécifique cv. Couderc 84-61</t>
  </si>
  <si>
    <t xml:space="preserve">Vitis x interspécifique cv. Couderc 85-113</t>
  </si>
  <si>
    <t xml:space="preserve">Vitis x interspécifique cv. Couderc 87-83</t>
  </si>
  <si>
    <t xml:space="preserve">Vitis x interspécifique cv. Couderc 89-23</t>
  </si>
  <si>
    <t xml:space="preserve">Vitis x interspécifique cv. Couderc 9</t>
  </si>
  <si>
    <t xml:space="preserve">Vitis x interspécifique cv. Couderc 901</t>
  </si>
  <si>
    <t xml:space="preserve">Vitis x interspécifique cv. Couderc 90-38</t>
  </si>
  <si>
    <t xml:space="preserve">Vitis x interspécifique cv. Couderc 904</t>
  </si>
  <si>
    <t xml:space="preserve">Vitis x interspécifique cv. Couderc 93-5</t>
  </si>
  <si>
    <t xml:space="preserve">Vitis x interspécifique cv. Couderc 96-32</t>
  </si>
  <si>
    <t xml:space="preserve">Vitis x interspécifique cv. Couderc 98-76</t>
  </si>
  <si>
    <t xml:space="preserve">Vitis x interspécifique cv. Cournon = Galibert 22-4</t>
  </si>
  <si>
    <t xml:space="preserve">Vitis x interspécifique cv. D Maclet</t>
  </si>
  <si>
    <t xml:space="preserve">Vitis x interspécifique cv. Dattier de Saint-Vallier = Seyve-Villard 20-365</t>
  </si>
  <si>
    <t xml:space="preserve">Vitis x interspécifique cv. davidii x ?</t>
  </si>
  <si>
    <t xml:space="preserve">Vitis x interspécifique cv. De Chaunac = Seibel 9549</t>
  </si>
  <si>
    <t xml:space="preserve">Vitis x interspécifique cv. Delaware rose</t>
  </si>
  <si>
    <t xml:space="preserve">Vitis x interspécifique cv. Directeur Grosjean = Kühlmann 536-3</t>
  </si>
  <si>
    <t xml:space="preserve">Vitis x interspécifique cv. Docteur Decker-rebe</t>
  </si>
  <si>
    <t xml:space="preserve">Vitis x interspécifique cv. Dog Ridge</t>
  </si>
  <si>
    <t xml:space="preserve">Vitis x interspécifique cv. Dorette</t>
  </si>
  <si>
    <t xml:space="preserve">Vitis x interspécifique cv. Douriou = Baco 37-16</t>
  </si>
  <si>
    <t xml:space="preserve">Vitis x interspécifique cv. Doux noir = Galibert 294-33</t>
  </si>
  <si>
    <t xml:space="preserve">Vitis x interspécifique cv. Dufour 11 F</t>
  </si>
  <si>
    <t xml:space="preserve">Vitis x interspécifique cv. E 31 Maclet</t>
  </si>
  <si>
    <t xml:space="preserve">Vitis x interspécifique cv. E 46 Maclet</t>
  </si>
  <si>
    <t xml:space="preserve">Vitis x interspécifique cv. Edda Mussolini = Pirovano 78</t>
  </si>
  <si>
    <t xml:space="preserve">Vitis x interspécifique cv. Einset seedless</t>
  </si>
  <si>
    <t xml:space="preserve">Vitis x interspécifique cv. Elisabeth</t>
  </si>
  <si>
    <t xml:space="preserve">Vitis x interspécifique cv. Embanc n°2 = Galibert 113-20</t>
  </si>
  <si>
    <t xml:space="preserve">Vitis x interspécifique cv. Emblanc n°1 = Galibert 113-18</t>
  </si>
  <si>
    <t xml:space="preserve">Vitis x interspécifique cv. Emblanc n°3 = Galibert 113-32</t>
  </si>
  <si>
    <t xml:space="preserve">Vitis x interspécifique cv. Emblanc n°4 = Galibert 128-13</t>
  </si>
  <si>
    <t xml:space="preserve">Vitis x interspécifique cv. Emblanc n°5 = Galibert 152-26</t>
  </si>
  <si>
    <t xml:space="preserve">Vitis x interspécifique cv. Emblanc n°6 = Galibert 153-11</t>
  </si>
  <si>
    <t xml:space="preserve">Vitis x interspécifique cv. Emblanc n°7 = Galibert 154-20</t>
  </si>
  <si>
    <t xml:space="preserve">Vitis x interspécifique cv. Emblanc n°8 = Galibert 155-9</t>
  </si>
  <si>
    <t xml:space="preserve">Vitis x interspécifique cv. Emblanc n°9 = Galibert 162-3</t>
  </si>
  <si>
    <t xml:space="preserve">Vitis x interspécifique cv. Emon 1-23</t>
  </si>
  <si>
    <t xml:space="preserve">Vitis x interspécifique cv. Emon 19-20</t>
  </si>
  <si>
    <t xml:space="preserve">Vitis x interspécifique cv. Emon 2</t>
  </si>
  <si>
    <t xml:space="preserve">Vitis x interspécifique cv. Emon 2-5</t>
  </si>
  <si>
    <t xml:space="preserve">Vitis x interspécifique cv. Emon 9</t>
  </si>
  <si>
    <t xml:space="preserve">Vitis x interspécifique cv. Ennoir n°1 = Galibert 114-10</t>
  </si>
  <si>
    <t xml:space="preserve">Vitis x interspécifique cv. Ennoir n°2 = Galibert 152-24</t>
  </si>
  <si>
    <t xml:space="preserve">Vitis x interspécifique cv. Ennoir n°3 = Galibert 152-27</t>
  </si>
  <si>
    <t xml:space="preserve">Vitis x interspécifique cv. Ennoir n°4 = Galibert 155-3</t>
  </si>
  <si>
    <t xml:space="preserve">Vitis x interspécifique cv. Ennoir n°5 = Galibert 155-11</t>
  </si>
  <si>
    <t xml:space="preserve">Vitis x interspécifique cv. Ennoir n°6 = Galibert 155-14</t>
  </si>
  <si>
    <t xml:space="preserve">Vitis x interspécifique cv. Ennoir n°7 = Galibert 162-4</t>
  </si>
  <si>
    <t xml:space="preserve">Vitis x interspécifique cv. Ennoir n°8 = Galibert 166-18</t>
  </si>
  <si>
    <t xml:space="preserve">Vitis x interspécifique cv. Ennoir n°9 = Galibert 171-24</t>
  </si>
  <si>
    <t xml:space="preserve">Vitis x interspécifique cv. Estellat = Baco 30-12</t>
  </si>
  <si>
    <t xml:space="preserve">Vitis x interspécifique cv. Etoile 1 = Kühlmann 237-1</t>
  </si>
  <si>
    <t xml:space="preserve">Vitis x interspécifique cv. Etoile 2 = Kühlmann 237-2</t>
  </si>
  <si>
    <t xml:space="preserve">Vitis x interspécifique cv. Evex 13-3</t>
  </si>
  <si>
    <t xml:space="preserve">Vitis x interspécifique cv. Evex 13-5</t>
  </si>
  <si>
    <t xml:space="preserve">Vitis x interspécifique cv. Excelsior Guilly</t>
  </si>
  <si>
    <t xml:space="preserve">Vitis x interspécifique cv. Excelsior (Ricketts)</t>
  </si>
  <si>
    <t xml:space="preserve">Vitis x interspécifique cv. Farato Grimaldi</t>
  </si>
  <si>
    <t xml:space="preserve">Vitis x interspécifique cv. Fauconneau 1</t>
  </si>
  <si>
    <t xml:space="preserve">Vitis x interspécifique cv. Fauconneau 2</t>
  </si>
  <si>
    <t xml:space="preserve">Vitis x interspécifique cv. Fercal</t>
  </si>
  <si>
    <t xml:space="preserve">Vitis x interspécifique cv. Ferdinand de Lesseps</t>
  </si>
  <si>
    <t xml:space="preserve">Vitis x interspécifique cv. Fin blanc 1</t>
  </si>
  <si>
    <t xml:space="preserve">Vitis x interspécifique cv. Fin noir = Kühlmann 275-2</t>
  </si>
  <si>
    <t xml:space="preserve">Vitis x interspécifique cv. Fin noir 1</t>
  </si>
  <si>
    <t xml:space="preserve">Vitis x interspécifique cv. Fin noir 2</t>
  </si>
  <si>
    <t xml:space="preserve">Vitis x interspécifique cv. Florental = Burdin 7705</t>
  </si>
  <si>
    <t xml:space="preserve">Vitis x interspécifique cv. Flot d'Or = Seibel 2653</t>
  </si>
  <si>
    <t xml:space="preserve">Vitis x interspécifique cv. Flot rouge = Seibel 1020</t>
  </si>
  <si>
    <t xml:space="preserve">Vitis x interspécifique cv. Fontan</t>
  </si>
  <si>
    <t xml:space="preserve">Vitis x interspécifique cv. Fredonia</t>
  </si>
  <si>
    <t xml:space="preserve">Vitis x interspécifique cv. G 1 = Grézot 1</t>
  </si>
  <si>
    <t xml:space="preserve">Vitis x interspécifique cv. Gaillard 157</t>
  </si>
  <si>
    <t xml:space="preserve">Vitis x interspécifique cv. Gaillard 194</t>
  </si>
  <si>
    <t xml:space="preserve">Vitis x interspécifique cv. Gaillard 2</t>
  </si>
  <si>
    <t xml:space="preserve">Vitis x interspécifique cv. Galibert 114-12</t>
  </si>
  <si>
    <t xml:space="preserve">Vitis x interspécifique cv. Galibert 114-25</t>
  </si>
  <si>
    <t xml:space="preserve">Vitis x interspécifique cv. Galibert 115-18</t>
  </si>
  <si>
    <t xml:space="preserve">Vitis x interspécifique cv. Galibert 115-28</t>
  </si>
  <si>
    <t xml:space="preserve">Vitis x interspécifique cv. Galibert 14-2</t>
  </si>
  <si>
    <t xml:space="preserve">Vitis x interspécifique cv. Galibert 14-3</t>
  </si>
  <si>
    <t xml:space="preserve">Vitis x interspécifique cv. Galibert 14-4</t>
  </si>
  <si>
    <t xml:space="preserve">Vitis x interspécifique cv. Galibert 14-5</t>
  </si>
  <si>
    <t xml:space="preserve">Vitis x interspécifique cv. Galibert 201 F</t>
  </si>
  <si>
    <t xml:space="preserve">Vitis x interspécifique cv. Galibert 201 H</t>
  </si>
  <si>
    <t xml:space="preserve">Vitis x interspécifique cv. Galibert 201-8 = Inconnu</t>
  </si>
  <si>
    <t xml:space="preserve">Vitis x interspécifique cv. Galibert 20-2</t>
  </si>
  <si>
    <t xml:space="preserve">Vitis x interspécifique cv. Galibert 21-2</t>
  </si>
  <si>
    <t xml:space="preserve">Vitis x interspécifique cv. Galibert 25-2</t>
  </si>
  <si>
    <t xml:space="preserve">Vitis x interspécifique cv. Galibert 309</t>
  </si>
  <si>
    <t xml:space="preserve">Vitis x interspécifique cv. Galibert 315</t>
  </si>
  <si>
    <t xml:space="preserve">Vitis x interspécifique cv. Galibert 35-3</t>
  </si>
  <si>
    <t xml:space="preserve">Vitis x interspécifique cv. Galibert 403</t>
  </si>
  <si>
    <t xml:space="preserve">Vitis x interspécifique cv. Galibert 404</t>
  </si>
  <si>
    <t xml:space="preserve">Vitis x interspécifique cv. Galibert 408</t>
  </si>
  <si>
    <t xml:space="preserve">Vitis x interspécifique cv. Galibert 413</t>
  </si>
  <si>
    <t xml:space="preserve">Vitis x interspécifique cv. Galibert 414</t>
  </si>
  <si>
    <t xml:space="preserve">Vitis x interspécifique cv. Galibert 420</t>
  </si>
  <si>
    <t xml:space="preserve">Vitis x interspécifique cv. Galibert 42-1</t>
  </si>
  <si>
    <t xml:space="preserve">Vitis x interspécifique cv. Galibert 42-2</t>
  </si>
  <si>
    <t xml:space="preserve">Vitis x interspécifique cv. Galibert 42-3</t>
  </si>
  <si>
    <t xml:space="preserve">Vitis x interspécifique cv. Galicante blanc n°1 = Galibert 238-95</t>
  </si>
  <si>
    <t xml:space="preserve">Vitis x interspécifique cv. Galicante noir n°1 = Galibert 239-96</t>
  </si>
  <si>
    <t xml:space="preserve">Vitis x interspécifique cv. Galicoul noir = Galibert 238-35</t>
  </si>
  <si>
    <t xml:space="preserve">Vitis x interspécifique cv. Galignon n°2 = Galibert 264-34</t>
  </si>
  <si>
    <t xml:space="preserve">Vitis x interspécifique cv. Gamay Couderc = Couderc 3103</t>
  </si>
  <si>
    <t xml:space="preserve">Vitis x interspécifique cv. Garnier 15-6</t>
  </si>
  <si>
    <t xml:space="preserve">Vitis x interspécifique cv. Garonnet = Seyve-Villard 18-283</t>
  </si>
  <si>
    <t xml:space="preserve">Vitis x interspécifique cv. Gaulois 1</t>
  </si>
  <si>
    <t xml:space="preserve">Vitis x interspécifique cv. Gaulois 2</t>
  </si>
  <si>
    <t xml:space="preserve">Vitis x interspécifique cv. Geisenheim 26</t>
  </si>
  <si>
    <t xml:space="preserve">Vitis x interspécifique cv. Geisenheim 97</t>
  </si>
  <si>
    <t xml:space="preserve">Vitis x interspécifique cv. GfGa-47-42</t>
  </si>
  <si>
    <t xml:space="preserve">Vitis x interspécifique cv. Gigantesque Millardet de Grasset</t>
  </si>
  <si>
    <t xml:space="preserve">Vitis x interspécifique cv. Glenora</t>
  </si>
  <si>
    <t xml:space="preserve">Vitis x interspécifique cv. Golden Muscat</t>
  </si>
  <si>
    <t xml:space="preserve">Vitis x interspécifique cv. Golia = 1-37 Pirovano</t>
  </si>
  <si>
    <t xml:space="preserve">Vitis x interspécifique cv. Gradian noir = Galibert 23-2</t>
  </si>
  <si>
    <t xml:space="preserve">Vitis x interspécifique cv. Grand Noir de Cadoule = Galibert 115-22</t>
  </si>
  <si>
    <t xml:space="preserve">Vitis x interspécifique cv. Gravesac</t>
  </si>
  <si>
    <t xml:space="preserve">Vitis x interspécifique cv. Grimaldi 24-27</t>
  </si>
  <si>
    <t xml:space="preserve">Vitis x interspécifique cv. Grimaldi 444</t>
  </si>
  <si>
    <t xml:space="preserve">Vitis x interspécifique cv. Gros Cadillon = Galibert 261-11</t>
  </si>
  <si>
    <t xml:space="preserve">Vitis x interspécifique cv. Guillaume 35</t>
  </si>
  <si>
    <t xml:space="preserve">Vitis x interspécifique cv. Guillaume 4</t>
  </si>
  <si>
    <t xml:space="preserve">Vitis x interspécifique cv. Guillaume 6</t>
  </si>
  <si>
    <t xml:space="preserve">Vitis x interspécifique cv. Harmony</t>
  </si>
  <si>
    <t xml:space="preserve">Vitis x interspécifique cv. Hartford Prolific</t>
  </si>
  <si>
    <t xml:space="preserve">Vitis x interspécifique cv. Helios</t>
  </si>
  <si>
    <t xml:space="preserve">Vitis x interspécifique cv. Herbemont</t>
  </si>
  <si>
    <t xml:space="preserve">Vitis x interspécifique cv. Himrod</t>
  </si>
  <si>
    <t xml:space="preserve">Vitis x interspécifique cv. Humbert 3</t>
  </si>
  <si>
    <t xml:space="preserve">Vitis x interspécifique cv. Hybride Azemar</t>
  </si>
  <si>
    <t xml:space="preserve">Vitis x interspécifique cv. Hybride Boiziau</t>
  </si>
  <si>
    <t xml:space="preserve">Vitis x interspécifique cv. Hybride d'Allen</t>
  </si>
  <si>
    <t xml:space="preserve">Vitis x interspécifique cv. Hybride Fournier</t>
  </si>
  <si>
    <t xml:space="preserve">Vitis x interspécifique cv. Hybride Franc</t>
  </si>
  <si>
    <t xml:space="preserve">Vitis x interspécifique cv. Hybride Lacoste</t>
  </si>
  <si>
    <t xml:space="preserve">Vitis x interspécifique cv. Hybride Pully 1</t>
  </si>
  <si>
    <t xml:space="preserve">Vitis x interspécifique cv. Hybride Pully 7</t>
  </si>
  <si>
    <t xml:space="preserve">Vitis x interspécifique cv. Hybride Trinquier</t>
  </si>
  <si>
    <t xml:space="preserve">Vitis x interspécifique cv. INRA-Mtp-3186-1-87</t>
  </si>
  <si>
    <t xml:space="preserve">Vitis x interspécifique cv. Institut = Kühlmann 482-2</t>
  </si>
  <si>
    <t xml:space="preserve">Vitis x interspécifique cv. Jacquez</t>
  </si>
  <si>
    <t xml:space="preserve">Vitis x interspécifique cv. Jacquez d'Aurelles 1</t>
  </si>
  <si>
    <t xml:space="preserve">Vitis x interspécifique cv. Joannès Seyve 11369</t>
  </si>
  <si>
    <t xml:space="preserve">Vitis x interspécifique cv. Joannès Seyve 12426</t>
  </si>
  <si>
    <t xml:space="preserve">Vitis x interspécifique cv. Joannès Seyve 12428</t>
  </si>
  <si>
    <t xml:space="preserve">Vitis x interspécifique cv. Joannès Seyve 12448</t>
  </si>
  <si>
    <t xml:space="preserve">Vitis x interspécifique cv. Joannès Seyve 12462</t>
  </si>
  <si>
    <t xml:space="preserve">Vitis x interspécifique cv. Joannès Seyve 13733</t>
  </si>
  <si>
    <t xml:space="preserve">Vitis x interspécifique cv. Joannès Seyve 13756</t>
  </si>
  <si>
    <t xml:space="preserve">Vitis x interspécifique cv. Joannès Seyve 14924</t>
  </si>
  <si>
    <t xml:space="preserve">Vitis x interspécifique cv. Joannès Seyve 14928</t>
  </si>
  <si>
    <t xml:space="preserve">Vitis x interspécifique cv. Joannès Seyve 14982</t>
  </si>
  <si>
    <t xml:space="preserve">Vitis x interspécifique cv. Joannès Seyve 15874</t>
  </si>
  <si>
    <t xml:space="preserve">Vitis x interspécifique cv. Joannès Seyve 15875</t>
  </si>
  <si>
    <t xml:space="preserve">Vitis x interspécifique cv. Joannès Seyve 16150</t>
  </si>
  <si>
    <t xml:space="preserve">Vitis x interspécifique cv. Joannès Seyve 19103</t>
  </si>
  <si>
    <t xml:space="preserve">Vitis x interspécifique cv. Joannès Seyve 23275</t>
  </si>
  <si>
    <t xml:space="preserve">Vitis x interspécifique cv. Joannès Seyve 23284</t>
  </si>
  <si>
    <t xml:space="preserve">Vitis x interspécifique cv. Joannès Seyve 23298</t>
  </si>
  <si>
    <t xml:space="preserve">Vitis x interspécifique cv. Joannès Seyve 23416</t>
  </si>
  <si>
    <t xml:space="preserve">Vitis x interspécifique cv. Joannès Seyve 23545</t>
  </si>
  <si>
    <t xml:space="preserve">Vitis x interspécifique cv. Joannès Seyve 24298</t>
  </si>
  <si>
    <t xml:space="preserve">Vitis x interspécifique cv. Joannès Seyve 24397</t>
  </si>
  <si>
    <t xml:space="preserve">Vitis x interspécifique cv. Joannès Seyve 24398</t>
  </si>
  <si>
    <t xml:space="preserve">Vitis x interspécifique cv. Joannès Seyve 24399</t>
  </si>
  <si>
    <t xml:space="preserve">Vitis x interspécifique cv. Joannès Seyve 24408</t>
  </si>
  <si>
    <t xml:space="preserve">Vitis x interspécifique cv. Joannès Seyve 24444</t>
  </si>
  <si>
    <t xml:space="preserve">Vitis x interspécifique cv. Joannès Seyve 24610</t>
  </si>
  <si>
    <t xml:space="preserve">Vitis x interspécifique cv. Joannès Seyve 24614</t>
  </si>
  <si>
    <t xml:space="preserve">Vitis x interspécifique cv. Joannès Seyve 24651</t>
  </si>
  <si>
    <t xml:space="preserve">Vitis x interspécifique cv. Joannès Seyve 24967</t>
  </si>
  <si>
    <t xml:space="preserve">Vitis x interspécifique cv. Joannès Seyve 25444</t>
  </si>
  <si>
    <t xml:space="preserve">Vitis x interspécifique cv. Joannès Seyve 25555</t>
  </si>
  <si>
    <t xml:space="preserve">Vitis x interspécifique cv. Joannès Seyve 25874</t>
  </si>
  <si>
    <t xml:space="preserve">Vitis x interspécifique cv. Joannès Seyve 26130</t>
  </si>
  <si>
    <t xml:space="preserve">Vitis x interspécifique cv. Joannès Seyve 26470</t>
  </si>
  <si>
    <t xml:space="preserve">Vitis x interspécifique cv. Joannès Seyve 26480</t>
  </si>
  <si>
    <t xml:space="preserve">Vitis x interspécifique cv. Joannès Seyve 26482</t>
  </si>
  <si>
    <t xml:space="preserve">Vitis x interspécifique cv. Joannès Seyve 26487</t>
  </si>
  <si>
    <t xml:space="preserve">Vitis x interspécifique cv. Joannès Seyve 26490</t>
  </si>
  <si>
    <t xml:space="preserve">Vitis x interspécifique cv. Joannès Seyve 26620</t>
  </si>
  <si>
    <t xml:space="preserve">Vitis x interspécifique cv. Joannès Seyve 26627</t>
  </si>
  <si>
    <t xml:space="preserve">Vitis x interspécifique cv. Joannès Seyve 26649</t>
  </si>
  <si>
    <t xml:space="preserve">Vitis x interspécifique cv. Joannès Seyve 26651</t>
  </si>
  <si>
    <t xml:space="preserve">Vitis x interspécifique cv. Joannès Seyve 26654</t>
  </si>
  <si>
    <t xml:space="preserve">Vitis x interspécifique cv. Joannès Seyve 26674</t>
  </si>
  <si>
    <t xml:space="preserve">Vitis x interspécifique cv. Joannès Seyve 26724</t>
  </si>
  <si>
    <t xml:space="preserve">Vitis x interspécifique cv. Joannès Seyve 26790</t>
  </si>
  <si>
    <t xml:space="preserve">Vitis x interspécifique cv. Joannès Seyve 26855</t>
  </si>
  <si>
    <t xml:space="preserve">Vitis x interspécifique cv. Joannès Seyve 26924</t>
  </si>
  <si>
    <t xml:space="preserve">Vitis x interspécifique cv. Joannès Seyve 27350</t>
  </si>
  <si>
    <t xml:space="preserve">Vitis x interspécifique cv. Joannès Seyve 30158</t>
  </si>
  <si>
    <t xml:space="preserve">Vitis x interspécifique cv. Joannès Seyve 30286</t>
  </si>
  <si>
    <t xml:space="preserve">Vitis x interspécifique cv. Joannès Seyve 30555</t>
  </si>
  <si>
    <t xml:space="preserve">Vitis x interspécifique cv. Joannès Seyve 30641</t>
  </si>
  <si>
    <t xml:space="preserve">Vitis x interspécifique cv. Joannès Seyve 30662</t>
  </si>
  <si>
    <t xml:space="preserve">Vitis x interspécifique cv. Joannès Seyve 31132</t>
  </si>
  <si>
    <t xml:space="preserve">Vitis x interspécifique cv. Joannès Seyve 31392</t>
  </si>
  <si>
    <t xml:space="preserve">Vitis x interspécifique cv. Joannès Seyve 4825</t>
  </si>
  <si>
    <t xml:space="preserve">Vitis x interspécifique cv. Joannès Seyve 5563</t>
  </si>
  <si>
    <t xml:space="preserve">Vitis x interspécifique cv. Joannès Seyve 6264</t>
  </si>
  <si>
    <t xml:space="preserve">Vitis x interspécifique cv. Joannès Seyve 9149</t>
  </si>
  <si>
    <t xml:space="preserve">Vitis x interspécifique cv. Johanniter</t>
  </si>
  <si>
    <t xml:space="preserve">Vitis x interspécifique cv. Joussely 1</t>
  </si>
  <si>
    <t xml:space="preserve">Vitis x interspécifique cv. Joussely 2</t>
  </si>
  <si>
    <t xml:space="preserve">Vitis x interspécifique cv. Jurie 1975</t>
  </si>
  <si>
    <t xml:space="preserve">Vitis x interspécifique cv. Kühlmann 702 A faux</t>
  </si>
  <si>
    <t xml:space="preserve">Vitis x interspécifique cv. La Céline = Baco 12-12</t>
  </si>
  <si>
    <t xml:space="preserve">Vitis x interspécifique cv. La Madone = Couderc 4101</t>
  </si>
  <si>
    <t xml:space="preserve">Vitis x interspécifique cv. labrusca x ?</t>
  </si>
  <si>
    <t xml:space="preserve">Vitis x interspécifique cv. labrusca x vinifera</t>
  </si>
  <si>
    <t xml:space="preserve">Vitis x interspécifique cv. Laffourcade 15 V</t>
  </si>
  <si>
    <t xml:space="preserve">Vitis x interspécifique cv. Laffourcade 19</t>
  </si>
  <si>
    <t xml:space="preserve">Vitis x interspécifique cv. Laffourcade 26</t>
  </si>
  <si>
    <t xml:space="preserve">Vitis x interspécifique cv. Laffourcade 6</t>
  </si>
  <si>
    <t xml:space="preserve">Vitis x interspécifique cv. Landal = Landot 244</t>
  </si>
  <si>
    <t xml:space="preserve">Vitis x interspécifique cv. Landot 1233</t>
  </si>
  <si>
    <t xml:space="preserve">Vitis x interspécifique cv. Landot 1674</t>
  </si>
  <si>
    <t xml:space="preserve">Vitis x interspécifique cv. Landot 1678</t>
  </si>
  <si>
    <t xml:space="preserve">Vitis x interspécifique cv. Landot 1680</t>
  </si>
  <si>
    <t xml:space="preserve">Vitis x interspécifique cv. Landot 204</t>
  </si>
  <si>
    <t xml:space="preserve">Vitis x interspécifique cv. Landot 206</t>
  </si>
  <si>
    <t xml:space="preserve">Vitis x interspécifique cv. Landot 2281</t>
  </si>
  <si>
    <t xml:space="preserve">Vitis x interspécifique cv. Landot 2282</t>
  </si>
  <si>
    <t xml:space="preserve">Vitis x interspécifique cv. Landot 2283</t>
  </si>
  <si>
    <t xml:space="preserve">Vitis x interspécifique cv. Landot 2291</t>
  </si>
  <si>
    <t xml:space="preserve">Vitis x interspécifique cv. Landot 234</t>
  </si>
  <si>
    <t xml:space="preserve">Vitis x interspécifique cv. Landot 2380</t>
  </si>
  <si>
    <t xml:space="preserve">Vitis x interspécifique cv. Landot 240</t>
  </si>
  <si>
    <t xml:space="preserve">Vitis x interspécifique cv. Landot 2517</t>
  </si>
  <si>
    <t xml:space="preserve">Vitis x interspécifique cv. Landot 301</t>
  </si>
  <si>
    <t xml:space="preserve">Vitis x interspécifique cv. Landot 304</t>
  </si>
  <si>
    <t xml:space="preserve">Vitis x interspécifique cv. Landot 3381</t>
  </si>
  <si>
    <t xml:space="preserve">Vitis x interspécifique cv. Landot 3474</t>
  </si>
  <si>
    <t xml:space="preserve">Vitis x interspécifique cv. Landot 3518</t>
  </si>
  <si>
    <t xml:space="preserve">Vitis x interspécifique cv. Landot 3568</t>
  </si>
  <si>
    <t xml:space="preserve">Vitis x interspécifique cv. Landot 3901</t>
  </si>
  <si>
    <t xml:space="preserve">Vitis x interspécifique cv. Landot 4239</t>
  </si>
  <si>
    <t xml:space="preserve">Vitis x interspécifique cv. Landot 4411</t>
  </si>
  <si>
    <t xml:space="preserve">Vitis x interspécifique cv. Landot 4465</t>
  </si>
  <si>
    <t xml:space="preserve">Vitis x interspécifique cv. Landot 4511</t>
  </si>
  <si>
    <t xml:space="preserve">Vitis x interspécifique cv. Landot 506</t>
  </si>
  <si>
    <t xml:space="preserve">Vitis x interspécifique cv. Landot 508</t>
  </si>
  <si>
    <t xml:space="preserve">Vitis x interspécifique cv. Landot 540</t>
  </si>
  <si>
    <t xml:space="preserve">Vitis x interspécifique cv. Landot 562</t>
  </si>
  <si>
    <t xml:space="preserve">Vitis x interspécifique cv. Landot 742</t>
  </si>
  <si>
    <t xml:space="preserve">Vitis x interspécifique cv. Landot 760</t>
  </si>
  <si>
    <t xml:space="preserve">Vitis x interspécifique cv. Landot 790</t>
  </si>
  <si>
    <t xml:space="preserve">Vitis x interspécifique cv. Laquenexy 155-2</t>
  </si>
  <si>
    <t xml:space="preserve">Vitis x interspécifique cv. Laquenexy 43-3</t>
  </si>
  <si>
    <t xml:space="preserve">Vitis x interspécifique cv. Laquenexy 44</t>
  </si>
  <si>
    <t xml:space="preserve">Vitis x interspécifique cv. Laquenexy 4-54</t>
  </si>
  <si>
    <t xml:space="preserve">Vitis x interspécifique cv. Laquenexy 4-56</t>
  </si>
  <si>
    <t xml:space="preserve">Vitis x interspécifique cv. Le Capéran = Baco 43-23</t>
  </si>
  <si>
    <t xml:space="preserve">Vitis x interspécifique cv. Le Cazalet = Baco 58-15</t>
  </si>
  <si>
    <t xml:space="preserve">Vitis x interspécifique cv. Le Colonel = Bertille Seyve 2667</t>
  </si>
  <si>
    <t xml:space="preserve">Vitis x interspécifique cv. Le Commandant = Bertille Seyve 2862</t>
  </si>
  <si>
    <t xml:space="preserve">Vitis x interspécifique cv. Le Fondard = Le Jurassien = Jurie 580</t>
  </si>
  <si>
    <t xml:space="preserve">Vitis x interspécifique cv. Le Général = Bertille Seyve 5563</t>
  </si>
  <si>
    <t xml:space="preserve">Vitis x interspécifique cv. Le Pourpre = Seibel 4646</t>
  </si>
  <si>
    <t xml:space="preserve">Vitis x interspécifique cv. Le Rubis = Seibel 5575</t>
  </si>
  <si>
    <t xml:space="preserve">Vitis x interspécifique cv. Le Subéreux = Seibel 6905</t>
  </si>
  <si>
    <t xml:space="preserve">Vitis x interspécifique cv. Léon Millot = Kühlmann 194-2</t>
  </si>
  <si>
    <t xml:space="preserve">Vitis x interspécifique cv. Llyod's number 33 = LN 33</t>
  </si>
  <si>
    <t xml:space="preserve">Vitis x interspécifique cv. Logan</t>
  </si>
  <si>
    <t xml:space="preserve">Vitis x interspécifique cv. Lucie Kühlmann = Kühlmann 149-3</t>
  </si>
  <si>
    <t xml:space="preserve">Vitis x interspécifique cv. Maclet C 103</t>
  </si>
  <si>
    <t xml:space="preserve">Vitis x interspécifique cv. Madame Castel = Castel 1028</t>
  </si>
  <si>
    <t xml:space="preserve">Vitis x interspécifique cv. Madame Lussan = Castel 19002</t>
  </si>
  <si>
    <t xml:space="preserve">Vitis x interspécifique cv. Mademoiselle Messiny = Kühlmann 193-5</t>
  </si>
  <si>
    <t xml:space="preserve">Vitis x interspécifique cv. Malègue S 3</t>
  </si>
  <si>
    <t xml:space="preserve">Vitis x interspécifique cv. Malègue 113</t>
  </si>
  <si>
    <t xml:space="preserve">Vitis x interspécifique cv. Malègue 1157-1</t>
  </si>
  <si>
    <t xml:space="preserve">Vitis x interspécifique cv. Malègue 1157-15</t>
  </si>
  <si>
    <t xml:space="preserve">Vitis x interspécifique cv. Malègue 148-4</t>
  </si>
  <si>
    <t xml:space="preserve">Vitis x interspécifique cv. Malègue 1495-1</t>
  </si>
  <si>
    <t xml:space="preserve">Vitis x interspécifique cv. Malègue 150-13</t>
  </si>
  <si>
    <t xml:space="preserve">Vitis x interspécifique cv. Malègue 150-15</t>
  </si>
  <si>
    <t xml:space="preserve">Vitis x interspécifique cv. Malègue 150-9</t>
  </si>
  <si>
    <t xml:space="preserve">Vitis x interspécifique cv. Malègue 1647-8</t>
  </si>
  <si>
    <t xml:space="preserve">Vitis x interspécifique cv. Malègue 1995-4</t>
  </si>
  <si>
    <t xml:space="preserve">Vitis x interspécifique cv. Malègue 2049-3</t>
  </si>
  <si>
    <t xml:space="preserve">Vitis x interspécifique cv. Malègue 2094-3</t>
  </si>
  <si>
    <t xml:space="preserve">Vitis x interspécifique cv. Malègue 2236-1</t>
  </si>
  <si>
    <t xml:space="preserve">Vitis x interspécifique cv. Malègue 2623-2</t>
  </si>
  <si>
    <t xml:space="preserve">Vitis x interspécifique cv. Malègue 2627-11</t>
  </si>
  <si>
    <t xml:space="preserve">Vitis x interspécifique cv. Malègue 44-46</t>
  </si>
  <si>
    <t xml:space="preserve">Vitis x interspécifique cv. Malègue 469-2</t>
  </si>
  <si>
    <t xml:space="preserve">Vitis x interspécifique cv. Malègue 474-5</t>
  </si>
  <si>
    <t xml:space="preserve">Vitis x interspécifique cv. Malègue 51-20</t>
  </si>
  <si>
    <t xml:space="preserve">Vitis x interspécifique cv. Malègue 57</t>
  </si>
  <si>
    <t xml:space="preserve">Vitis x interspécifique cv. Malègue 653-1</t>
  </si>
  <si>
    <t xml:space="preserve">Vitis x interspécifique cv. Malègue 71-7</t>
  </si>
  <si>
    <t xml:space="preserve">Vitis x interspécifique cv. Malègue 75</t>
  </si>
  <si>
    <t xml:space="preserve">Vitis x interspécifique cv. Malègue 829-6</t>
  </si>
  <si>
    <t xml:space="preserve">Vitis x interspécifique cv. Maréchal Foch = Kühlmann 188-2</t>
  </si>
  <si>
    <t xml:space="preserve">Vitis x interspécifique cv. Maréchal Joffre = Kühlmann 187-1</t>
  </si>
  <si>
    <t xml:space="preserve">Vitis x interspécifique cv. Maxatawnay</t>
  </si>
  <si>
    <t xml:space="preserve">Vitis x interspécifique cv. Merzling</t>
  </si>
  <si>
    <t xml:space="preserve">Vitis x interspécifique cv. Meynieu 3</t>
  </si>
  <si>
    <t xml:space="preserve">Vitis x interspécifique cv. Meynieu 6</t>
  </si>
  <si>
    <t xml:space="preserve">Vitis x interspécifique cv. Meynieu 7</t>
  </si>
  <si>
    <t xml:space="preserve">Vitis x interspécifique cv. Meynieu 8-5</t>
  </si>
  <si>
    <t xml:space="preserve">Vitis x interspécifique cv. Meynieu 8-6</t>
  </si>
  <si>
    <t xml:space="preserve">Vitis x interspécifique cv. Meynieu 9-48</t>
  </si>
  <si>
    <t xml:space="preserve">Vitis x interspécifique cv. Millardet = Kühlmann 193-2</t>
  </si>
  <si>
    <t xml:space="preserve">Vitis x interspécifique cv. Millardet de Grasset 143 A</t>
  </si>
  <si>
    <t xml:space="preserve">Vitis x interspécifique cv. Millardet et de Grasset 101</t>
  </si>
  <si>
    <t xml:space="preserve">Vitis x interspécifique cv. Millardet et de Grasset 101-1</t>
  </si>
  <si>
    <t xml:space="preserve">Vitis x interspécifique cv. Millardet et de Grasset 101-10</t>
  </si>
  <si>
    <t xml:space="preserve">Vitis x interspécifique cv. Millardet et de Grasset 101-11</t>
  </si>
  <si>
    <t xml:space="preserve">Vitis x interspécifique cv. Millardet et de Grasset 101-12</t>
  </si>
  <si>
    <t xml:space="preserve">Vitis x interspécifique cv. Millardet et de Grasset 101-14 faux (Carpentras)</t>
  </si>
  <si>
    <t xml:space="preserve">Vitis x interspécifique cv. Millardet et de Grasset 101-2</t>
  </si>
  <si>
    <t xml:space="preserve">Vitis x interspécifique cv. Millardet et de Grasset 101-9</t>
  </si>
  <si>
    <t xml:space="preserve">Vitis x interspécifique cv. Millardet et de Grasset 106-8</t>
  </si>
  <si>
    <t xml:space="preserve">Vitis x interspécifique cv. Millardet et de Grasset 108-16</t>
  </si>
  <si>
    <t xml:space="preserve">Vitis x interspécifique cv. Millardet et de Grasset 125-1</t>
  </si>
  <si>
    <t xml:space="preserve">Vitis x interspécifique cv. Millardet et de Grasset 125-2</t>
  </si>
  <si>
    <t xml:space="preserve">Vitis x interspécifique cv. Millardet et de Grasset 125-4</t>
  </si>
  <si>
    <t xml:space="preserve">Vitis x interspécifique cv. Millardet et de Grasset 143</t>
  </si>
  <si>
    <t xml:space="preserve">Vitis x interspécifique cv. Millardet et de Grasset 17-37</t>
  </si>
  <si>
    <t xml:space="preserve">Vitis x interspécifique cv. Millardet et de Grasset 199-16</t>
  </si>
  <si>
    <t xml:space="preserve">Vitis x interspécifique cv. Millardet et de Grasset 202-4</t>
  </si>
  <si>
    <t xml:space="preserve">Vitis x interspécifique cv. Millardet et de Grasset 212-7</t>
  </si>
  <si>
    <t xml:space="preserve">Vitis x interspécifique cv. Millardet et de Grasset 215-2</t>
  </si>
  <si>
    <t xml:space="preserve">Vitis x interspécifique cv. Millardet et de Grasset 219-7</t>
  </si>
  <si>
    <t xml:space="preserve">Vitis x interspécifique cv. Millardet et de Grasset 227-11-29</t>
  </si>
  <si>
    <t xml:space="preserve">Vitis x interspécifique cv. Millardet et de Grasset 227-55-29</t>
  </si>
  <si>
    <t xml:space="preserve">Vitis x interspécifique cv. Millardet et de Grasset 262</t>
  </si>
  <si>
    <t xml:space="preserve">Vitis x interspécifique cv. Millardet et de Grasset 301-14-152</t>
  </si>
  <si>
    <t xml:space="preserve">Vitis x interspécifique cv. Millardet et de Grasset 301-37-152</t>
  </si>
  <si>
    <t xml:space="preserve">Vitis x interspécifique cv. Millardet et de Grasset 301-4-153</t>
  </si>
  <si>
    <t xml:space="preserve">Vitis x interspécifique cv. Millardet et de Grasset 301-43-152</t>
  </si>
  <si>
    <t xml:space="preserve">Vitis x interspécifique cv. Millardet et de Grasset 33</t>
  </si>
  <si>
    <t xml:space="preserve">Vitis x interspécifique cv. Millardet et de Grasset 420 B</t>
  </si>
  <si>
    <t xml:space="preserve">Vitis x interspécifique cv. Millardet et de Grasset 420 C</t>
  </si>
  <si>
    <t xml:space="preserve">Vitis x interspécifique cv. Millardet et de Grasset 422 A</t>
  </si>
  <si>
    <t xml:space="preserve">Vitis x interspécifique cv. Millardet et de Grasset 422 B</t>
  </si>
  <si>
    <t xml:space="preserve">Vitis x interspécifique cv. Millardet 301</t>
  </si>
  <si>
    <t xml:space="preserve">Vitis x interspécifique cv. Millardet 374</t>
  </si>
  <si>
    <t xml:space="preserve">Vitis x interspécifique cv. Molines P.F.</t>
  </si>
  <si>
    <t xml:space="preserve">Vitis x interspécifique cv. Montoneri 23</t>
  </si>
  <si>
    <t xml:space="preserve">Vitis x interspécifique cv. Mounier 14-2</t>
  </si>
  <si>
    <t xml:space="preserve">Vitis x interspécifique cv. Mounier 155-7</t>
  </si>
  <si>
    <t xml:space="preserve">Vitis x interspécifique cv. Mounier 19-3</t>
  </si>
  <si>
    <t xml:space="preserve">Vitis x interspécifique cv. Musc Delecta = Seibel 16281</t>
  </si>
  <si>
    <t xml:space="preserve">Vitis x interspécifique cv. Muscadille = Galibert 265-35</t>
  </si>
  <si>
    <t xml:space="preserve">Vitis x interspécifique cv. Muscadoule = Galibert 255-10</t>
  </si>
  <si>
    <t xml:space="preserve">Vitis x interspécifique cv. Muscat Bailey A</t>
  </si>
  <si>
    <t xml:space="preserve">Vitis x interspécifique cv. Muscat blanc = Meynieu 9-68</t>
  </si>
  <si>
    <t xml:space="preserve">Vitis x interspécifique cv. Muscat de Saint-Christol = Galibert 255-43</t>
  </si>
  <si>
    <t xml:space="preserve">Vitis x interspécifique cv. Muscat de Saint-Vallier = Seyve-Villard 20-473</t>
  </si>
  <si>
    <t xml:space="preserve">Vitis x interspécifique cv. Muscat Sélection 2 Gaillard</t>
  </si>
  <si>
    <t xml:space="preserve">Vitis x interspécifique cv. Muscolive = Galibert 15-2</t>
  </si>
  <si>
    <t xml:space="preserve">Vitis x interspécifique cv. Néo Muscat</t>
  </si>
  <si>
    <t xml:space="preserve">Vitis x interspécifique cv. Neo Muscat x Gros Sémillon</t>
  </si>
  <si>
    <t xml:space="preserve">Vitis x interspécifique cv. Néron = Kühlmann 296-1</t>
  </si>
  <si>
    <t xml:space="preserve">Vitis x interspécifique cv. Niabell</t>
  </si>
  <si>
    <t xml:space="preserve">Vitis x interspécifique cv. Niagara</t>
  </si>
  <si>
    <t xml:space="preserve">Vitis x interspécifique cv. Noah</t>
  </si>
  <si>
    <t xml:space="preserve">Vitis x interspécifique cv. Nouveau Bayard = Couderc 132-11</t>
  </si>
  <si>
    <t xml:space="preserve">Vitis x interspécifique cv. Oberlin noir = Oberlin 595</t>
  </si>
  <si>
    <t xml:space="preserve">Vitis x interspécifique cv. Oberlin 604</t>
  </si>
  <si>
    <t xml:space="preserve">Vitis x interspécifique cv. Oberlin 605</t>
  </si>
  <si>
    <t xml:space="preserve">Vitis x interspécifique cv. Oberlin 701</t>
  </si>
  <si>
    <t xml:space="preserve">Vitis x interspécifique cv. Oberlin 702 A</t>
  </si>
  <si>
    <t xml:space="preserve">Vitis x interspécifique cv. Oberlin 716</t>
  </si>
  <si>
    <t xml:space="preserve">Vitis x interspécifique cv. Oberlin 782</t>
  </si>
  <si>
    <t xml:space="preserve">Vitis x interspécifique cv. Oeillade de Conzieu = Landot 2832</t>
  </si>
  <si>
    <t xml:space="preserve">Vitis x interspécifique cv. Orion</t>
  </si>
  <si>
    <t xml:space="preserve">Vitis x interspécifique cv. Othello</t>
  </si>
  <si>
    <t xml:space="preserve">Vitis x interspécifique cv. Othello gris</t>
  </si>
  <si>
    <t xml:space="preserve">Vitis x interspécifique cv. Paulistinha</t>
  </si>
  <si>
    <t xml:space="preserve">Vitis x interspécifique cv. Paulsen 1043</t>
  </si>
  <si>
    <t xml:space="preserve">Vitis x interspécifique cv. Paulsen 1045</t>
  </si>
  <si>
    <t xml:space="preserve">Vitis x interspécifique cv. Paulsen 1119</t>
  </si>
  <si>
    <t xml:space="preserve">Vitis x interspécifique cv. Paulsen 1120</t>
  </si>
  <si>
    <t xml:space="preserve">Vitis x interspécifique cv. Paulsen 1321</t>
  </si>
  <si>
    <t xml:space="preserve">Vitis x interspécifique cv. Paulsen 1323</t>
  </si>
  <si>
    <t xml:space="preserve">Vitis x interspécifique cv. Paulsen 1381</t>
  </si>
  <si>
    <t xml:space="preserve">Vitis x interspécifique cv. Paulsen 1742</t>
  </si>
  <si>
    <t xml:space="preserve">Vitis x interspécifique cv. Paulsen 2 A</t>
  </si>
  <si>
    <t xml:space="preserve">Vitis x interspécifique cv. Paulsen 764</t>
  </si>
  <si>
    <t xml:space="preserve">Vitis x interspécifique cv. Paulsen 770</t>
  </si>
  <si>
    <t xml:space="preserve">Vitis x interspécifique cv. Paulsen 771</t>
  </si>
  <si>
    <t xml:space="preserve">Vitis x interspécifique cv. Paulsen 775</t>
  </si>
  <si>
    <t xml:space="preserve">Vitis x interspécifique cv. Paulsen 779</t>
  </si>
  <si>
    <t xml:space="preserve">Vitis x interspécifique cv. Paulsen 781</t>
  </si>
  <si>
    <t xml:space="preserve">Vitis x interspécifique cv. Paulsen 782</t>
  </si>
  <si>
    <t xml:space="preserve">Vitis x interspécifique cv. Paulsen 8302</t>
  </si>
  <si>
    <t xml:space="preserve">Vitis x interspécifique cv. Paulsen 8734</t>
  </si>
  <si>
    <t xml:space="preserve">Vitis x interspécifique cv. Peage 5-10 = Roy Chevrier 5-10</t>
  </si>
  <si>
    <t xml:space="preserve">Vitis x interspécifique cv. Perbos 137</t>
  </si>
  <si>
    <t xml:space="preserve">Vitis x interspécifique cv. Perbos 151</t>
  </si>
  <si>
    <t xml:space="preserve">Vitis x interspécifique cv. Perbos 159</t>
  </si>
  <si>
    <t xml:space="preserve">Vitis x interspécifique cv. Perbos 174</t>
  </si>
  <si>
    <t xml:space="preserve">Vitis x interspécifique cv. Perbos 180</t>
  </si>
  <si>
    <t xml:space="preserve">Vitis x interspécifique cv. Perbos 205</t>
  </si>
  <si>
    <t xml:space="preserve">Vitis x interspécifique cv. Perbos 210</t>
  </si>
  <si>
    <t xml:space="preserve">Vitis x interspécifique cv. Perbos 215</t>
  </si>
  <si>
    <t xml:space="preserve">Vitis x interspécifique cv. Perbos 226</t>
  </si>
  <si>
    <t xml:space="preserve">Vitis x interspécifique cv. Perbos 228</t>
  </si>
  <si>
    <t xml:space="preserve">Vitis x interspécifique cv. Perbos 48</t>
  </si>
  <si>
    <t xml:space="preserve">Vitis x interspécifique cv. Perbos 81</t>
  </si>
  <si>
    <t xml:space="preserve">Vitis x interspécifique cv. Perbos 82</t>
  </si>
  <si>
    <t xml:space="preserve">Vitis x interspécifique cv. Perdin</t>
  </si>
  <si>
    <t xml:space="preserve">Vitis x interspécifique cv. Perkins</t>
  </si>
  <si>
    <t xml:space="preserve">Vitis x interspécifique cv. Perle de Cadoule = Galibert 255-99</t>
  </si>
  <si>
    <t xml:space="preserve">Vitis x interspécifique cv. Perle noire = Seyve-Villard 20-347</t>
  </si>
  <si>
    <t xml:space="preserve">Vitis x interspécifique cv. Perraton 34</t>
  </si>
  <si>
    <t xml:space="preserve">Vitis x interspécifique cv. Perraton 36</t>
  </si>
  <si>
    <t xml:space="preserve">Vitis x interspécifique cv. Phénix</t>
  </si>
  <si>
    <t xml:space="preserve">Vitis x interspécifique cv. Phoenix</t>
  </si>
  <si>
    <t xml:space="preserve">Vitis x interspécifique cv. piasezkii x ?</t>
  </si>
  <si>
    <t xml:space="preserve">Vitis x interspécifique cv. piasezkii x romanetii</t>
  </si>
  <si>
    <t xml:space="preserve">Vitis x interspécifique cv. Picadoul = Galibert 221-31</t>
  </si>
  <si>
    <t xml:space="preserve">Vitis x interspécifique cv. Pierrelle = Seyve-Villard 20-366</t>
  </si>
  <si>
    <t xml:space="preserve">Vitis x interspécifique cv. Pignan noir = Galibert 23-1</t>
  </si>
  <si>
    <t xml:space="preserve">Vitis x interspécifique cv. Pignoletta</t>
  </si>
  <si>
    <t xml:space="preserve">Vitis x interspécifique cv. Pinard = Kühlmann 191-2</t>
  </si>
  <si>
    <t xml:space="preserve">Vitis x interspécifique cv. Pirobella</t>
  </si>
  <si>
    <t xml:space="preserve">Vitis x interspécifique cv. Pirovano 146</t>
  </si>
  <si>
    <t xml:space="preserve">Vitis x interspécifique cv. Pirovano 29</t>
  </si>
  <si>
    <t xml:space="preserve">Vitis x interspécifique cv. Pirovano 34</t>
  </si>
  <si>
    <t xml:space="preserve">Vitis x interspécifique cv. Pirovano 40</t>
  </si>
  <si>
    <t xml:space="preserve">Vitis x interspécifique cv. Pirovano 41</t>
  </si>
  <si>
    <t xml:space="preserve">Vitis x interspécifique cv. Pirovano 48</t>
  </si>
  <si>
    <t xml:space="preserve">Vitis x interspécifique cv. Pirovano 539 a</t>
  </si>
  <si>
    <t xml:space="preserve">Vitis x interspécifique cv. Pirovano 541</t>
  </si>
  <si>
    <t xml:space="preserve">Vitis x interspécifique cv. Pirovano 6</t>
  </si>
  <si>
    <t xml:space="preserve">Vitis x interspécifique cv. Plantet = Seibel 5455</t>
  </si>
  <si>
    <t xml:space="preserve">Vitis x interspécifique cv. Pocklington</t>
  </si>
  <si>
    <t xml:space="preserve">Vitis x interspécifique cv. Poilu = Kühlmann 252-3</t>
  </si>
  <si>
    <t xml:space="preserve">Vitis x interspécifique cv. Pougette musquée = Galibert 256-28</t>
  </si>
  <si>
    <t xml:space="preserve">Vitis x interspécifique cv. Précoce de Colmar = Kühlmann 277-2</t>
  </si>
  <si>
    <t xml:space="preserve">Vitis x interspécifique cv. Précoce Prady = Couderc 124-20</t>
  </si>
  <si>
    <t xml:space="preserve">Vitis x interspécifique cv. Précoce Prady = Couderc 126-21</t>
  </si>
  <si>
    <t xml:space="preserve">Vitis x interspécifique cv. Precursore</t>
  </si>
  <si>
    <t xml:space="preserve">Vitis x interspécifique cv. Primus = Pirovano 7</t>
  </si>
  <si>
    <t xml:space="preserve">Vitis x interspécifique cv. Prince noir Meynieu 1</t>
  </si>
  <si>
    <t xml:space="preserve">Vitis x interspécifique cv. Prosperi 11-71</t>
  </si>
  <si>
    <t xml:space="preserve">Vitis x interspécifique cv. Prosperi 11-72</t>
  </si>
  <si>
    <t xml:space="preserve">Vitis x interspécifique cv. Prosperi 15-99</t>
  </si>
  <si>
    <t xml:space="preserve">Vitis x interspécifique cv. Prosperi 16-107</t>
  </si>
  <si>
    <t xml:space="preserve">Vitis x interspécifique cv. Prosperi 16-108</t>
  </si>
  <si>
    <t xml:space="preserve">Vitis x interspécifique cv. Prosperi 16-109</t>
  </si>
  <si>
    <t xml:space="preserve">Vitis x interspécifique cv. Prosperi 5-32</t>
  </si>
  <si>
    <t xml:space="preserve">Vitis x interspécifique cv. Ranciaut blanc = Galibert 53-1</t>
  </si>
  <si>
    <t xml:space="preserve">Vitis x interspécifique cv. Ranciaut noir = Galibert 63-1</t>
  </si>
  <si>
    <t xml:space="preserve">Vitis x interspécifique cv. Ravat blanc = Ravat 6</t>
  </si>
  <si>
    <t xml:space="preserve">Vitis x interspécifique cv. Ravat 13</t>
  </si>
  <si>
    <t xml:space="preserve">Vitis x interspécifique cv. Ravat 143</t>
  </si>
  <si>
    <t xml:space="preserve">Vitis x interspécifique cv. Ravat 15</t>
  </si>
  <si>
    <t xml:space="preserve">Vitis x interspécifique cv. Ravat 16</t>
  </si>
  <si>
    <t xml:space="preserve">Vitis x interspécifique cv. Ravat 18</t>
  </si>
  <si>
    <t xml:space="preserve">Vitis x interspécifique cv. Ravat 19</t>
  </si>
  <si>
    <t xml:space="preserve">Vitis x interspécifique cv. Ravat 253</t>
  </si>
  <si>
    <t xml:space="preserve">Vitis x interspécifique cv. Ravat 262</t>
  </si>
  <si>
    <t xml:space="preserve">Vitis x interspécifique cv. Ravat 327</t>
  </si>
  <si>
    <t xml:space="preserve">Vitis x interspécifique cv. Ravat 34</t>
  </si>
  <si>
    <t xml:space="preserve">Vitis x interspécifique cv. Ravat 36</t>
  </si>
  <si>
    <t xml:space="preserve">Vitis x interspécifique cv. Ravat 507</t>
  </si>
  <si>
    <t xml:space="preserve">Vitis x interspécifique cv. Ravat 51</t>
  </si>
  <si>
    <t xml:space="preserve">Vitis x interspécifique cv. Ravat 8</t>
  </si>
  <si>
    <t xml:space="preserve">Vitis x interspécifique cv. Ravat 9</t>
  </si>
  <si>
    <t xml:space="preserve">Vitis x interspécifique cv. Ravaz 1</t>
  </si>
  <si>
    <t xml:space="preserve">Vitis x interspécifique cv. Ravaz 2</t>
  </si>
  <si>
    <t xml:space="preserve">Vitis x interspécifique cv. Rayon d'Or = Seibel 4986</t>
  </si>
  <si>
    <t xml:space="preserve">Vitis x interspécifique cv. RC 51</t>
  </si>
  <si>
    <t xml:space="preserve">Vitis x interspécifique cv. Rebecca</t>
  </si>
  <si>
    <t xml:space="preserve">Vitis x interspécifique cv. Regent</t>
  </si>
  <si>
    <t xml:space="preserve">Vitis x interspécifique cv. Rességuier sélection Birolleau 1 = RSB 1</t>
  </si>
  <si>
    <t xml:space="preserve">Vitis x interspécifique cv. Richter 31</t>
  </si>
  <si>
    <t xml:space="preserve">Vitis x interspécifique cv. Richter 57</t>
  </si>
  <si>
    <t xml:space="preserve">Vitis x interspécifique cv. Riparia Rupestris de Massannes glabre</t>
  </si>
  <si>
    <t xml:space="preserve">Vitis x interspécifique cv. riparia x berlandieri</t>
  </si>
  <si>
    <t xml:space="preserve">Vitis x interspécifique cv. riparia x rupestris</t>
  </si>
  <si>
    <t xml:space="preserve">Vitis x interspécifique cv. riparia x rupestris x candicans</t>
  </si>
  <si>
    <t xml:space="preserve">Vitis x interspécifique cv. riparia x vinifera</t>
  </si>
  <si>
    <t xml:space="preserve">Vitis x interspécifique cv. Riparia-Rupestris de Dracé</t>
  </si>
  <si>
    <t xml:space="preserve">Vitis x interspécifique cv. Riparia-Rupestris de Massannes pubescent</t>
  </si>
  <si>
    <t xml:space="preserve">Vitis x interspécifique cv. Riparia-Rupestris de Samadet</t>
  </si>
  <si>
    <t xml:space="preserve">Vitis x interspécifique cv. Riparia-Rupestris de Savènes</t>
  </si>
  <si>
    <t xml:space="preserve">Vitis x interspécifique cv. Riparia-Rupestris de Vauchretien</t>
  </si>
  <si>
    <t xml:space="preserve">Vitis x interspécifique cv. Riparia-Rupestris Schwarzmann</t>
  </si>
  <si>
    <t xml:space="preserve">Vitis x interspécifique cv. Robur</t>
  </si>
  <si>
    <t xml:space="preserve">Vitis x interspécifique cv. Roi des noirs = Seibel 4643</t>
  </si>
  <si>
    <t xml:space="preserve">Vitis x interspécifique cv. romanetii x ?</t>
  </si>
  <si>
    <t xml:space="preserve">Vitis x interspécifique cv. Rondo</t>
  </si>
  <si>
    <t xml:space="preserve">Vitis x interspécifique cv. Rosambre</t>
  </si>
  <si>
    <t xml:space="preserve">Vitis x interspécifique cv. Rosette = Seibel 1000</t>
  </si>
  <si>
    <t xml:space="preserve">Vitis x interspécifique cv. Rouby 3</t>
  </si>
  <si>
    <t xml:space="preserve">Vitis x interspécifique cv. Rouby 9</t>
  </si>
  <si>
    <t xml:space="preserve">Vitis x interspécifique cv. Roucaneuf = Seyve-Villard 12-309</t>
  </si>
  <si>
    <t xml:space="preserve">Vitis x interspécifique cv. Rougeon = Seibel 5898</t>
  </si>
  <si>
    <t xml:space="preserve">Vitis x interspécifique cv. Royalty</t>
  </si>
  <si>
    <t xml:space="preserve">Vitis x interspécifique cv. Rubilande = Seibel 11803</t>
  </si>
  <si>
    <t xml:space="preserve">Vitis x interspécifique cv. Rubino = Pirovano 192a</t>
  </si>
  <si>
    <t xml:space="preserve">Vitis x interspécifique cv. Rubiscan</t>
  </si>
  <si>
    <t xml:space="preserve">Vitis x interspécifique cv. Rudelin 101-6</t>
  </si>
  <si>
    <t xml:space="preserve">Vitis x interspécifique cv. Rudelin 101-9</t>
  </si>
  <si>
    <t xml:space="preserve">Vitis x interspécifique cv. Rudelin 102-1</t>
  </si>
  <si>
    <t xml:space="preserve">Vitis x interspécifique cv. Rudelin 102-4</t>
  </si>
  <si>
    <t xml:space="preserve">Vitis x interspécifique cv. Rudelin 102-8</t>
  </si>
  <si>
    <t xml:space="preserve">Vitis x interspécifique cv. Rudelin 102-9</t>
  </si>
  <si>
    <t xml:space="preserve">Vitis x interspécifique cv. Rudelin 103-1</t>
  </si>
  <si>
    <t xml:space="preserve">Vitis x interspécifique cv. Rudelin 103-2</t>
  </si>
  <si>
    <t xml:space="preserve">Vitis x interspécifique cv. Rudelin 103-6</t>
  </si>
  <si>
    <t xml:space="preserve">Vitis x interspécifique cv. Rudelin 103-8</t>
  </si>
  <si>
    <t xml:space="preserve">Vitis x interspécifique cv. Rudelin 104-4</t>
  </si>
  <si>
    <t xml:space="preserve">Vitis x interspécifique cv. Rudelin 104-8</t>
  </si>
  <si>
    <t xml:space="preserve">Vitis x interspécifique cv. Rudelin 105-6</t>
  </si>
  <si>
    <t xml:space="preserve">Vitis x interspécifique cv. Rudelin 106-1</t>
  </si>
  <si>
    <t xml:space="preserve">Vitis x interspécifique cv. Rudelin 106-4</t>
  </si>
  <si>
    <t xml:space="preserve">Vitis x interspécifique cv. Rudelin 108-4</t>
  </si>
  <si>
    <t xml:space="preserve">Vitis x interspécifique cv. Rudelin 109-3</t>
  </si>
  <si>
    <t xml:space="preserve">Vitis x interspécifique cv. Rudelin 109-7</t>
  </si>
  <si>
    <t xml:space="preserve">Vitis x interspécifique cv. Rudelin 111-2</t>
  </si>
  <si>
    <t xml:space="preserve">Vitis x interspécifique cv. Rudelin 111-3</t>
  </si>
  <si>
    <t xml:space="preserve">Vitis x interspécifique cv. Rudelin 111-4</t>
  </si>
  <si>
    <t xml:space="preserve">Vitis x interspécifique cv. Rudelin 111-8</t>
  </si>
  <si>
    <t xml:space="preserve">Vitis x interspécifique cv. Rudelin 122-9</t>
  </si>
  <si>
    <t xml:space="preserve">Vitis x interspécifique cv. Rudelin 125-8</t>
  </si>
  <si>
    <t xml:space="preserve">Vitis x interspécifique cv. Rudelin 126-4</t>
  </si>
  <si>
    <t xml:space="preserve">Vitis x interspécifique cv. Rudelin 126-6</t>
  </si>
  <si>
    <t xml:space="preserve">Vitis x interspécifique cv. Rudelin 130-8</t>
  </si>
  <si>
    <t xml:space="preserve">Vitis x interspécifique cv. Rudelin 131-7</t>
  </si>
  <si>
    <t xml:space="preserve">Vitis x interspécifique cv. Rudelin 132-2</t>
  </si>
  <si>
    <t xml:space="preserve">Vitis x interspécifique cv. Rudelin 17-4</t>
  </si>
  <si>
    <t xml:space="preserve">Vitis x interspécifique cv. Rudelin 17-5</t>
  </si>
  <si>
    <t xml:space="preserve">Vitis x interspécifique cv. Rudelin 18-1</t>
  </si>
  <si>
    <t xml:space="preserve">Vitis x interspécifique cv. Rudelin 3</t>
  </si>
  <si>
    <t xml:space="preserve">Vitis x interspécifique cv. Rudelin 312-1</t>
  </si>
  <si>
    <t xml:space="preserve">Vitis x interspécifique cv. Rudelin 314-3</t>
  </si>
  <si>
    <t xml:space="preserve">Vitis x interspécifique cv. Rudelin 315-1</t>
  </si>
  <si>
    <t xml:space="preserve">Vitis x interspécifique cv. Rudelin 316-5</t>
  </si>
  <si>
    <t xml:space="preserve">Vitis x interspécifique cv. Rudelin 37-3</t>
  </si>
  <si>
    <t xml:space="preserve">Vitis x interspécifique cv. Rudelin 38-6</t>
  </si>
  <si>
    <t xml:space="preserve">Vitis x interspécifique cv. Rudelin 5-41</t>
  </si>
  <si>
    <t xml:space="preserve">Vitis x interspécifique cv. Rudelin 58</t>
  </si>
  <si>
    <t xml:space="preserve">Vitis x interspécifique cv. Rudelin 610-6</t>
  </si>
  <si>
    <t xml:space="preserve">Vitis x interspécifique cv. Rudelin 611-1</t>
  </si>
  <si>
    <t xml:space="preserve">Vitis x interspécifique cv. Rudelin 613-3</t>
  </si>
  <si>
    <t xml:space="preserve">Vitis x interspécifique cv. Rudelin 6-96</t>
  </si>
  <si>
    <t xml:space="preserve">Vitis x interspécifique cv. Ruggeri 131</t>
  </si>
  <si>
    <t xml:space="preserve">Vitis x interspécifique cv. Ruggeri 188</t>
  </si>
  <si>
    <t xml:space="preserve">Vitis x interspécifique cv. Ruggeri 193</t>
  </si>
  <si>
    <t xml:space="preserve">Vitis x interspécifique cv. Ruggeri 205</t>
  </si>
  <si>
    <t xml:space="preserve">Vitis x interspécifique cv. Ruggeri 225</t>
  </si>
  <si>
    <t xml:space="preserve">Vitis x interspécifique cv. Ruggeri 240</t>
  </si>
  <si>
    <t xml:space="preserve">Vitis x interspécifique cv. Ruggeri 300</t>
  </si>
  <si>
    <t xml:space="preserve">Vitis x interspécifique cv. Ruggeri 322</t>
  </si>
  <si>
    <t xml:space="preserve">Vitis x interspécifique cv. Ruggeri 325</t>
  </si>
  <si>
    <t xml:space="preserve">Vitis x interspécifique cv. Ruggeri 333</t>
  </si>
  <si>
    <t xml:space="preserve">Vitis x interspécifique cv. Ruggeri 42</t>
  </si>
  <si>
    <t xml:space="preserve">Vitis x interspécifique cv. Ruggeri 55</t>
  </si>
  <si>
    <t xml:space="preserve">Vitis x interspécifique cv. rupestris x aestivalis</t>
  </si>
  <si>
    <t xml:space="preserve">Vitis x interspécifique cv. rupestris x aestivalis x cordifolia</t>
  </si>
  <si>
    <t xml:space="preserve">Vitis x interspécifique cv. rupestris x berlandieri</t>
  </si>
  <si>
    <t xml:space="preserve">Vitis x interspécifique cv. rupestris x candicans</t>
  </si>
  <si>
    <t xml:space="preserve">Vitis x interspécifique cv. rupestris x cordifolia</t>
  </si>
  <si>
    <t xml:space="preserve">Vitis x interspécifique cv. rupestris x vinifera</t>
  </si>
  <si>
    <t xml:space="preserve">Vitis x interspécifique cv. Sabrilong = Long 35</t>
  </si>
  <si>
    <t xml:space="preserve">Vitis x interspécifique cv. Saint-Sauveur d'Alsace = Kühlmann 65-1</t>
  </si>
  <si>
    <t xml:space="preserve">Vitis x interspécifique cv. Saint-Victor = Galibert 15-3</t>
  </si>
  <si>
    <t xml:space="preserve">Vitis x interspécifique cv. Saint-Vincent</t>
  </si>
  <si>
    <t xml:space="preserve">Vitis x interspécifique cv. Salt Creek</t>
  </si>
  <si>
    <t xml:space="preserve">Vitis x interspécifique cv. Salzmann 6-43</t>
  </si>
  <si>
    <t xml:space="preserve">Vitis x interspécifique cv. Sanson</t>
  </si>
  <si>
    <t xml:space="preserve">Vitis x interspécifique cv. Saubrians = Galibert 36-2</t>
  </si>
  <si>
    <t xml:space="preserve">Vitis x interspécifique cv. Seibel  6131</t>
  </si>
  <si>
    <t xml:space="preserve">Vitis x interspécifique cv. Seibel 1</t>
  </si>
  <si>
    <t xml:space="preserve">Vitis x interspécifique cv. Seibel 10010</t>
  </si>
  <si>
    <t xml:space="preserve">Vitis x interspécifique cv. Seibel 10020</t>
  </si>
  <si>
    <t xml:space="preserve">Vitis x interspécifique cv. Seibel 10027</t>
  </si>
  <si>
    <t xml:space="preserve">Vitis x interspécifique cv. Seibel 10033</t>
  </si>
  <si>
    <t xml:space="preserve">Vitis x interspécifique cv. Seibel 10034</t>
  </si>
  <si>
    <t xml:space="preserve">Vitis x interspécifique cv. Seibel 1004</t>
  </si>
  <si>
    <t xml:space="preserve">Vitis x interspécifique cv. Seibel 10046</t>
  </si>
  <si>
    <t xml:space="preserve">Vitis x interspécifique cv. Seibel 1007</t>
  </si>
  <si>
    <t xml:space="preserve">Vitis x interspécifique cv. Seibel 10076</t>
  </si>
  <si>
    <t xml:space="preserve">Vitis x interspécifique cv. Seibel 10078</t>
  </si>
  <si>
    <t xml:space="preserve">Vitis x interspécifique cv. Seibel 10096</t>
  </si>
  <si>
    <t xml:space="preserve">Vitis x interspécifique cv. Seibel 10114</t>
  </si>
  <si>
    <t xml:space="preserve">Vitis x interspécifique cv. Seibel 10123</t>
  </si>
  <si>
    <t xml:space="preserve">Vitis x interspécifique cv. Seibel 1013</t>
  </si>
  <si>
    <t xml:space="preserve">Vitis x interspécifique cv. Seibel 10136/2</t>
  </si>
  <si>
    <t xml:space="preserve">Vitis x interspécifique cv. Seibel 1014</t>
  </si>
  <si>
    <t xml:space="preserve">Vitis x interspécifique cv. Seibel 10146</t>
  </si>
  <si>
    <t xml:space="preserve">Vitis x interspécifique cv. Seibel 1015</t>
  </si>
  <si>
    <t xml:space="preserve">Vitis x interspécifique cv. Seibel 10172/2</t>
  </si>
  <si>
    <t xml:space="preserve">Vitis x interspécifique cv. Seibel 10186</t>
  </si>
  <si>
    <t xml:space="preserve">Vitis x interspécifique cv. Seibel 10208</t>
  </si>
  <si>
    <t xml:space="preserve">Vitis x interspécifique cv. Seibel 10215</t>
  </si>
  <si>
    <t xml:space="preserve">Vitis x interspécifique cv. Seibel 10217</t>
  </si>
  <si>
    <t xml:space="preserve">Vitis x interspécifique cv. Seibel 10230</t>
  </si>
  <si>
    <t xml:space="preserve">Vitis x interspécifique cv. Seibel 1025</t>
  </si>
  <si>
    <t xml:space="preserve">Vitis x interspécifique cv. Seibel 10259/1</t>
  </si>
  <si>
    <t xml:space="preserve">Vitis x interspécifique cv. Seibel 10267</t>
  </si>
  <si>
    <t xml:space="preserve">Vitis x interspécifique cv. Seibel 10292</t>
  </si>
  <si>
    <t xml:space="preserve">Vitis x interspécifique cv. Seibel 10295</t>
  </si>
  <si>
    <t xml:space="preserve">Vitis x interspécifique cv. Seibel 10417</t>
  </si>
  <si>
    <t xml:space="preserve">Vitis x interspécifique cv. Seibel 10420</t>
  </si>
  <si>
    <t xml:space="preserve">Vitis x interspécifique cv. Seibel 107</t>
  </si>
  <si>
    <t xml:space="preserve">Vitis x interspécifique cv. Seibel 1070</t>
  </si>
  <si>
    <t xml:space="preserve">Vitis x interspécifique cv. Seibel 10720</t>
  </si>
  <si>
    <t xml:space="preserve">Vitis x interspécifique cv. Seibel 1077</t>
  </si>
  <si>
    <t xml:space="preserve">Vitis x interspécifique cv. Seibel 10790</t>
  </si>
  <si>
    <t xml:space="preserve">Vitis x interspécifique cv. Seibel 10793</t>
  </si>
  <si>
    <t xml:space="preserve">Vitis x interspécifique cv. Seibel 10796</t>
  </si>
  <si>
    <t xml:space="preserve">Vitis x interspécifique cv. Seibel 10801</t>
  </si>
  <si>
    <t xml:space="preserve">Vitis x interspécifique cv. Seibel 10809</t>
  </si>
  <si>
    <t xml:space="preserve">Vitis x interspécifique cv. Seibel 1082</t>
  </si>
  <si>
    <t xml:space="preserve">Vitis x interspécifique cv. Seibel 10855</t>
  </si>
  <si>
    <t xml:space="preserve">Vitis x interspécifique cv. Seibel 10868</t>
  </si>
  <si>
    <t xml:space="preserve">Vitis x interspécifique cv. Seibel 10884/6</t>
  </si>
  <si>
    <t xml:space="preserve">Vitis x interspécifique cv. Seibel 110</t>
  </si>
  <si>
    <t xml:space="preserve">Vitis x interspécifique cv. Seibel 11020</t>
  </si>
  <si>
    <t xml:space="preserve">Vitis x interspécifique cv. Seibel 11023</t>
  </si>
  <si>
    <t xml:space="preserve">Vitis x interspécifique cv. Seibel 11027</t>
  </si>
  <si>
    <t xml:space="preserve">Vitis x interspécifique cv. Seibel 112</t>
  </si>
  <si>
    <t xml:space="preserve">Vitis x interspécifique cv. Seibel 11254/16</t>
  </si>
  <si>
    <t xml:space="preserve">Vitis x interspécifique cv. Seibel 11257</t>
  </si>
  <si>
    <t xml:space="preserve">Vitis x interspécifique cv. Seibel 11259</t>
  </si>
  <si>
    <t xml:space="preserve">Vitis x interspécifique cv. Seibel 11272</t>
  </si>
  <si>
    <t xml:space="preserve">Vitis x interspécifique cv. Seibel 11283</t>
  </si>
  <si>
    <t xml:space="preserve">Vitis x interspécifique cv. Seibel 11318</t>
  </si>
  <si>
    <t xml:space="preserve">Vitis x interspécifique cv. Seibel 11342</t>
  </si>
  <si>
    <t xml:space="preserve">Vitis x interspécifique cv. Seibel 114</t>
  </si>
  <si>
    <t xml:space="preserve">Vitis x interspécifique cv. Seibel 11404</t>
  </si>
  <si>
    <t xml:space="preserve">Vitis x interspécifique cv. Seibel 11431</t>
  </si>
  <si>
    <t xml:space="preserve">Vitis x interspécifique cv. Seibel 11437</t>
  </si>
  <si>
    <t xml:space="preserve">Vitis x interspécifique cv. Seibel 11486</t>
  </si>
  <si>
    <t xml:space="preserve">Vitis x interspécifique cv. Seibel 11493</t>
  </si>
  <si>
    <t xml:space="preserve">Vitis x interspécifique cv. Seibel 11670</t>
  </si>
  <si>
    <t xml:space="preserve">Vitis x interspécifique cv. Seibel 11697</t>
  </si>
  <si>
    <t xml:space="preserve">Vitis x interspécifique cv. Seibel 11701</t>
  </si>
  <si>
    <t xml:space="preserve">Vitis x interspécifique cv. Seibel 11705</t>
  </si>
  <si>
    <t xml:space="preserve">Vitis x interspécifique cv. Seibel 11729</t>
  </si>
  <si>
    <t xml:space="preserve">Vitis x interspécifique cv. Seibel 11780</t>
  </si>
  <si>
    <t xml:space="preserve">Vitis x interspécifique cv. Seibel 11815</t>
  </si>
  <si>
    <t xml:space="preserve">Vitis x interspécifique cv. Seibel 11846</t>
  </si>
  <si>
    <t xml:space="preserve">Vitis x interspécifique cv. Seibel 11875</t>
  </si>
  <si>
    <t xml:space="preserve">Vitis x interspécifique cv. Seibel 11906</t>
  </si>
  <si>
    <t xml:space="preserve">Vitis x interspécifique cv. Seibel 11929</t>
  </si>
  <si>
    <t xml:space="preserve">Vitis x interspécifique cv. Seibel 120</t>
  </si>
  <si>
    <t xml:space="preserve">Vitis x interspécifique cv. Seibel 12084</t>
  </si>
  <si>
    <t xml:space="preserve">Vitis x interspécifique cv. Seibel 12242</t>
  </si>
  <si>
    <t xml:space="preserve">Vitis x interspécifique cv. Seibel 12315</t>
  </si>
  <si>
    <t xml:space="preserve">Vitis x interspécifique cv. Seibel 12393</t>
  </si>
  <si>
    <t xml:space="preserve">Vitis x interspécifique cv. Seibel 12583</t>
  </si>
  <si>
    <t xml:space="preserve">Vitis x interspécifique cv. Seibel 126</t>
  </si>
  <si>
    <t xml:space="preserve">Vitis x interspécifique cv. Seibel 128</t>
  </si>
  <si>
    <t xml:space="preserve">Vitis x interspécifique cv. Seibel 13047</t>
  </si>
  <si>
    <t xml:space="preserve">Vitis x interspécifique cv. Seibel 13053</t>
  </si>
  <si>
    <t xml:space="preserve">Vitis x interspécifique cv. Seibel 13394</t>
  </si>
  <si>
    <t xml:space="preserve">Vitis x interspécifique cv. Seibel 13663</t>
  </si>
  <si>
    <t xml:space="preserve">Vitis x interspécifique cv. Seibel 13664</t>
  </si>
  <si>
    <t xml:space="preserve">Vitis x interspécifique cv. Seibel 13666</t>
  </si>
  <si>
    <t xml:space="preserve">Vitis x interspécifique cv. Seibel 13669</t>
  </si>
  <si>
    <t xml:space="preserve">Vitis x interspécifique cv. Seibel 13680</t>
  </si>
  <si>
    <t xml:space="preserve">Vitis x interspécifique cv. Seibel 13682</t>
  </si>
  <si>
    <t xml:space="preserve">Vitis x interspécifique cv. Seibel 13693</t>
  </si>
  <si>
    <t xml:space="preserve">Vitis x interspécifique cv. Seibel 13694</t>
  </si>
  <si>
    <t xml:space="preserve">Vitis x interspécifique cv. Seibel 13695</t>
  </si>
  <si>
    <t xml:space="preserve">Vitis x interspécifique cv. Seibel 13698</t>
  </si>
  <si>
    <t xml:space="preserve">Vitis x interspécifique cv. Seibel 13770</t>
  </si>
  <si>
    <t xml:space="preserve">Vitis x interspécifique cv. Seibel 138</t>
  </si>
  <si>
    <t xml:space="preserve">Vitis x interspécifique cv. Seibel 13846</t>
  </si>
  <si>
    <t xml:space="preserve">Vitis x interspécifique cv. Seibel 14</t>
  </si>
  <si>
    <t xml:space="preserve">Vitis x interspécifique cv. Seibel 14114</t>
  </si>
  <si>
    <t xml:space="preserve">Vitis x interspécifique cv. Seibel 14117</t>
  </si>
  <si>
    <t xml:space="preserve">Vitis x interspécifique cv. Seibel 14164</t>
  </si>
  <si>
    <t xml:space="preserve">Vitis x interspécifique cv. Seibel 14189</t>
  </si>
  <si>
    <t xml:space="preserve">Vitis x interspécifique cv. Seibel 14266</t>
  </si>
  <si>
    <t xml:space="preserve">Vitis x interspécifique cv. Seibel 14326</t>
  </si>
  <si>
    <t xml:space="preserve">Vitis x interspécifique cv. Seibel 14327</t>
  </si>
  <si>
    <t xml:space="preserve">Vitis x interspécifique cv. Seibel 14378</t>
  </si>
  <si>
    <t xml:space="preserve">Vitis x interspécifique cv. Seibel 14404</t>
  </si>
  <si>
    <t xml:space="preserve">Vitis x interspécifique cv. Seibel 14417</t>
  </si>
  <si>
    <t xml:space="preserve">Vitis x interspécifique cv. Seibel 14419</t>
  </si>
  <si>
    <t xml:space="preserve">Vitis x interspécifique cv. Seibel 14472</t>
  </si>
  <si>
    <t xml:space="preserve">Vitis x interspécifique cv. Seibel 14483</t>
  </si>
  <si>
    <t xml:space="preserve">Vitis x interspécifique cv. Seibel 14514</t>
  </si>
  <si>
    <t xml:space="preserve">Vitis x interspécifique cv. Seibel 14526</t>
  </si>
  <si>
    <t xml:space="preserve">Vitis x interspécifique cv. Seibel 14572</t>
  </si>
  <si>
    <t xml:space="preserve">Vitis x interspécifique cv. Seibel 14576</t>
  </si>
  <si>
    <t xml:space="preserve">Vitis x interspécifique cv. Seibel 14638</t>
  </si>
  <si>
    <t xml:space="preserve">Vitis x interspécifique cv. Seibel 14639</t>
  </si>
  <si>
    <t xml:space="preserve">Vitis x interspécifique cv. Seibel 14654</t>
  </si>
  <si>
    <t xml:space="preserve">Vitis x interspécifique cv. Seibel 14655</t>
  </si>
  <si>
    <t xml:space="preserve">Vitis x interspécifique cv. Seibel 14657</t>
  </si>
  <si>
    <t xml:space="preserve">Vitis x interspécifique cv. Seibel 14660</t>
  </si>
  <si>
    <t xml:space="preserve">Vitis x interspécifique cv. Seibel 14662</t>
  </si>
  <si>
    <t xml:space="preserve">Vitis x interspécifique cv. Seibel 14664</t>
  </si>
  <si>
    <t xml:space="preserve">Vitis x interspécifique cv. Seibel 14665</t>
  </si>
  <si>
    <t xml:space="preserve">Vitis x interspécifique cv. Seibel 14676</t>
  </si>
  <si>
    <t xml:space="preserve">Vitis x interspécifique cv. Seibel 14709</t>
  </si>
  <si>
    <t xml:space="preserve">Vitis x interspécifique cv. Seibel 14747</t>
  </si>
  <si>
    <t xml:space="preserve">Vitis x interspécifique cv. Seibel 14866</t>
  </si>
  <si>
    <t xml:space="preserve">Vitis x interspécifique cv. Seibel 14911</t>
  </si>
  <si>
    <t xml:space="preserve">Vitis x interspécifique cv. Seibel 14937</t>
  </si>
  <si>
    <t xml:space="preserve">Vitis x interspécifique cv. Seibel 14994</t>
  </si>
  <si>
    <t xml:space="preserve">Vitis x interspécifique cv. Seibel 14995</t>
  </si>
  <si>
    <t xml:space="preserve">Vitis x interspécifique cv. Seibel 150</t>
  </si>
  <si>
    <t xml:space="preserve">Vitis x interspécifique cv. Seibel 15024</t>
  </si>
  <si>
    <t xml:space="preserve">Vitis x interspécifique cv. Seibel 15027</t>
  </si>
  <si>
    <t xml:space="preserve">Vitis x interspécifique cv. Seibel 15051</t>
  </si>
  <si>
    <t xml:space="preserve">Vitis x interspécifique cv. Seibel 15062</t>
  </si>
  <si>
    <t xml:space="preserve">Vitis x interspécifique cv. Seibel 15074</t>
  </si>
  <si>
    <t xml:space="preserve">Vitis x interspécifique cv. Seibel 15170</t>
  </si>
  <si>
    <t xml:space="preserve">Vitis x interspécifique cv. Seibel 15245</t>
  </si>
  <si>
    <t xml:space="preserve">Vitis x interspécifique cv. Seibel 156</t>
  </si>
  <si>
    <t xml:space="preserve">Vitis x interspécifique cv. Seibel 1588</t>
  </si>
  <si>
    <t xml:space="preserve">Vitis x interspécifique cv. Seibel 15964</t>
  </si>
  <si>
    <t xml:space="preserve">Vitis x interspécifique cv. Seibel 16092</t>
  </si>
  <si>
    <t xml:space="preserve">Vitis x interspécifique cv. Seibel 16137</t>
  </si>
  <si>
    <t xml:space="preserve">Vitis x interspécifique cv. Seibel 16147</t>
  </si>
  <si>
    <t xml:space="preserve">Vitis x interspécifique cv. Seibel 16161</t>
  </si>
  <si>
    <t xml:space="preserve">Vitis x interspécifique cv. Seibel 16191</t>
  </si>
  <si>
    <t xml:space="preserve">Vitis x interspécifique cv. Seibel 16196</t>
  </si>
  <si>
    <t xml:space="preserve">Vitis x interspécifique cv. Seibel 16199</t>
  </si>
  <si>
    <t xml:space="preserve">Vitis x interspécifique cv. Seibel 16273</t>
  </si>
  <si>
    <t xml:space="preserve">Vitis x interspécifique cv. Seibel 181</t>
  </si>
  <si>
    <t xml:space="preserve">Vitis x interspécifique cv. Seibel 182</t>
  </si>
  <si>
    <t xml:space="preserve">Vitis x interspécifique cv. Seibel 2</t>
  </si>
  <si>
    <t xml:space="preserve">Vitis x interspécifique cv. Seibel 200</t>
  </si>
  <si>
    <t xml:space="preserve">Vitis x interspécifique cv. Seibel 2003</t>
  </si>
  <si>
    <t xml:space="preserve">Vitis x interspécifique cv. Seibel 2006</t>
  </si>
  <si>
    <t xml:space="preserve">Vitis x interspécifique cv. Seibel 2010</t>
  </si>
  <si>
    <t xml:space="preserve">Vitis x interspécifique cv. Seibel 2029</t>
  </si>
  <si>
    <t xml:space="preserve">Vitis x interspécifique cv. Seibel 2044</t>
  </si>
  <si>
    <t xml:space="preserve">Vitis x interspécifique cv. Seibel 206</t>
  </si>
  <si>
    <t xml:space="preserve">Vitis x interspécifique cv. Seibel 209</t>
  </si>
  <si>
    <t xml:space="preserve">Vitis x interspécifique cv. Seibel 210</t>
  </si>
  <si>
    <t xml:space="preserve">Vitis x interspécifique cv. Seibel 2120</t>
  </si>
  <si>
    <t xml:space="preserve">Vitis x interspécifique cv. Seibel 2453</t>
  </si>
  <si>
    <t xml:space="preserve">Vitis x interspécifique cv. Seibel 25</t>
  </si>
  <si>
    <t xml:space="preserve">Vitis x interspécifique cv. Seibel 2509</t>
  </si>
  <si>
    <t xml:space="preserve">Vitis x interspécifique cv. Seibel 2524</t>
  </si>
  <si>
    <t xml:space="preserve">Vitis x interspécifique cv. Seibel 2525</t>
  </si>
  <si>
    <t xml:space="preserve">Vitis x interspécifique cv. Seibel 2573</t>
  </si>
  <si>
    <t xml:space="preserve">Vitis x interspécifique cv. Seibel 2576</t>
  </si>
  <si>
    <t xml:space="preserve">Vitis x interspécifique cv. Seibel 2578</t>
  </si>
  <si>
    <t xml:space="preserve">Vitis x interspécifique cv. Seibel 2582</t>
  </si>
  <si>
    <t xml:space="preserve">Vitis x interspécifique cv. Seibel 2591</t>
  </si>
  <si>
    <t xml:space="preserve">Vitis x interspécifique cv. Seibel 2605</t>
  </si>
  <si>
    <t xml:space="preserve">Vitis x interspécifique cv. Seibel 2632</t>
  </si>
  <si>
    <t xml:space="preserve">Vitis x interspécifique cv. Seibel 2655</t>
  </si>
  <si>
    <t xml:space="preserve">Vitis x interspécifique cv. Seibel 2660</t>
  </si>
  <si>
    <t xml:space="preserve">Vitis x interspécifique cv. Seibel 2666</t>
  </si>
  <si>
    <t xml:space="preserve">Vitis x interspécifique cv. Seibel 2686</t>
  </si>
  <si>
    <t xml:space="preserve">Vitis x interspécifique cv. Seibel 270</t>
  </si>
  <si>
    <t xml:space="preserve">Vitis x interspécifique cv. Seibel 2838</t>
  </si>
  <si>
    <t xml:space="preserve">Vitis x interspécifique cv. Seibel 2859</t>
  </si>
  <si>
    <t xml:space="preserve">Vitis x interspécifique cv. Seibel 29</t>
  </si>
  <si>
    <t xml:space="preserve">Vitis x interspécifique cv. Seibel 3021</t>
  </si>
  <si>
    <t xml:space="preserve">Vitis x interspécifique cv. Seibel 36</t>
  </si>
  <si>
    <t xml:space="preserve">Vitis x interspécifique cv. Seibel 38</t>
  </si>
  <si>
    <t xml:space="preserve">Vitis x interspécifique cv. Seibel 4</t>
  </si>
  <si>
    <t xml:space="preserve">Vitis x interspécifique cv. Seibel 405</t>
  </si>
  <si>
    <t xml:space="preserve">Vitis x interspécifique cv. Seibel 41</t>
  </si>
  <si>
    <t xml:space="preserve">Vitis x interspécifique cv. Seibel 4111</t>
  </si>
  <si>
    <t xml:space="preserve">Vitis x interspécifique cv. Seibel 4121</t>
  </si>
  <si>
    <t xml:space="preserve">Vitis x interspécifique cv. Seibel 4132</t>
  </si>
  <si>
    <t xml:space="preserve">Vitis x interspécifique cv. Seibel 4464</t>
  </si>
  <si>
    <t xml:space="preserve">Vitis x interspécifique cv. Seibel 4499</t>
  </si>
  <si>
    <t xml:space="preserve">Vitis x interspécifique cv. Seibel 4504</t>
  </si>
  <si>
    <t xml:space="preserve">Vitis x interspécifique cv. Seibel 4559</t>
  </si>
  <si>
    <t xml:space="preserve">Vitis x interspécifique cv. Seibel 4589</t>
  </si>
  <si>
    <t xml:space="preserve">Vitis x interspécifique cv. Seibel 4603</t>
  </si>
  <si>
    <t xml:space="preserve">Vitis x interspécifique cv. Seibel 4605</t>
  </si>
  <si>
    <t xml:space="preserve">Vitis x interspécifique cv. Seibel 4614</t>
  </si>
  <si>
    <t xml:space="preserve">Vitis x interspécifique cv. Seibel 4615</t>
  </si>
  <si>
    <t xml:space="preserve">Vitis x interspécifique cv. Seibel 4629</t>
  </si>
  <si>
    <t xml:space="preserve">Vitis x interspécifique cv. Seibel 4633</t>
  </si>
  <si>
    <t xml:space="preserve">Vitis x interspécifique cv. Seibel 4636</t>
  </si>
  <si>
    <t xml:space="preserve">Vitis x interspécifique cv. Seibel 4638</t>
  </si>
  <si>
    <t xml:space="preserve">Vitis x interspécifique cv. Seibel 4644</t>
  </si>
  <si>
    <t xml:space="preserve">Vitis x interspécifique cv. Seibel 4648</t>
  </si>
  <si>
    <t xml:space="preserve">Vitis x interspécifique cv. Seibel 4669</t>
  </si>
  <si>
    <t xml:space="preserve">Vitis x interspécifique cv. Seibel 4672</t>
  </si>
  <si>
    <t xml:space="preserve">Vitis x interspécifique cv. Seibel 4677</t>
  </si>
  <si>
    <t xml:space="preserve">Vitis x interspécifique cv. Seibel 4681</t>
  </si>
  <si>
    <t xml:space="preserve">Vitis x interspécifique cv. Seibel 4697</t>
  </si>
  <si>
    <t xml:space="preserve">Vitis x interspécifique cv. Seibel 47</t>
  </si>
  <si>
    <t xml:space="preserve">Vitis x interspécifique cv. Seibel 4706</t>
  </si>
  <si>
    <t xml:space="preserve">Vitis x interspécifique cv. Seibel 4707</t>
  </si>
  <si>
    <t xml:space="preserve">Vitis x interspécifique cv. Seibel 4709</t>
  </si>
  <si>
    <t xml:space="preserve">Vitis x interspécifique cv. Seibel 4725</t>
  </si>
  <si>
    <t xml:space="preserve">Vitis x interspécifique cv. Seibel 4762</t>
  </si>
  <si>
    <t xml:space="preserve">Vitis x interspécifique cv. Seibel 4877 = 21 de Gléon</t>
  </si>
  <si>
    <t xml:space="preserve">Vitis x interspécifique cv. Seibel 491</t>
  </si>
  <si>
    <t xml:space="preserve">Vitis x interspécifique cv. Seibel 4955</t>
  </si>
  <si>
    <t xml:space="preserve">Vitis x interspécifique cv. Seibel 4964</t>
  </si>
  <si>
    <t xml:space="preserve">Vitis x interspécifique cv. Seibel 4982</t>
  </si>
  <si>
    <t xml:space="preserve">Vitis x interspécifique cv. Seibel 4987</t>
  </si>
  <si>
    <t xml:space="preserve">Vitis x interspécifique cv. Seibel 4989</t>
  </si>
  <si>
    <t xml:space="preserve">Vitis x interspécifique cv. Seibel 499</t>
  </si>
  <si>
    <t xml:space="preserve">Vitis x interspécifique cv. Seibel 4990</t>
  </si>
  <si>
    <t xml:space="preserve">Vitis x interspécifique cv. Seibel 4991</t>
  </si>
  <si>
    <t xml:space="preserve">Vitis x interspécifique cv. Seibel 4995</t>
  </si>
  <si>
    <t xml:space="preserve">Vitis x interspécifique cv. Seibel 5001</t>
  </si>
  <si>
    <t xml:space="preserve">Vitis x interspécifique cv. Seibel 5024</t>
  </si>
  <si>
    <t xml:space="preserve">Vitis x interspécifique cv. Seibel 5030</t>
  </si>
  <si>
    <t xml:space="preserve">Vitis x interspécifique cv. Seibel 5033</t>
  </si>
  <si>
    <t xml:space="preserve">Vitis x interspécifique cv. Seibel 5049</t>
  </si>
  <si>
    <t xml:space="preserve">Vitis x interspécifique cv. Seibel 5054</t>
  </si>
  <si>
    <t xml:space="preserve">Vitis x interspécifique cv. Seibel 5056</t>
  </si>
  <si>
    <t xml:space="preserve">Vitis x interspécifique cv. Seibel 5061</t>
  </si>
  <si>
    <t xml:space="preserve">Vitis x interspécifique cv. Seibel 5110</t>
  </si>
  <si>
    <t xml:space="preserve">Vitis x interspécifique cv. Seibel 5118</t>
  </si>
  <si>
    <t xml:space="preserve">Vitis x interspécifique cv. Seibel 5123</t>
  </si>
  <si>
    <t xml:space="preserve">Vitis x interspécifique cv. Seibel 5124</t>
  </si>
  <si>
    <t xml:space="preserve">Vitis x interspécifique cv. Seibel 5135</t>
  </si>
  <si>
    <t xml:space="preserve">Vitis x interspécifique cv. Seibel 5136</t>
  </si>
  <si>
    <t xml:space="preserve">Vitis x interspécifique cv. Seibel 5145</t>
  </si>
  <si>
    <t xml:space="preserve">Vitis x interspécifique cv. Seibel 5149</t>
  </si>
  <si>
    <t xml:space="preserve">Vitis x interspécifique cv. Seibel 5163</t>
  </si>
  <si>
    <t xml:space="preserve">Vitis x interspécifique cv. Seibel 5170</t>
  </si>
  <si>
    <t xml:space="preserve">Vitis x interspécifique cv. Seibel 5178</t>
  </si>
  <si>
    <t xml:space="preserve">Vitis x interspécifique cv. Seibel 5181</t>
  </si>
  <si>
    <t xml:space="preserve">Vitis x interspécifique cv. Seibel 5182</t>
  </si>
  <si>
    <t xml:space="preserve">Vitis x interspécifique cv. Seibel 5188</t>
  </si>
  <si>
    <t xml:space="preserve">Vitis x interspécifique cv. Seibel 5191</t>
  </si>
  <si>
    <t xml:space="preserve">Vitis x interspécifique cv. Seibel 5195</t>
  </si>
  <si>
    <t xml:space="preserve">Vitis x interspécifique cv. Seibel 5202</t>
  </si>
  <si>
    <t xml:space="preserve">Vitis x interspécifique cv. Seibel 5204</t>
  </si>
  <si>
    <t xml:space="preserve">Vitis x interspécifique cv. Seibel 5205</t>
  </si>
  <si>
    <t xml:space="preserve">Vitis x interspécifique cv. Seibel 5213</t>
  </si>
  <si>
    <t xml:space="preserve">Vitis x interspécifique cv. Seibel 5225</t>
  </si>
  <si>
    <t xml:space="preserve">Vitis x interspécifique cv. Seibel 5231</t>
  </si>
  <si>
    <t xml:space="preserve">Vitis x interspécifique cv. Seibel 5241</t>
  </si>
  <si>
    <t xml:space="preserve">Vitis x interspécifique cv. Seibel 5257</t>
  </si>
  <si>
    <t xml:space="preserve">Vitis x interspécifique cv. Seibel 5259</t>
  </si>
  <si>
    <t xml:space="preserve">Vitis x interspécifique cv. Seibel 5272</t>
  </si>
  <si>
    <t xml:space="preserve">Vitis x interspécifique cv. Seibel 5274</t>
  </si>
  <si>
    <t xml:space="preserve">Vitis x interspécifique cv. Seibel 5275</t>
  </si>
  <si>
    <t xml:space="preserve">Vitis x interspécifique cv. Seibel 5292</t>
  </si>
  <si>
    <t xml:space="preserve">Vitis x interspécifique cv. Seibel 5296</t>
  </si>
  <si>
    <t xml:space="preserve">Vitis x interspécifique cv. Seibel 5299</t>
  </si>
  <si>
    <t xml:space="preserve">Vitis x interspécifique cv. Seibel 5302</t>
  </si>
  <si>
    <t xml:space="preserve">Vitis x interspécifique cv. Seibel 5308</t>
  </si>
  <si>
    <t xml:space="preserve">Vitis x interspécifique cv. Seibel 5310</t>
  </si>
  <si>
    <t xml:space="preserve">Vitis x interspécifique cv. Seibel 5313</t>
  </si>
  <si>
    <t xml:space="preserve">Vitis x interspécifique cv. Seibel 5316</t>
  </si>
  <si>
    <t xml:space="preserve">Vitis x interspécifique cv. Seibel 5319</t>
  </si>
  <si>
    <t xml:space="preserve">Vitis x interspécifique cv. Seibel 5322</t>
  </si>
  <si>
    <t xml:space="preserve">Vitis x interspécifique cv. Seibel 5326</t>
  </si>
  <si>
    <t xml:space="preserve">Vitis x interspécifique cv. Seibel 5329</t>
  </si>
  <si>
    <t xml:space="preserve">Vitis x interspécifique cv. Seibel 5335</t>
  </si>
  <si>
    <t xml:space="preserve">Vitis x interspécifique cv. Seibel 5339</t>
  </si>
  <si>
    <t xml:space="preserve">Vitis x interspécifique cv. Seibel 5351</t>
  </si>
  <si>
    <t xml:space="preserve">Vitis x interspécifique cv. Seibel 5356</t>
  </si>
  <si>
    <t xml:space="preserve">Vitis x interspécifique cv. Seibel 5362</t>
  </si>
  <si>
    <t xml:space="preserve">Vitis x interspécifique cv. Seibel 5371</t>
  </si>
  <si>
    <t xml:space="preserve">Vitis x interspécifique cv. Seibel 5391</t>
  </si>
  <si>
    <t xml:space="preserve">Vitis x interspécifique cv. Seibel 54</t>
  </si>
  <si>
    <t xml:space="preserve">Vitis x interspécifique cv. Seibel 5405</t>
  </si>
  <si>
    <t xml:space="preserve">Vitis x interspécifique cv. Seibel 5408</t>
  </si>
  <si>
    <t xml:space="preserve">Vitis x interspécifique cv. Seibel 5409</t>
  </si>
  <si>
    <t xml:space="preserve">Vitis x interspécifique cv. Seibel 5410</t>
  </si>
  <si>
    <t xml:space="preserve">Vitis x interspécifique cv. Seibel 5412</t>
  </si>
  <si>
    <t xml:space="preserve">Vitis x interspécifique cv. Seibel 5431</t>
  </si>
  <si>
    <t xml:space="preserve">Vitis x interspécifique cv. Seibel 5437</t>
  </si>
  <si>
    <t xml:space="preserve">Vitis x interspécifique cv. Seibel 5450</t>
  </si>
  <si>
    <t xml:space="preserve">Vitis x interspécifique cv. Seibel 5466</t>
  </si>
  <si>
    <t xml:space="preserve">Vitis x interspécifique cv. Seibel 5474</t>
  </si>
  <si>
    <t xml:space="preserve">Vitis x interspécifique cv. Seibel 5484</t>
  </si>
  <si>
    <t xml:space="preserve">Vitis x interspécifique cv. Seibel 5485</t>
  </si>
  <si>
    <t xml:space="preserve">Vitis x interspécifique cv. Seibel 5486</t>
  </si>
  <si>
    <t xml:space="preserve">Vitis x interspécifique cv. Seibel 5487</t>
  </si>
  <si>
    <t xml:space="preserve">Vitis x interspécifique cv. Seibel 5504</t>
  </si>
  <si>
    <t xml:space="preserve">Vitis x interspécifique cv. Seibel 5539</t>
  </si>
  <si>
    <t xml:space="preserve">Vitis x interspécifique cv. Seibel 5551</t>
  </si>
  <si>
    <t xml:space="preserve">Vitis x interspécifique cv. Seibel 5560</t>
  </si>
  <si>
    <t xml:space="preserve">Vitis x interspécifique cv. Seibel 5561</t>
  </si>
  <si>
    <t xml:space="preserve">Vitis x interspécifique cv. Seibel 5574</t>
  </si>
  <si>
    <t xml:space="preserve">Vitis x interspécifique cv. Seibel 5580</t>
  </si>
  <si>
    <t xml:space="preserve">Vitis x interspécifique cv. Seibel 5586</t>
  </si>
  <si>
    <t xml:space="preserve">Vitis x interspécifique cv. Seibel 5593</t>
  </si>
  <si>
    <t xml:space="preserve">Vitis x interspécifique cv. Seibel 5624</t>
  </si>
  <si>
    <t xml:space="preserve">Vitis x interspécifique cv. Seibel 5632</t>
  </si>
  <si>
    <t xml:space="preserve">Vitis x interspécifique cv. Seibel 5652</t>
  </si>
  <si>
    <t xml:space="preserve">Vitis x interspécifique cv. Seibel 5653</t>
  </si>
  <si>
    <t xml:space="preserve">Vitis x interspécifique cv. Seibel 5656</t>
  </si>
  <si>
    <t xml:space="preserve">Vitis x interspécifique cv. Seibel 5658</t>
  </si>
  <si>
    <t xml:space="preserve">Vitis x interspécifique cv. Seibel 5663</t>
  </si>
  <si>
    <t xml:space="preserve">Vitis x interspécifique cv. Seibel 5683</t>
  </si>
  <si>
    <t xml:space="preserve">Vitis x interspécifique cv. Seibel 5689</t>
  </si>
  <si>
    <t xml:space="preserve">Vitis x interspécifique cv. Seibel 5717</t>
  </si>
  <si>
    <t xml:space="preserve">Vitis x interspécifique cv. Seibel 5744</t>
  </si>
  <si>
    <t xml:space="preserve">Vitis x interspécifique cv. Seibel 5757</t>
  </si>
  <si>
    <t xml:space="preserve">Vitis x interspécifique cv. Seibel 5763</t>
  </si>
  <si>
    <t xml:space="preserve">Vitis x interspécifique cv. Seibel 5773</t>
  </si>
  <si>
    <t xml:space="preserve">Vitis x interspécifique cv. Seibel 5775</t>
  </si>
  <si>
    <t xml:space="preserve">Vitis x interspécifique cv. Seibel 5778</t>
  </si>
  <si>
    <t xml:space="preserve">Vitis x interspécifique cv. Seibel 5785</t>
  </si>
  <si>
    <t xml:space="preserve">Vitis x interspécifique cv. Seibel 5810</t>
  </si>
  <si>
    <t xml:space="preserve">Vitis x interspécifique cv. Seibel 5813</t>
  </si>
  <si>
    <t xml:space="preserve">Vitis x interspécifique cv. Seibel 5815</t>
  </si>
  <si>
    <t xml:space="preserve">Vitis x interspécifique cv. Seibel 5819</t>
  </si>
  <si>
    <t xml:space="preserve">Vitis x interspécifique cv. Seibel 5820</t>
  </si>
  <si>
    <t xml:space="preserve">Vitis x interspécifique cv. Seibel 5826</t>
  </si>
  <si>
    <t xml:space="preserve">Vitis x interspécifique cv. Seibel 5839</t>
  </si>
  <si>
    <t xml:space="preserve">Vitis x interspécifique cv. Seibel 5854</t>
  </si>
  <si>
    <t xml:space="preserve">Vitis x interspécifique cv. Seibel 5860</t>
  </si>
  <si>
    <t xml:space="preserve">Vitis x interspécifique cv. Seibel 5883</t>
  </si>
  <si>
    <t xml:space="preserve">Vitis x interspécifique cv. Seibel 5889</t>
  </si>
  <si>
    <t xml:space="preserve">Vitis x interspécifique cv. Seibel 5890</t>
  </si>
  <si>
    <t xml:space="preserve">Vitis x interspécifique cv. Seibel 5891</t>
  </si>
  <si>
    <t xml:space="preserve">Vitis x interspécifique cv. Seibel 5897</t>
  </si>
  <si>
    <t xml:space="preserve">Vitis x interspécifique cv. Seibel 5900</t>
  </si>
  <si>
    <t xml:space="preserve">Vitis x interspécifique cv. Seibel 5903</t>
  </si>
  <si>
    <t xml:space="preserve">Vitis x interspécifique cv. Seibel 5907</t>
  </si>
  <si>
    <t xml:space="preserve">Vitis x interspécifique cv. Seibel 5908</t>
  </si>
  <si>
    <t xml:space="preserve">Vitis x interspécifique cv. Seibel 5912</t>
  </si>
  <si>
    <t xml:space="preserve">Vitis x interspécifique cv. Seibel 5915</t>
  </si>
  <si>
    <t xml:space="preserve">Vitis x interspécifique cv. Seibel 5916</t>
  </si>
  <si>
    <t xml:space="preserve">Vitis x interspécifique cv. Seibel 5917</t>
  </si>
  <si>
    <t xml:space="preserve">Vitis x interspécifique cv. Seibel 5937</t>
  </si>
  <si>
    <t xml:space="preserve">Vitis x interspécifique cv. Seibel 5946</t>
  </si>
  <si>
    <t xml:space="preserve">Vitis x interspécifique cv. Seibel 5952</t>
  </si>
  <si>
    <t xml:space="preserve">Vitis x interspécifique cv. Seibel 5966</t>
  </si>
  <si>
    <t xml:space="preserve">Vitis x interspécifique cv. Seibel 5979</t>
  </si>
  <si>
    <t xml:space="preserve">Vitis x interspécifique cv. Seibel 600</t>
  </si>
  <si>
    <t xml:space="preserve">Vitis x interspécifique cv. Seibel 6003</t>
  </si>
  <si>
    <t xml:space="preserve">Vitis x interspécifique cv. Seibel 6004</t>
  </si>
  <si>
    <t xml:space="preserve">Vitis x interspécifique cv. Seibel 6010</t>
  </si>
  <si>
    <t xml:space="preserve">Vitis x interspécifique cv. Seibel 6011</t>
  </si>
  <si>
    <t xml:space="preserve">Vitis x interspécifique cv. Seibel 6013</t>
  </si>
  <si>
    <t xml:space="preserve">Vitis x interspécifique cv. Seibel 6022</t>
  </si>
  <si>
    <t xml:space="preserve">Vitis x interspécifique cv. Seibel 6027</t>
  </si>
  <si>
    <t xml:space="preserve">Vitis x interspécifique cv. Seibel 6029</t>
  </si>
  <si>
    <t xml:space="preserve">Vitis x interspécifique cv. Seibel 6036</t>
  </si>
  <si>
    <t xml:space="preserve">Vitis x interspécifique cv. Seibel 6042</t>
  </si>
  <si>
    <t xml:space="preserve">Vitis x interspécifique cv. Seibel 6045</t>
  </si>
  <si>
    <t xml:space="preserve">Vitis x interspécifique cv. Seibel 6062</t>
  </si>
  <si>
    <t xml:space="preserve">Vitis x interspécifique cv. Seibel 6064</t>
  </si>
  <si>
    <t xml:space="preserve">Vitis x interspécifique cv. Seibel 6080</t>
  </si>
  <si>
    <t xml:space="preserve">Vitis x interspécifique cv. Seibel 6086</t>
  </si>
  <si>
    <t xml:space="preserve">Vitis x interspécifique cv. Seibel 6088</t>
  </si>
  <si>
    <t xml:space="preserve">Vitis x interspécifique cv. Seibel 6090</t>
  </si>
  <si>
    <t xml:space="preserve">Vitis x interspécifique cv. Seibel 6092</t>
  </si>
  <si>
    <t xml:space="preserve">Vitis x interspécifique cv. Seibel 6093</t>
  </si>
  <si>
    <t xml:space="preserve">Vitis x interspécifique cv. Seibel 6094</t>
  </si>
  <si>
    <t xml:space="preserve">Vitis x interspécifique cv. Seibel 6096</t>
  </si>
  <si>
    <t xml:space="preserve">Vitis x interspécifique cv. Seibel 6102</t>
  </si>
  <si>
    <t xml:space="preserve">Vitis x interspécifique cv. Seibel 6106</t>
  </si>
  <si>
    <t xml:space="preserve">Vitis x interspécifique cv. Seibel 6111</t>
  </si>
  <si>
    <t xml:space="preserve">Vitis x interspécifique cv. Seibel 6115</t>
  </si>
  <si>
    <t xml:space="preserve">Vitis x interspécifique cv. Seibel 6126</t>
  </si>
  <si>
    <t xml:space="preserve">Vitis x interspécifique cv. Seibel 6132</t>
  </si>
  <si>
    <t xml:space="preserve">Vitis x interspécifique cv. Seibel 6143</t>
  </si>
  <si>
    <t xml:space="preserve">Vitis x interspécifique cv. Seibel 6151</t>
  </si>
  <si>
    <t xml:space="preserve">Vitis x interspécifique cv. Seibel 6155</t>
  </si>
  <si>
    <t xml:space="preserve">Vitis x interspécifique cv. Seibel 6158</t>
  </si>
  <si>
    <t xml:space="preserve">Vitis x interspécifique cv. Seibel 6165</t>
  </si>
  <si>
    <t xml:space="preserve">Vitis x interspécifique cv. Seibel 6168</t>
  </si>
  <si>
    <t xml:space="preserve">Vitis x interspécifique cv. Seibel 6170</t>
  </si>
  <si>
    <t xml:space="preserve">Vitis x interspécifique cv. Seibel 6179</t>
  </si>
  <si>
    <t xml:space="preserve">Vitis x interspécifique cv. Seibel 6186</t>
  </si>
  <si>
    <t xml:space="preserve">Vitis x interspécifique cv. Seibel 6209</t>
  </si>
  <si>
    <t xml:space="preserve">Vitis x interspécifique cv. Seibel 6213</t>
  </si>
  <si>
    <t xml:space="preserve">Vitis x interspécifique cv. Seibel 6214</t>
  </si>
  <si>
    <t xml:space="preserve">Vitis x interspécifique cv. Seibel 6229</t>
  </si>
  <si>
    <t xml:space="preserve">Vitis x interspécifique cv. Seibel 6233</t>
  </si>
  <si>
    <t xml:space="preserve">Vitis x interspécifique cv. Seibel 6269</t>
  </si>
  <si>
    <t xml:space="preserve">Vitis x interspécifique cv. Seibel 6278</t>
  </si>
  <si>
    <t xml:space="preserve">Vitis x interspécifique cv. Seibel 6288</t>
  </si>
  <si>
    <t xml:space="preserve">Vitis x interspécifique cv. Seibel 6289</t>
  </si>
  <si>
    <t xml:space="preserve">Vitis x interspécifique cv. Seibel 6293</t>
  </si>
  <si>
    <t xml:space="preserve">Vitis x interspécifique cv. Seibel 63</t>
  </si>
  <si>
    <t xml:space="preserve">Vitis x interspécifique cv. Seibel 6318</t>
  </si>
  <si>
    <t xml:space="preserve">Vitis x interspécifique cv. Seibel 6339</t>
  </si>
  <si>
    <t xml:space="preserve">Vitis x interspécifique cv. Seibel 6350</t>
  </si>
  <si>
    <t xml:space="preserve">Vitis x interspécifique cv. Seibel 6403</t>
  </si>
  <si>
    <t xml:space="preserve">Vitis x interspécifique cv. Seibel 6419</t>
  </si>
  <si>
    <t xml:space="preserve">Vitis x interspécifique cv. Seibel 6423</t>
  </si>
  <si>
    <t xml:space="preserve">Vitis x interspécifique cv. Seibel 6425</t>
  </si>
  <si>
    <t xml:space="preserve">Vitis x interspécifique cv. Seibel 6426</t>
  </si>
  <si>
    <t xml:space="preserve">Vitis x interspécifique cv. Seibel 6439</t>
  </si>
  <si>
    <t xml:space="preserve">Vitis x interspécifique cv. Seibel 6455</t>
  </si>
  <si>
    <t xml:space="preserve">Vitis x interspécifique cv. Seibel 6460</t>
  </si>
  <si>
    <t xml:space="preserve">Vitis x interspécifique cv. Seibel 6468</t>
  </si>
  <si>
    <t xml:space="preserve">Vitis x interspécifique cv. Seibel 6478</t>
  </si>
  <si>
    <t xml:space="preserve">Vitis x interspécifique cv. Seibel 6484</t>
  </si>
  <si>
    <t xml:space="preserve">Vitis x interspécifique cv. Seibel 6488</t>
  </si>
  <si>
    <t xml:space="preserve">Vitis x interspécifique cv. Seibel 6491</t>
  </si>
  <si>
    <t xml:space="preserve">Vitis x interspécifique cv. Seibel 6496</t>
  </si>
  <si>
    <t xml:space="preserve">Vitis x interspécifique cv. Seibel 6500</t>
  </si>
  <si>
    <t xml:space="preserve">Vitis x interspécifique cv. Seibel 6572</t>
  </si>
  <si>
    <t xml:space="preserve">Vitis x interspécifique cv. Seibel 6578</t>
  </si>
  <si>
    <t xml:space="preserve">Vitis x interspécifique cv. Seibel 6605</t>
  </si>
  <si>
    <t xml:space="preserve">Vitis x interspécifique cv. Seibel 6606</t>
  </si>
  <si>
    <t xml:space="preserve">Vitis x interspécifique cv. Seibel 6623</t>
  </si>
  <si>
    <t xml:space="preserve">Vitis x interspécifique cv. Seibel 670</t>
  </si>
  <si>
    <t xml:space="preserve">Vitis x interspécifique cv. Seibel 6702</t>
  </si>
  <si>
    <t xml:space="preserve">Vitis x interspécifique cv. Seibel 6711</t>
  </si>
  <si>
    <t xml:space="preserve">Vitis x interspécifique cv. Seibel 6717</t>
  </si>
  <si>
    <t xml:space="preserve">Vitis x interspécifique cv. Seibel 6720</t>
  </si>
  <si>
    <t xml:space="preserve">Vitis x interspécifique cv. Seibel 6732</t>
  </si>
  <si>
    <t xml:space="preserve">Vitis x interspécifique cv. Seibel 6733</t>
  </si>
  <si>
    <t xml:space="preserve">Vitis x interspécifique cv. Seibel 6735</t>
  </si>
  <si>
    <t xml:space="preserve">Vitis x interspécifique cv. Seibel 6738</t>
  </si>
  <si>
    <t xml:space="preserve">Vitis x interspécifique cv. Seibel 6739</t>
  </si>
  <si>
    <t xml:space="preserve">Vitis x interspécifique cv. Seibel 6740</t>
  </si>
  <si>
    <t xml:space="preserve">Vitis x interspécifique cv. Seibel 6746</t>
  </si>
  <si>
    <t xml:space="preserve">Vitis x interspécifique cv. Seibel 6751</t>
  </si>
  <si>
    <t xml:space="preserve">Vitis x interspécifique cv. Seibel 6758</t>
  </si>
  <si>
    <t xml:space="preserve">Vitis x interspécifique cv. Seibel 6778</t>
  </si>
  <si>
    <t xml:space="preserve">Vitis x interspécifique cv. Seibel 6779</t>
  </si>
  <si>
    <t xml:space="preserve">Vitis x interspécifique cv. Seibel 6780</t>
  </si>
  <si>
    <t xml:space="preserve">Vitis x interspécifique cv. Seibel 6824</t>
  </si>
  <si>
    <t xml:space="preserve">Vitis x interspécifique cv. Seibel 6830</t>
  </si>
  <si>
    <t xml:space="preserve">Vitis x interspécifique cv. Seibel 6862</t>
  </si>
  <si>
    <t xml:space="preserve">Vitis x interspécifique cv. Seibel 6876</t>
  </si>
  <si>
    <t xml:space="preserve">Vitis x interspécifique cv. Seibel 6906</t>
  </si>
  <si>
    <t xml:space="preserve">Vitis x interspécifique cv. Seibel 6968</t>
  </si>
  <si>
    <t xml:space="preserve">Vitis x interspécifique cv. Seibel 6976</t>
  </si>
  <si>
    <t xml:space="preserve">Vitis x interspécifique cv. Seibel 6980</t>
  </si>
  <si>
    <t xml:space="preserve">Vitis x interspécifique cv. Seibel 70</t>
  </si>
  <si>
    <t xml:space="preserve">Vitis x interspécifique cv. Seibel 7000</t>
  </si>
  <si>
    <t xml:space="preserve">Vitis x interspécifique cv. Seibel 7001</t>
  </si>
  <si>
    <t xml:space="preserve">Vitis x interspécifique cv. Seibel 7005</t>
  </si>
  <si>
    <t xml:space="preserve">Vitis x interspécifique cv. Seibel 7011</t>
  </si>
  <si>
    <t xml:space="preserve">Vitis x interspécifique cv. Seibel 7016</t>
  </si>
  <si>
    <t xml:space="preserve">Vitis x interspécifique cv. Seibel 7022</t>
  </si>
  <si>
    <t xml:space="preserve">Vitis x interspécifique cv. Seibel 7033</t>
  </si>
  <si>
    <t xml:space="preserve">Vitis x interspécifique cv. Seibel 7036</t>
  </si>
  <si>
    <t xml:space="preserve">Vitis x interspécifique cv. Seibel 7042</t>
  </si>
  <si>
    <t xml:space="preserve">Vitis x interspécifique cv. Seibel 7044</t>
  </si>
  <si>
    <t xml:space="preserve">Vitis x interspécifique cv. Seibel 7046</t>
  </si>
  <si>
    <t xml:space="preserve">Vitis x interspécifique cv. Seibel 7047</t>
  </si>
  <si>
    <t xml:space="preserve">Vitis x interspécifique cv. Seibel 7052</t>
  </si>
  <si>
    <t xml:space="preserve">Vitis x interspécifique cv. Seibel 7056</t>
  </si>
  <si>
    <t xml:space="preserve">Vitis x interspécifique cv. Seibel 7071</t>
  </si>
  <si>
    <t xml:space="preserve">Vitis x interspécifique cv. Seibel 7080</t>
  </si>
  <si>
    <t xml:space="preserve">Vitis x interspécifique cv. Seibel 7082</t>
  </si>
  <si>
    <t xml:space="preserve">Vitis x interspécifique cv. Seibel 7085</t>
  </si>
  <si>
    <t xml:space="preserve">Vitis x interspécifique cv. Seibel 7090</t>
  </si>
  <si>
    <t xml:space="preserve">Vitis x interspécifique cv. Seibel 7093</t>
  </si>
  <si>
    <t xml:space="preserve">Vitis x interspécifique cv. Seibel 7099</t>
  </si>
  <si>
    <t xml:space="preserve">Vitis x interspécifique cv. Seibel 71</t>
  </si>
  <si>
    <t xml:space="preserve">Vitis x interspécifique cv. Seibel 7100</t>
  </si>
  <si>
    <t xml:space="preserve">Vitis x interspécifique cv. Seibel 7122 faux</t>
  </si>
  <si>
    <t xml:space="preserve">Vitis x interspécifique cv. Seibel 7123</t>
  </si>
  <si>
    <t xml:space="preserve">Vitis x interspécifique cv. Seibel 7130</t>
  </si>
  <si>
    <t xml:space="preserve">Vitis x interspécifique cv. Seibel 7135</t>
  </si>
  <si>
    <t xml:space="preserve">Vitis x interspécifique cv. Seibel 7136</t>
  </si>
  <si>
    <t xml:space="preserve">Vitis x interspécifique cv. Seibel 7140</t>
  </si>
  <si>
    <t xml:space="preserve">Vitis x interspécifique cv. Seibel 7144</t>
  </si>
  <si>
    <t xml:space="preserve">Vitis x interspécifique cv. Seibel 7145</t>
  </si>
  <si>
    <t xml:space="preserve">Vitis x interspécifique cv. Seibel 7157</t>
  </si>
  <si>
    <t xml:space="preserve">Vitis x interspécifique cv. Seibel 7162</t>
  </si>
  <si>
    <t xml:space="preserve">Vitis x interspécifique cv. Seibel 7181</t>
  </si>
  <si>
    <t xml:space="preserve">Vitis x interspécifique cv. Seibel 720</t>
  </si>
  <si>
    <t xml:space="preserve">Vitis x interspécifique cv. Seibel 7226</t>
  </si>
  <si>
    <t xml:space="preserve">Vitis x interspécifique cv. Seibel 7228</t>
  </si>
  <si>
    <t xml:space="preserve">Vitis x interspécifique cv. Seibel 7229</t>
  </si>
  <si>
    <t xml:space="preserve">Vitis x interspécifique cv. Seibel 7291</t>
  </si>
  <si>
    <t xml:space="preserve">Vitis x interspécifique cv. Seibel 7303</t>
  </si>
  <si>
    <t xml:space="preserve">Vitis x interspécifique cv. Seibel 7311</t>
  </si>
  <si>
    <t xml:space="preserve">Vitis x interspécifique cv. Seibel 7312</t>
  </si>
  <si>
    <t xml:space="preserve">Vitis x interspécifique cv. Seibel 7315</t>
  </si>
  <si>
    <t xml:space="preserve">Vitis x interspécifique cv. Seibel 7319</t>
  </si>
  <si>
    <t xml:space="preserve">Vitis x interspécifique cv. Seibel 7324</t>
  </si>
  <si>
    <t xml:space="preserve">Vitis x interspécifique cv. Seibel 7332</t>
  </si>
  <si>
    <t xml:space="preserve">Vitis x interspécifique cv. Seibel 7338</t>
  </si>
  <si>
    <t xml:space="preserve">Vitis x interspécifique cv. Seibel 7347</t>
  </si>
  <si>
    <t xml:space="preserve">Vitis x interspécifique cv. Seibel 7349</t>
  </si>
  <si>
    <t xml:space="preserve">Vitis x interspécifique cv. Seibel 7369</t>
  </si>
  <si>
    <t xml:space="preserve">Vitis x interspécifique cv. Seibel 7374</t>
  </si>
  <si>
    <t xml:space="preserve">Vitis x interspécifique cv. Seibel 7380</t>
  </si>
  <si>
    <t xml:space="preserve">Vitis x interspécifique cv. Seibel 7381</t>
  </si>
  <si>
    <t xml:space="preserve">Vitis x interspécifique cv. Seibel 7511</t>
  </si>
  <si>
    <t xml:space="preserve">Vitis x interspécifique cv. Seibel 7523</t>
  </si>
  <si>
    <t xml:space="preserve">Vitis x interspécifique cv. Seibel 7524</t>
  </si>
  <si>
    <t xml:space="preserve">Vitis x interspécifique cv. Seibel 753</t>
  </si>
  <si>
    <t xml:space="preserve">Vitis x interspécifique cv. Seibel 7530</t>
  </si>
  <si>
    <t xml:space="preserve">Vitis x interspécifique cv. Seibel 7545</t>
  </si>
  <si>
    <t xml:space="preserve">Vitis x interspécifique cv. Seibel 7566</t>
  </si>
  <si>
    <t xml:space="preserve">Vitis x interspécifique cv. Seibel 7568</t>
  </si>
  <si>
    <t xml:space="preserve">Vitis x interspécifique cv. Seibel 7574</t>
  </si>
  <si>
    <t xml:space="preserve">Vitis x interspécifique cv. Seibel 7584</t>
  </si>
  <si>
    <t xml:space="preserve">Vitis x interspécifique cv. Seibel 7587</t>
  </si>
  <si>
    <t xml:space="preserve">Vitis x interspécifique cv. Seibel 7598</t>
  </si>
  <si>
    <t xml:space="preserve">Vitis x interspécifique cv. Seibel 7603</t>
  </si>
  <si>
    <t xml:space="preserve">Vitis x interspécifique cv. Seibel 7606</t>
  </si>
  <si>
    <t xml:space="preserve">Vitis x interspécifique cv. Seibel 7608</t>
  </si>
  <si>
    <t xml:space="preserve">Vitis x interspécifique cv. Seibel 7609</t>
  </si>
  <si>
    <t xml:space="preserve">Vitis x interspécifique cv. Seibel 7617</t>
  </si>
  <si>
    <t xml:space="preserve">Vitis x interspécifique cv. Seibel 7620</t>
  </si>
  <si>
    <t xml:space="preserve">Vitis x interspécifique cv. Seibel 7622</t>
  </si>
  <si>
    <t xml:space="preserve">Vitis x interspécifique cv. Seibel 7632</t>
  </si>
  <si>
    <t xml:space="preserve">Vitis x interspécifique cv. Seibel 7635</t>
  </si>
  <si>
    <t xml:space="preserve">Vitis x interspécifique cv. Seibel 7668</t>
  </si>
  <si>
    <t xml:space="preserve">Vitis x interspécifique cv. Seibel 7672</t>
  </si>
  <si>
    <t xml:space="preserve">Vitis x interspécifique cv. Seibel 7673</t>
  </si>
  <si>
    <t xml:space="preserve">Vitis x interspécifique cv. Seibel 7721</t>
  </si>
  <si>
    <t xml:space="preserve">Vitis x interspécifique cv. Seibel 7787</t>
  </si>
  <si>
    <t xml:space="preserve">Vitis x interspécifique cv. Seibel 7791</t>
  </si>
  <si>
    <t xml:space="preserve">Vitis x interspécifique cv. Seibel 78</t>
  </si>
  <si>
    <t xml:space="preserve">Vitis x interspécifique cv. Seibel 7808</t>
  </si>
  <si>
    <t xml:space="preserve">Vitis x interspécifique cv. Seibel 782</t>
  </si>
  <si>
    <t xml:space="preserve">Vitis x interspécifique cv. Seibel 7822</t>
  </si>
  <si>
    <t xml:space="preserve">Vitis x interspécifique cv. Seibel 7828</t>
  </si>
  <si>
    <t xml:space="preserve">Vitis x interspécifique cv. Seibel 7833</t>
  </si>
  <si>
    <t xml:space="preserve">Vitis x interspécifique cv. Seibel 7871</t>
  </si>
  <si>
    <t xml:space="preserve">Vitis x interspécifique cv. Seibel 7882</t>
  </si>
  <si>
    <t xml:space="preserve">Vitis x interspécifique cv. Seibel 7892</t>
  </si>
  <si>
    <t xml:space="preserve">Vitis x interspécifique cv. Seibel 7905</t>
  </si>
  <si>
    <t xml:space="preserve">Vitis x interspécifique cv. Seibel 7963</t>
  </si>
  <si>
    <t xml:space="preserve">Vitis x interspécifique cv. Seibel 7984</t>
  </si>
  <si>
    <t xml:space="preserve">Vitis x interspécifique cv. Seibel 8</t>
  </si>
  <si>
    <t xml:space="preserve">Vitis x interspécifique cv. Seibel 8101</t>
  </si>
  <si>
    <t xml:space="preserve">Vitis x interspécifique cv. Seibel 8116</t>
  </si>
  <si>
    <t xml:space="preserve">Vitis x interspécifique cv. Seibel 8120</t>
  </si>
  <si>
    <t xml:space="preserve">Vitis x interspécifique cv. Seibel 8134</t>
  </si>
  <si>
    <t xml:space="preserve">Vitis x interspécifique cv. Seibel 82</t>
  </si>
  <si>
    <t xml:space="preserve">Vitis x interspécifique cv. Seibel 8203</t>
  </si>
  <si>
    <t xml:space="preserve">Vitis x interspécifique cv. Seibel 8206</t>
  </si>
  <si>
    <t xml:space="preserve">Vitis x interspécifique cv. Seibel 8209</t>
  </si>
  <si>
    <t xml:space="preserve">Vitis x interspécifique cv. Seibel 8213</t>
  </si>
  <si>
    <t xml:space="preserve">Vitis x interspécifique cv. Seibel 8214</t>
  </si>
  <si>
    <t xml:space="preserve">Vitis x interspécifique cv. Seibel 8216</t>
  </si>
  <si>
    <t xml:space="preserve">Vitis x interspécifique cv. Seibel 8217</t>
  </si>
  <si>
    <t xml:space="preserve">Vitis x interspécifique cv. Seibel 8218</t>
  </si>
  <si>
    <t xml:space="preserve">Vitis x interspécifique cv. Seibel 8219</t>
  </si>
  <si>
    <t xml:space="preserve">Vitis x interspécifique cv. Seibel 8220</t>
  </si>
  <si>
    <t xml:space="preserve">Vitis x interspécifique cv. Seibel 8223</t>
  </si>
  <si>
    <t xml:space="preserve">Vitis x interspécifique cv. Seibel 8224</t>
  </si>
  <si>
    <t xml:space="preserve">Vitis x interspécifique cv. Seibel 8225</t>
  </si>
  <si>
    <t xml:space="preserve">Vitis x interspécifique cv. Seibel 8229</t>
  </si>
  <si>
    <t xml:space="preserve">Vitis x interspécifique cv. Seibel 8231</t>
  </si>
  <si>
    <t xml:space="preserve">Vitis x interspécifique cv. Seibel 8238</t>
  </si>
  <si>
    <t xml:space="preserve">Vitis x interspécifique cv. Seibel 8239</t>
  </si>
  <si>
    <t xml:space="preserve">Vitis x interspécifique cv. Seibel 8243</t>
  </si>
  <si>
    <t xml:space="preserve">Vitis x interspécifique cv. Seibel 8259</t>
  </si>
  <si>
    <t xml:space="preserve">Vitis x interspécifique cv. Seibel 8265</t>
  </si>
  <si>
    <t xml:space="preserve">Vitis x interspécifique cv. Seibel 8336</t>
  </si>
  <si>
    <t xml:space="preserve">Vitis x interspécifique cv. Seibel 8337</t>
  </si>
  <si>
    <t xml:space="preserve">Vitis x interspécifique cv. Seibel 8343</t>
  </si>
  <si>
    <t xml:space="preserve">Vitis x interspécifique cv. Seibel 8355</t>
  </si>
  <si>
    <t xml:space="preserve">Vitis x interspécifique cv. Seibel 8361</t>
  </si>
  <si>
    <t xml:space="preserve">Vitis x interspécifique cv. Seibel 8365</t>
  </si>
  <si>
    <t xml:space="preserve">Vitis x interspécifique cv. Seibel 8376</t>
  </si>
  <si>
    <t xml:space="preserve">Vitis x interspécifique cv. Seibel 8380</t>
  </si>
  <si>
    <t xml:space="preserve">Vitis x interspécifique cv. Seibel 8382</t>
  </si>
  <si>
    <t xml:space="preserve">Vitis x interspécifique cv. Seibel 8390</t>
  </si>
  <si>
    <t xml:space="preserve">Vitis x interspécifique cv. Seibel 8392</t>
  </si>
  <si>
    <t xml:space="preserve">Vitis x interspécifique cv. Seibel 8397</t>
  </si>
  <si>
    <t xml:space="preserve">Vitis x interspécifique cv. Seibel 8402</t>
  </si>
  <si>
    <t xml:space="preserve">Vitis x interspécifique cv. Seibel 8407</t>
  </si>
  <si>
    <t xml:space="preserve">Vitis x interspécifique cv. Seibel 8418</t>
  </si>
  <si>
    <t xml:space="preserve">Vitis x interspécifique cv. Seibel 8447</t>
  </si>
  <si>
    <t xml:space="preserve">Vitis x interspécifique cv. Seibel 85</t>
  </si>
  <si>
    <t xml:space="preserve">Vitis x interspécifique cv. Seibel 8515</t>
  </si>
  <si>
    <t xml:space="preserve">Vitis x interspécifique cv. Seibel 8541</t>
  </si>
  <si>
    <t xml:space="preserve">Vitis x interspécifique cv. Seibel 8602</t>
  </si>
  <si>
    <t xml:space="preserve">Vitis x interspécifique cv. Seibel 8611</t>
  </si>
  <si>
    <t xml:space="preserve">Vitis x interspécifique cv. Seibel 8616</t>
  </si>
  <si>
    <t xml:space="preserve">Vitis x interspécifique cv. Seibel 8620</t>
  </si>
  <si>
    <t xml:space="preserve">Vitis x interspécifique cv. Seibel 8647</t>
  </si>
  <si>
    <t xml:space="preserve">Vitis x interspécifique cv. Seibel 867</t>
  </si>
  <si>
    <t xml:space="preserve">Vitis x interspécifique cv. Seibel 8675</t>
  </si>
  <si>
    <t xml:space="preserve">Vitis x interspécifique cv. Seibel 8678</t>
  </si>
  <si>
    <t xml:space="preserve">Vitis x interspécifique cv. Seibel 87</t>
  </si>
  <si>
    <t xml:space="preserve">Vitis x interspécifique cv. Seibel 8704</t>
  </si>
  <si>
    <t xml:space="preserve">Vitis x interspécifique cv. Seibel 8710</t>
  </si>
  <si>
    <t xml:space="preserve">Vitis x interspécifique cv. Seibel 8712</t>
  </si>
  <si>
    <t xml:space="preserve">Vitis x interspécifique cv. Seibel 8713</t>
  </si>
  <si>
    <t xml:space="preserve">Vitis x interspécifique cv. Seibel 8716</t>
  </si>
  <si>
    <t xml:space="preserve">Vitis x interspécifique cv. Seibel 8717</t>
  </si>
  <si>
    <t xml:space="preserve">Vitis x interspécifique cv. Seibel 8718</t>
  </si>
  <si>
    <t xml:space="preserve">Vitis x interspécifique cv. Seibel 8719</t>
  </si>
  <si>
    <t xml:space="preserve">Vitis x interspécifique cv. Seibel 8724</t>
  </si>
  <si>
    <t xml:space="preserve">Vitis x interspécifique cv. Seibel 8731</t>
  </si>
  <si>
    <t xml:space="preserve">Vitis x interspécifique cv. Seibel 8744</t>
  </si>
  <si>
    <t xml:space="preserve">Vitis x interspécifique cv. Seibel 8748</t>
  </si>
  <si>
    <t xml:space="preserve">Vitis x interspécifique cv. Seibel 8753</t>
  </si>
  <si>
    <t xml:space="preserve">Vitis x interspécifique cv. Seibel 8764</t>
  </si>
  <si>
    <t xml:space="preserve">Vitis x interspécifique cv. Seibel 877</t>
  </si>
  <si>
    <t xml:space="preserve">Vitis x interspécifique cv. Seibel 8786</t>
  </si>
  <si>
    <t xml:space="preserve">Vitis x interspécifique cv. Seibel 880</t>
  </si>
  <si>
    <t xml:space="preserve">Vitis x interspécifique cv. Seibel 8818</t>
  </si>
  <si>
    <t xml:space="preserve">Vitis x interspécifique cv. Seibel 8820</t>
  </si>
  <si>
    <t xml:space="preserve">Vitis x interspécifique cv. Seibel 8824</t>
  </si>
  <si>
    <t xml:space="preserve">Vitis x interspécifique cv. Seibel 8831</t>
  </si>
  <si>
    <t xml:space="preserve">Vitis x interspécifique cv. Seibel 8902</t>
  </si>
  <si>
    <t xml:space="preserve">Vitis x interspécifique cv. Seibel 8906</t>
  </si>
  <si>
    <t xml:space="preserve">Vitis x interspécifique cv. Seibel 8907</t>
  </si>
  <si>
    <t xml:space="preserve">Vitis x interspécifique cv. Seibel 8916</t>
  </si>
  <si>
    <t xml:space="preserve">Vitis x interspécifique cv. Seibel 8917</t>
  </si>
  <si>
    <t xml:space="preserve">Vitis x interspécifique cv. Seibel 8943</t>
  </si>
  <si>
    <t xml:space="preserve">Vitis x interspécifique cv. Seibel 8954</t>
  </si>
  <si>
    <t xml:space="preserve">Vitis x interspécifique cv. Seibel 8974</t>
  </si>
  <si>
    <t xml:space="preserve">Vitis x interspécifique cv. Seibel 9008</t>
  </si>
  <si>
    <t xml:space="preserve">Vitis x interspécifique cv. Seibel 9045</t>
  </si>
  <si>
    <t xml:space="preserve">Vitis x interspécifique cv. Seibel 9095</t>
  </si>
  <si>
    <t xml:space="preserve">Vitis x interspécifique cv. Seibel 9110</t>
  </si>
  <si>
    <t xml:space="preserve">Vitis x interspécifique cv. Seibel 9116</t>
  </si>
  <si>
    <t xml:space="preserve">Vitis x interspécifique cv. Seibel 9123</t>
  </si>
  <si>
    <t xml:space="preserve">Vitis x interspécifique cv. Seibel 9175</t>
  </si>
  <si>
    <t xml:space="preserve">Vitis x interspécifique cv. Seibel 9246</t>
  </si>
  <si>
    <t xml:space="preserve">Vitis x interspécifique cv. Seibel 9249</t>
  </si>
  <si>
    <t xml:space="preserve">Vitis x interspécifique cv. Seibel 9413</t>
  </si>
  <si>
    <t xml:space="preserve">Vitis x interspécifique cv. Seibel 9458</t>
  </si>
  <si>
    <t xml:space="preserve">Vitis x interspécifique cv. Seibel 9569</t>
  </si>
  <si>
    <t xml:space="preserve">Vitis x interspécifique cv. Seibel 9780</t>
  </si>
  <si>
    <t xml:space="preserve">Vitis x interspécifique cv. Seibel 9872</t>
  </si>
  <si>
    <t xml:space="preserve">Vitis x interspécifique cv. Seibel 9875/8</t>
  </si>
  <si>
    <t xml:space="preserve">Vitis x interspécifique cv. Seibel 9932</t>
  </si>
  <si>
    <t xml:space="preserve">Vitis x interspécifique cv. Seinoir = Seibel 8745</t>
  </si>
  <si>
    <t xml:space="preserve">Vitis x interspécifique cv. Semis de 41 B (Malleu)</t>
  </si>
  <si>
    <t xml:space="preserve">Vitis x interspécifique cv. Seyval = Seyve-Villard 5-276</t>
  </si>
  <si>
    <t xml:space="preserve">Vitis x interspécifique cv. Seyve Villard 23-23</t>
  </si>
  <si>
    <t xml:space="preserve">Vitis x interspécifique cv. Seyve-Villard 10-271</t>
  </si>
  <si>
    <t xml:space="preserve">Vitis x interspécifique cv. Seyve-Villard 10-300</t>
  </si>
  <si>
    <t xml:space="preserve">Vitis x interspécifique cv. Seyve-Villard 10-319</t>
  </si>
  <si>
    <t xml:space="preserve">Vitis x interspécifique cv. Seyve-Villard 10-347</t>
  </si>
  <si>
    <t xml:space="preserve">Vitis x interspécifique cv. Seyve-Villard 11-318</t>
  </si>
  <si>
    <t xml:space="preserve">Vitis x interspécifique cv. Seyve-Villard 12-129</t>
  </si>
  <si>
    <t xml:space="preserve">Vitis x interspécifique cv. Seyve-Villard 12-132</t>
  </si>
  <si>
    <t xml:space="preserve">Vitis x interspécifique cv. Seyve-Villard 12-259</t>
  </si>
  <si>
    <t xml:space="preserve">Vitis x interspécifique cv. Seyve-Villard 12-267</t>
  </si>
  <si>
    <t xml:space="preserve">Vitis x interspécifique cv. Seyve-Villard 12-286</t>
  </si>
  <si>
    <t xml:space="preserve">Vitis x interspécifique cv. Seyve-Villard 12-303</t>
  </si>
  <si>
    <t xml:space="preserve">Vitis x interspécifique cv. Seyve-Villard 12-308</t>
  </si>
  <si>
    <t xml:space="preserve">Vitis x interspécifique cv. Seyve-Villard 12-327</t>
  </si>
  <si>
    <t xml:space="preserve">Vitis x interspécifique cv. Seyve-Villard 12-328</t>
  </si>
  <si>
    <t xml:space="preserve">Vitis x interspécifique cv. Seyve-Villard 12-331</t>
  </si>
  <si>
    <t xml:space="preserve">Vitis x interspécifique cv. Seyve-Villard 12-347</t>
  </si>
  <si>
    <t xml:space="preserve">Vitis x interspécifique cv. Seyve-Villard 12-358</t>
  </si>
  <si>
    <t xml:space="preserve">Vitis x interspécifique cv. Seyve-Villard 12-364</t>
  </si>
  <si>
    <t xml:space="preserve">Vitis x interspécifique cv. Seyve-Villard 12-390</t>
  </si>
  <si>
    <t xml:space="preserve">Vitis x interspécifique cv. Seyve-Villard 12-391</t>
  </si>
  <si>
    <t xml:space="preserve">Vitis x interspécifique cv. Seyve-Villard 12-395</t>
  </si>
  <si>
    <t xml:space="preserve">Vitis x interspécifique cv. Seyve-Villard 12-397</t>
  </si>
  <si>
    <t xml:space="preserve">Vitis x interspécifique cv. Seyve-Villard 12-401</t>
  </si>
  <si>
    <t xml:space="preserve">Vitis x interspécifique cv. Seyve-Villard 12-413</t>
  </si>
  <si>
    <t xml:space="preserve">Vitis x interspécifique cv. Seyve-Villard 12-417</t>
  </si>
  <si>
    <t xml:space="preserve">Vitis x interspécifique cv. Seyve-Villard 12-426</t>
  </si>
  <si>
    <t xml:space="preserve">Vitis x interspécifique cv. Seyve-Villard 12-474</t>
  </si>
  <si>
    <t xml:space="preserve">Vitis x interspécifique cv. Seyve-Villard 12-481</t>
  </si>
  <si>
    <t xml:space="preserve">Vitis x interspécifique cv. Seyve-Villard 12-622</t>
  </si>
  <si>
    <t xml:space="preserve">Vitis x interspécifique cv. Seyve-Villard 12-734</t>
  </si>
  <si>
    <t xml:space="preserve">Vitis x interspécifique cv. Seyve-Villard 12-789</t>
  </si>
  <si>
    <t xml:space="preserve">Vitis x interspécifique cv. Seyve-Villard 13-359</t>
  </si>
  <si>
    <t xml:space="preserve">Vitis x interspécifique cv. Seyve-Villard 14-270</t>
  </si>
  <si>
    <t xml:space="preserve">Vitis x interspécifique cv. Seyve-Villard 14-281</t>
  </si>
  <si>
    <t xml:space="preserve">Vitis x interspécifique cv. Seyve-Villard 14-287</t>
  </si>
  <si>
    <t xml:space="preserve">Vitis x interspécifique cv. Seyve-Villard 14-472</t>
  </si>
  <si>
    <t xml:space="preserve">Vitis x interspécifique cv. Seyve-Villard 15-151</t>
  </si>
  <si>
    <t xml:space="preserve">Vitis x interspécifique cv. Seyve-Villard 15-174</t>
  </si>
  <si>
    <t xml:space="preserve">Vitis x interspécifique cv. Seyve-Villard 15-403</t>
  </si>
  <si>
    <t xml:space="preserve">Vitis x interspécifique cv. Seyve-Villard 15-505</t>
  </si>
  <si>
    <t xml:space="preserve">Vitis x interspécifique cv. Seyve-Villard 16-207</t>
  </si>
  <si>
    <t xml:space="preserve">Vitis x interspécifique cv. Seyve-Villard 1-72</t>
  </si>
  <si>
    <t xml:space="preserve">Vitis x interspécifique cv. Seyve-Villard 18-118</t>
  </si>
  <si>
    <t xml:space="preserve">Vitis x interspécifique cv. Seyve-Villard 18-304</t>
  </si>
  <si>
    <t xml:space="preserve">Vitis x interspécifique cv. Seyve-Villard 18-307</t>
  </si>
  <si>
    <t xml:space="preserve">Vitis x interspécifique cv. Seyve-Villard 18-402</t>
  </si>
  <si>
    <t xml:space="preserve">Vitis x interspécifique cv. Seyve-Villard 18-422</t>
  </si>
  <si>
    <t xml:space="preserve">Vitis x interspécifique cv. Seyve-Villard 18-425</t>
  </si>
  <si>
    <t xml:space="preserve">Vitis x interspécifique cv. Seyve-Villard 19-159</t>
  </si>
  <si>
    <t xml:space="preserve">Vitis x interspécifique cv. Seyve-Villard 19-228</t>
  </si>
  <si>
    <t xml:space="preserve">Vitis x interspécifique cv. Seyve-Villard 19-233</t>
  </si>
  <si>
    <t xml:space="preserve">Vitis x interspécifique cv. Seyve-Villard 19-275</t>
  </si>
  <si>
    <t xml:space="preserve">Vitis x interspécifique cv. Seyve-Villard 19-409</t>
  </si>
  <si>
    <t xml:space="preserve">Vitis x interspécifique cv. Seyve-Villard 19-410</t>
  </si>
  <si>
    <t xml:space="preserve">Vitis x interspécifique cv. Seyve-Villard 19-421</t>
  </si>
  <si>
    <t xml:space="preserve">Vitis x interspécifique cv. Seyve-Villard 19-439</t>
  </si>
  <si>
    <t xml:space="preserve">Vitis x interspécifique cv. Seyve-Villard 22-130</t>
  </si>
  <si>
    <t xml:space="preserve">Vitis x interspécifique cv. Seyve-Villard 22-140</t>
  </si>
  <si>
    <t xml:space="preserve">Vitis x interspécifique cv. Seyve-Villard 22-228</t>
  </si>
  <si>
    <t xml:space="preserve">Vitis x interspécifique cv. Seyve-Villard 22-25</t>
  </si>
  <si>
    <t xml:space="preserve">Vitis x interspécifique cv. Seyve-Villard 23-10</t>
  </si>
  <si>
    <t xml:space="preserve">Vitis x interspécifique cv. Seyve-Villard 23-118</t>
  </si>
  <si>
    <t xml:space="preserve">Vitis x interspécifique cv. Seyve-Villard 23120</t>
  </si>
  <si>
    <t xml:space="preserve">Vitis x interspécifique cv. Seyve-Villard 23-18</t>
  </si>
  <si>
    <t xml:space="preserve">Vitis x interspécifique cv. Seyve-Villard 23-251</t>
  </si>
  <si>
    <t xml:space="preserve">Vitis x interspécifique cv. Seyve-Villard 23-286</t>
  </si>
  <si>
    <t xml:space="preserve">Vitis x interspécifique cv. Seyve-Villard 23-296</t>
  </si>
  <si>
    <t xml:space="preserve">Vitis x interspécifique cv. Seyve-Villard 23-314</t>
  </si>
  <si>
    <t xml:space="preserve">Vitis x interspécifique cv. Seyve-Villard 23-346</t>
  </si>
  <si>
    <t xml:space="preserve">Vitis x interspécifique cv. Seyve-Villard 23-350</t>
  </si>
  <si>
    <t xml:space="preserve">Vitis x interspécifique cv. Seyve-Villard 23-353</t>
  </si>
  <si>
    <t xml:space="preserve">Vitis x interspécifique cv. Seyve-Villard 23-356</t>
  </si>
  <si>
    <t xml:space="preserve">Vitis x interspécifique cv. Seyve-Villard 23-359</t>
  </si>
  <si>
    <t xml:space="preserve">Vitis x interspécifique cv. Seyve-Villard 23-36</t>
  </si>
  <si>
    <t xml:space="preserve">Vitis x interspécifique cv. Seyve-Villard 23-369</t>
  </si>
  <si>
    <t xml:space="preserve">Vitis x interspécifique cv. Seyve-Villard 23-400</t>
  </si>
  <si>
    <t xml:space="preserve">Vitis x interspécifique cv. Seyve-Villard 23-421</t>
  </si>
  <si>
    <t xml:space="preserve">Vitis x interspécifique cv. Seyve-Villard 23-501</t>
  </si>
  <si>
    <t xml:space="preserve">Vitis x interspécifique cv. Seyve-Villard 23-502</t>
  </si>
  <si>
    <t xml:space="preserve">Vitis x interspécifique cv. Seyve-Villard 23-504</t>
  </si>
  <si>
    <t xml:space="preserve">Vitis x interspécifique cv. Seyve-Villard 23-510</t>
  </si>
  <si>
    <t xml:space="preserve">Vitis x interspécifique cv. Seyve-Villard 23-512</t>
  </si>
  <si>
    <t xml:space="preserve">Vitis x interspécifique cv. Seyve-Villard 23-519</t>
  </si>
  <si>
    <t xml:space="preserve">Vitis x interspécifique cv. Seyve-Villard 23-545</t>
  </si>
  <si>
    <t xml:space="preserve">Vitis x interspécifique cv. Seyve-Villard 23-564</t>
  </si>
  <si>
    <t xml:space="preserve">Vitis x interspécifique cv. Seyve-Villard 23-841</t>
  </si>
  <si>
    <t xml:space="preserve">Vitis x interspécifique cv. Seyve-Villard 23-898</t>
  </si>
  <si>
    <t xml:space="preserve">Vitis x interspécifique cv. Seyve-Villard 24-280</t>
  </si>
  <si>
    <t xml:space="preserve">Vitis x interspécifique cv. Seyve-Villard 24-282</t>
  </si>
  <si>
    <t xml:space="preserve">Vitis x interspécifique cv. Seyve-Villard 24-397</t>
  </si>
  <si>
    <t xml:space="preserve">Vitis x interspécifique cv. Seyve-Villard 24-418</t>
  </si>
  <si>
    <t xml:space="preserve">Vitis x interspécifique cv. Seyve-Villard 24-520</t>
  </si>
  <si>
    <t xml:space="preserve">Vitis x interspécifique cv. Seyve-Villard 24-531</t>
  </si>
  <si>
    <t xml:space="preserve">Vitis x interspécifique cv. Seyve-Villard 24-535</t>
  </si>
  <si>
    <t xml:space="preserve">Vitis x interspécifique cv. Seyve-Villard 24-614</t>
  </si>
  <si>
    <t xml:space="preserve">Vitis x interspécifique cv. Seyve-Villard 26-166</t>
  </si>
  <si>
    <t xml:space="preserve">Vitis x interspécifique cv. Seyve-Villard 26-205</t>
  </si>
  <si>
    <t xml:space="preserve">Vitis x interspécifique cv. Seyve-Villard 26-482</t>
  </si>
  <si>
    <t xml:space="preserve">Vitis x interspécifique cv. Seyve-Villard 26-490</t>
  </si>
  <si>
    <t xml:space="preserve">Vitis x interspécifique cv. Seyve-Villard 26-924</t>
  </si>
  <si>
    <t xml:space="preserve">Vitis x interspécifique cv. Seyve-Villard 27-236</t>
  </si>
  <si>
    <t xml:space="preserve">Vitis x interspécifique cv. Seyve-Villard 27-350</t>
  </si>
  <si>
    <t xml:space="preserve">Vitis x interspécifique cv. Seyve-Villard 27-531</t>
  </si>
  <si>
    <t xml:space="preserve">Vitis x interspécifique cv. Seyve-Villard 27-91</t>
  </si>
  <si>
    <t xml:space="preserve">Vitis x interspécifique cv. Seyve-Villard 28-415</t>
  </si>
  <si>
    <t xml:space="preserve">Vitis x interspécifique cv. Seyve-Villard 28-497</t>
  </si>
  <si>
    <t xml:space="preserve">Vitis x interspécifique cv. Seyve-Villard 28-527</t>
  </si>
  <si>
    <t xml:space="preserve">Vitis x interspécifique cv. Seyve-Villard 28-86</t>
  </si>
  <si>
    <t xml:space="preserve">Vitis x interspécifique cv. Seyve-Villard 29-399</t>
  </si>
  <si>
    <t xml:space="preserve">Vitis x interspécifique cv. Seyve-Villard 30-5</t>
  </si>
  <si>
    <t xml:space="preserve">Vitis x interspécifique cv. Seyve-Villard 30-56</t>
  </si>
  <si>
    <t xml:space="preserve">Vitis x interspécifique cv. Seyve-Villard 31-358</t>
  </si>
  <si>
    <t xml:space="preserve">Vitis x interspécifique cv. Seyve-Villard 3-160</t>
  </si>
  <si>
    <t xml:space="preserve">Vitis x interspécifique cv. Seyve-Villard 33-412</t>
  </si>
  <si>
    <t xml:space="preserve">Vitis x interspécifique cv. Seyve-Villard 34-211</t>
  </si>
  <si>
    <t xml:space="preserve">Vitis x interspécifique cv. Seyve-Villard 34-273</t>
  </si>
  <si>
    <t xml:space="preserve">Vitis x interspécifique cv. Seyve-Villard 36-152</t>
  </si>
  <si>
    <t xml:space="preserve">Vitis x interspécifique cv. Seyve-Villard 39-229</t>
  </si>
  <si>
    <t xml:space="preserve">Vitis x interspécifique cv. Seyve-Villard 39-522</t>
  </si>
  <si>
    <t xml:space="preserve">Vitis x interspécifique cv. Seyve-Villard 39-639</t>
  </si>
  <si>
    <t xml:space="preserve">Vitis x interspécifique cv. Seyve-Villard 41-471</t>
  </si>
  <si>
    <t xml:space="preserve">Vitis x interspécifique cv. Seyve-Villard 43-438</t>
  </si>
  <si>
    <t xml:space="preserve">Vitis x interspécifique cv. Seyve-Villard 45-440</t>
  </si>
  <si>
    <t xml:space="preserve">Vitis x interspécifique cv. Seyve-Villard 46-215</t>
  </si>
  <si>
    <t xml:space="preserve">Vitis x interspécifique cv. Seyve-Villard 46-434</t>
  </si>
  <si>
    <t xml:space="preserve">Vitis x interspécifique cv. Seyve-Villard 5-247</t>
  </si>
  <si>
    <t xml:space="preserve">Vitis x interspécifique cv. Seyve-Villard 7-111</t>
  </si>
  <si>
    <t xml:space="preserve">Vitis x interspécifique cv. Seyve-Villard 7-135</t>
  </si>
  <si>
    <t xml:space="preserve">Vitis x interspécifique cv. Seyve-Villard 7-216</t>
  </si>
  <si>
    <t xml:space="preserve">Vitis x interspécifique cv. Seyve-Villard 7-235</t>
  </si>
  <si>
    <t xml:space="preserve">Vitis x interspécifique cv. Siegfried rèbe</t>
  </si>
  <si>
    <t xml:space="preserve">Vitis x interspécifique cv. Sioux</t>
  </si>
  <si>
    <t xml:space="preserve">Vitis x interspécifique cv. Sirius</t>
  </si>
  <si>
    <t xml:space="preserve">Vitis x interspécifique cv. Solaris</t>
  </si>
  <si>
    <t xml:space="preserve">Vitis x interspécifique cv. Solonis</t>
  </si>
  <si>
    <t xml:space="preserve">Vitis x interspécifique cv. Solonis x Goldriesling</t>
  </si>
  <si>
    <t xml:space="preserve">Vitis x interspécifique cv. Sori = 353 Geisenheim</t>
  </si>
  <si>
    <t xml:space="preserve">Vitis x interspécifique cv. SO4 = Sélection Oppenheim 4</t>
  </si>
  <si>
    <t xml:space="preserve">Vitis x interspécifique cv. Staufer</t>
  </si>
  <si>
    <t xml:space="preserve">Vitis x interspécifique cv. Sulima</t>
  </si>
  <si>
    <t xml:space="preserve">Vitis x interspécifique cv. Super 99 Richter</t>
  </si>
  <si>
    <t xml:space="preserve">Vitis x interspécifique cv. Superbe</t>
  </si>
  <si>
    <t xml:space="preserve">Vitis x interspécifique cv. Surfin blanc</t>
  </si>
  <si>
    <t xml:space="preserve">Vitis x interspécifique cv. Sylvestre Warre</t>
  </si>
  <si>
    <t xml:space="preserve">Vitis x interspécifique cv. Takao</t>
  </si>
  <si>
    <t xml:space="preserve">Vitis x interspécifique cv. Tank = Couderc 4401</t>
  </si>
  <si>
    <t xml:space="preserve">Vitis x interspécifique cv. Téhère doré = Tissier Ravat 578</t>
  </si>
  <si>
    <t xml:space="preserve">Vitis x interspécifique cv. Teleki 10 A</t>
  </si>
  <si>
    <t xml:space="preserve">Vitis x interspécifique cv. Teresa Pirovano = Pirovano 192</t>
  </si>
  <si>
    <t xml:space="preserve">Vitis x interspécifique cv. Termidoro = Pirovano 33</t>
  </si>
  <si>
    <t xml:space="preserve">Vitis x interspécifique cv. Terzi 1</t>
  </si>
  <si>
    <t xml:space="preserve">Vitis x interspécifique cv. Terzi 108-6</t>
  </si>
  <si>
    <t xml:space="preserve">Vitis x interspécifique cv. Terzi 111-4</t>
  </si>
  <si>
    <t xml:space="preserve">Vitis x interspécifique cv. Terzi 1-6</t>
  </si>
  <si>
    <t xml:space="preserve">Vitis x interspécifique cv. Terzi 6-26</t>
  </si>
  <si>
    <t xml:space="preserve">Vitis x interspécifique cv. Terzi 6-6</t>
  </si>
  <si>
    <t xml:space="preserve">Vitis x interspécifique cv. Terzi 72-6</t>
  </si>
  <si>
    <t xml:space="preserve">Vitis x interspécifique cv. Terzi 78-13</t>
  </si>
  <si>
    <t xml:space="preserve">Vitis x interspécifique cv. Tinctarel n° 2 = Galibert 182-15</t>
  </si>
  <si>
    <t xml:space="preserve">Vitis x interspécifique cv. Tinctarel N°1 = Galibert 182-14</t>
  </si>
  <si>
    <t xml:space="preserve">Vitis x interspécifique cv. Tôtmur = Baco 2-16</t>
  </si>
  <si>
    <t xml:space="preserve">Vitis x interspécifique cv. Tréblanc</t>
  </si>
  <si>
    <t xml:space="preserve">Vitis x interspécifique cv. Triomphe d'Alsace = Kühlmann 319-3</t>
  </si>
  <si>
    <t xml:space="preserve">Vitis x interspécifique cv. Union Village</t>
  </si>
  <si>
    <t xml:space="preserve">Vitis x interspécifique cv. Uvade blanche n° 1 = Galibert 221-32</t>
  </si>
  <si>
    <t xml:space="preserve">Vitis x interspécifique cv. Uvade blanche n° 3 = Galibert 223-61</t>
  </si>
  <si>
    <t xml:space="preserve">Vitis x interspécifique cv. Uvade blanche n°2 = Galibert 223-59</t>
  </si>
  <si>
    <t xml:space="preserve">Vitis x interspécifique cv. Uvade blanche n°4 = Galibert 223-77</t>
  </si>
  <si>
    <t xml:space="preserve">Vitis x interspécifique cv. Uvanère</t>
  </si>
  <si>
    <t xml:space="preserve">Vitis x interspécifique cv. Uvette blanche n°1 = Galibert 239-41</t>
  </si>
  <si>
    <t xml:space="preserve">Vitis x interspécifique cv. Uvette blanche n°2 = Galibert 239-44</t>
  </si>
  <si>
    <t xml:space="preserve">Vitis x interspécifique cv. Uvette dorée n°1 = Galibert 230-91</t>
  </si>
  <si>
    <t xml:space="preserve">Vitis x interspécifique cv. Uvette dorée n°2 = Galibert 238-70</t>
  </si>
  <si>
    <t xml:space="preserve">Vitis x interspécifique cv. Uvine</t>
  </si>
  <si>
    <t xml:space="preserve">Vitis x interspécifique cv. V 15</t>
  </si>
  <si>
    <t xml:space="preserve">Vitis x interspécifique cv. Valérien = Seyve-Villard 23-410</t>
  </si>
  <si>
    <t xml:space="preserve">Vitis x interspécifique cv. Varousset = Seyve-Villard 23-657</t>
  </si>
  <si>
    <t xml:space="preserve">Vitis x interspécifique cv. Venango</t>
  </si>
  <si>
    <t xml:space="preserve">Vitis x interspécifique cv. Vialla</t>
  </si>
  <si>
    <t xml:space="preserve">Vitis x interspécifique cv. Victoire = Kühlmann 272-1</t>
  </si>
  <si>
    <t xml:space="preserve">Vitis x interspécifique cv. Vidal 254</t>
  </si>
  <si>
    <t xml:space="preserve">Vitis x interspécifique cv. Vidal 256</t>
  </si>
  <si>
    <t xml:space="preserve">Vitis x interspécifique cv. Vidal 286</t>
  </si>
  <si>
    <t xml:space="preserve">Vitis x interspécifique cv. Villard blanc = Seyve-Villard 12-375</t>
  </si>
  <si>
    <t xml:space="preserve">Vitis x interspécifique cv. Villard noir = Seyve-Villard 18-315</t>
  </si>
  <si>
    <t xml:space="preserve">Vitis x interspécifique cv. vinifera x aestivalis</t>
  </si>
  <si>
    <t xml:space="preserve">Vitis x interspécifique cv. vinifera x aestivalis x labrusca</t>
  </si>
  <si>
    <t xml:space="preserve">Vitis x interspécifique cv. vinifera x berlandieri</t>
  </si>
  <si>
    <t xml:space="preserve">Vitis x interspécifique cv. vinifera x californica</t>
  </si>
  <si>
    <t xml:space="preserve">Vitis x interspécifique cv. Vosgien</t>
  </si>
  <si>
    <t xml:space="preserve">Vitis x interspécifique cv. Wilhelma 1</t>
  </si>
  <si>
    <t xml:space="preserve">Vitis x interspécifique cv. Wilson grape = Kühlmann 252-1</t>
  </si>
  <si>
    <t xml:space="preserve">Vitis x interspécifique cv. 10-11</t>
  </si>
  <si>
    <t xml:space="preserve">Vitis x interspécifique cv. 101-14 MGT = Millardet et de Grasset 101-14</t>
  </si>
  <si>
    <t xml:space="preserve">Vitis x interspécifique cv. 102 EM</t>
  </si>
  <si>
    <t xml:space="preserve">Vitis x interspécifique cv. 10-5</t>
  </si>
  <si>
    <t xml:space="preserve">Vitis x interspécifique cv. 110 R = Richter 110</t>
  </si>
  <si>
    <t xml:space="preserve">Vitis x interspécifique cv. 1103 Pa = Paulsen 1103</t>
  </si>
  <si>
    <t xml:space="preserve">Vitis x interspécifique cv. 125 AA = Kober 125 AA</t>
  </si>
  <si>
    <t xml:space="preserve">Vitis x interspécifique cv. 136 EM</t>
  </si>
  <si>
    <t xml:space="preserve">Vitis x interspécifique cv. 140 Ru = Ruggeri 140</t>
  </si>
  <si>
    <t xml:space="preserve">Vitis x interspécifique cv. 142 EM</t>
  </si>
  <si>
    <t xml:space="preserve">Vitis x interspécifique cv. 1447 Pa = Paulsen 1447</t>
  </si>
  <si>
    <t xml:space="preserve">Vitis x interspécifique cv. 161-49 C = Couderc 161-49</t>
  </si>
  <si>
    <t xml:space="preserve">Vitis x interspécifique cv. 1616 C = Couderc 1616</t>
  </si>
  <si>
    <t xml:space="preserve">Vitis x interspécifique cv. 196-17 Cl = Castel 196-17</t>
  </si>
  <si>
    <t xml:space="preserve">Vitis x interspécifique cv. 216-3 Cl = Castel 216-3</t>
  </si>
  <si>
    <t xml:space="preserve">Vitis x interspécifique cv. 33 EM</t>
  </si>
  <si>
    <t xml:space="preserve">Vitis x interspécifique cv. 3309 C = Couderc 3309</t>
  </si>
  <si>
    <t xml:space="preserve">Vitis x interspécifique cv. 333 EM = 333 Ecole de Montpellier</t>
  </si>
  <si>
    <t xml:space="preserve">Vitis x interspécifique cv. 34 EM = 34 Ecole de Montpellier</t>
  </si>
  <si>
    <t xml:space="preserve">Vitis x interspécifique cv. 4010 Cl = Castel 4010</t>
  </si>
  <si>
    <t xml:space="preserve">Vitis x interspécifique cv. 41 B = Millardet et de Grasset 41 B</t>
  </si>
  <si>
    <t xml:space="preserve">Vitis x interspécifique cv. 420 A = Millardet et de Grasset 420 A</t>
  </si>
  <si>
    <t xml:space="preserve">Vitis x interspécifique cv. 420 Foex</t>
  </si>
  <si>
    <t xml:space="preserve">Vitis x interspécifique cv. 44-53 Ma = Malègue 44-53</t>
  </si>
  <si>
    <t xml:space="preserve">Vitis x interspécifique cv. 45 EM</t>
  </si>
  <si>
    <t xml:space="preserve">Vitis x interspécifique cv. 5 BB = Téléki sélection Kober 5 BB</t>
  </si>
  <si>
    <t xml:space="preserve">Vitis x interspécifique cv. 5 BB Evin</t>
  </si>
  <si>
    <t xml:space="preserve">Vitis x interspécifique cv. 5 BB Grimaud</t>
  </si>
  <si>
    <t xml:space="preserve">Vitis x interspécifique cv. 5 BB Tramier 2</t>
  </si>
  <si>
    <t xml:space="preserve">Vitis x interspécifique cv. 5 BB Trilobé</t>
  </si>
  <si>
    <t xml:space="preserve">Vitis x interspécifique cv. 5 C = Téléki 5 C</t>
  </si>
  <si>
    <t xml:space="preserve">Vitis x interspécifique cv. 503 Barr</t>
  </si>
  <si>
    <t xml:space="preserve">Vitis x interspécifique cv. 59 B</t>
  </si>
  <si>
    <t xml:space="preserve">Vitis x interspécifique cv. 6-23</t>
  </si>
  <si>
    <t xml:space="preserve">Vitis x interspécifique cv. 7-13</t>
  </si>
  <si>
    <t xml:space="preserve">Vitis x interspécifique cv. 7-16</t>
  </si>
  <si>
    <t xml:space="preserve">Vitis x interspécifique cv. 8 B = Téléki B</t>
  </si>
  <si>
    <t xml:space="preserve">Vitis x interspécifique cv. 8 B clone A</t>
  </si>
  <si>
    <t xml:space="preserve">Vitis x interspécifique cv. 8 B Faux</t>
  </si>
  <si>
    <t xml:space="preserve">Vitis x interspécifique cv. 8 B Femelle</t>
  </si>
  <si>
    <t xml:space="preserve">Vitis x interspécifique cv. 8 B Ferrari</t>
  </si>
  <si>
    <t xml:space="preserve">Vitis x interspécifique cv. 8-5</t>
  </si>
  <si>
    <t xml:space="preserve">Vitis x interspécifique cv. 99 R = Richter 99</t>
  </si>
  <si>
    <t xml:space="preserve">Vitis yanshanensis J.X.Chen</t>
  </si>
  <si>
    <t xml:space="preserve">Zea L.</t>
  </si>
  <si>
    <t xml:space="preserve">Zea mays L.</t>
  </si>
  <si>
    <t xml:space="preserve">Zinnia elegans</t>
  </si>
  <si>
    <t xml:space="preserve">Sol argileux et profond (80cm)</t>
  </si>
  <si>
    <t xml:space="preserve">Limon</t>
  </si>
  <si>
    <t xml:space="preserve">sable</t>
  </si>
  <si>
    <t xml:space="preserve">argile</t>
  </si>
  <si>
    <t xml:space="preserve">Year</t>
  </si>
  <si>
    <t xml:space="preserve">LR12</t>
  </si>
  <si>
    <t xml:space="preserve">n-3</t>
  </si>
  <si>
    <t xml:space="preserve">Wheat</t>
  </si>
  <si>
    <t xml:space="preserve">n-2</t>
  </si>
  <si>
    <t xml:space="preserve">Tritical</t>
  </si>
  <si>
    <t xml:space="preserve">n-1</t>
  </si>
  <si>
    <t xml:space="preserve">Winter barley*</t>
  </si>
  <si>
    <t xml:space="preserve">n</t>
  </si>
  <si>
    <t xml:space="preserve">LR12 trial</t>
  </si>
  <si>
    <t xml:space="preserve">*, crop in n-1 were grown under low N inputs (input N = 60 kg/ha)</t>
  </si>
  <si>
    <t xml:space="preserve">4/5</t>
  </si>
  <si>
    <t xml:space="preserve">1/5</t>
  </si>
  <si>
    <t xml:space="preserve">Total</t>
  </si>
  <si>
    <t xml:space="preserve">N % DUMAS Spécial Ferti</t>
  </si>
  <si>
    <t xml:space="preserve">Manip</t>
  </si>
  <si>
    <t xml:space="preserve">Modalite</t>
  </si>
  <si>
    <t xml:space="preserve">Genotype</t>
  </si>
  <si>
    <t xml:space="preserve">Stade</t>
  </si>
  <si>
    <t xml:space="preserve">Nbr</t>
  </si>
  <si>
    <t xml:space="preserve">MF (g)</t>
  </si>
  <si>
    <t xml:space="preserve">MS (g)</t>
  </si>
  <si>
    <t xml:space="preserve">% Humidité</t>
  </si>
  <si>
    <t xml:space="preserve">MF Feuilles (g)</t>
  </si>
  <si>
    <t xml:space="preserve">MF Tige (g)</t>
  </si>
  <si>
    <t xml:space="preserve">MF Aér</t>
  </si>
  <si>
    <t xml:space="preserve">MS Feuilles (g)</t>
  </si>
  <si>
    <t xml:space="preserve">MS Tige (g)</t>
  </si>
  <si>
    <t xml:space="preserve">MS Aér (g)</t>
  </si>
  <si>
    <t xml:space="preserve">MS Totale (t)</t>
  </si>
  <si>
    <t xml:space="preserve">%N critique</t>
  </si>
  <si>
    <t xml:space="preserve">Feuilles</t>
  </si>
  <si>
    <t xml:space="preserve">Tiges</t>
  </si>
  <si>
    <t xml:space="preserve">Qté N Total</t>
  </si>
  <si>
    <t xml:space="preserve">% Azote MS (1/5)</t>
  </si>
  <si>
    <t xml:space="preserve">INN</t>
  </si>
  <si>
    <t xml:space="preserve">INN1</t>
  </si>
  <si>
    <t xml:space="preserve">INN2</t>
  </si>
  <si>
    <t xml:space="preserve">INN3</t>
  </si>
  <si>
    <t xml:space="preserve">De "Parcelle" à "Genotype" = données générales sur l'essai</t>
  </si>
  <si>
    <r>
      <rPr>
        <b val="true"/>
        <sz val="10"/>
        <rFont val="Arial"/>
        <family val="2"/>
        <charset val="1"/>
      </rPr>
      <t xml:space="preserve">Manip</t>
    </r>
    <r>
      <rPr>
        <sz val="10"/>
        <rFont val="Arial"/>
        <family val="2"/>
        <charset val="1"/>
      </rPr>
      <t xml:space="preserve"> = quelle INN</t>
    </r>
  </si>
  <si>
    <r>
      <rPr>
        <b val="true"/>
        <sz val="10"/>
        <rFont val="Arial"/>
        <family val="2"/>
        <charset val="1"/>
      </rPr>
      <t xml:space="preserve">Date</t>
    </r>
    <r>
      <rPr>
        <sz val="10"/>
        <rFont val="Arial"/>
        <family val="2"/>
        <charset val="1"/>
      </rPr>
      <t xml:space="preserve"> = date de prélèvement</t>
    </r>
  </si>
  <si>
    <r>
      <rPr>
        <b val="true"/>
        <sz val="10"/>
        <rFont val="Arial"/>
        <family val="2"/>
        <charset val="1"/>
      </rPr>
      <t xml:space="preserve">Stade</t>
    </r>
    <r>
      <rPr>
        <sz val="10"/>
        <rFont val="Arial"/>
        <family val="2"/>
        <charset val="1"/>
      </rPr>
      <t xml:space="preserve"> = stade moyen de la parcelle</t>
    </r>
  </si>
  <si>
    <t xml:space="preserve">Deux échantillons différents sont identifiés : 1/5 des plantes et 4/5 des plantes </t>
  </si>
  <si>
    <t xml:space="preserve">A partir des INN3, une distinction est faite entre les feuilles et le tiges pour les pesées </t>
  </si>
  <si>
    <t xml:space="preserve">et les analyses par SAS pour l'échantillon 1/5</t>
  </si>
  <si>
    <r>
      <rPr>
        <b val="true"/>
        <sz val="10"/>
        <rFont val="Arial"/>
        <family val="2"/>
        <charset val="1"/>
      </rPr>
      <t xml:space="preserve">Nbr</t>
    </r>
    <r>
      <rPr>
        <sz val="10"/>
        <rFont val="Arial"/>
        <family val="2"/>
        <charset val="1"/>
      </rPr>
      <t xml:space="preserve"> = nombre de plantes du prélèvement</t>
    </r>
  </si>
  <si>
    <r>
      <rPr>
        <b val="true"/>
        <sz val="10"/>
        <rFont val="Arial"/>
        <family val="2"/>
        <charset val="1"/>
      </rPr>
      <t xml:space="preserve">MF</t>
    </r>
    <r>
      <rPr>
        <sz val="10"/>
        <rFont val="Arial"/>
        <family val="2"/>
        <charset val="1"/>
      </rPr>
      <t xml:space="preserve"> = matière fraiche du prélèvement en grammes</t>
    </r>
  </si>
  <si>
    <r>
      <rPr>
        <b val="true"/>
        <sz val="10"/>
        <rFont val="Arial"/>
        <family val="2"/>
        <charset val="1"/>
      </rPr>
      <t xml:space="preserve">MS</t>
    </r>
    <r>
      <rPr>
        <sz val="10"/>
        <rFont val="Arial"/>
        <family val="2"/>
        <charset val="1"/>
      </rPr>
      <t xml:space="preserve"> = matière séche du prélèvement en grammes</t>
    </r>
  </si>
  <si>
    <r>
      <rPr>
        <b val="true"/>
        <sz val="10"/>
        <rFont val="Arial"/>
        <family val="2"/>
        <charset val="1"/>
      </rPr>
      <t xml:space="preserve">N % DUMAS Spérial Ferti</t>
    </r>
    <r>
      <rPr>
        <sz val="10"/>
        <rFont val="Arial"/>
        <family val="2"/>
        <charset val="1"/>
      </rPr>
      <t xml:space="preserve"> = pourcentage d'azote dans la plante (résultat laboratoire)</t>
    </r>
  </si>
  <si>
    <r>
      <rPr>
        <b val="true"/>
        <sz val="10"/>
        <rFont val="Arial"/>
        <family val="2"/>
        <charset val="1"/>
      </rPr>
      <t xml:space="preserve">INN</t>
    </r>
    <r>
      <rPr>
        <sz val="10"/>
        <rFont val="Arial"/>
        <family val="2"/>
        <charset val="1"/>
      </rPr>
      <t xml:space="preserve"> = (Qté N tot / MS (1/5) (g)) / %Ncritique</t>
    </r>
  </si>
  <si>
    <t xml:space="preserve">G-001: Aviso</t>
  </si>
  <si>
    <t xml:space="preserve">G-002: Montego</t>
  </si>
  <si>
    <t xml:space="preserve">G-125: Tenor</t>
  </si>
  <si>
    <t xml:space="preserve">G-126:Express</t>
  </si>
  <si>
    <t xml:space="preserve">block</t>
  </si>
  <si>
    <t xml:space="preserve">B</t>
  </si>
  <si>
    <t xml:space="preserve">Tenor</t>
  </si>
  <si>
    <t xml:space="preserve">Express</t>
  </si>
  <si>
    <t xml:space="preserve">Tensio sur placette vide N1 ou N2</t>
  </si>
  <si>
    <t xml:space="preserve"> </t>
  </si>
  <si>
    <t xml:space="preserve">TOTAL</t>
  </si>
  <si>
    <t xml:space="preserve">Montégo</t>
  </si>
  <si>
    <t xml:space="preserve">Vide</t>
  </si>
  <si>
    <t xml:space="preserve">batteries</t>
  </si>
  <si>
    <t xml:space="preserve">tensionics</t>
  </si>
  <si>
    <t xml:space="preserve">Action</t>
  </si>
  <si>
    <t xml:space="preserve">Produits</t>
  </si>
  <si>
    <t xml:space="preserve">Cibles</t>
  </si>
  <si>
    <t xml:space="preserve">Détails</t>
  </si>
  <si>
    <t xml:space="preserve">PREPA SOL</t>
  </si>
  <si>
    <t xml:space="preserve">LABOUR</t>
  </si>
  <si>
    <t xml:space="preserve">ENGRAIS</t>
  </si>
  <si>
    <t xml:space="preserve">4 Q/HA</t>
  </si>
  <si>
    <t xml:space="preserve">DECHAUMAGE</t>
  </si>
  <si>
    <t xml:space="preserve">SEMIS</t>
  </si>
  <si>
    <t xml:space="preserve">PULVERISATION</t>
  </si>
  <si>
    <t xml:space="preserve">novall</t>
  </si>
  <si>
    <t xml:space="preserve">2,50L/ha</t>
  </si>
  <si>
    <t xml:space="preserve">EPANDAGE</t>
  </si>
  <si>
    <t xml:space="preserve">MESUROL PRO </t>
  </si>
  <si>
    <t xml:space="preserve">1,92 kg/ha</t>
  </si>
  <si>
    <t xml:space="preserve">DURSBAN</t>
  </si>
  <si>
    <t xml:space="preserve">18,09 kg/ha</t>
  </si>
  <si>
    <t xml:space="preserve">KARATE XPRESS</t>
  </si>
  <si>
    <t xml:space="preserve">0,09 kg/ha</t>
  </si>
  <si>
    <t xml:space="preserve">Vectobac</t>
  </si>
  <si>
    <t xml:space="preserve">0,97 L/ha</t>
  </si>
  <si>
    <t xml:space="preserve">TRACAGE</t>
  </si>
  <si>
    <t xml:space="preserve">3 kg/ha</t>
  </si>
  <si>
    <t xml:space="preserve">Mavrik Flo</t>
  </si>
  <si>
    <t xml:space="preserve">0,19 L/ha</t>
  </si>
  <si>
    <t xml:space="preserve">Pictor Pro</t>
  </si>
  <si>
    <t xml:space="preserve">0,39 L/ha</t>
  </si>
  <si>
    <t xml:space="preserve">Round up flash plus</t>
  </si>
  <si>
    <t xml:space="preserve">2,14 L/ha</t>
  </si>
  <si>
    <t xml:space="preserve">N1 liquide</t>
  </si>
  <si>
    <t xml:space="preserve">126,56 L/ha</t>
  </si>
  <si>
    <t xml:space="preserve">Engrais sulpotasse</t>
  </si>
  <si>
    <t xml:space="preserve">1,27 Q/ha</t>
  </si>
  <si>
    <t xml:space="preserve">67,84 L/ha</t>
  </si>
  <si>
    <t xml:space="preserve">KARATE ZEON</t>
  </si>
  <si>
    <t xml:space="preserve">0,08 L/ha</t>
  </si>
  <si>
    <t xml:space="preserve">0,2 L/ha</t>
  </si>
  <si>
    <t xml:space="preserve">0,5 L/ha</t>
  </si>
  <si>
    <t xml:space="preserve">JOAO</t>
  </si>
  <si>
    <t xml:space="preserve">0,7 L/ha</t>
  </si>
  <si>
    <t xml:space="preserve">BROYAGE ALLEES</t>
  </si>
  <si>
    <t xml:space="preserve">RECOLTE</t>
  </si>
  <si>
    <t xml:space="preserve">04-17/07/2012</t>
  </si>
  <si>
    <t xml:space="preserve">BROYAGE</t>
  </si>
  <si>
    <t xml:space="preserve">Round up MAX</t>
  </si>
  <si>
    <t xml:space="preserve">2,18 L/ha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</si>
</sst>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-* #,##0.00\ _€_-;\-* #,##0.00\ _€_-;_-* \-??\ _€_-;_-@_-"/>
    <numFmt numFmtId="166" formatCode="dd/mm/yy"/>
    <numFmt numFmtId="167" formatCode="@"/>
    <numFmt numFmtId="168" formatCode="dd/mm/yyyy"/>
    <numFmt numFmtId="169" formatCode="d/mm/yyyy;@"/>
    <numFmt numFmtId="170" formatCode="0.00"/>
    <numFmt numFmtId="171" formatCode="0\ %"/>
    <numFmt numFmtId="172" formatCode="dd/mm/yy;@"/>
    <numFmt numFmtId="173" formatCode="0.000"/>
    <numFmt numFmtId="174" formatCode="0"/>
    <numFmt numFmtId="175" formatCode="0.0000"/>
  </numFmts>
  <fonts count="63">
    <font>
      <sz val="9"/>
      <name val="Genev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800080"/>
      <name val="Calibri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  <charset val="1"/>
    </font>
    <font>
      <sz val="10"/>
      <name val="Tahoma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238"/>
    </font>
    <font>
      <sz val="11"/>
      <color rgb="FF008000"/>
      <name val="Calibri"/>
      <family val="2"/>
      <charset val="1"/>
    </font>
    <font>
      <b val="true"/>
      <sz val="11"/>
      <color rgb="FF1A1A1A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18"/>
      <color rgb="FF17375E"/>
      <name val="Cambria"/>
      <family val="2"/>
      <charset val="1"/>
    </font>
    <font>
      <b val="true"/>
      <sz val="15"/>
      <color rgb="FF17375E"/>
      <name val="Calibri"/>
      <family val="2"/>
      <charset val="1"/>
    </font>
    <font>
      <b val="true"/>
      <sz val="13"/>
      <color rgb="FF17375E"/>
      <name val="Calibri"/>
      <family val="2"/>
      <charset val="1"/>
    </font>
    <font>
      <b val="true"/>
      <sz val="11"/>
      <color rgb="FF17375E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8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sz val="10"/>
      <color rgb="FF00CCFF"/>
      <name val="Arial"/>
      <family val="2"/>
      <charset val="1"/>
    </font>
    <font>
      <sz val="10"/>
      <color rgb="FF00B0F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9"/>
      <name val="Geneva"/>
      <family val="2"/>
      <charset val="1"/>
    </font>
    <font>
      <b val="true"/>
      <sz val="9"/>
      <color rgb="FFFF0000"/>
      <name val="Geneva"/>
      <family val="2"/>
      <charset val="1"/>
    </font>
    <font>
      <sz val="10"/>
      <color rgb="FF0000FF"/>
      <name val="Arial"/>
      <family val="2"/>
      <charset val="1"/>
    </font>
    <font>
      <i val="true"/>
      <u val="single"/>
      <sz val="10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10"/>
      <color rgb="FFC00000"/>
      <name val="Arial"/>
      <family val="2"/>
      <charset val="1"/>
    </font>
    <font>
      <b val="true"/>
      <sz val="9"/>
      <color rgb="FF333399"/>
      <name val="Geneva"/>
      <family val="2"/>
      <charset val="1"/>
    </font>
    <font>
      <sz val="9"/>
      <name val="Geneva"/>
      <family val="2"/>
      <charset val="238"/>
    </font>
    <font>
      <sz val="12"/>
      <name val="Times New Roman"/>
      <family val="1"/>
      <charset val="1"/>
    </font>
    <font>
      <sz val="8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name val="Calibri"/>
      <family val="2"/>
      <charset val="1"/>
    </font>
    <font>
      <sz val="9"/>
      <name val="Arial"/>
      <family val="2"/>
      <charset val="1"/>
    </font>
    <font>
      <sz val="10"/>
      <color rgb="FF17375E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12"/>
      <name val="Arial"/>
      <family val="2"/>
      <charset val="1"/>
    </font>
    <font>
      <b val="true"/>
      <sz val="12"/>
      <name val="Geneva"/>
      <family val="0"/>
      <charset val="1"/>
    </font>
    <font>
      <sz val="10"/>
      <color rgb="FFFF0000"/>
      <name val="Calibri"/>
      <family val="2"/>
      <charset val="1"/>
    </font>
    <font>
      <sz val="10"/>
      <color theme="9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20"/>
      <color theme="1"/>
      <name val="Calibri"/>
      <family val="0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D7E4BD"/>
      </patternFill>
    </fill>
    <fill>
      <patternFill patternType="solid">
        <fgColor rgb="FFCC99FF"/>
        <bgColor rgb="FFFF99CC"/>
      </patternFill>
    </fill>
    <fill>
      <patternFill patternType="solid">
        <fgColor rgb="FFDCE6F2"/>
        <bgColor rgb="FFD9D9D9"/>
      </patternFill>
    </fill>
    <fill>
      <patternFill patternType="solid">
        <fgColor rgb="FFFFCC99"/>
        <bgColor rgb="FFFAC09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79646"/>
      </patternFill>
    </fill>
    <fill>
      <patternFill patternType="solid">
        <fgColor rgb="FF00FF00"/>
        <bgColor rgb="FF00B050"/>
      </patternFill>
    </fill>
    <fill>
      <patternFill patternType="solid">
        <fgColor rgb="FFFFCC00"/>
        <bgColor rgb="FFFFC0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00B0F0"/>
        <bgColor rgb="FF00CCFF"/>
      </patternFill>
    </fill>
    <fill>
      <patternFill patternType="solid">
        <fgColor rgb="FFFF9900"/>
        <bgColor rgb="FFF79646"/>
      </patternFill>
    </fill>
    <fill>
      <patternFill patternType="solid">
        <fgColor rgb="FF333399"/>
        <bgColor rgb="FF17375E"/>
      </patternFill>
    </fill>
    <fill>
      <patternFill patternType="solid">
        <fgColor rgb="FFFF0000"/>
        <bgColor rgb="FFC00000"/>
      </patternFill>
    </fill>
    <fill>
      <patternFill patternType="solid">
        <fgColor rgb="FF339966"/>
        <bgColor rgb="FF00B050"/>
      </patternFill>
    </fill>
    <fill>
      <patternFill patternType="solid">
        <fgColor rgb="FFFF6600"/>
        <bgColor rgb="FFFF3300"/>
      </patternFill>
    </fill>
    <fill>
      <patternFill patternType="solid">
        <fgColor rgb="FFFAC090"/>
        <bgColor rgb="FFFFCC99"/>
      </patternFill>
    </fill>
    <fill>
      <patternFill patternType="solid">
        <fgColor rgb="FFFCD5B5"/>
        <bgColor rgb="FFFFCC99"/>
      </patternFill>
    </fill>
    <fill>
      <patternFill patternType="solid">
        <fgColor rgb="FFFFFF99"/>
        <bgColor rgb="FFD7E4BD"/>
      </patternFill>
    </fill>
    <fill>
      <patternFill patternType="solid">
        <fgColor rgb="FF969696"/>
        <bgColor rgb="FF808080"/>
      </patternFill>
    </fill>
    <fill>
      <patternFill patternType="solid">
        <fgColor rgb="FFFFFF00"/>
        <bgColor rgb="FFFFCC00"/>
      </patternFill>
    </fill>
    <fill>
      <patternFill patternType="solid">
        <fgColor rgb="FFFFFFFF"/>
        <bgColor rgb="FFDCE6F2"/>
      </patternFill>
    </fill>
    <fill>
      <patternFill patternType="solid">
        <fgColor rgb="FF00B050"/>
        <bgColor rgb="FF339966"/>
      </patternFill>
    </fill>
    <fill>
      <patternFill patternType="solid">
        <fgColor rgb="FFFFC000"/>
        <bgColor rgb="FFFFCC00"/>
      </patternFill>
    </fill>
    <fill>
      <patternFill patternType="solid">
        <fgColor theme="0" tint="-0.15"/>
        <bgColor rgb="FFD7E4BD"/>
      </patternFill>
    </fill>
  </fills>
  <borders count="5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FAC09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double">
        <color rgb="FF1A1A1A"/>
      </left>
      <right style="double">
        <color rgb="FF1A1A1A"/>
      </right>
      <top style="double">
        <color rgb="FF1A1A1A"/>
      </top>
      <bottom style="double">
        <color rgb="FF1A1A1A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1A1A1A"/>
      </left>
      <right/>
      <top style="thin">
        <color rgb="FF1A1A1A"/>
      </top>
      <bottom style="thin">
        <color rgb="FF1A1A1A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rgb="FF1A1A1A"/>
      </left>
      <right/>
      <top/>
      <bottom/>
      <diagonal/>
    </border>
    <border diagonalUp="false" diagonalDown="false">
      <left style="medium">
        <color rgb="FF1A1A1A"/>
      </left>
      <right style="thin">
        <color rgb="FF1A1A1A"/>
      </right>
      <top style="thin"/>
      <bottom/>
      <diagonal/>
    </border>
    <border diagonalUp="false" diagonalDown="false">
      <left style="medium">
        <color rgb="FF1A1A1A"/>
      </left>
      <right style="thin">
        <color rgb="FF1A1A1A"/>
      </right>
      <top style="thin">
        <color rgb="FF1A1A1A"/>
      </top>
      <bottom/>
      <diagonal/>
    </border>
    <border diagonalUp="false" diagonalDown="false">
      <left style="hair">
        <color rgb="FF1A1A1A"/>
      </left>
      <right style="hair">
        <color rgb="FF1A1A1A"/>
      </right>
      <top style="hair">
        <color rgb="FF1A1A1A"/>
      </top>
      <bottom style="hair">
        <color rgb="FF1A1A1A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 style="medium">
        <color rgb="FF1A1A1A"/>
      </bottom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hair">
        <color rgb="FF1A1A1A"/>
      </left>
      <right/>
      <top style="hair">
        <color rgb="FF1A1A1A"/>
      </top>
      <bottom style="hair">
        <color rgb="FF1A1A1A"/>
      </bottom>
      <diagonal/>
    </border>
    <border diagonalUp="false" diagonalDown="false"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>
        <color rgb="FF1A1A1A"/>
      </left>
      <right style="hair">
        <color rgb="FF1A1A1A"/>
      </right>
      <top/>
      <bottom style="hair">
        <color rgb="FF1A1A1A"/>
      </bottom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/>
      <right style="double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 style="thin"/>
      <right style="double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1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0" fillId="21" borderId="3" applyFont="true" applyBorder="true" applyAlignment="true" applyProtection="false">
      <alignment horizontal="general" vertical="bottom" textRotation="0" wrapText="false" indent="0" shrinkToFit="false"/>
    </xf>
    <xf numFmtId="164" fontId="0" fillId="21" borderId="3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9" fillId="7" borderId="1" applyFont="true" applyBorder="tru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22" borderId="0" applyFont="true" applyBorder="false" applyAlignment="true" applyProtection="false">
      <alignment horizontal="general" vertical="bottom" textRotation="0" wrapText="false" indent="0" shrinkToFit="false"/>
    </xf>
    <xf numFmtId="164" fontId="13" fillId="22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4" borderId="0" applyFont="true" applyBorder="false" applyAlignment="true" applyProtection="false">
      <alignment horizontal="general" vertical="bottom" textRotation="0" wrapText="false" indent="0" shrinkToFit="false"/>
    </xf>
    <xf numFmtId="164" fontId="19" fillId="4" borderId="0" applyFont="true" applyBorder="false" applyAlignment="true" applyProtection="false">
      <alignment horizontal="general" vertical="bottom" textRotation="0" wrapText="false" indent="0" shrinkToFit="false"/>
    </xf>
    <xf numFmtId="164" fontId="20" fillId="20" borderId="4" applyFont="true" applyBorder="true" applyAlignment="true" applyProtection="false">
      <alignment horizontal="general" vertical="bottom" textRotation="0" wrapText="false" indent="0" shrinkToFit="false"/>
    </xf>
    <xf numFmtId="164" fontId="20" fillId="20" borderId="4" applyFont="true" applyBorder="tru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  <xf numFmtId="164" fontId="22" fillId="0" borderId="0" applyFont="true" applyBorder="false" applyAlignment="true" applyProtection="false">
      <alignment horizontal="general" vertical="bottom" textRotation="0" wrapText="false" indent="0" shrinkToFit="false"/>
    </xf>
    <xf numFmtId="164" fontId="23" fillId="0" borderId="5" applyFont="true" applyBorder="true" applyAlignment="true" applyProtection="false">
      <alignment horizontal="general" vertical="bottom" textRotation="0" wrapText="false" indent="0" shrinkToFit="false"/>
    </xf>
    <xf numFmtId="164" fontId="23" fillId="0" borderId="5" applyFont="true" applyBorder="true" applyAlignment="true" applyProtection="false">
      <alignment horizontal="general" vertical="bottom" textRotation="0" wrapText="false" indent="0" shrinkToFit="false"/>
    </xf>
    <xf numFmtId="164" fontId="24" fillId="0" borderId="6" applyFont="true" applyBorder="true" applyAlignment="true" applyProtection="false">
      <alignment horizontal="general" vertical="bottom" textRotation="0" wrapText="false" indent="0" shrinkToFit="false"/>
    </xf>
    <xf numFmtId="164" fontId="24" fillId="0" borderId="6" applyFont="true" applyBorder="true" applyAlignment="true" applyProtection="false">
      <alignment horizontal="general" vertical="bottom" textRotation="0" wrapText="false" indent="0" shrinkToFit="false"/>
    </xf>
    <xf numFmtId="164" fontId="25" fillId="0" borderId="7" applyFont="true" applyBorder="true" applyAlignment="true" applyProtection="false">
      <alignment horizontal="general" vertical="bottom" textRotation="0" wrapText="false" indent="0" shrinkToFit="false"/>
    </xf>
    <xf numFmtId="164" fontId="25" fillId="0" borderId="7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  <xf numFmtId="164" fontId="26" fillId="0" borderId="8" applyFont="true" applyBorder="true" applyAlignment="true" applyProtection="false">
      <alignment horizontal="general" vertical="bottom" textRotation="0" wrapText="false" indent="0" shrinkToFit="false"/>
    </xf>
    <xf numFmtId="164" fontId="26" fillId="0" borderId="8" applyFont="true" applyBorder="true" applyAlignment="true" applyProtection="false">
      <alignment horizontal="general" vertical="bottom" textRotation="0" wrapText="false" indent="0" shrinkToFit="false"/>
    </xf>
    <xf numFmtId="164" fontId="27" fillId="23" borderId="9" applyFont="true" applyBorder="true" applyAlignment="true" applyProtection="false">
      <alignment horizontal="general" vertical="bottom" textRotation="0" wrapText="false" indent="0" shrinkToFit="false"/>
    </xf>
    <xf numFmtId="164" fontId="27" fillId="23" borderId="9" applyFont="true" applyBorder="true" applyAlignment="true" applyProtection="false">
      <alignment horizontal="general" vertical="bottom" textRotation="0" wrapText="false" indent="0" shrinkToFit="false"/>
    </xf>
  </cellStyleXfs>
  <cellXfs count="2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8" fillId="0" borderId="0" xfId="88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28" fillId="0" borderId="0" xfId="88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9" fillId="0" borderId="0" xfId="88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98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29" fillId="0" borderId="0" xfId="88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88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9" fillId="0" borderId="0" xfId="9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9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9" fillId="0" borderId="10" xfId="9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0" borderId="11" xfId="9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9" fillId="0" borderId="12" xfId="9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1" fillId="0" borderId="13" xfId="9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3" fillId="0" borderId="0" xfId="9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9" fillId="0" borderId="0" xfId="98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1" fillId="0" borderId="0" xfId="98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0" fillId="0" borderId="0" xfId="98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9" fillId="22" borderId="10" xfId="9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0" fillId="2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4" fillId="2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4" fillId="2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1" fillId="2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9" fillId="0" borderId="10" xfId="9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0" xfId="9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0" xfId="8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7" fontId="14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5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4" fillId="0" borderId="10" xfId="9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5" xfId="9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9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98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0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22" borderId="10" xfId="9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5" fillId="2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6" fillId="2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9" fillId="0" borderId="11" xfId="9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0" borderId="11" xfId="9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10" xfId="9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0" xfId="9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0" borderId="0" xfId="9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0" fillId="22" borderId="10" xfId="9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4" fillId="22" borderId="10" xfId="9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7" fillId="0" borderId="10" xfId="9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0" xfId="98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9" fillId="0" borderId="0" xfId="9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0" borderId="0" xfId="9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9" fillId="0" borderId="0" xfId="9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2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9" fillId="0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1" fillId="0" borderId="15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22" borderId="10" xfId="10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9" fillId="22" borderId="10" xfId="10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10" xfId="10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9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0" borderId="10" xfId="9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30" fillId="22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1" fillId="22" borderId="1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34" fillId="22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38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38" fillId="0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38" fillId="0" borderId="10" xfId="98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0" xfId="8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2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2" fillId="7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7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22" xfId="9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6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24" borderId="22" xfId="9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7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10" xfId="9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7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4" fillId="0" borderId="22" xfId="9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7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7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11" xfId="9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11" xfId="9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7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1" xfId="9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1" xfId="9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2" xfId="98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2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8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7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5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25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25" borderId="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4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4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4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0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70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9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21" borderId="20" xfId="8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20" xfId="8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0" xfId="8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87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1" borderId="10" xfId="8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10" xfId="8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2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9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105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10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1" fillId="0" borderId="10" xfId="10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1" fillId="0" borderId="10" xfId="10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6" fillId="0" borderId="10" xfId="10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2" fillId="0" borderId="29" xfId="8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2" fillId="0" borderId="30" xfId="8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2" fillId="0" borderId="31" xfId="8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3" fillId="0" borderId="0" xfId="88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3" fillId="0" borderId="30" xfId="8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3" fillId="0" borderId="0" xfId="88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2" fillId="0" borderId="0" xfId="88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8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10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8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4" fillId="26" borderId="32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4" fillId="26" borderId="33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26" borderId="34" xfId="10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1" fillId="26" borderId="15" xfId="10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10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10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27" borderId="11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7" borderId="35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7" borderId="36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7" borderId="37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7" borderId="38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7" borderId="12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27" borderId="39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7" borderId="11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8" fillId="28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8" fillId="28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8" fillId="28" borderId="10" xfId="9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8" borderId="10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8" fillId="28" borderId="10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8" borderId="15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8" borderId="40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6" fillId="28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8" borderId="41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48" fillId="28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8" fillId="28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4" fillId="28" borderId="10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8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4" fillId="28" borderId="10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8" fillId="28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28" borderId="10" xfId="10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8" borderId="10" xfId="10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8" fillId="28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8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8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8" fillId="0" borderId="10" xfId="9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0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5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0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8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41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57" fillId="0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4" fillId="0" borderId="10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8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4" fillId="0" borderId="10" xfId="8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0" fillId="0" borderId="10" xfId="10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10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8" fillId="0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8" fillId="28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8" fillId="28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8" fillId="28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48" fillId="28" borderId="10" xfId="9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8" fillId="28" borderId="10" xfId="10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8" fillId="28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48" fillId="28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8" fillId="28" borderId="4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0" borderId="0" xfId="8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4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3" borderId="44" xfId="9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4" borderId="4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4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10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1" fillId="27" borderId="10" xfId="10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2" fillId="26" borderId="10" xfId="10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2" fillId="0" borderId="10" xfId="10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2" fillId="0" borderId="10" xfId="10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2" fillId="0" borderId="10" xfId="10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62" fillId="0" borderId="10" xfId="10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0" xfId="102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 % - Accent1 2" xfId="21"/>
    <cellStyle name="20 % - Accent1 3" xfId="22"/>
    <cellStyle name="20 % - Accent2 2" xfId="23"/>
    <cellStyle name="20 % - Accent2 3" xfId="24"/>
    <cellStyle name="20 % - Accent3 2" xfId="25"/>
    <cellStyle name="20 % - Accent3 3" xfId="26"/>
    <cellStyle name="20 % - Accent4 2" xfId="27"/>
    <cellStyle name="20 % - Accent4 3" xfId="28"/>
    <cellStyle name="20 % - Accent5 2" xfId="29"/>
    <cellStyle name="20 % - Accent5 3" xfId="30"/>
    <cellStyle name="20 % - Accent6 2" xfId="31"/>
    <cellStyle name="20 % - Accent6 3" xfId="32"/>
    <cellStyle name="40 % - Accent1 2" xfId="33"/>
    <cellStyle name="40 % - Accent1 3" xfId="34"/>
    <cellStyle name="40 % - Accent2 2" xfId="35"/>
    <cellStyle name="40 % - Accent2 3" xfId="36"/>
    <cellStyle name="40 % - Accent3 2" xfId="37"/>
    <cellStyle name="40 % - Accent3 3" xfId="38"/>
    <cellStyle name="40 % - Accent4 2" xfId="39"/>
    <cellStyle name="40 % - Accent4 3" xfId="40"/>
    <cellStyle name="40 % - Accent5 2" xfId="41"/>
    <cellStyle name="40 % - Accent5 3" xfId="42"/>
    <cellStyle name="40 % - Accent6 2" xfId="43"/>
    <cellStyle name="40 % - Accent6 3" xfId="44"/>
    <cellStyle name="60 % - Accent1 2" xfId="45"/>
    <cellStyle name="60 % - Accent1 3" xfId="46"/>
    <cellStyle name="60 % - Accent2 2" xfId="47"/>
    <cellStyle name="60 % - Accent2 3" xfId="48"/>
    <cellStyle name="60 % - Accent3 2" xfId="49"/>
    <cellStyle name="60 % - Accent3 3" xfId="50"/>
    <cellStyle name="60 % - Accent4 2" xfId="51"/>
    <cellStyle name="60 % - Accent4 3" xfId="52"/>
    <cellStyle name="60 % - Accent5 2" xfId="53"/>
    <cellStyle name="60 % - Accent5 3" xfId="54"/>
    <cellStyle name="60 % - Accent6 2" xfId="55"/>
    <cellStyle name="60 % - Accent6 3" xfId="56"/>
    <cellStyle name="Accent1 2" xfId="57"/>
    <cellStyle name="Accent1 3" xfId="58"/>
    <cellStyle name="Accent2 2" xfId="59"/>
    <cellStyle name="Accent2 3" xfId="60"/>
    <cellStyle name="Accent3 2" xfId="61"/>
    <cellStyle name="Accent3 3" xfId="62"/>
    <cellStyle name="Accent4 2" xfId="63"/>
    <cellStyle name="Accent4 3" xfId="64"/>
    <cellStyle name="Accent5 2" xfId="65"/>
    <cellStyle name="Accent5 3" xfId="66"/>
    <cellStyle name="Accent6 2" xfId="67"/>
    <cellStyle name="Accent6 3" xfId="68"/>
    <cellStyle name="Avertissement 2" xfId="69"/>
    <cellStyle name="Avertissement 3" xfId="70"/>
    <cellStyle name="Calcul 2" xfId="71"/>
    <cellStyle name="Calcul 3" xfId="72"/>
    <cellStyle name="Cellule liée 2" xfId="73"/>
    <cellStyle name="Cellule liée 3" xfId="74"/>
    <cellStyle name="Commentaire 2" xfId="75"/>
    <cellStyle name="Commentaire 3" xfId="76"/>
    <cellStyle name="Entrée 2" xfId="77"/>
    <cellStyle name="Entrée 3" xfId="78"/>
    <cellStyle name="Insatisfaisant 2" xfId="79"/>
    <cellStyle name="Insatisfaisant 3" xfId="80"/>
    <cellStyle name="Lien hypertexte 2" xfId="81"/>
    <cellStyle name="Lien hypertexte 3" xfId="82"/>
    <cellStyle name="Lien hypertexte 4" xfId="83"/>
    <cellStyle name="Milliers 2" xfId="84"/>
    <cellStyle name="Neutre 2" xfId="85"/>
    <cellStyle name="Neutre 3" xfId="86"/>
    <cellStyle name="Normal 10" xfId="87"/>
    <cellStyle name="Normal 2" xfId="88"/>
    <cellStyle name="Normal 2 2" xfId="89"/>
    <cellStyle name="Normal 2 2 2" xfId="90"/>
    <cellStyle name="Normal 2 2 3" xfId="91"/>
    <cellStyle name="Normal 2 2 3 2" xfId="92"/>
    <cellStyle name="Normal 2 2 4" xfId="93"/>
    <cellStyle name="Normal 2 3" xfId="94"/>
    <cellStyle name="Normal 3" xfId="95"/>
    <cellStyle name="Normal 3 2" xfId="96"/>
    <cellStyle name="Normal 3 3" xfId="97"/>
    <cellStyle name="Normal 4" xfId="98"/>
    <cellStyle name="Normal 4 2" xfId="99"/>
    <cellStyle name="Normal 4 3" xfId="100"/>
    <cellStyle name="Normal 5" xfId="101"/>
    <cellStyle name="Normal 6" xfId="102"/>
    <cellStyle name="Normal 7" xfId="103"/>
    <cellStyle name="Normal 8" xfId="104"/>
    <cellStyle name="Normal 8 2" xfId="105"/>
    <cellStyle name="Normal_Feuil1" xfId="106"/>
    <cellStyle name="Normalny 2" xfId="107"/>
    <cellStyle name="Satisfaisant 2" xfId="108"/>
    <cellStyle name="Satisfaisant 3" xfId="109"/>
    <cellStyle name="Sortie 2" xfId="110"/>
    <cellStyle name="Sortie 3" xfId="111"/>
    <cellStyle name="Texte explicatif 2" xfId="112"/>
    <cellStyle name="Texte explicatif 3" xfId="113"/>
    <cellStyle name="Titre 3" xfId="114"/>
    <cellStyle name="Titre 1 2" xfId="115"/>
    <cellStyle name="Titre 1 3" xfId="116"/>
    <cellStyle name="Titre 2 2" xfId="117"/>
    <cellStyle name="Titre 2 3" xfId="118"/>
    <cellStyle name="Titre 3 2" xfId="119"/>
    <cellStyle name="Titre 3 3" xfId="120"/>
    <cellStyle name="Titre 4 2" xfId="121"/>
    <cellStyle name="Titre 4 3" xfId="122"/>
    <cellStyle name="Total 2" xfId="123"/>
    <cellStyle name="Total 3" xfId="124"/>
    <cellStyle name="Vérification 2" xfId="125"/>
    <cellStyle name="Vérification 3" xfId="126"/>
    <cellStyle name="*unknown*" xfId="20" builtinId="8"/>
  </cellStyles>
  <dxfs count="16">
    <dxf>
      <fill>
        <patternFill patternType="solid">
          <fgColor rgb="FFFFCC9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theme="6" tint="0.5999"/>
        </patternFill>
      </fill>
    </dxf>
    <dxf>
      <fill>
        <patternFill>
          <bgColor rgb="FFFFC000"/>
        </patternFill>
      </fill>
    </dxf>
    <dxf>
      <fill>
        <patternFill>
          <bgColor theme="6" tint="0.5999"/>
        </patternFill>
      </fill>
    </dxf>
    <dxf>
      <fill>
        <patternFill>
          <bgColor theme="6" tint="0.5999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3300"/>
        </patternFill>
      </fill>
    </dxf>
    <dxf>
      <fill>
        <patternFill>
          <bgColor rgb="FFFFC000"/>
        </patternFill>
      </fill>
    </dxf>
    <dxf>
      <fill>
        <patternFill>
          <bgColor theme="6" tint="0.5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B050"/>
      <rgbColor rgb="FFD9D9D9"/>
      <rgbColor rgb="FF808080"/>
      <rgbColor rgb="FFFAC090"/>
      <rgbColor rgb="FFFF3300"/>
      <rgbColor rgb="FFD7E4BD"/>
      <rgbColor rgb="FFDCE6F2"/>
      <rgbColor rgb="FF660066"/>
      <rgbColor rgb="FFFF8080"/>
      <rgbColor rgb="FF0066CC"/>
      <rgbColor rgb="FFCCCCFF"/>
      <rgbColor rgb="FF000080"/>
      <rgbColor rgb="FFFF00FF"/>
      <rgbColor rgb="FFFFC000"/>
      <rgbColor rgb="FF00FFFF"/>
      <rgbColor rgb="FF800080"/>
      <rgbColor rgb="FF800000"/>
      <rgbColor rgb="FF008080"/>
      <rgbColor rgb="FF0000FF"/>
      <rgbColor rgb="FF00CCFF"/>
      <rgbColor rgb="FFFCD5B5"/>
      <rgbColor rgb="FFCCFFCC"/>
      <rgbColor rgb="FFFFFF99"/>
      <rgbColor rgb="FF99CCFF"/>
      <rgbColor rgb="FFFF99CC"/>
      <rgbColor rgb="FFCC99FF"/>
      <rgbColor rgb="FFFFCC99"/>
      <rgbColor rgb="FF3366FF"/>
      <rgbColor rgb="FF00B0F0"/>
      <rgbColor rgb="FFF79646"/>
      <rgbColor rgb="FFFFCC00"/>
      <rgbColor rgb="FFFF9900"/>
      <rgbColor rgb="FFFF6600"/>
      <rgbColor rgb="FF666699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319680</xdr:colOff>
      <xdr:row>47</xdr:row>
      <xdr:rowOff>70560</xdr:rowOff>
    </xdr:to>
    <xdr:grpSp>
      <xdr:nvGrpSpPr>
        <xdr:cNvPr id="0" name="Groupe 5"/>
        <xdr:cNvGrpSpPr/>
      </xdr:nvGrpSpPr>
      <xdr:grpSpPr>
        <a:xfrm>
          <a:off x="0" y="0"/>
          <a:ext cx="2678040" cy="7680960"/>
          <a:chOff x="0" y="0"/>
          <a:chExt cx="2678040" cy="7680960"/>
        </a:xfrm>
      </xdr:grpSpPr>
      <xdr:pic>
        <xdr:nvPicPr>
          <xdr:cNvPr id="1" name="Image 3" descr=""/>
          <xdr:cNvPicPr/>
        </xdr:nvPicPr>
        <xdr:blipFill>
          <a:blip r:embed="rId1"/>
          <a:stretch/>
        </xdr:blipFill>
        <xdr:spPr>
          <a:xfrm>
            <a:off x="0" y="23040"/>
            <a:ext cx="1666440" cy="765792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2" name="Image 4" descr=""/>
          <xdr:cNvPicPr/>
        </xdr:nvPicPr>
        <xdr:blipFill>
          <a:blip r:embed="rId2"/>
          <a:stretch/>
        </xdr:blipFill>
        <xdr:spPr>
          <a:xfrm>
            <a:off x="1649160" y="0"/>
            <a:ext cx="1028880" cy="767628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106200</xdr:colOff>
      <xdr:row>7</xdr:row>
      <xdr:rowOff>70200</xdr:rowOff>
    </xdr:from>
    <xdr:to>
      <xdr:col>2</xdr:col>
      <xdr:colOff>156960</xdr:colOff>
      <xdr:row>12</xdr:row>
      <xdr:rowOff>59040</xdr:rowOff>
    </xdr:to>
    <xdr:sp>
      <xdr:nvSpPr>
        <xdr:cNvPr id="3" name="ZoneTexte 15"/>
        <xdr:cNvSpPr/>
      </xdr:nvSpPr>
      <xdr:spPr>
        <a:xfrm rot="16200000">
          <a:off x="320760" y="1344240"/>
          <a:ext cx="773640" cy="40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fr-FR" sz="2000" strike="noStrike" u="none">
              <a:solidFill>
                <a:schemeClr val="dk1"/>
              </a:solidFill>
              <a:effectLst/>
              <a:uFillTx/>
              <a:latin typeface="Calibri"/>
            </a:rPr>
            <a:t>Rep 2</a:t>
          </a:r>
          <a:endParaRPr b="0" lang="fr-FR" sz="2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92520</xdr:colOff>
      <xdr:row>0</xdr:row>
      <xdr:rowOff>65880</xdr:rowOff>
    </xdr:from>
    <xdr:to>
      <xdr:col>2</xdr:col>
      <xdr:colOff>143280</xdr:colOff>
      <xdr:row>5</xdr:row>
      <xdr:rowOff>77400</xdr:rowOff>
    </xdr:to>
    <xdr:sp>
      <xdr:nvSpPr>
        <xdr:cNvPr id="4" name="ZoneTexte 16"/>
        <xdr:cNvSpPr/>
      </xdr:nvSpPr>
      <xdr:spPr>
        <a:xfrm rot="16200000">
          <a:off x="307080" y="250200"/>
          <a:ext cx="773640" cy="40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fr-FR" sz="2000" strike="noStrike" u="none">
              <a:solidFill>
                <a:schemeClr val="dk1"/>
              </a:solidFill>
              <a:effectLst/>
              <a:uFillTx/>
              <a:latin typeface="Calibri"/>
            </a:rPr>
            <a:t>Rep 1</a:t>
          </a:r>
          <a:endParaRPr b="0" lang="fr-FR" sz="2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14040</xdr:colOff>
      <xdr:row>11</xdr:row>
      <xdr:rowOff>93240</xdr:rowOff>
    </xdr:from>
    <xdr:to>
      <xdr:col>1</xdr:col>
      <xdr:colOff>94320</xdr:colOff>
      <xdr:row>14</xdr:row>
      <xdr:rowOff>40680</xdr:rowOff>
    </xdr:to>
    <xdr:sp>
      <xdr:nvSpPr>
        <xdr:cNvPr id="5" name="ZoneTexte 17"/>
        <xdr:cNvSpPr/>
      </xdr:nvSpPr>
      <xdr:spPr>
        <a:xfrm>
          <a:off x="14040" y="1815480"/>
          <a:ext cx="479520" cy="40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fr-FR" sz="2000" strike="noStrike" u="none">
              <a:solidFill>
                <a:schemeClr val="dk1"/>
              </a:solidFill>
              <a:effectLst/>
              <a:uFillTx/>
              <a:latin typeface="Calibri"/>
            </a:rPr>
            <a:t>N2</a:t>
          </a:r>
          <a:endParaRPr b="0" lang="fr-FR" sz="2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24</xdr:row>
      <xdr:rowOff>54000</xdr:rowOff>
    </xdr:from>
    <xdr:to>
      <xdr:col>1</xdr:col>
      <xdr:colOff>80280</xdr:colOff>
      <xdr:row>27</xdr:row>
      <xdr:rowOff>1440</xdr:rowOff>
    </xdr:to>
    <xdr:sp>
      <xdr:nvSpPr>
        <xdr:cNvPr id="6" name="ZoneTexte 18"/>
        <xdr:cNvSpPr/>
      </xdr:nvSpPr>
      <xdr:spPr>
        <a:xfrm>
          <a:off x="0" y="3803040"/>
          <a:ext cx="479520" cy="40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fr-FR" sz="2000" strike="noStrike" u="none">
              <a:solidFill>
                <a:schemeClr val="dk1"/>
              </a:solidFill>
              <a:effectLst/>
              <a:uFillTx/>
              <a:latin typeface="Calibri"/>
            </a:rPr>
            <a:t>N2</a:t>
          </a:r>
          <a:endParaRPr b="0" lang="fr-FR" sz="2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72</xdr:col>
      <xdr:colOff>122040</xdr:colOff>
      <xdr:row>3</xdr:row>
      <xdr:rowOff>110520</xdr:rowOff>
    </xdr:from>
    <xdr:to>
      <xdr:col>72</xdr:col>
      <xdr:colOff>601560</xdr:colOff>
      <xdr:row>6</xdr:row>
      <xdr:rowOff>57960</xdr:rowOff>
    </xdr:to>
    <xdr:sp>
      <xdr:nvSpPr>
        <xdr:cNvPr id="7" name="ZoneTexte 19"/>
        <xdr:cNvSpPr/>
      </xdr:nvSpPr>
      <xdr:spPr>
        <a:xfrm>
          <a:off x="21082680" y="567720"/>
          <a:ext cx="479520" cy="40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fr-FR" sz="2000" strike="noStrike" u="none">
              <a:solidFill>
                <a:schemeClr val="dk1"/>
              </a:solidFill>
              <a:effectLst/>
              <a:uFillTx/>
              <a:latin typeface="Calibri"/>
            </a:rPr>
            <a:t>N2</a:t>
          </a:r>
          <a:endParaRPr b="0" lang="fr-FR" sz="2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72</xdr:col>
      <xdr:colOff>123840</xdr:colOff>
      <xdr:row>17</xdr:row>
      <xdr:rowOff>2880</xdr:rowOff>
    </xdr:from>
    <xdr:to>
      <xdr:col>72</xdr:col>
      <xdr:colOff>603360</xdr:colOff>
      <xdr:row>19</xdr:row>
      <xdr:rowOff>79920</xdr:rowOff>
    </xdr:to>
    <xdr:sp>
      <xdr:nvSpPr>
        <xdr:cNvPr id="8" name="ZoneTexte 20"/>
        <xdr:cNvSpPr/>
      </xdr:nvSpPr>
      <xdr:spPr>
        <a:xfrm>
          <a:off x="21084480" y="2639520"/>
          <a:ext cx="479520" cy="40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fr-FR" sz="2000" strike="noStrike" u="none">
              <a:solidFill>
                <a:schemeClr val="dk1"/>
              </a:solidFill>
              <a:effectLst/>
              <a:uFillTx/>
              <a:latin typeface="Calibri"/>
            </a:rPr>
            <a:t>N2</a:t>
          </a:r>
          <a:endParaRPr b="0" lang="fr-FR" sz="2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72</xdr:col>
      <xdr:colOff>142920</xdr:colOff>
      <xdr:row>23</xdr:row>
      <xdr:rowOff>14040</xdr:rowOff>
    </xdr:from>
    <xdr:to>
      <xdr:col>72</xdr:col>
      <xdr:colOff>622440</xdr:colOff>
      <xdr:row>25</xdr:row>
      <xdr:rowOff>114120</xdr:rowOff>
    </xdr:to>
    <xdr:sp>
      <xdr:nvSpPr>
        <xdr:cNvPr id="9" name="ZoneTexte 21"/>
        <xdr:cNvSpPr/>
      </xdr:nvSpPr>
      <xdr:spPr>
        <a:xfrm>
          <a:off x="21103560" y="3610800"/>
          <a:ext cx="479520" cy="40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fr-FR" sz="2000" strike="noStrike" u="none">
              <a:solidFill>
                <a:schemeClr val="dk1"/>
              </a:solidFill>
              <a:effectLst/>
              <a:uFillTx/>
              <a:latin typeface="Calibri"/>
            </a:rPr>
            <a:t>N1</a:t>
          </a:r>
          <a:endParaRPr b="0" lang="fr-FR" sz="2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72</xdr:col>
      <xdr:colOff>135000</xdr:colOff>
      <xdr:row>10</xdr:row>
      <xdr:rowOff>20520</xdr:rowOff>
    </xdr:from>
    <xdr:to>
      <xdr:col>72</xdr:col>
      <xdr:colOff>614520</xdr:colOff>
      <xdr:row>12</xdr:row>
      <xdr:rowOff>120240</xdr:rowOff>
    </xdr:to>
    <xdr:sp>
      <xdr:nvSpPr>
        <xdr:cNvPr id="10" name="ZoneTexte 22"/>
        <xdr:cNvSpPr/>
      </xdr:nvSpPr>
      <xdr:spPr>
        <a:xfrm>
          <a:off x="21095640" y="1590120"/>
          <a:ext cx="479520" cy="40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fr-FR" sz="2000" strike="noStrike" u="none">
              <a:solidFill>
                <a:schemeClr val="dk1"/>
              </a:solidFill>
              <a:effectLst/>
              <a:uFillTx/>
              <a:latin typeface="Calibri"/>
            </a:rPr>
            <a:t>N1</a:t>
          </a:r>
          <a:endParaRPr b="0" lang="fr-FR" sz="2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5</xdr:row>
      <xdr:rowOff>30600</xdr:rowOff>
    </xdr:from>
    <xdr:to>
      <xdr:col>1</xdr:col>
      <xdr:colOff>80280</xdr:colOff>
      <xdr:row>7</xdr:row>
      <xdr:rowOff>107640</xdr:rowOff>
    </xdr:to>
    <xdr:sp>
      <xdr:nvSpPr>
        <xdr:cNvPr id="11" name="ZoneTexte 23"/>
        <xdr:cNvSpPr/>
      </xdr:nvSpPr>
      <xdr:spPr>
        <a:xfrm>
          <a:off x="0" y="792720"/>
          <a:ext cx="479520" cy="40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fr-FR" sz="2000" strike="noStrike" u="none">
              <a:solidFill>
                <a:schemeClr val="dk1"/>
              </a:solidFill>
              <a:effectLst/>
              <a:uFillTx/>
              <a:latin typeface="Calibri"/>
            </a:rPr>
            <a:t>N1</a:t>
          </a:r>
          <a:endParaRPr b="0" lang="fr-FR" sz="2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4320</xdr:colOff>
      <xdr:row>17</xdr:row>
      <xdr:rowOff>154080</xdr:rowOff>
    </xdr:from>
    <xdr:to>
      <xdr:col>1</xdr:col>
      <xdr:colOff>84600</xdr:colOff>
      <xdr:row>20</xdr:row>
      <xdr:rowOff>78840</xdr:rowOff>
    </xdr:to>
    <xdr:sp>
      <xdr:nvSpPr>
        <xdr:cNvPr id="12" name="ZoneTexte 24"/>
        <xdr:cNvSpPr/>
      </xdr:nvSpPr>
      <xdr:spPr>
        <a:xfrm>
          <a:off x="4320" y="2790720"/>
          <a:ext cx="479520" cy="40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fr-FR" sz="2000" strike="noStrike" u="none">
              <a:solidFill>
                <a:schemeClr val="dk1"/>
              </a:solidFill>
              <a:effectLst/>
              <a:uFillTx/>
              <a:latin typeface="Calibri"/>
            </a:rPr>
            <a:t>N1</a:t>
          </a:r>
          <a:endParaRPr b="0" lang="fr-FR" sz="2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90360</xdr:colOff>
      <xdr:row>13</xdr:row>
      <xdr:rowOff>135000</xdr:rowOff>
    </xdr:from>
    <xdr:to>
      <xdr:col>2</xdr:col>
      <xdr:colOff>141120</xdr:colOff>
      <xdr:row>18</xdr:row>
      <xdr:rowOff>123480</xdr:rowOff>
    </xdr:to>
    <xdr:sp>
      <xdr:nvSpPr>
        <xdr:cNvPr id="13" name="ZoneTexte 25"/>
        <xdr:cNvSpPr/>
      </xdr:nvSpPr>
      <xdr:spPr>
        <a:xfrm rot="16200000">
          <a:off x="304920" y="2346120"/>
          <a:ext cx="773640" cy="40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fr-FR" sz="2000" strike="noStrike" u="none">
              <a:solidFill>
                <a:schemeClr val="dk1"/>
              </a:solidFill>
              <a:effectLst/>
              <a:uFillTx/>
              <a:latin typeface="Calibri"/>
            </a:rPr>
            <a:t>Rep 3</a:t>
          </a:r>
          <a:endParaRPr b="0" lang="fr-FR" sz="2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88200</xdr:colOff>
      <xdr:row>20</xdr:row>
      <xdr:rowOff>39600</xdr:rowOff>
    </xdr:from>
    <xdr:to>
      <xdr:col>2</xdr:col>
      <xdr:colOff>138960</xdr:colOff>
      <xdr:row>25</xdr:row>
      <xdr:rowOff>28440</xdr:rowOff>
    </xdr:to>
    <xdr:sp>
      <xdr:nvSpPr>
        <xdr:cNvPr id="14" name="ZoneTexte 26"/>
        <xdr:cNvSpPr/>
      </xdr:nvSpPr>
      <xdr:spPr>
        <a:xfrm rot="16200000">
          <a:off x="302760" y="3340440"/>
          <a:ext cx="773640" cy="40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fr-FR" sz="2000" strike="noStrike" u="none">
              <a:solidFill>
                <a:schemeClr val="dk1"/>
              </a:solidFill>
              <a:effectLst/>
              <a:uFillTx/>
              <a:latin typeface="Calibri"/>
            </a:rPr>
            <a:t>Rep 4</a:t>
          </a:r>
          <a:endParaRPr b="0" lang="fr-FR" sz="20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jacques.dupond@email.com" TargetMode="External"/><Relationship Id="rId3" Type="http://schemas.openxmlformats.org/officeDocument/2006/relationships/hyperlink" Target="http://urgi.versailles.inra.fr/Species/Wheat/Sequence-Repository" TargetMode="External"/><Relationship Id="rId4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nathalie.nesi@rennes.inra.fr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4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5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6"/>
  <sheetViews>
    <sheetView showFormulas="false" showGridLines="true" showRowColHeaders="true" showZeros="true" rightToLeft="false" tabSelected="false" showOutlineSymbols="true" defaultGridColor="true" view="normal" topLeftCell="A49" colorId="64" zoomScale="90" zoomScaleNormal="90" zoomScalePageLayoutView="100" workbookViewId="0">
      <selection pane="topLeft" activeCell="C76" activeCellId="1" sqref="A26:A49 C76"/>
    </sheetView>
  </sheetViews>
  <sheetFormatPr defaultColWidth="11.43359375" defaultRowHeight="12.75" customHeight="true" zeroHeight="false" outlineLevelRow="0" outlineLevelCol="0"/>
  <cols>
    <col collapsed="false" customWidth="true" hidden="false" outlineLevel="0" max="1" min="1" style="1" width="31.14"/>
    <col collapsed="false" customWidth="true" hidden="false" outlineLevel="0" max="2" min="2" style="1" width="28.43"/>
    <col collapsed="false" customWidth="true" hidden="false" outlineLevel="0" max="3" min="3" style="1" width="35"/>
    <col collapsed="false" customWidth="true" hidden="false" outlineLevel="0" max="4" min="4" style="1" width="36.29"/>
    <col collapsed="false" customWidth="true" hidden="false" outlineLevel="0" max="5" min="5" style="1" width="31"/>
    <col collapsed="false" customWidth="true" hidden="false" outlineLevel="0" max="6" min="6" style="1" width="26.57"/>
    <col collapsed="false" customWidth="true" hidden="false" outlineLevel="0" max="7" min="7" style="1" width="24.86"/>
    <col collapsed="false" customWidth="true" hidden="false" outlineLevel="0" max="8" min="8" style="1" width="37.71"/>
    <col collapsed="false" customWidth="true" hidden="false" outlineLevel="0" max="9" min="9" style="1" width="21.14"/>
    <col collapsed="false" customWidth="true" hidden="false" outlineLevel="0" max="10" min="10" style="1" width="19"/>
    <col collapsed="false" customWidth="true" hidden="false" outlineLevel="0" max="11" min="11" style="1" width="18"/>
    <col collapsed="false" customWidth="true" hidden="false" outlineLevel="0" max="12" min="12" style="1" width="20.71"/>
    <col collapsed="false" customWidth="true" hidden="false" outlineLevel="0" max="13" min="13" style="1" width="23.86"/>
    <col collapsed="false" customWidth="true" hidden="false" outlineLevel="0" max="14" min="14" style="1" width="27.71"/>
    <col collapsed="false" customWidth="true" hidden="false" outlineLevel="0" max="15" min="15" style="1" width="28"/>
    <col collapsed="false" customWidth="true" hidden="false" outlineLevel="0" max="16" min="16" style="1" width="15.29"/>
    <col collapsed="false" customWidth="true" hidden="false" outlineLevel="0" max="17" min="17" style="1" width="17.43"/>
    <col collapsed="false" customWidth="true" hidden="false" outlineLevel="0" max="18" min="18" style="1" width="26.43"/>
    <col collapsed="false" customWidth="true" hidden="false" outlineLevel="0" max="19" min="19" style="1" width="15.57"/>
    <col collapsed="false" customWidth="true" hidden="false" outlineLevel="0" max="20" min="20" style="1" width="13.57"/>
    <col collapsed="false" customWidth="true" hidden="false" outlineLevel="0" max="21" min="21" style="1" width="15.86"/>
    <col collapsed="false" customWidth="true" hidden="false" outlineLevel="0" max="23" min="22" style="1" width="12.57"/>
    <col collapsed="false" customWidth="false" hidden="false" outlineLevel="0" max="24" min="24" style="1" width="11.43"/>
    <col collapsed="false" customWidth="true" hidden="false" outlineLevel="0" max="25" min="25" style="1" width="12.57"/>
    <col collapsed="false" customWidth="false" hidden="false" outlineLevel="0" max="16384" min="26" style="1" width="11.43"/>
  </cols>
  <sheetData>
    <row r="1" customFormat="false" ht="12.75" hidden="false" customHeight="false" outlineLevel="0" collapsed="false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</row>
    <row r="2" customFormat="false" ht="12.75" hidden="false" customHeight="false" outlineLevel="0" collapsed="false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</row>
    <row r="3" customFormat="false" ht="12.75" hidden="false" customHeight="false" outlineLevel="0" collapsed="false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</row>
    <row r="4" customFormat="false" ht="12.75" hidden="false" customHeight="false" outlineLevel="0" collapsed="false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</row>
    <row r="5" customFormat="false" ht="12.75" hidden="false" customHeight="false" outlineLevel="0" collapsed="false">
      <c r="A5" s="8" t="s">
        <v>5</v>
      </c>
      <c r="B5" s="8"/>
      <c r="C5" s="8"/>
      <c r="D5" s="8"/>
      <c r="E5" s="8"/>
      <c r="F5" s="9"/>
      <c r="G5" s="9"/>
      <c r="H5" s="9"/>
      <c r="I5" s="9"/>
      <c r="J5" s="5"/>
      <c r="K5" s="5"/>
      <c r="L5" s="5"/>
    </row>
    <row r="6" customFormat="false" ht="12.75" hidden="false" customHeight="false" outlineLevel="0" collapsed="false">
      <c r="A6" s="5"/>
      <c r="B6" s="5"/>
      <c r="C6" s="5"/>
      <c r="D6" s="5"/>
      <c r="E6" s="5"/>
      <c r="F6" s="9"/>
      <c r="G6" s="9"/>
      <c r="H6" s="9"/>
      <c r="I6" s="9"/>
      <c r="J6" s="5"/>
      <c r="K6" s="5"/>
      <c r="L6" s="5"/>
    </row>
    <row r="7" customFormat="false" ht="12.75" hidden="false" customHeight="false" outlineLevel="0" collapsed="false">
      <c r="A7" s="10" t="s">
        <v>6</v>
      </c>
      <c r="B7" s="11" t="s">
        <v>7</v>
      </c>
      <c r="C7" s="11"/>
      <c r="D7" s="11"/>
      <c r="E7" s="11"/>
      <c r="F7" s="9"/>
      <c r="G7" s="9"/>
      <c r="H7" s="9"/>
      <c r="I7" s="9"/>
      <c r="J7" s="5"/>
      <c r="K7" s="5"/>
      <c r="L7" s="5"/>
    </row>
    <row r="8" customFormat="false" ht="12.75" hidden="false" customHeight="false" outlineLevel="0" collapsed="false">
      <c r="A8" s="10"/>
      <c r="B8" s="12" t="s">
        <v>8</v>
      </c>
      <c r="C8" s="12"/>
      <c r="D8" s="12"/>
      <c r="E8" s="12"/>
      <c r="F8" s="9"/>
      <c r="G8" s="9"/>
      <c r="H8" s="9"/>
      <c r="I8" s="9"/>
      <c r="J8" s="5"/>
      <c r="K8" s="5"/>
      <c r="L8" s="5"/>
    </row>
    <row r="9" customFormat="false" ht="12.75" hidden="false" customHeight="false" outlineLevel="0" collapsed="false">
      <c r="A9" s="10"/>
      <c r="B9" s="13" t="s">
        <v>9</v>
      </c>
      <c r="C9" s="13"/>
      <c r="D9" s="13"/>
      <c r="E9" s="13"/>
      <c r="F9" s="14"/>
      <c r="G9" s="14"/>
      <c r="H9" s="14"/>
      <c r="I9" s="9"/>
      <c r="J9" s="5"/>
      <c r="K9" s="5"/>
      <c r="L9" s="5"/>
    </row>
    <row r="10" customFormat="false" ht="12.75" hidden="false" customHeight="false" outlineLevel="0" collapsed="false">
      <c r="A10" s="5"/>
      <c r="B10" s="5"/>
      <c r="C10" s="5"/>
      <c r="D10" s="5"/>
      <c r="E10" s="5"/>
      <c r="F10" s="9"/>
      <c r="G10" s="9"/>
      <c r="H10" s="9"/>
      <c r="I10" s="9"/>
      <c r="J10" s="5"/>
      <c r="K10" s="5"/>
      <c r="L10" s="5"/>
    </row>
    <row r="11" customFormat="false" ht="12.75" hidden="false" customHeight="false" outlineLevel="0" collapsed="false">
      <c r="A11" s="15" t="s">
        <v>10</v>
      </c>
      <c r="B11" s="5"/>
      <c r="C11" s="5"/>
      <c r="D11" s="5"/>
      <c r="E11" s="5"/>
      <c r="F11" s="9"/>
      <c r="G11" s="9"/>
      <c r="H11" s="9"/>
      <c r="I11" s="9"/>
      <c r="J11" s="5"/>
      <c r="K11" s="5"/>
      <c r="L11" s="5"/>
    </row>
    <row r="12" customFormat="false" ht="12.75" hidden="false" customHeight="false" outlineLevel="0" collapsed="false">
      <c r="A12" s="15"/>
      <c r="B12" s="5"/>
      <c r="C12" s="5"/>
      <c r="D12" s="5"/>
      <c r="E12" s="5"/>
      <c r="F12" s="9"/>
      <c r="G12" s="9"/>
      <c r="H12" s="9"/>
      <c r="I12" s="9"/>
      <c r="J12" s="5"/>
      <c r="K12" s="5"/>
      <c r="L12" s="5"/>
    </row>
    <row r="13" customFormat="false" ht="12.75" hidden="false" customHeight="false" outlineLevel="0" collapsed="false">
      <c r="A13" s="16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12.75" hidden="false" customHeight="false" outlineLevel="0" collapsed="false">
      <c r="A14" s="17" t="s">
        <v>11</v>
      </c>
      <c r="B14" s="15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12.75" hidden="false" customHeight="false" outlineLevel="0" collapsed="false">
      <c r="A15" s="18"/>
      <c r="B15" s="19" t="s">
        <v>13</v>
      </c>
      <c r="C15" s="19" t="s">
        <v>14</v>
      </c>
      <c r="D15" s="20" t="s">
        <v>15</v>
      </c>
      <c r="E15" s="20" t="s">
        <v>16</v>
      </c>
      <c r="F15" s="20" t="s">
        <v>17</v>
      </c>
      <c r="G15" s="20" t="s">
        <v>18</v>
      </c>
      <c r="H15" s="20" t="s">
        <v>19</v>
      </c>
      <c r="I15" s="21" t="s">
        <v>20</v>
      </c>
      <c r="J15" s="22" t="s">
        <v>21</v>
      </c>
      <c r="K15" s="22" t="s">
        <v>22</v>
      </c>
      <c r="L15" s="20" t="s">
        <v>23</v>
      </c>
      <c r="M15" s="20" t="s">
        <v>24</v>
      </c>
      <c r="N15" s="20" t="s">
        <v>25</v>
      </c>
      <c r="O15" s="20" t="s">
        <v>26</v>
      </c>
      <c r="P15" s="20" t="s">
        <v>27</v>
      </c>
      <c r="Q15" s="20" t="s">
        <v>28</v>
      </c>
    </row>
    <row r="16" s="29" customFormat="true" ht="70.5" hidden="false" customHeight="true" outlineLevel="0" collapsed="false">
      <c r="A16" s="23" t="s">
        <v>29</v>
      </c>
      <c r="B16" s="24" t="s">
        <v>30</v>
      </c>
      <c r="C16" s="24" t="s">
        <v>31</v>
      </c>
      <c r="D16" s="25" t="s">
        <v>32</v>
      </c>
      <c r="E16" s="25" t="s">
        <v>33</v>
      </c>
      <c r="F16" s="26" t="s">
        <v>34</v>
      </c>
      <c r="G16" s="24" t="s">
        <v>35</v>
      </c>
      <c r="H16" s="27" t="s">
        <v>36</v>
      </c>
      <c r="I16" s="28" t="s">
        <v>37</v>
      </c>
      <c r="J16" s="28" t="s">
        <v>38</v>
      </c>
      <c r="K16" s="28" t="s">
        <v>39</v>
      </c>
      <c r="L16" s="28" t="s">
        <v>40</v>
      </c>
      <c r="M16" s="28" t="s">
        <v>41</v>
      </c>
      <c r="N16" s="26" t="s">
        <v>42</v>
      </c>
      <c r="O16" s="28" t="s">
        <v>43</v>
      </c>
      <c r="P16" s="28" t="s">
        <v>44</v>
      </c>
      <c r="Q16" s="28" t="s">
        <v>45</v>
      </c>
    </row>
    <row r="17" customFormat="false" ht="24.05" hidden="false" customHeight="false" outlineLevel="0" collapsed="false">
      <c r="A17" s="23" t="s">
        <v>46</v>
      </c>
      <c r="B17" s="30" t="s">
        <v>47</v>
      </c>
      <c r="C17" s="30" t="s">
        <v>48</v>
      </c>
      <c r="D17" s="31" t="s">
        <v>49</v>
      </c>
      <c r="E17" s="31" t="s">
        <v>50</v>
      </c>
      <c r="F17" s="31" t="s">
        <v>51</v>
      </c>
      <c r="G17" s="30" t="s">
        <v>52</v>
      </c>
      <c r="H17" s="32" t="n">
        <v>2012</v>
      </c>
      <c r="I17" s="31" t="s">
        <v>53</v>
      </c>
      <c r="J17" s="28" t="s">
        <v>54</v>
      </c>
      <c r="K17" s="28" t="s">
        <v>55</v>
      </c>
      <c r="L17" s="28"/>
      <c r="M17" s="28"/>
      <c r="N17" s="33" t="s">
        <v>56</v>
      </c>
      <c r="O17" s="28"/>
      <c r="P17" s="28" t="s">
        <v>57</v>
      </c>
      <c r="Q17" s="28" t="s">
        <v>58</v>
      </c>
    </row>
    <row r="18" s="36" customFormat="true" ht="24.05" hidden="false" customHeight="false" outlineLevel="0" collapsed="false">
      <c r="A18" s="23" t="s">
        <v>59</v>
      </c>
      <c r="B18" s="25" t="s">
        <v>60</v>
      </c>
      <c r="C18" s="25" t="s">
        <v>60</v>
      </c>
      <c r="D18" s="25" t="s">
        <v>61</v>
      </c>
      <c r="E18" s="25" t="s">
        <v>61</v>
      </c>
      <c r="F18" s="25" t="s">
        <v>60</v>
      </c>
      <c r="G18" s="25" t="s">
        <v>60</v>
      </c>
      <c r="H18" s="34" t="s">
        <v>60</v>
      </c>
      <c r="I18" s="25" t="s">
        <v>62</v>
      </c>
      <c r="J18" s="25" t="s">
        <v>60</v>
      </c>
      <c r="K18" s="25" t="s">
        <v>60</v>
      </c>
      <c r="L18" s="35" t="s">
        <v>60</v>
      </c>
      <c r="M18" s="35" t="s">
        <v>60</v>
      </c>
      <c r="N18" s="35" t="s">
        <v>60</v>
      </c>
      <c r="O18" s="35" t="s">
        <v>60</v>
      </c>
      <c r="P18" s="35" t="s">
        <v>60</v>
      </c>
      <c r="Q18" s="35" t="s">
        <v>60</v>
      </c>
    </row>
    <row r="19" customFormat="false" ht="12.75" hidden="false" customHeight="false" outlineLevel="0" collapsed="false">
      <c r="A19" s="37"/>
      <c r="B19" s="38"/>
      <c r="C19" s="38"/>
      <c r="D19" s="38"/>
      <c r="E19" s="38"/>
      <c r="F19" s="38"/>
      <c r="G19" s="38"/>
      <c r="H19" s="38"/>
      <c r="I19" s="39"/>
      <c r="J19" s="39"/>
      <c r="K19" s="39"/>
      <c r="L19" s="39"/>
      <c r="M19" s="39"/>
      <c r="N19" s="39"/>
      <c r="O19" s="39"/>
      <c r="P19" s="9"/>
    </row>
    <row r="20" customFormat="false" ht="12.75" hidden="false" customHeight="false" outlineLevel="0" collapsed="false">
      <c r="A20" s="40"/>
      <c r="B20" s="41"/>
      <c r="C20" s="41"/>
      <c r="D20" s="41"/>
      <c r="E20" s="41"/>
      <c r="F20" s="41"/>
    </row>
    <row r="21" s="45" customFormat="true" ht="12.75" hidden="false" customHeight="true" outlineLevel="0" collapsed="false">
      <c r="A21" s="42" t="s">
        <v>63</v>
      </c>
      <c r="B21" s="43" t="s">
        <v>64</v>
      </c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</row>
    <row r="22" customFormat="false" ht="12.75" hidden="false" customHeight="false" outlineLevel="0" collapsed="false">
      <c r="A22" s="46"/>
      <c r="B22" s="19" t="s">
        <v>65</v>
      </c>
      <c r="C22" s="20" t="s">
        <v>66</v>
      </c>
      <c r="D22" s="20" t="s">
        <v>67</v>
      </c>
      <c r="E22" s="20" t="s">
        <v>68</v>
      </c>
      <c r="F22" s="47" t="s">
        <v>69</v>
      </c>
      <c r="G22" s="47" t="s">
        <v>70</v>
      </c>
      <c r="H22" s="48" t="s">
        <v>71</v>
      </c>
      <c r="I22" s="20" t="s">
        <v>72</v>
      </c>
      <c r="J22" s="20" t="s">
        <v>73</v>
      </c>
      <c r="K22" s="20" t="s">
        <v>74</v>
      </c>
      <c r="L22" s="20" t="s">
        <v>75</v>
      </c>
      <c r="M22" s="20" t="s">
        <v>76</v>
      </c>
    </row>
    <row r="23" customFormat="false" ht="69.85" hidden="false" customHeight="false" outlineLevel="0" collapsed="false">
      <c r="A23" s="49" t="s">
        <v>29</v>
      </c>
      <c r="B23" s="24" t="s">
        <v>77</v>
      </c>
      <c r="C23" s="28" t="s">
        <v>78</v>
      </c>
      <c r="D23" s="28" t="s">
        <v>79</v>
      </c>
      <c r="E23" s="28" t="s">
        <v>80</v>
      </c>
      <c r="F23" s="50" t="s">
        <v>81</v>
      </c>
      <c r="G23" s="50" t="s">
        <v>82</v>
      </c>
      <c r="H23" s="50" t="s">
        <v>83</v>
      </c>
      <c r="I23" s="28" t="s">
        <v>84</v>
      </c>
      <c r="J23" s="28" t="s">
        <v>85</v>
      </c>
      <c r="K23" s="28" t="s">
        <v>86</v>
      </c>
      <c r="L23" s="25" t="s">
        <v>87</v>
      </c>
      <c r="M23" s="28" t="s">
        <v>88</v>
      </c>
    </row>
    <row r="24" customFormat="false" ht="12.75" hidden="false" customHeight="false" outlineLevel="0" collapsed="false">
      <c r="A24" s="51" t="s">
        <v>89</v>
      </c>
      <c r="B24" s="30" t="s">
        <v>90</v>
      </c>
      <c r="C24" s="28"/>
      <c r="D24" s="28"/>
      <c r="E24" s="28"/>
      <c r="F24" s="52"/>
      <c r="G24" s="52"/>
      <c r="H24" s="52" t="s">
        <v>91</v>
      </c>
      <c r="I24" s="28" t="s">
        <v>92</v>
      </c>
      <c r="J24" s="28" t="s">
        <v>93</v>
      </c>
      <c r="K24" s="28"/>
      <c r="L24" s="28"/>
      <c r="M24" s="28"/>
    </row>
    <row r="25" customFormat="false" ht="46.95" hidden="false" customHeight="false" outlineLevel="0" collapsed="false">
      <c r="A25" s="23" t="s">
        <v>59</v>
      </c>
      <c r="B25" s="25" t="s">
        <v>60</v>
      </c>
      <c r="C25" s="25" t="s">
        <v>62</v>
      </c>
      <c r="D25" s="25" t="s">
        <v>62</v>
      </c>
      <c r="E25" s="53" t="s">
        <v>62</v>
      </c>
      <c r="F25" s="54" t="s">
        <v>60</v>
      </c>
      <c r="G25" s="54" t="s">
        <v>60</v>
      </c>
      <c r="H25" s="54" t="s">
        <v>60</v>
      </c>
      <c r="I25" s="25" t="s">
        <v>94</v>
      </c>
      <c r="J25" s="53" t="s">
        <v>60</v>
      </c>
      <c r="K25" s="53" t="s">
        <v>60</v>
      </c>
      <c r="L25" s="25" t="s">
        <v>60</v>
      </c>
      <c r="M25" s="25" t="s">
        <v>60</v>
      </c>
    </row>
    <row r="26" customFormat="false" ht="12.75" hidden="false" customHeight="false" outlineLevel="0" collapsed="false">
      <c r="A26" s="37"/>
      <c r="B26" s="44"/>
      <c r="C26" s="41"/>
      <c r="D26" s="55"/>
      <c r="E26" s="41"/>
      <c r="F26" s="41"/>
      <c r="G26" s="41"/>
      <c r="H26" s="41"/>
      <c r="I26" s="41"/>
      <c r="J26" s="41"/>
    </row>
    <row r="27" customFormat="false" ht="12.75" hidden="false" customHeight="false" outlineLevel="0" collapsed="false">
      <c r="A27" s="9"/>
      <c r="B27" s="56"/>
      <c r="C27" s="9"/>
      <c r="D27" s="5"/>
      <c r="E27" s="5"/>
      <c r="F27" s="5"/>
      <c r="G27" s="5"/>
      <c r="H27" s="5"/>
    </row>
    <row r="28" customFormat="false" ht="12.75" hidden="false" customHeight="false" outlineLevel="0" collapsed="false">
      <c r="A28" s="57" t="s">
        <v>95</v>
      </c>
      <c r="B28" s="15" t="s">
        <v>96</v>
      </c>
      <c r="C28" s="9"/>
      <c r="D28" s="5"/>
      <c r="E28" s="5"/>
      <c r="F28" s="5"/>
      <c r="G28" s="5"/>
      <c r="H28" s="5"/>
    </row>
    <row r="29" customFormat="false" ht="12.75" hidden="false" customHeight="false" outlineLevel="0" collapsed="false">
      <c r="A29" s="46"/>
      <c r="B29" s="58" t="s">
        <v>97</v>
      </c>
      <c r="C29" s="58" t="s">
        <v>98</v>
      </c>
      <c r="D29" s="58" t="s">
        <v>99</v>
      </c>
      <c r="E29" s="59" t="s">
        <v>100</v>
      </c>
      <c r="F29" s="59" t="s">
        <v>101</v>
      </c>
      <c r="G29" s="58" t="s">
        <v>102</v>
      </c>
      <c r="H29" s="58" t="s">
        <v>103</v>
      </c>
      <c r="I29" s="59" t="s">
        <v>104</v>
      </c>
    </row>
    <row r="30" customFormat="false" ht="63.75" hidden="false" customHeight="true" outlineLevel="0" collapsed="false">
      <c r="A30" s="23" t="s">
        <v>29</v>
      </c>
      <c r="B30" s="25" t="s">
        <v>105</v>
      </c>
      <c r="C30" s="25" t="s">
        <v>106</v>
      </c>
      <c r="D30" s="25" t="s">
        <v>107</v>
      </c>
      <c r="E30" s="25" t="s">
        <v>108</v>
      </c>
      <c r="F30" s="25" t="s">
        <v>109</v>
      </c>
      <c r="G30" s="25" t="s">
        <v>110</v>
      </c>
      <c r="H30" s="25" t="s">
        <v>111</v>
      </c>
      <c r="I30" s="25" t="s">
        <v>112</v>
      </c>
    </row>
    <row r="31" customFormat="false" ht="12.75" hidden="false" customHeight="true" outlineLevel="0" collapsed="false">
      <c r="A31" s="51" t="s">
        <v>89</v>
      </c>
      <c r="B31" s="25" t="s">
        <v>113</v>
      </c>
      <c r="C31" s="25" t="s">
        <v>114</v>
      </c>
      <c r="D31" s="25" t="s">
        <v>115</v>
      </c>
      <c r="E31" s="25" t="s">
        <v>116</v>
      </c>
      <c r="F31" s="25" t="s">
        <v>117</v>
      </c>
      <c r="G31" s="60" t="s">
        <v>118</v>
      </c>
      <c r="H31" s="25" t="s">
        <v>119</v>
      </c>
      <c r="I31" s="25" t="s">
        <v>120</v>
      </c>
    </row>
    <row r="32" customFormat="false" ht="12.75" hidden="false" customHeight="false" outlineLevel="0" collapsed="false">
      <c r="A32" s="23" t="s">
        <v>59</v>
      </c>
      <c r="B32" s="25" t="s">
        <v>60</v>
      </c>
      <c r="C32" s="25" t="s">
        <v>60</v>
      </c>
      <c r="D32" s="25" t="s">
        <v>60</v>
      </c>
      <c r="E32" s="61" t="s">
        <v>121</v>
      </c>
      <c r="F32" s="61" t="s">
        <v>122</v>
      </c>
      <c r="G32" s="25" t="s">
        <v>60</v>
      </c>
      <c r="H32" s="25" t="s">
        <v>60</v>
      </c>
      <c r="I32" s="25" t="s">
        <v>60</v>
      </c>
    </row>
    <row r="33" s="63" customFormat="true" ht="12.75" hidden="false" customHeight="false" outlineLevel="0" collapsed="false">
      <c r="A33" s="37"/>
      <c r="B33" s="62"/>
      <c r="C33" s="62"/>
      <c r="D33" s="62"/>
      <c r="E33" s="41"/>
      <c r="F33" s="41"/>
      <c r="G33" s="41"/>
      <c r="H33" s="41"/>
      <c r="I33" s="41"/>
    </row>
    <row r="34" customFormat="false" ht="12.75" hidden="false" customHeight="false" outlineLevel="0" collapsed="false">
      <c r="A34" s="64"/>
      <c r="B34" s="38"/>
      <c r="C34" s="38"/>
      <c r="D34" s="38"/>
      <c r="E34" s="9"/>
      <c r="F34" s="9"/>
      <c r="G34" s="38"/>
      <c r="H34" s="38"/>
    </row>
    <row r="35" customFormat="false" ht="12.75" hidden="false" customHeight="false" outlineLevel="0" collapsed="false">
      <c r="A35" s="65" t="s">
        <v>123</v>
      </c>
      <c r="B35" s="66" t="s">
        <v>124</v>
      </c>
      <c r="C35" s="38"/>
      <c r="D35" s="38"/>
      <c r="E35" s="9"/>
      <c r="F35" s="9"/>
      <c r="G35" s="38"/>
      <c r="H35" s="38"/>
    </row>
    <row r="36" customFormat="false" ht="12.75" hidden="false" customHeight="false" outlineLevel="0" collapsed="false">
      <c r="B36" s="66" t="s">
        <v>125</v>
      </c>
      <c r="C36" s="38"/>
      <c r="D36" s="38"/>
      <c r="E36" s="9"/>
      <c r="F36" s="9"/>
      <c r="G36" s="38"/>
      <c r="H36" s="38"/>
    </row>
    <row r="37" customFormat="false" ht="12.75" hidden="false" customHeight="false" outlineLevel="0" collapsed="false">
      <c r="A37" s="46"/>
      <c r="B37" s="19" t="s">
        <v>126</v>
      </c>
      <c r="C37" s="19" t="s">
        <v>127</v>
      </c>
      <c r="D37" s="20" t="s">
        <v>128</v>
      </c>
      <c r="E37" s="20" t="s">
        <v>29</v>
      </c>
      <c r="F37" s="20" t="s">
        <v>129</v>
      </c>
      <c r="G37" s="20" t="s">
        <v>130</v>
      </c>
      <c r="H37" s="67" t="s">
        <v>131</v>
      </c>
      <c r="I37" s="20" t="s">
        <v>74</v>
      </c>
    </row>
    <row r="38" customFormat="false" ht="63.75" hidden="false" customHeight="true" outlineLevel="0" collapsed="false">
      <c r="A38" s="23" t="s">
        <v>29</v>
      </c>
      <c r="B38" s="28" t="s">
        <v>132</v>
      </c>
      <c r="C38" s="68" t="s">
        <v>133</v>
      </c>
      <c r="D38" s="25" t="s">
        <v>134</v>
      </c>
      <c r="E38" s="24" t="s">
        <v>135</v>
      </c>
      <c r="F38" s="25" t="s">
        <v>136</v>
      </c>
      <c r="G38" s="24" t="s">
        <v>137</v>
      </c>
      <c r="H38" s="69" t="s">
        <v>138</v>
      </c>
      <c r="I38" s="28" t="s">
        <v>139</v>
      </c>
    </row>
    <row r="39" customFormat="false" ht="12.75" hidden="false" customHeight="true" outlineLevel="0" collapsed="false">
      <c r="A39" s="51" t="s">
        <v>89</v>
      </c>
      <c r="B39" s="52" t="s">
        <v>140</v>
      </c>
      <c r="C39" s="70" t="s">
        <v>141</v>
      </c>
      <c r="D39" s="70" t="s">
        <v>142</v>
      </c>
      <c r="E39" s="25"/>
      <c r="F39" s="25" t="s">
        <v>143</v>
      </c>
      <c r="G39" s="25"/>
      <c r="H39" s="71"/>
      <c r="I39" s="25"/>
    </row>
    <row r="40" customFormat="false" ht="12.75" hidden="false" customHeight="false" outlineLevel="0" collapsed="false">
      <c r="A40" s="23" t="s">
        <v>59</v>
      </c>
      <c r="B40" s="52" t="s">
        <v>60</v>
      </c>
      <c r="C40" s="25" t="s">
        <v>60</v>
      </c>
      <c r="D40" s="25" t="s">
        <v>60</v>
      </c>
      <c r="E40" s="25" t="s">
        <v>60</v>
      </c>
      <c r="F40" s="25" t="s">
        <v>60</v>
      </c>
      <c r="G40" s="25" t="s">
        <v>60</v>
      </c>
      <c r="H40" s="34" t="s">
        <v>60</v>
      </c>
      <c r="I40" s="25" t="s">
        <v>60</v>
      </c>
    </row>
    <row r="41" customFormat="false" ht="12.75" hidden="false" customHeight="false" outlineLevel="0" collapsed="false">
      <c r="A41" s="37"/>
      <c r="B41" s="38"/>
      <c r="C41" s="38"/>
      <c r="D41" s="38"/>
      <c r="E41" s="9"/>
      <c r="F41" s="9"/>
      <c r="G41" s="38"/>
      <c r="H41" s="38"/>
      <c r="I41" s="38"/>
      <c r="J41" s="38"/>
      <c r="K41" s="38"/>
      <c r="L41" s="38"/>
      <c r="M41" s="9"/>
      <c r="N41" s="38"/>
      <c r="O41" s="38"/>
    </row>
    <row r="42" customFormat="false" ht="12.75" hidden="false" customHeight="false" outlineLevel="0" collapsed="false">
      <c r="A42" s="64"/>
      <c r="B42" s="38"/>
      <c r="C42" s="38"/>
      <c r="D42" s="38"/>
      <c r="E42" s="9"/>
      <c r="F42" s="9"/>
      <c r="G42" s="38"/>
      <c r="H42" s="38"/>
      <c r="I42" s="38"/>
      <c r="J42" s="38"/>
      <c r="K42" s="38"/>
      <c r="L42" s="38"/>
      <c r="M42" s="9"/>
      <c r="N42" s="38"/>
      <c r="O42" s="38"/>
    </row>
    <row r="43" customFormat="false" ht="12.75" hidden="false" customHeight="false" outlineLevel="0" collapsed="false">
      <c r="A43" s="65" t="s">
        <v>144</v>
      </c>
      <c r="B43" s="66" t="s">
        <v>145</v>
      </c>
      <c r="C43" s="38"/>
      <c r="D43" s="38"/>
      <c r="E43" s="9"/>
      <c r="F43" s="38"/>
      <c r="G43" s="38"/>
      <c r="H43" s="38"/>
      <c r="I43" s="9"/>
      <c r="J43" s="38"/>
      <c r="K43" s="38"/>
    </row>
    <row r="44" customFormat="false" ht="12.75" hidden="false" customHeight="false" outlineLevel="0" collapsed="false">
      <c r="A44" s="46"/>
      <c r="B44" s="72" t="s">
        <v>146</v>
      </c>
      <c r="C44" s="72" t="s">
        <v>147</v>
      </c>
      <c r="D44" s="72" t="s">
        <v>148</v>
      </c>
      <c r="E44" s="73" t="s">
        <v>149</v>
      </c>
      <c r="F44" s="72" t="s">
        <v>150</v>
      </c>
    </row>
    <row r="45" customFormat="false" ht="63.75" hidden="false" customHeight="true" outlineLevel="0" collapsed="false">
      <c r="A45" s="23" t="s">
        <v>29</v>
      </c>
      <c r="B45" s="25" t="s">
        <v>151</v>
      </c>
      <c r="C45" s="25" t="s">
        <v>152</v>
      </c>
      <c r="D45" s="25" t="s">
        <v>153</v>
      </c>
      <c r="E45" s="74" t="s">
        <v>154</v>
      </c>
      <c r="F45" s="25" t="s">
        <v>155</v>
      </c>
    </row>
    <row r="46" customFormat="false" ht="12.75" hidden="false" customHeight="true" outlineLevel="0" collapsed="false">
      <c r="A46" s="51" t="s">
        <v>89</v>
      </c>
      <c r="B46" s="75" t="s">
        <v>156</v>
      </c>
      <c r="C46" s="70" t="s">
        <v>157</v>
      </c>
      <c r="D46" s="70" t="s">
        <v>158</v>
      </c>
      <c r="E46" s="74"/>
      <c r="F46" s="70" t="s">
        <v>159</v>
      </c>
    </row>
    <row r="47" customFormat="false" ht="12.75" hidden="false" customHeight="false" outlineLevel="0" collapsed="false">
      <c r="A47" s="23" t="s">
        <v>59</v>
      </c>
      <c r="B47" s="25" t="s">
        <v>60</v>
      </c>
      <c r="C47" s="25" t="s">
        <v>60</v>
      </c>
      <c r="D47" s="25" t="s">
        <v>60</v>
      </c>
      <c r="E47" s="74" t="s">
        <v>60</v>
      </c>
      <c r="F47" s="61" t="s">
        <v>60</v>
      </c>
    </row>
    <row r="48" customFormat="false" ht="12.75" hidden="false" customHeight="false" outlineLevel="0" collapsed="false">
      <c r="A48" s="37"/>
    </row>
    <row r="49" s="77" customFormat="true" ht="12.75" hidden="false" customHeight="true" outlineLevel="0" collapsed="false">
      <c r="A49" s="76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</row>
    <row r="50" customFormat="false" ht="12.75" hidden="false" customHeight="true" outlineLevel="0" collapsed="false">
      <c r="A50" s="78" t="s">
        <v>160</v>
      </c>
      <c r="B50" s="43" t="s">
        <v>161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</row>
    <row r="51" customFormat="false" ht="12.75" hidden="false" customHeight="true" outlineLevel="0" collapsed="false">
      <c r="A51" s="76"/>
      <c r="B51" s="43" t="s">
        <v>162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</row>
    <row r="52" customFormat="false" ht="12.75" hidden="false" customHeight="false" outlineLevel="0" collapsed="false">
      <c r="A52" s="46"/>
      <c r="B52" s="19" t="s">
        <v>163</v>
      </c>
      <c r="C52" s="19" t="s">
        <v>164</v>
      </c>
      <c r="D52" s="19" t="s">
        <v>165</v>
      </c>
      <c r="E52" s="20" t="s">
        <v>166</v>
      </c>
    </row>
    <row r="53" customFormat="false" ht="63.75" hidden="false" customHeight="true" outlineLevel="0" collapsed="false">
      <c r="A53" s="23" t="s">
        <v>29</v>
      </c>
      <c r="B53" s="25" t="s">
        <v>167</v>
      </c>
      <c r="C53" s="25" t="s">
        <v>168</v>
      </c>
      <c r="D53" s="25" t="s">
        <v>169</v>
      </c>
      <c r="E53" s="25" t="s">
        <v>170</v>
      </c>
    </row>
    <row r="54" customFormat="false" ht="35.5" hidden="false" customHeight="false" outlineLevel="0" collapsed="false">
      <c r="A54" s="51" t="s">
        <v>89</v>
      </c>
      <c r="B54" s="52" t="s">
        <v>171</v>
      </c>
      <c r="C54" s="52" t="s">
        <v>172</v>
      </c>
      <c r="D54" s="52" t="s">
        <v>173</v>
      </c>
      <c r="E54" s="75" t="s">
        <v>174</v>
      </c>
    </row>
    <row r="55" customFormat="false" ht="12.75" hidden="false" customHeight="false" outlineLevel="0" collapsed="false">
      <c r="A55" s="23" t="s">
        <v>59</v>
      </c>
      <c r="B55" s="25" t="s">
        <v>60</v>
      </c>
      <c r="C55" s="25" t="s">
        <v>60</v>
      </c>
      <c r="D55" s="25" t="s">
        <v>60</v>
      </c>
      <c r="E55" s="61" t="s">
        <v>60</v>
      </c>
    </row>
    <row r="56" s="45" customFormat="true" ht="12.75" hidden="false" customHeight="false" outlineLevel="0" collapsed="false">
      <c r="A56" s="37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</row>
    <row r="57" customFormat="false" ht="12.75" hidden="false" customHeight="true" outlineLevel="0" collapsed="false">
      <c r="A57" s="76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</row>
    <row r="58" customFormat="false" ht="12.75" hidden="false" customHeight="true" outlineLevel="0" collapsed="false">
      <c r="A58" s="78" t="s">
        <v>175</v>
      </c>
      <c r="B58" s="43" t="s">
        <v>176</v>
      </c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</row>
    <row r="59" customFormat="false" ht="12.75" hidden="false" customHeight="true" outlineLevel="0" collapsed="false">
      <c r="A59" s="76"/>
      <c r="B59" s="43" t="s">
        <v>177</v>
      </c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</row>
    <row r="60" customFormat="false" ht="12.75" hidden="false" customHeight="false" outlineLevel="0" collapsed="false">
      <c r="A60" s="46"/>
      <c r="B60" s="19" t="s">
        <v>178</v>
      </c>
      <c r="C60" s="20" t="s">
        <v>179</v>
      </c>
      <c r="D60" s="20" t="s">
        <v>29</v>
      </c>
      <c r="E60" s="20" t="s">
        <v>180</v>
      </c>
    </row>
    <row r="61" customFormat="false" ht="63.75" hidden="false" customHeight="true" outlineLevel="0" collapsed="false">
      <c r="A61" s="23" t="s">
        <v>29</v>
      </c>
      <c r="B61" s="25" t="s">
        <v>181</v>
      </c>
      <c r="C61" s="25" t="s">
        <v>182</v>
      </c>
      <c r="D61" s="25" t="s">
        <v>183</v>
      </c>
      <c r="E61" s="23" t="s">
        <v>184</v>
      </c>
    </row>
    <row r="62" customFormat="false" ht="12.75" hidden="false" customHeight="true" outlineLevel="0" collapsed="false">
      <c r="A62" s="79" t="s">
        <v>89</v>
      </c>
      <c r="B62" s="25" t="s">
        <v>185</v>
      </c>
      <c r="C62" s="25" t="s">
        <v>186</v>
      </c>
      <c r="D62" s="25"/>
      <c r="E62" s="25"/>
    </row>
    <row r="63" customFormat="false" ht="12.75" hidden="false" customHeight="false" outlineLevel="0" collapsed="false">
      <c r="A63" s="79"/>
      <c r="B63" s="52" t="s">
        <v>187</v>
      </c>
      <c r="C63" s="52" t="s">
        <v>187</v>
      </c>
      <c r="E63" s="52" t="s">
        <v>185</v>
      </c>
    </row>
    <row r="64" customFormat="false" ht="12.75" hidden="false" customHeight="false" outlineLevel="0" collapsed="false">
      <c r="A64" s="23" t="s">
        <v>59</v>
      </c>
      <c r="B64" s="25" t="s">
        <v>60</v>
      </c>
      <c r="C64" s="25" t="s">
        <v>60</v>
      </c>
      <c r="D64" s="25" t="s">
        <v>60</v>
      </c>
      <c r="E64" s="61" t="s">
        <v>60</v>
      </c>
    </row>
    <row r="65" s="45" customFormat="true" ht="12.75" hidden="false" customHeight="false" outlineLevel="0" collapsed="false">
      <c r="A65" s="37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</row>
    <row r="66" s="45" customFormat="true" ht="12.75" hidden="false" customHeight="true" outlineLevel="0" collapsed="false">
      <c r="A66" s="76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</row>
    <row r="67" customFormat="false" ht="12.75" hidden="false" customHeight="true" outlineLevel="0" collapsed="false">
      <c r="A67" s="78" t="s">
        <v>188</v>
      </c>
      <c r="B67" s="43" t="s">
        <v>189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</row>
    <row r="68" customFormat="false" ht="12.75" hidden="false" customHeight="false" outlineLevel="0" collapsed="false">
      <c r="A68" s="46"/>
      <c r="B68" s="80" t="s">
        <v>150</v>
      </c>
      <c r="C68" s="21" t="s">
        <v>190</v>
      </c>
      <c r="D68" s="21" t="s">
        <v>191</v>
      </c>
      <c r="E68" s="81" t="s">
        <v>21</v>
      </c>
      <c r="F68" s="81" t="s">
        <v>22</v>
      </c>
      <c r="G68" s="81" t="s">
        <v>192</v>
      </c>
      <c r="H68" s="22" t="s">
        <v>193</v>
      </c>
      <c r="I68" s="82" t="s">
        <v>194</v>
      </c>
      <c r="J68" s="20" t="s">
        <v>195</v>
      </c>
    </row>
    <row r="69" customFormat="false" ht="52.5" hidden="false" customHeight="true" outlineLevel="0" collapsed="false">
      <c r="A69" s="23" t="s">
        <v>29</v>
      </c>
      <c r="B69" s="25" t="s">
        <v>196</v>
      </c>
      <c r="C69" s="83" t="s">
        <v>197</v>
      </c>
      <c r="D69" s="83" t="s">
        <v>198</v>
      </c>
      <c r="E69" s="30" t="s">
        <v>199</v>
      </c>
      <c r="F69" s="30" t="s">
        <v>200</v>
      </c>
      <c r="G69" s="30" t="s">
        <v>201</v>
      </c>
      <c r="H69" s="30" t="s">
        <v>202</v>
      </c>
      <c r="I69" s="84" t="s">
        <v>203</v>
      </c>
      <c r="J69" s="83" t="s">
        <v>203</v>
      </c>
      <c r="K69" s="41"/>
      <c r="L69" s="41"/>
    </row>
    <row r="70" customFormat="false" ht="35.5" hidden="false" customHeight="false" outlineLevel="0" collapsed="false">
      <c r="A70" s="23"/>
      <c r="B70" s="25"/>
      <c r="C70" s="85" t="s">
        <v>204</v>
      </c>
      <c r="D70" s="85" t="s">
        <v>205</v>
      </c>
      <c r="E70" s="30"/>
      <c r="F70" s="30"/>
      <c r="G70" s="30"/>
      <c r="H70" s="30"/>
      <c r="I70" s="85" t="s">
        <v>206</v>
      </c>
      <c r="J70" s="85" t="s">
        <v>207</v>
      </c>
      <c r="K70" s="41"/>
      <c r="L70" s="41"/>
    </row>
    <row r="71" customFormat="false" ht="24.05" hidden="false" customHeight="false" outlineLevel="0" collapsed="false">
      <c r="A71" s="51" t="s">
        <v>89</v>
      </c>
      <c r="B71" s="70" t="s">
        <v>159</v>
      </c>
      <c r="C71" s="85" t="s">
        <v>208</v>
      </c>
      <c r="D71" s="85" t="s">
        <v>209</v>
      </c>
      <c r="E71" s="25" t="n">
        <v>1</v>
      </c>
      <c r="F71" s="52" t="n">
        <v>3</v>
      </c>
      <c r="G71" s="52"/>
      <c r="H71" s="52"/>
      <c r="I71" s="85" t="s">
        <v>210</v>
      </c>
      <c r="J71" s="85" t="s">
        <v>211</v>
      </c>
      <c r="K71" s="41"/>
      <c r="L71" s="41"/>
    </row>
    <row r="72" customFormat="false" ht="12.75" hidden="false" customHeight="false" outlineLevel="0" collapsed="false">
      <c r="A72" s="23" t="s">
        <v>59</v>
      </c>
      <c r="B72" s="25" t="s">
        <v>60</v>
      </c>
      <c r="C72" s="25" t="s">
        <v>60</v>
      </c>
      <c r="D72" s="25" t="s">
        <v>60</v>
      </c>
      <c r="E72" s="61" t="s">
        <v>60</v>
      </c>
      <c r="F72" s="61" t="s">
        <v>60</v>
      </c>
      <c r="G72" s="52" t="s">
        <v>62</v>
      </c>
      <c r="H72" s="52" t="s">
        <v>62</v>
      </c>
      <c r="I72" s="86" t="s">
        <v>212</v>
      </c>
      <c r="J72" s="52" t="s">
        <v>213</v>
      </c>
      <c r="K72" s="41"/>
      <c r="L72" s="41"/>
    </row>
    <row r="73" customFormat="false" ht="12.75" hidden="false" customHeight="false" outlineLevel="0" collapsed="false">
      <c r="A73" s="64"/>
      <c r="B73" s="38"/>
      <c r="C73" s="38"/>
      <c r="D73" s="38"/>
      <c r="E73" s="9"/>
      <c r="F73" s="41"/>
      <c r="G73" s="41"/>
      <c r="H73" s="41"/>
      <c r="I73" s="41"/>
      <c r="J73" s="41"/>
      <c r="K73" s="41"/>
      <c r="L73" s="41"/>
    </row>
    <row r="74" customFormat="false" ht="12.75" hidden="false" customHeight="false" outlineLevel="0" collapsed="false">
      <c r="A74" s="37"/>
      <c r="B74" s="44"/>
      <c r="C74" s="41"/>
      <c r="D74" s="55"/>
      <c r="E74" s="41"/>
      <c r="F74" s="41"/>
    </row>
    <row r="75" customFormat="false" ht="12.75" hidden="false" customHeight="false" outlineLevel="0" collapsed="false">
      <c r="A75" s="87" t="s">
        <v>214</v>
      </c>
    </row>
    <row r="76" s="91" customFormat="true" ht="12.75" hidden="false" customHeight="false" outlineLevel="0" collapsed="false">
      <c r="A76" s="88"/>
      <c r="B76" s="89" t="s">
        <v>215</v>
      </c>
      <c r="C76" s="90" t="s">
        <v>216</v>
      </c>
      <c r="D76" s="89" t="s">
        <v>217</v>
      </c>
      <c r="E76" s="90" t="s">
        <v>218</v>
      </c>
      <c r="F76" s="90" t="s">
        <v>219</v>
      </c>
      <c r="G76" s="90" t="s">
        <v>29</v>
      </c>
    </row>
    <row r="77" s="94" customFormat="true" ht="24.05" hidden="false" customHeight="false" outlineLevel="0" collapsed="false">
      <c r="A77" s="92" t="s">
        <v>29</v>
      </c>
      <c r="B77" s="50" t="s">
        <v>220</v>
      </c>
      <c r="C77" s="50" t="s">
        <v>221</v>
      </c>
      <c r="D77" s="50" t="s">
        <v>222</v>
      </c>
      <c r="E77" s="50" t="s">
        <v>223</v>
      </c>
      <c r="F77" s="93" t="s">
        <v>224</v>
      </c>
      <c r="G77" s="50" t="s">
        <v>225</v>
      </c>
    </row>
    <row r="78" s="91" customFormat="true" ht="35.5" hidden="false" customHeight="false" outlineLevel="0" collapsed="false">
      <c r="A78" s="95" t="s">
        <v>46</v>
      </c>
      <c r="B78" s="96" t="s">
        <v>226</v>
      </c>
      <c r="C78" s="97" t="s">
        <v>227</v>
      </c>
      <c r="D78" s="50" t="s">
        <v>228</v>
      </c>
      <c r="E78" s="54" t="n">
        <v>39</v>
      </c>
      <c r="F78" s="98" t="n">
        <v>40568</v>
      </c>
      <c r="G78" s="54"/>
    </row>
    <row r="79" customFormat="false" ht="35.5" hidden="false" customHeight="false" outlineLevel="0" collapsed="false">
      <c r="A79" s="92" t="s">
        <v>59</v>
      </c>
      <c r="B79" s="50" t="s">
        <v>60</v>
      </c>
      <c r="C79" s="50" t="s">
        <v>60</v>
      </c>
      <c r="D79" s="50" t="s">
        <v>229</v>
      </c>
      <c r="E79" s="54" t="s">
        <v>62</v>
      </c>
      <c r="F79" s="54" t="s">
        <v>230</v>
      </c>
      <c r="G79" s="50" t="s">
        <v>60</v>
      </c>
    </row>
    <row r="80" customFormat="false" ht="12.75" hidden="false" customHeight="false" outlineLevel="0" collapsed="false">
      <c r="A80" s="99"/>
      <c r="B80" s="100"/>
      <c r="C80" s="100"/>
      <c r="D80" s="100"/>
      <c r="E80" s="101"/>
      <c r="F80" s="101"/>
      <c r="G80" s="100"/>
    </row>
    <row r="81" customFormat="false" ht="12.75" hidden="false" customHeight="false" outlineLevel="0" collapsed="false">
      <c r="A81" s="40"/>
      <c r="B81" s="41"/>
      <c r="C81" s="41"/>
      <c r="D81" s="41"/>
      <c r="E81" s="41"/>
      <c r="F81" s="41"/>
    </row>
    <row r="82" s="45" customFormat="true" ht="12.75" hidden="false" customHeight="true" outlineLevel="0" collapsed="false">
      <c r="A82" s="78" t="s">
        <v>231</v>
      </c>
      <c r="B82" s="43" t="s">
        <v>232</v>
      </c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</row>
    <row r="83" customFormat="false" ht="12.75" hidden="false" customHeight="false" outlineLevel="0" collapsed="false">
      <c r="A83" s="46"/>
      <c r="B83" s="102" t="s">
        <v>233</v>
      </c>
      <c r="C83" s="102" t="s">
        <v>234</v>
      </c>
      <c r="D83" s="102" t="s">
        <v>235</v>
      </c>
    </row>
    <row r="84" customFormat="false" ht="38.25" hidden="false" customHeight="true" outlineLevel="0" collapsed="false">
      <c r="A84" s="49" t="s">
        <v>29</v>
      </c>
      <c r="B84" s="26" t="s">
        <v>236</v>
      </c>
      <c r="C84" s="26" t="s">
        <v>237</v>
      </c>
      <c r="D84" s="26" t="s">
        <v>238</v>
      </c>
    </row>
    <row r="85" customFormat="false" ht="12.75" hidden="false" customHeight="false" outlineLevel="0" collapsed="false">
      <c r="A85" s="51" t="s">
        <v>89</v>
      </c>
      <c r="B85" s="33" t="n">
        <v>1</v>
      </c>
      <c r="C85" s="103" t="n">
        <v>3</v>
      </c>
      <c r="D85" s="33" t="s">
        <v>239</v>
      </c>
    </row>
    <row r="86" customFormat="false" ht="127.1" hidden="false" customHeight="false" outlineLevel="0" collapsed="false">
      <c r="A86" s="23" t="s">
        <v>59</v>
      </c>
      <c r="B86" s="50" t="s">
        <v>240</v>
      </c>
      <c r="C86" s="50" t="s">
        <v>241</v>
      </c>
      <c r="D86" s="50" t="s">
        <v>242</v>
      </c>
    </row>
  </sheetData>
  <mergeCells count="12"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  <mergeCell ref="H69:H70"/>
  </mergeCells>
  <hyperlinks>
    <hyperlink ref="G31" r:id="rId2" display="jacques.dupond@email.com"/>
    <hyperlink ref="C78" r:id="rId3" display="http://urgi.versailles.inra.fr/Species/Wheat/Sequence-Repositor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W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L7" activeCellId="1" sqref="A26:A49 L7"/>
    </sheetView>
  </sheetViews>
  <sheetFormatPr defaultColWidth="12.86328125" defaultRowHeight="12.75" customHeight="true" zeroHeight="false" outlineLevelRow="0" outlineLevelCol="0"/>
  <cols>
    <col collapsed="false" customWidth="true" hidden="false" outlineLevel="0" max="1" min="1" style="104" width="18"/>
    <col collapsed="false" customWidth="true" hidden="false" outlineLevel="0" max="2" min="2" style="104" width="10.57"/>
    <col collapsed="false" customWidth="true" hidden="false" outlineLevel="0" max="3" min="3" style="105" width="15.86"/>
    <col collapsed="false" customWidth="true" hidden="false" outlineLevel="0" max="4" min="4" style="105" width="13.86"/>
    <col collapsed="false" customWidth="true" hidden="false" outlineLevel="0" max="5" min="5" style="105" width="12.43"/>
    <col collapsed="false" customWidth="true" hidden="false" outlineLevel="0" max="6" min="6" style="105" width="15.86"/>
    <col collapsed="false" customWidth="true" hidden="false" outlineLevel="0" max="7" min="7" style="105" width="22.29"/>
    <col collapsed="false" customWidth="true" hidden="false" outlineLevel="0" max="8" min="8" style="105" width="6.29"/>
    <col collapsed="false" customWidth="true" hidden="false" outlineLevel="0" max="9" min="9" style="106" width="7.43"/>
    <col collapsed="false" customWidth="true" hidden="false" outlineLevel="0" max="10" min="10" style="106" width="4"/>
    <col collapsed="false" customWidth="true" hidden="false" outlineLevel="0" max="11" min="11" style="105" width="19.29"/>
    <col collapsed="false" customWidth="true" hidden="false" outlineLevel="0" max="13" min="12" style="105" width="12.43"/>
    <col collapsed="false" customWidth="true" hidden="false" outlineLevel="0" max="14" min="14" style="105" width="17"/>
    <col collapsed="false" customWidth="true" hidden="false" outlineLevel="0" max="15" min="15" style="105" width="8.71"/>
    <col collapsed="false" customWidth="true" hidden="false" outlineLevel="0" max="16" min="16" style="105" width="13.57"/>
  </cols>
  <sheetData>
    <row r="1" customFormat="false" ht="12.75" hidden="false" customHeight="false" outlineLevel="0" collapsed="false">
      <c r="A1" s="107" t="s">
        <v>13</v>
      </c>
      <c r="B1" s="107" t="s">
        <v>14</v>
      </c>
      <c r="C1" s="108" t="s">
        <v>15</v>
      </c>
      <c r="D1" s="108" t="s">
        <v>16</v>
      </c>
      <c r="E1" s="108" t="s">
        <v>17</v>
      </c>
      <c r="F1" s="108" t="s">
        <v>18</v>
      </c>
      <c r="G1" s="108" t="s">
        <v>19</v>
      </c>
      <c r="H1" s="108" t="s">
        <v>20</v>
      </c>
      <c r="I1" s="109" t="s">
        <v>21</v>
      </c>
      <c r="J1" s="109" t="s">
        <v>22</v>
      </c>
      <c r="K1" s="108" t="s">
        <v>23</v>
      </c>
      <c r="L1" s="110" t="s">
        <v>24</v>
      </c>
      <c r="M1" s="108" t="s">
        <v>25</v>
      </c>
      <c r="N1" s="108" t="s">
        <v>26</v>
      </c>
      <c r="O1" s="108" t="s">
        <v>27</v>
      </c>
      <c r="P1" s="108" t="s">
        <v>28</v>
      </c>
    </row>
    <row r="2" customFormat="false" ht="13.8" hidden="false" customHeight="false" outlineLevel="0" collapsed="false">
      <c r="A2" s="104" t="s">
        <v>243</v>
      </c>
      <c r="B2" s="104" t="s">
        <v>244</v>
      </c>
      <c r="C2" s="111" t="s">
        <v>245</v>
      </c>
      <c r="D2" s="111" t="s">
        <v>246</v>
      </c>
      <c r="G2" s="105" t="s">
        <v>247</v>
      </c>
      <c r="I2" s="106" t="s">
        <v>55</v>
      </c>
      <c r="J2" s="106" t="s">
        <v>54</v>
      </c>
      <c r="L2" s="112" t="s">
        <v>248</v>
      </c>
      <c r="N2" s="105" t="s">
        <v>249</v>
      </c>
    </row>
    <row r="3" customFormat="false" ht="12.75" hidden="false" customHeight="false" outlineLevel="0" collapsed="false">
      <c r="R3" s="113"/>
      <c r="S3" s="113"/>
      <c r="T3" s="114"/>
      <c r="U3" s="114"/>
      <c r="V3" s="114"/>
      <c r="W3" s="114"/>
    </row>
    <row r="4" customFormat="false" ht="12.75" hidden="false" customHeight="false" outlineLevel="0" collapsed="false">
      <c r="R4" s="115"/>
      <c r="S4" s="115"/>
      <c r="T4" s="115"/>
      <c r="U4" s="115"/>
      <c r="V4" s="115"/>
      <c r="W4" s="115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&amp;C&amp;"Arial,Normal"&amp;10&amp;A</oddHeader>
    <oddFooter>&amp;C&amp;"Arial,Normal"&amp;10Page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1" sqref="A26:A49 I22"/>
    </sheetView>
  </sheetViews>
  <sheetFormatPr defaultColWidth="10.71484375" defaultRowHeight="12.75" customHeight="true" zeroHeight="false" outlineLevelRow="0" outlineLevelCol="0"/>
  <cols>
    <col collapsed="false" customWidth="true" hidden="false" outlineLevel="0" max="1" min="1" style="116" width="11.86"/>
    <col collapsed="false" customWidth="true" hidden="false" outlineLevel="0" max="2" min="2" style="105" width="16.57"/>
    <col collapsed="false" customWidth="true" hidden="false" outlineLevel="0" max="3" min="3" style="105" width="14"/>
    <col collapsed="false" customWidth="true" hidden="false" outlineLevel="0" max="4" min="4" style="105" width="10.14"/>
    <col collapsed="false" customWidth="true" hidden="false" outlineLevel="0" max="5" min="5" style="105" width="10.43"/>
    <col collapsed="false" customWidth="true" hidden="false" outlineLevel="0" max="6" min="6" style="105" width="6.57"/>
    <col collapsed="false" customWidth="true" hidden="false" outlineLevel="0" max="7" min="7" style="116" width="25.14"/>
    <col collapsed="false" customWidth="true" hidden="false" outlineLevel="0" max="8" min="8" style="105" width="11.29"/>
    <col collapsed="false" customWidth="true" hidden="false" outlineLevel="0" max="9" min="9" style="105" width="12.14"/>
    <col collapsed="false" customWidth="true" hidden="false" outlineLevel="0" max="10" min="10" style="105" width="10.43"/>
    <col collapsed="false" customWidth="true" hidden="false" outlineLevel="0" max="11" min="11" style="105" width="19.29"/>
    <col collapsed="false" customWidth="true" hidden="false" outlineLevel="0" max="12" min="12" style="105" width="22.43"/>
  </cols>
  <sheetData>
    <row r="1" s="87" customFormat="true" ht="12.75" hidden="false" customHeight="false" outlineLevel="0" collapsed="false">
      <c r="A1" s="117" t="s">
        <v>65</v>
      </c>
      <c r="B1" s="118" t="s">
        <v>66</v>
      </c>
      <c r="C1" s="118" t="s">
        <v>67</v>
      </c>
      <c r="D1" s="118" t="s">
        <v>68</v>
      </c>
      <c r="E1" s="118" t="s">
        <v>69</v>
      </c>
      <c r="F1" s="118" t="s">
        <v>70</v>
      </c>
      <c r="G1" s="117" t="s">
        <v>71</v>
      </c>
      <c r="H1" s="118" t="s">
        <v>72</v>
      </c>
      <c r="I1" s="118" t="s">
        <v>73</v>
      </c>
      <c r="J1" s="118" t="s">
        <v>74</v>
      </c>
      <c r="K1" s="119" t="s">
        <v>75</v>
      </c>
      <c r="L1" s="119" t="s">
        <v>76</v>
      </c>
    </row>
    <row r="2" customFormat="false" ht="15" hidden="false" customHeight="false" outlineLevel="0" collapsed="false">
      <c r="A2" s="116" t="s">
        <v>250</v>
      </c>
      <c r="B2" s="120" t="s">
        <v>251</v>
      </c>
      <c r="C2" s="105" t="s">
        <v>252</v>
      </c>
      <c r="G2" s="116" t="s">
        <v>253</v>
      </c>
      <c r="H2" s="121"/>
      <c r="I2" s="1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X1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4" activeCellId="1" sqref="A26:A49 A4"/>
    </sheetView>
  </sheetViews>
  <sheetFormatPr defaultColWidth="10.71484375" defaultRowHeight="12.75" customHeight="true" zeroHeight="false" outlineLevelRow="0" outlineLevelCol="0"/>
  <cols>
    <col collapsed="false" customWidth="true" hidden="false" outlineLevel="0" max="1" min="1" style="122" width="16.43"/>
    <col collapsed="false" customWidth="true" hidden="false" outlineLevel="0" max="2" min="2" style="122" width="10.57"/>
    <col collapsed="false" customWidth="false" hidden="false" outlineLevel="0" max="3" min="3" style="122" width="10.71"/>
    <col collapsed="false" customWidth="true" hidden="false" outlineLevel="0" max="4" min="4" style="105" width="12.71"/>
    <col collapsed="false" customWidth="true" hidden="false" outlineLevel="0" max="5" min="5" style="105" width="4.71"/>
    <col collapsed="false" customWidth="true" hidden="false" outlineLevel="0" max="6" min="6" style="122" width="29.86"/>
    <col collapsed="false" customWidth="true" hidden="false" outlineLevel="0" max="7" min="7" style="122" width="10.43"/>
    <col collapsed="false" customWidth="true" hidden="false" outlineLevel="0" max="8" min="8" style="105" width="11.43"/>
  </cols>
  <sheetData>
    <row r="1" customFormat="false" ht="12.75" hidden="false" customHeight="false" outlineLevel="0" collapsed="false">
      <c r="A1" s="107" t="s">
        <v>97</v>
      </c>
      <c r="B1" s="107" t="s">
        <v>98</v>
      </c>
      <c r="C1" s="107" t="s">
        <v>99</v>
      </c>
      <c r="D1" s="108" t="s">
        <v>100</v>
      </c>
      <c r="E1" s="123" t="s">
        <v>101</v>
      </c>
      <c r="F1" s="107" t="s">
        <v>102</v>
      </c>
      <c r="G1" s="107" t="s">
        <v>103</v>
      </c>
      <c r="H1" s="108" t="s">
        <v>104</v>
      </c>
    </row>
    <row r="2" customFormat="false" ht="12.75" hidden="false" customHeight="false" outlineLevel="0" collapsed="false">
      <c r="A2" s="124" t="s">
        <v>113</v>
      </c>
      <c r="B2" s="124" t="s">
        <v>254</v>
      </c>
      <c r="C2" s="124" t="s">
        <v>255</v>
      </c>
      <c r="F2" s="125" t="s">
        <v>256</v>
      </c>
      <c r="G2" s="124" t="s">
        <v>119</v>
      </c>
      <c r="H2" s="126" t="s">
        <v>257</v>
      </c>
    </row>
    <row r="3" customFormat="false" ht="12.75" hidden="false" customHeight="false" outlineLevel="0" collapsed="false">
      <c r="H3" s="126"/>
    </row>
    <row r="4" customFormat="false" ht="12.75" hidden="false" customHeight="false" outlineLevel="0" collapsed="false">
      <c r="D4" s="127"/>
      <c r="H4" s="126"/>
    </row>
    <row r="8" customFormat="false" ht="12.75" hidden="false" customHeight="false" outlineLevel="0" collapsed="false">
      <c r="K8" s="128"/>
      <c r="L8" s="128"/>
      <c r="M8" s="128"/>
      <c r="N8" s="128"/>
      <c r="O8" s="114"/>
      <c r="P8" s="129"/>
      <c r="Q8" s="114"/>
      <c r="R8" s="128"/>
      <c r="S8" s="128"/>
      <c r="T8" s="128"/>
      <c r="U8" s="114"/>
      <c r="V8" s="128"/>
      <c r="W8" s="128"/>
      <c r="X8" s="114"/>
    </row>
    <row r="9" customFormat="false" ht="12.75" hidden="false" customHeight="false" outlineLevel="0" collapsed="false">
      <c r="L9" s="130"/>
      <c r="M9" s="130"/>
      <c r="N9" s="125"/>
      <c r="Q9" s="126"/>
      <c r="R9" s="126"/>
      <c r="S9" s="126"/>
      <c r="T9" s="131"/>
      <c r="U9" s="126"/>
      <c r="V9" s="126"/>
      <c r="W9" s="126"/>
      <c r="X9" s="131"/>
    </row>
    <row r="10" customFormat="false" ht="12.75" hidden="false" customHeight="false" outlineLevel="0" collapsed="false">
      <c r="K10" s="127"/>
      <c r="L10" s="130"/>
      <c r="M10" s="130"/>
      <c r="N10" s="125"/>
      <c r="O10" s="127"/>
      <c r="Q10" s="126"/>
      <c r="R10" s="126"/>
      <c r="S10" s="126"/>
      <c r="T10" s="131"/>
      <c r="U10" s="126"/>
      <c r="V10" s="126"/>
      <c r="W10" s="126"/>
      <c r="X10" s="131"/>
    </row>
  </sheetData>
  <dataValidations count="1">
    <dataValidation allowBlank="true" errorStyle="stop" operator="between" showDropDown="false" showErrorMessage="true" showInputMessage="false" sqref="G2" type="list">
      <formula1>InstitutionName</formula1>
      <formula2>0</formula2>
    </dataValidation>
  </dataValidations>
  <hyperlinks>
    <hyperlink ref="F2" r:id="rId1" display="nathalie.nesi@rennes.inra.f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B1" colorId="64" zoomScale="70" zoomScaleNormal="70" zoomScalePageLayoutView="100" workbookViewId="0">
      <selection pane="topLeft" activeCell="D21" activeCellId="1" sqref="A26:A49 D21"/>
    </sheetView>
  </sheetViews>
  <sheetFormatPr defaultColWidth="12.71484375" defaultRowHeight="12.75" customHeight="true" zeroHeight="false" outlineLevelRow="0" outlineLevelCol="0"/>
  <cols>
    <col collapsed="false" customWidth="true" hidden="false" outlineLevel="0" max="1" min="1" style="122" width="41.43"/>
    <col collapsed="false" customWidth="true" hidden="false" outlineLevel="0" max="2" min="2" style="122" width="30.29"/>
    <col collapsed="false" customWidth="true" hidden="false" outlineLevel="0" max="3" min="3" style="105" width="28.14"/>
    <col collapsed="false" customWidth="true" hidden="false" outlineLevel="0" max="4" min="4" style="105" width="85.29"/>
    <col collapsed="false" customWidth="true" hidden="false" outlineLevel="0" max="5" min="5" style="105" width="17.29"/>
    <col collapsed="false" customWidth="true" hidden="false" outlineLevel="0" max="6" min="6" style="105" width="49.57"/>
    <col collapsed="false" customWidth="true" hidden="false" outlineLevel="0" max="7" min="7" style="105" width="15.43"/>
    <col collapsed="false" customWidth="true" hidden="false" outlineLevel="0" max="8" min="8" style="105" width="10.43"/>
    <col collapsed="false" customWidth="false" hidden="false" outlineLevel="0" max="16384" min="9" style="132" width="12.71"/>
  </cols>
  <sheetData>
    <row r="1" s="87" customFormat="true" ht="12.75" hidden="false" customHeight="false" outlineLevel="0" collapsed="false">
      <c r="A1" s="133" t="s">
        <v>126</v>
      </c>
      <c r="B1" s="133" t="s">
        <v>127</v>
      </c>
      <c r="C1" s="134" t="s">
        <v>128</v>
      </c>
      <c r="D1" s="135" t="s">
        <v>29</v>
      </c>
      <c r="E1" s="135" t="s">
        <v>129</v>
      </c>
      <c r="F1" s="135" t="s">
        <v>130</v>
      </c>
      <c r="G1" s="123" t="s">
        <v>131</v>
      </c>
      <c r="H1" s="123" t="s">
        <v>74</v>
      </c>
    </row>
    <row r="2" customFormat="false" ht="92.75" hidden="false" customHeight="false" outlineLevel="0" collapsed="false">
      <c r="A2" s="136" t="s">
        <v>258</v>
      </c>
      <c r="B2" s="136" t="s">
        <v>259</v>
      </c>
      <c r="C2" s="137" t="s">
        <v>260</v>
      </c>
      <c r="D2" s="138" t="s">
        <v>261</v>
      </c>
      <c r="E2" s="138" t="s">
        <v>262</v>
      </c>
      <c r="F2" s="138" t="s">
        <v>263</v>
      </c>
      <c r="G2" s="139"/>
      <c r="H2" s="139"/>
    </row>
    <row r="3" customFormat="false" ht="31.9" hidden="false" customHeight="false" outlineLevel="0" collapsed="false">
      <c r="A3" s="140" t="s">
        <v>258</v>
      </c>
      <c r="B3" s="140" t="s">
        <v>264</v>
      </c>
      <c r="C3" s="141" t="s">
        <v>265</v>
      </c>
      <c r="D3" s="142" t="s">
        <v>266</v>
      </c>
      <c r="E3" s="142" t="s">
        <v>267</v>
      </c>
      <c r="F3" s="143" t="s">
        <v>268</v>
      </c>
      <c r="G3" s="144"/>
      <c r="H3" s="144"/>
    </row>
    <row r="4" customFormat="false" ht="31.9" hidden="false" customHeight="false" outlineLevel="0" collapsed="false">
      <c r="A4" s="140" t="s">
        <v>258</v>
      </c>
      <c r="B4" s="140" t="s">
        <v>269</v>
      </c>
      <c r="C4" s="141" t="s">
        <v>270</v>
      </c>
      <c r="D4" s="142" t="s">
        <v>271</v>
      </c>
      <c r="E4" s="142" t="s">
        <v>272</v>
      </c>
      <c r="F4" s="143" t="s">
        <v>273</v>
      </c>
      <c r="G4" s="144"/>
      <c r="H4" s="144"/>
    </row>
    <row r="5" customFormat="false" ht="62.65" hidden="false" customHeight="false" outlineLevel="0" collapsed="false">
      <c r="A5" s="140" t="s">
        <v>258</v>
      </c>
      <c r="B5" s="140" t="s">
        <v>274</v>
      </c>
      <c r="C5" s="141" t="s">
        <v>275</v>
      </c>
      <c r="D5" s="142" t="s">
        <v>276</v>
      </c>
      <c r="E5" s="142" t="s">
        <v>277</v>
      </c>
      <c r="F5" s="143" t="s">
        <v>278</v>
      </c>
      <c r="G5" s="144"/>
      <c r="H5" s="144"/>
    </row>
    <row r="6" customFormat="false" ht="42.15" hidden="false" customHeight="false" outlineLevel="0" collapsed="false">
      <c r="A6" s="140" t="s">
        <v>258</v>
      </c>
      <c r="B6" s="140" t="s">
        <v>279</v>
      </c>
      <c r="C6" s="141" t="s">
        <v>280</v>
      </c>
      <c r="D6" s="142" t="s">
        <v>281</v>
      </c>
      <c r="E6" s="142" t="s">
        <v>277</v>
      </c>
      <c r="F6" s="143" t="s">
        <v>282</v>
      </c>
      <c r="G6" s="144"/>
      <c r="H6" s="144"/>
    </row>
    <row r="7" customFormat="false" ht="12.75" hidden="false" customHeight="false" outlineLevel="0" collapsed="false">
      <c r="A7" s="140" t="s">
        <v>258</v>
      </c>
      <c r="B7" s="140" t="s">
        <v>283</v>
      </c>
      <c r="C7" s="141" t="s">
        <v>284</v>
      </c>
      <c r="D7" s="142" t="s">
        <v>285</v>
      </c>
      <c r="E7" s="142" t="s">
        <v>286</v>
      </c>
      <c r="F7" s="143" t="s">
        <v>287</v>
      </c>
      <c r="G7" s="144"/>
      <c r="H7" s="144"/>
    </row>
    <row r="8" customFormat="false" ht="42.15" hidden="false" customHeight="false" outlineLevel="0" collapsed="false">
      <c r="A8" s="140" t="s">
        <v>258</v>
      </c>
      <c r="B8" s="140" t="s">
        <v>288</v>
      </c>
      <c r="C8" s="141" t="s">
        <v>289</v>
      </c>
      <c r="D8" s="142" t="s">
        <v>290</v>
      </c>
      <c r="E8" s="142" t="s">
        <v>291</v>
      </c>
      <c r="F8" s="143" t="s">
        <v>292</v>
      </c>
      <c r="G8" s="144"/>
      <c r="H8" s="144"/>
    </row>
    <row r="9" customFormat="false" ht="21.65" hidden="false" customHeight="false" outlineLevel="0" collapsed="false">
      <c r="A9" s="140" t="s">
        <v>258</v>
      </c>
      <c r="B9" s="140" t="s">
        <v>293</v>
      </c>
      <c r="C9" s="141" t="s">
        <v>294</v>
      </c>
      <c r="D9" s="142" t="s">
        <v>295</v>
      </c>
      <c r="E9" s="142" t="s">
        <v>267</v>
      </c>
      <c r="F9" s="143" t="s">
        <v>296</v>
      </c>
      <c r="G9" s="144"/>
      <c r="H9" s="144"/>
    </row>
    <row r="10" customFormat="false" ht="12.75" hidden="false" customHeight="false" outlineLevel="0" collapsed="false">
      <c r="A10" s="140" t="s">
        <v>258</v>
      </c>
      <c r="B10" s="140" t="s">
        <v>297</v>
      </c>
      <c r="C10" s="141" t="s">
        <v>298</v>
      </c>
      <c r="D10" s="142" t="s">
        <v>299</v>
      </c>
      <c r="E10" s="142" t="s">
        <v>286</v>
      </c>
      <c r="F10" s="143" t="s">
        <v>300</v>
      </c>
      <c r="G10" s="144"/>
      <c r="H10" s="144"/>
    </row>
    <row r="11" customFormat="false" ht="12.75" hidden="false" customHeight="false" outlineLevel="0" collapsed="false">
      <c r="A11" s="140" t="s">
        <v>258</v>
      </c>
      <c r="B11" s="140" t="s">
        <v>301</v>
      </c>
      <c r="C11" s="141" t="s">
        <v>302</v>
      </c>
      <c r="D11" s="142" t="s">
        <v>303</v>
      </c>
      <c r="E11" s="142" t="s">
        <v>304</v>
      </c>
      <c r="F11" s="143" t="s">
        <v>305</v>
      </c>
      <c r="G11" s="144"/>
      <c r="H11" s="144"/>
    </row>
    <row r="12" customFormat="false" ht="31.9" hidden="false" customHeight="false" outlineLevel="0" collapsed="false">
      <c r="A12" s="140" t="s">
        <v>258</v>
      </c>
      <c r="B12" s="140" t="s">
        <v>306</v>
      </c>
      <c r="C12" s="141" t="s">
        <v>307</v>
      </c>
      <c r="D12" s="142" t="s">
        <v>308</v>
      </c>
      <c r="E12" s="142" t="s">
        <v>286</v>
      </c>
      <c r="F12" s="143" t="s">
        <v>309</v>
      </c>
      <c r="G12" s="144"/>
      <c r="H12" s="144"/>
    </row>
    <row r="13" customFormat="false" ht="31.9" hidden="false" customHeight="false" outlineLevel="0" collapsed="false">
      <c r="A13" s="140" t="s">
        <v>258</v>
      </c>
      <c r="B13" s="140" t="s">
        <v>310</v>
      </c>
      <c r="C13" s="141" t="s">
        <v>311</v>
      </c>
      <c r="D13" s="142" t="s">
        <v>312</v>
      </c>
      <c r="E13" s="142" t="s">
        <v>286</v>
      </c>
      <c r="F13" s="143" t="s">
        <v>313</v>
      </c>
      <c r="G13" s="144"/>
      <c r="H13" s="144"/>
    </row>
    <row r="14" customFormat="false" ht="60.75" hidden="false" customHeight="true" outlineLevel="0" collapsed="false">
      <c r="A14" s="140" t="s">
        <v>258</v>
      </c>
      <c r="B14" s="140" t="s">
        <v>314</v>
      </c>
      <c r="C14" s="141" t="s">
        <v>315</v>
      </c>
      <c r="D14" s="142" t="s">
        <v>316</v>
      </c>
      <c r="E14" s="142" t="s">
        <v>317</v>
      </c>
      <c r="F14" s="143" t="s">
        <v>318</v>
      </c>
      <c r="G14" s="144"/>
      <c r="H14" s="144"/>
    </row>
    <row r="15" customFormat="false" ht="31.9" hidden="false" customHeight="false" outlineLevel="0" collapsed="false">
      <c r="A15" s="140" t="s">
        <v>258</v>
      </c>
      <c r="B15" s="140" t="s">
        <v>319</v>
      </c>
      <c r="C15" s="141" t="s">
        <v>320</v>
      </c>
      <c r="D15" s="142" t="s">
        <v>321</v>
      </c>
      <c r="E15" s="142" t="s">
        <v>143</v>
      </c>
      <c r="F15" s="143" t="s">
        <v>322</v>
      </c>
      <c r="G15" s="144"/>
      <c r="H15" s="144"/>
    </row>
    <row r="16" customFormat="false" ht="52.4" hidden="false" customHeight="false" outlineLevel="0" collapsed="false">
      <c r="A16" s="140" t="s">
        <v>258</v>
      </c>
      <c r="B16" s="140" t="s">
        <v>323</v>
      </c>
      <c r="C16" s="141" t="s">
        <v>324</v>
      </c>
      <c r="D16" s="142" t="s">
        <v>325</v>
      </c>
      <c r="E16" s="142" t="s">
        <v>326</v>
      </c>
      <c r="F16" s="143" t="s">
        <v>327</v>
      </c>
      <c r="G16" s="144"/>
      <c r="H16" s="145"/>
    </row>
    <row r="17" customFormat="false" ht="31.9" hidden="false" customHeight="false" outlineLevel="0" collapsed="false">
      <c r="A17" s="140" t="s">
        <v>258</v>
      </c>
      <c r="B17" s="140" t="s">
        <v>328</v>
      </c>
      <c r="C17" s="141" t="s">
        <v>329</v>
      </c>
      <c r="D17" s="142" t="s">
        <v>330</v>
      </c>
      <c r="E17" s="142" t="s">
        <v>331</v>
      </c>
      <c r="F17" s="143" t="s">
        <v>327</v>
      </c>
      <c r="G17" s="144"/>
      <c r="H17" s="144"/>
    </row>
    <row r="18" customFormat="false" ht="31.9" hidden="false" customHeight="false" outlineLevel="0" collapsed="false">
      <c r="A18" s="140" t="s">
        <v>258</v>
      </c>
      <c r="B18" s="140" t="s">
        <v>332</v>
      </c>
      <c r="C18" s="141" t="s">
        <v>333</v>
      </c>
      <c r="D18" s="142" t="s">
        <v>334</v>
      </c>
      <c r="E18" s="142" t="s">
        <v>331</v>
      </c>
      <c r="F18" s="143" t="s">
        <v>327</v>
      </c>
      <c r="G18" s="144"/>
      <c r="H18" s="144"/>
    </row>
    <row r="19" customFormat="false" ht="93.35" hidden="false" customHeight="false" outlineLevel="0" collapsed="false">
      <c r="A19" s="146" t="s">
        <v>258</v>
      </c>
      <c r="B19" s="146" t="s">
        <v>335</v>
      </c>
      <c r="C19" s="141" t="s">
        <v>336</v>
      </c>
      <c r="D19" s="142" t="s">
        <v>337</v>
      </c>
      <c r="E19" s="142" t="s">
        <v>331</v>
      </c>
      <c r="F19" s="147" t="s">
        <v>338</v>
      </c>
      <c r="G19" s="148"/>
      <c r="H19" s="148"/>
    </row>
    <row r="20" customFormat="false" ht="31.9" hidden="false" customHeight="false" outlineLevel="0" collapsed="false">
      <c r="A20" s="140" t="s">
        <v>258</v>
      </c>
      <c r="B20" s="140" t="s">
        <v>339</v>
      </c>
      <c r="C20" s="141" t="s">
        <v>340</v>
      </c>
      <c r="D20" s="149" t="s">
        <v>341</v>
      </c>
      <c r="E20" s="142" t="s">
        <v>331</v>
      </c>
      <c r="F20" s="143" t="s">
        <v>327</v>
      </c>
      <c r="G20" s="144"/>
      <c r="H20" s="144"/>
    </row>
    <row r="21" customFormat="false" ht="31.9" hidden="false" customHeight="false" outlineLevel="0" collapsed="false">
      <c r="A21" s="140" t="s">
        <v>258</v>
      </c>
      <c r="B21" s="140" t="s">
        <v>342</v>
      </c>
      <c r="C21" s="141" t="s">
        <v>343</v>
      </c>
      <c r="D21" s="142" t="s">
        <v>344</v>
      </c>
      <c r="E21" s="142" t="s">
        <v>331</v>
      </c>
      <c r="F21" s="143" t="s">
        <v>327</v>
      </c>
      <c r="G21" s="144"/>
      <c r="H21" s="144"/>
    </row>
    <row r="22" customFormat="false" ht="31.9" hidden="false" customHeight="false" outlineLevel="0" collapsed="false">
      <c r="A22" s="140" t="s">
        <v>258</v>
      </c>
      <c r="B22" s="140" t="s">
        <v>345</v>
      </c>
      <c r="C22" s="141" t="s">
        <v>346</v>
      </c>
      <c r="D22" s="142" t="s">
        <v>347</v>
      </c>
      <c r="E22" s="142" t="s">
        <v>331</v>
      </c>
      <c r="F22" s="143" t="s">
        <v>327</v>
      </c>
      <c r="G22" s="144"/>
      <c r="H22" s="144"/>
    </row>
    <row r="23" customFormat="false" ht="72.85" hidden="false" customHeight="false" outlineLevel="0" collapsed="false">
      <c r="A23" s="140" t="s">
        <v>258</v>
      </c>
      <c r="B23" s="140" t="s">
        <v>348</v>
      </c>
      <c r="C23" s="141" t="s">
        <v>349</v>
      </c>
      <c r="D23" s="142" t="s">
        <v>350</v>
      </c>
      <c r="E23" s="142" t="s">
        <v>331</v>
      </c>
      <c r="F23" s="143" t="s">
        <v>351</v>
      </c>
      <c r="G23" s="144"/>
      <c r="H23" s="144"/>
    </row>
    <row r="24" customFormat="false" ht="31.9" hidden="false" customHeight="false" outlineLevel="0" collapsed="false">
      <c r="A24" s="140" t="s">
        <v>258</v>
      </c>
      <c r="B24" s="140" t="s">
        <v>352</v>
      </c>
      <c r="C24" s="141" t="s">
        <v>353</v>
      </c>
      <c r="D24" s="142" t="s">
        <v>354</v>
      </c>
      <c r="E24" s="142" t="s">
        <v>331</v>
      </c>
      <c r="F24" s="143" t="s">
        <v>327</v>
      </c>
      <c r="G24" s="144"/>
      <c r="H24" s="145"/>
    </row>
    <row r="25" customFormat="false" ht="72.85" hidden="false" customHeight="false" outlineLevel="0" collapsed="false">
      <c r="A25" s="140" t="s">
        <v>258</v>
      </c>
      <c r="B25" s="140" t="s">
        <v>355</v>
      </c>
      <c r="C25" s="141" t="s">
        <v>356</v>
      </c>
      <c r="D25" s="142" t="s">
        <v>357</v>
      </c>
      <c r="E25" s="142" t="s">
        <v>331</v>
      </c>
      <c r="F25" s="143" t="s">
        <v>358</v>
      </c>
      <c r="G25" s="144"/>
      <c r="H25" s="145"/>
    </row>
    <row r="26" customFormat="false" ht="31.9" hidden="false" customHeight="false" outlineLevel="0" collapsed="false">
      <c r="A26" s="140" t="s">
        <v>258</v>
      </c>
      <c r="B26" s="140" t="s">
        <v>359</v>
      </c>
      <c r="C26" s="141" t="s">
        <v>360</v>
      </c>
      <c r="D26" s="142" t="s">
        <v>361</v>
      </c>
      <c r="E26" s="142" t="s">
        <v>277</v>
      </c>
      <c r="F26" s="143" t="s">
        <v>362</v>
      </c>
      <c r="G26" s="144"/>
      <c r="H26" s="145"/>
    </row>
    <row r="27" customFormat="false" ht="12.75" hidden="false" customHeight="false" outlineLevel="0" collapsed="false">
      <c r="A27" s="140" t="s">
        <v>258</v>
      </c>
      <c r="B27" s="140" t="s">
        <v>363</v>
      </c>
      <c r="C27" s="141" t="s">
        <v>364</v>
      </c>
      <c r="D27" s="142" t="s">
        <v>365</v>
      </c>
      <c r="E27" s="142" t="s">
        <v>366</v>
      </c>
      <c r="F27" s="143" t="s">
        <v>367</v>
      </c>
      <c r="G27" s="144"/>
      <c r="H27" s="145"/>
    </row>
    <row r="28" customFormat="false" ht="12.75" hidden="false" customHeight="false" outlineLevel="0" collapsed="false">
      <c r="A28" s="140" t="s">
        <v>258</v>
      </c>
      <c r="B28" s="140" t="s">
        <v>368</v>
      </c>
      <c r="C28" s="141" t="s">
        <v>369</v>
      </c>
      <c r="D28" s="142" t="s">
        <v>370</v>
      </c>
      <c r="E28" s="142" t="s">
        <v>366</v>
      </c>
      <c r="F28" s="143" t="s">
        <v>367</v>
      </c>
      <c r="G28" s="144"/>
      <c r="H28" s="145"/>
    </row>
    <row r="29" customFormat="false" ht="12.75" hidden="false" customHeight="false" outlineLevel="0" collapsed="false">
      <c r="A29" s="140" t="s">
        <v>258</v>
      </c>
      <c r="B29" s="140" t="s">
        <v>371</v>
      </c>
      <c r="C29" s="141" t="s">
        <v>372</v>
      </c>
      <c r="D29" s="142" t="s">
        <v>373</v>
      </c>
      <c r="E29" s="142" t="s">
        <v>366</v>
      </c>
      <c r="F29" s="143" t="s">
        <v>367</v>
      </c>
      <c r="G29" s="144"/>
      <c r="H29" s="145"/>
    </row>
    <row r="30" customFormat="false" ht="12.75" hidden="false" customHeight="false" outlineLevel="0" collapsed="false">
      <c r="A30" s="140" t="s">
        <v>258</v>
      </c>
      <c r="B30" s="140" t="s">
        <v>374</v>
      </c>
      <c r="C30" s="141" t="s">
        <v>375</v>
      </c>
      <c r="D30" s="142" t="s">
        <v>376</v>
      </c>
      <c r="E30" s="142" t="s">
        <v>366</v>
      </c>
      <c r="F30" s="143" t="s">
        <v>367</v>
      </c>
      <c r="G30" s="144"/>
      <c r="H30" s="145"/>
    </row>
    <row r="31" customFormat="false" ht="12.75" hidden="false" customHeight="false" outlineLevel="0" collapsed="false">
      <c r="A31" s="140" t="s">
        <v>258</v>
      </c>
      <c r="B31" s="140" t="s">
        <v>377</v>
      </c>
      <c r="C31" s="141" t="s">
        <v>378</v>
      </c>
      <c r="D31" s="142" t="s">
        <v>379</v>
      </c>
      <c r="E31" s="142" t="s">
        <v>366</v>
      </c>
      <c r="F31" s="143" t="s">
        <v>367</v>
      </c>
      <c r="G31" s="144"/>
      <c r="H31" s="145"/>
    </row>
    <row r="32" customFormat="false" ht="12.75" hidden="false" customHeight="false" outlineLevel="0" collapsed="false">
      <c r="A32" s="140" t="s">
        <v>258</v>
      </c>
      <c r="B32" s="140" t="s">
        <v>380</v>
      </c>
      <c r="C32" s="141" t="s">
        <v>381</v>
      </c>
      <c r="D32" s="142" t="s">
        <v>382</v>
      </c>
      <c r="E32" s="142" t="s">
        <v>366</v>
      </c>
      <c r="F32" s="143" t="s">
        <v>367</v>
      </c>
      <c r="G32" s="144"/>
      <c r="H32" s="145"/>
    </row>
    <row r="33" customFormat="false" ht="21.65" hidden="false" customHeight="false" outlineLevel="0" collapsed="false">
      <c r="A33" s="140" t="s">
        <v>258</v>
      </c>
      <c r="B33" s="140" t="s">
        <v>383</v>
      </c>
      <c r="C33" s="141" t="s">
        <v>384</v>
      </c>
      <c r="D33" s="142" t="s">
        <v>385</v>
      </c>
      <c r="E33" s="142" t="s">
        <v>386</v>
      </c>
      <c r="F33" s="143" t="s">
        <v>367</v>
      </c>
      <c r="G33" s="144"/>
      <c r="H33" s="145"/>
    </row>
    <row r="34" customFormat="false" ht="21.65" hidden="false" customHeight="false" outlineLevel="0" collapsed="false">
      <c r="A34" s="140" t="s">
        <v>258</v>
      </c>
      <c r="B34" s="140" t="s">
        <v>387</v>
      </c>
      <c r="C34" s="141" t="s">
        <v>388</v>
      </c>
      <c r="D34" s="142" t="s">
        <v>389</v>
      </c>
      <c r="E34" s="142" t="s">
        <v>386</v>
      </c>
      <c r="F34" s="143" t="s">
        <v>367</v>
      </c>
      <c r="G34" s="144"/>
      <c r="H34" s="145"/>
    </row>
    <row r="35" customFormat="false" ht="12.75" hidden="false" customHeight="false" outlineLevel="0" collapsed="false">
      <c r="A35" s="140" t="s">
        <v>258</v>
      </c>
      <c r="B35" s="140" t="s">
        <v>390</v>
      </c>
      <c r="C35" s="141" t="s">
        <v>391</v>
      </c>
      <c r="D35" s="142" t="s">
        <v>392</v>
      </c>
      <c r="E35" s="142" t="s">
        <v>393</v>
      </c>
      <c r="F35" s="143" t="s">
        <v>367</v>
      </c>
      <c r="G35" s="144"/>
      <c r="H35" s="145"/>
    </row>
    <row r="36" customFormat="false" ht="12.75" hidden="false" customHeight="false" outlineLevel="0" collapsed="false">
      <c r="A36" s="140" t="s">
        <v>258</v>
      </c>
      <c r="B36" s="140" t="s">
        <v>394</v>
      </c>
      <c r="C36" s="141" t="s">
        <v>395</v>
      </c>
      <c r="D36" s="142" t="s">
        <v>396</v>
      </c>
      <c r="E36" s="142" t="s">
        <v>277</v>
      </c>
      <c r="F36" s="143" t="s">
        <v>367</v>
      </c>
      <c r="G36" s="144"/>
      <c r="H36" s="144"/>
    </row>
    <row r="37" customFormat="false" ht="21.65" hidden="false" customHeight="false" outlineLevel="0" collapsed="false">
      <c r="A37" s="140" t="s">
        <v>258</v>
      </c>
      <c r="B37" s="140" t="s">
        <v>397</v>
      </c>
      <c r="C37" s="141" t="s">
        <v>398</v>
      </c>
      <c r="D37" s="142" t="s">
        <v>399</v>
      </c>
      <c r="E37" s="142" t="s">
        <v>386</v>
      </c>
      <c r="F37" s="143" t="s">
        <v>367</v>
      </c>
      <c r="G37" s="144"/>
      <c r="H37" s="144"/>
    </row>
    <row r="38" customFormat="false" ht="12.75" hidden="false" customHeight="false" outlineLevel="0" collapsed="false">
      <c r="A38" s="140" t="s">
        <v>258</v>
      </c>
      <c r="B38" s="140" t="s">
        <v>400</v>
      </c>
      <c r="C38" s="141" t="s">
        <v>401</v>
      </c>
      <c r="D38" s="142" t="s">
        <v>402</v>
      </c>
      <c r="E38" s="142" t="s">
        <v>277</v>
      </c>
      <c r="F38" s="143" t="s">
        <v>403</v>
      </c>
      <c r="G38" s="144"/>
      <c r="H38" s="144"/>
    </row>
    <row r="39" customFormat="false" ht="62.65" hidden="false" customHeight="false" outlineLevel="0" collapsed="false">
      <c r="A39" s="140" t="s">
        <v>258</v>
      </c>
      <c r="B39" s="140" t="s">
        <v>404</v>
      </c>
      <c r="C39" s="141" t="s">
        <v>405</v>
      </c>
      <c r="D39" s="142" t="s">
        <v>406</v>
      </c>
      <c r="E39" s="142" t="s">
        <v>277</v>
      </c>
      <c r="F39" s="143" t="s">
        <v>407</v>
      </c>
      <c r="G39" s="144"/>
      <c r="H39" s="144"/>
    </row>
    <row r="40" customFormat="false" ht="62.65" hidden="false" customHeight="false" outlineLevel="0" collapsed="false">
      <c r="A40" s="140" t="s">
        <v>258</v>
      </c>
      <c r="B40" s="140" t="s">
        <v>408</v>
      </c>
      <c r="C40" s="141" t="s">
        <v>409</v>
      </c>
      <c r="D40" s="142" t="s">
        <v>410</v>
      </c>
      <c r="E40" s="142" t="s">
        <v>277</v>
      </c>
      <c r="F40" s="143" t="s">
        <v>411</v>
      </c>
      <c r="G40" s="144"/>
      <c r="H40" s="144"/>
    </row>
    <row r="41" customFormat="false" ht="31.9" hidden="false" customHeight="false" outlineLevel="0" collapsed="false">
      <c r="A41" s="140" t="s">
        <v>258</v>
      </c>
      <c r="B41" s="140" t="s">
        <v>412</v>
      </c>
      <c r="C41" s="141" t="s">
        <v>413</v>
      </c>
      <c r="D41" s="142" t="s">
        <v>414</v>
      </c>
      <c r="E41" s="142" t="s">
        <v>415</v>
      </c>
      <c r="F41" s="143" t="s">
        <v>416</v>
      </c>
      <c r="G41" s="144"/>
      <c r="H41" s="144"/>
    </row>
    <row r="42" customFormat="false" ht="31.9" hidden="false" customHeight="false" outlineLevel="0" collapsed="false">
      <c r="A42" s="140" t="s">
        <v>258</v>
      </c>
      <c r="B42" s="140" t="s">
        <v>417</v>
      </c>
      <c r="C42" s="141" t="s">
        <v>418</v>
      </c>
      <c r="D42" s="142" t="s">
        <v>419</v>
      </c>
      <c r="E42" s="142" t="s">
        <v>420</v>
      </c>
      <c r="F42" s="143" t="s">
        <v>416</v>
      </c>
      <c r="G42" s="144"/>
      <c r="H42" s="144"/>
    </row>
    <row r="43" customFormat="false" ht="31.9" hidden="false" customHeight="false" outlineLevel="0" collapsed="false">
      <c r="A43" s="140" t="s">
        <v>258</v>
      </c>
      <c r="B43" s="140" t="s">
        <v>421</v>
      </c>
      <c r="C43" s="141" t="s">
        <v>422</v>
      </c>
      <c r="D43" s="142" t="s">
        <v>423</v>
      </c>
      <c r="E43" s="142" t="s">
        <v>424</v>
      </c>
      <c r="F43" s="143" t="s">
        <v>416</v>
      </c>
      <c r="G43" s="144"/>
      <c r="H43" s="144"/>
    </row>
    <row r="44" customFormat="false" ht="103.6" hidden="false" customHeight="false" outlineLevel="0" collapsed="false">
      <c r="A44" s="140" t="s">
        <v>258</v>
      </c>
      <c r="B44" s="140" t="s">
        <v>425</v>
      </c>
      <c r="C44" s="141" t="s">
        <v>426</v>
      </c>
      <c r="D44" s="142" t="s">
        <v>427</v>
      </c>
      <c r="E44" s="142" t="s">
        <v>267</v>
      </c>
      <c r="F44" s="143" t="s">
        <v>428</v>
      </c>
      <c r="G44" s="150"/>
      <c r="H44" s="150"/>
    </row>
    <row r="45" customFormat="false" ht="12.75" hidden="false" customHeight="false" outlineLevel="0" collapsed="false">
      <c r="A45" s="151"/>
      <c r="B45" s="151"/>
      <c r="C45" s="152"/>
      <c r="D45" s="152"/>
      <c r="E45" s="152"/>
      <c r="F45" s="152"/>
    </row>
    <row r="48" customFormat="false" ht="25.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E11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87" activeCellId="1" sqref="A26:A49 D87"/>
    </sheetView>
  </sheetViews>
  <sheetFormatPr defaultColWidth="12.71484375" defaultRowHeight="12.75" customHeight="true" zeroHeight="false" outlineLevelRow="0" outlineLevelCol="0"/>
  <cols>
    <col collapsed="false" customWidth="true" hidden="false" outlineLevel="0" max="1" min="1" style="122" width="21.86"/>
    <col collapsed="false" customWidth="true" hidden="false" outlineLevel="0" max="2" min="2" style="122" width="24.43"/>
    <col collapsed="false" customWidth="true" hidden="false" outlineLevel="0" max="3" min="3" style="122" width="26"/>
    <col collapsed="false" customWidth="true" hidden="false" outlineLevel="0" max="4" min="4" style="153" width="18.57"/>
    <col collapsed="false" customWidth="true" hidden="false" outlineLevel="0" max="5" min="5" style="122" width="12.14"/>
    <col collapsed="false" customWidth="false" hidden="false" outlineLevel="0" max="16384" min="6" style="132" width="12.71"/>
  </cols>
  <sheetData>
    <row r="1" s="87" customFormat="true" ht="12.75" hidden="false" customHeight="false" outlineLevel="0" collapsed="false">
      <c r="A1" s="107" t="s">
        <v>146</v>
      </c>
      <c r="B1" s="107" t="s">
        <v>147</v>
      </c>
      <c r="C1" s="107" t="s">
        <v>148</v>
      </c>
      <c r="D1" s="154" t="s">
        <v>149</v>
      </c>
      <c r="E1" s="107" t="s">
        <v>150</v>
      </c>
    </row>
    <row r="2" customFormat="false" ht="12.75" hidden="false" customHeight="false" outlineLevel="0" collapsed="false">
      <c r="A2" s="155" t="s">
        <v>429</v>
      </c>
      <c r="B2" s="122" t="s">
        <v>430</v>
      </c>
      <c r="C2" s="122" t="s">
        <v>431</v>
      </c>
      <c r="D2" s="156"/>
      <c r="E2" s="122" t="s">
        <v>430</v>
      </c>
    </row>
    <row r="3" customFormat="false" ht="12.75" hidden="false" customHeight="false" outlineLevel="0" collapsed="false">
      <c r="A3" s="155" t="s">
        <v>429</v>
      </c>
      <c r="B3" s="122" t="s">
        <v>432</v>
      </c>
      <c r="C3" s="122" t="s">
        <v>433</v>
      </c>
      <c r="E3" s="122" t="s">
        <v>432</v>
      </c>
    </row>
    <row r="4" customFormat="false" ht="12.75" hidden="false" customHeight="false" outlineLevel="0" collapsed="false">
      <c r="A4" s="155" t="s">
        <v>429</v>
      </c>
      <c r="B4" s="122" t="s">
        <v>434</v>
      </c>
      <c r="C4" s="122" t="s">
        <v>435</v>
      </c>
      <c r="E4" s="122" t="s">
        <v>434</v>
      </c>
    </row>
    <row r="5" customFormat="false" ht="12.75" hidden="false" customHeight="false" outlineLevel="0" collapsed="false">
      <c r="A5" s="155" t="s">
        <v>429</v>
      </c>
      <c r="B5" s="122" t="s">
        <v>436</v>
      </c>
      <c r="C5" s="122" t="s">
        <v>437</v>
      </c>
      <c r="E5" s="122" t="s">
        <v>436</v>
      </c>
    </row>
    <row r="6" customFormat="false" ht="12.75" hidden="false" customHeight="false" outlineLevel="0" collapsed="false">
      <c r="A6" s="155" t="s">
        <v>429</v>
      </c>
      <c r="B6" s="122" t="s">
        <v>438</v>
      </c>
      <c r="C6" s="122" t="s">
        <v>439</v>
      </c>
      <c r="E6" s="122" t="s">
        <v>438</v>
      </c>
    </row>
    <row r="7" customFormat="false" ht="12.75" hidden="false" customHeight="false" outlineLevel="0" collapsed="false">
      <c r="A7" s="155" t="s">
        <v>429</v>
      </c>
      <c r="B7" s="122" t="s">
        <v>440</v>
      </c>
      <c r="C7" s="122" t="s">
        <v>441</v>
      </c>
      <c r="E7" s="122" t="s">
        <v>440</v>
      </c>
    </row>
    <row r="8" customFormat="false" ht="12.75" hidden="false" customHeight="false" outlineLevel="0" collapsed="false">
      <c r="A8" s="155" t="s">
        <v>429</v>
      </c>
      <c r="B8" s="122" t="s">
        <v>442</v>
      </c>
      <c r="C8" s="122" t="s">
        <v>443</v>
      </c>
      <c r="E8" s="122" t="s">
        <v>442</v>
      </c>
    </row>
    <row r="9" customFormat="false" ht="12.75" hidden="false" customHeight="false" outlineLevel="0" collapsed="false">
      <c r="A9" s="155" t="s">
        <v>429</v>
      </c>
      <c r="B9" s="122" t="s">
        <v>444</v>
      </c>
      <c r="C9" s="122" t="s">
        <v>445</v>
      </c>
      <c r="E9" s="122" t="s">
        <v>444</v>
      </c>
    </row>
    <row r="10" customFormat="false" ht="12.75" hidden="false" customHeight="false" outlineLevel="0" collapsed="false">
      <c r="A10" s="155" t="s">
        <v>429</v>
      </c>
      <c r="B10" s="122" t="s">
        <v>446</v>
      </c>
      <c r="C10" s="122" t="s">
        <v>447</v>
      </c>
      <c r="E10" s="122" t="s">
        <v>446</v>
      </c>
    </row>
    <row r="11" customFormat="false" ht="12.75" hidden="false" customHeight="false" outlineLevel="0" collapsed="false">
      <c r="A11" s="155" t="s">
        <v>429</v>
      </c>
      <c r="B11" s="122" t="s">
        <v>448</v>
      </c>
      <c r="C11" s="122" t="s">
        <v>449</v>
      </c>
      <c r="E11" s="122" t="s">
        <v>448</v>
      </c>
    </row>
    <row r="12" customFormat="false" ht="12.75" hidden="false" customHeight="false" outlineLevel="0" collapsed="false">
      <c r="A12" s="155" t="s">
        <v>429</v>
      </c>
      <c r="B12" s="122" t="s">
        <v>450</v>
      </c>
      <c r="C12" s="122" t="s">
        <v>451</v>
      </c>
      <c r="E12" s="122" t="s">
        <v>450</v>
      </c>
    </row>
    <row r="13" customFormat="false" ht="12.75" hidden="false" customHeight="false" outlineLevel="0" collapsed="false">
      <c r="A13" s="155" t="s">
        <v>429</v>
      </c>
      <c r="B13" s="122" t="s">
        <v>452</v>
      </c>
      <c r="C13" s="122" t="s">
        <v>453</v>
      </c>
      <c r="E13" s="122" t="s">
        <v>452</v>
      </c>
    </row>
    <row r="14" customFormat="false" ht="12.75" hidden="false" customHeight="false" outlineLevel="0" collapsed="false">
      <c r="A14" s="155" t="s">
        <v>429</v>
      </c>
      <c r="B14" s="122" t="s">
        <v>454</v>
      </c>
      <c r="C14" s="122" t="s">
        <v>455</v>
      </c>
      <c r="E14" s="122" t="s">
        <v>454</v>
      </c>
    </row>
    <row r="15" customFormat="false" ht="12.75" hidden="false" customHeight="false" outlineLevel="0" collapsed="false">
      <c r="A15" s="155" t="s">
        <v>429</v>
      </c>
      <c r="B15" s="122" t="s">
        <v>456</v>
      </c>
      <c r="C15" s="122" t="s">
        <v>457</v>
      </c>
      <c r="E15" s="122" t="s">
        <v>456</v>
      </c>
    </row>
    <row r="16" customFormat="false" ht="12.75" hidden="false" customHeight="false" outlineLevel="0" collapsed="false">
      <c r="A16" s="155" t="s">
        <v>429</v>
      </c>
      <c r="B16" s="122" t="s">
        <v>458</v>
      </c>
      <c r="C16" s="122" t="s">
        <v>459</v>
      </c>
      <c r="E16" s="122" t="s">
        <v>458</v>
      </c>
    </row>
    <row r="17" customFormat="false" ht="12.75" hidden="false" customHeight="false" outlineLevel="0" collapsed="false">
      <c r="A17" s="155" t="s">
        <v>429</v>
      </c>
      <c r="B17" s="122" t="s">
        <v>460</v>
      </c>
      <c r="C17" s="122" t="s">
        <v>461</v>
      </c>
      <c r="E17" s="122" t="s">
        <v>460</v>
      </c>
    </row>
    <row r="18" customFormat="false" ht="12.75" hidden="false" customHeight="false" outlineLevel="0" collapsed="false">
      <c r="A18" s="155" t="s">
        <v>429</v>
      </c>
      <c r="B18" s="122" t="s">
        <v>462</v>
      </c>
      <c r="C18" s="122" t="s">
        <v>463</v>
      </c>
      <c r="E18" s="122" t="s">
        <v>462</v>
      </c>
    </row>
    <row r="19" customFormat="false" ht="12.75" hidden="false" customHeight="false" outlineLevel="0" collapsed="false">
      <c r="A19" s="155" t="s">
        <v>429</v>
      </c>
      <c r="B19" s="122" t="s">
        <v>464</v>
      </c>
      <c r="C19" s="122" t="s">
        <v>465</v>
      </c>
      <c r="E19" s="122" t="s">
        <v>464</v>
      </c>
    </row>
    <row r="20" customFormat="false" ht="12.75" hidden="false" customHeight="false" outlineLevel="0" collapsed="false">
      <c r="A20" s="155" t="s">
        <v>429</v>
      </c>
      <c r="B20" s="122" t="s">
        <v>466</v>
      </c>
      <c r="C20" s="122" t="s">
        <v>467</v>
      </c>
      <c r="E20" s="122" t="s">
        <v>466</v>
      </c>
    </row>
    <row r="21" customFormat="false" ht="12.75" hidden="false" customHeight="false" outlineLevel="0" collapsed="false">
      <c r="A21" s="155" t="s">
        <v>429</v>
      </c>
      <c r="B21" s="122" t="s">
        <v>468</v>
      </c>
      <c r="C21" s="122" t="s">
        <v>469</v>
      </c>
      <c r="E21" s="122" t="s">
        <v>468</v>
      </c>
    </row>
    <row r="22" customFormat="false" ht="12.75" hidden="false" customHeight="false" outlineLevel="0" collapsed="false">
      <c r="A22" s="155" t="s">
        <v>429</v>
      </c>
      <c r="B22" s="122" t="s">
        <v>470</v>
      </c>
      <c r="C22" s="122" t="s">
        <v>471</v>
      </c>
      <c r="E22" s="122" t="s">
        <v>470</v>
      </c>
    </row>
    <row r="23" customFormat="false" ht="12.75" hidden="false" customHeight="false" outlineLevel="0" collapsed="false">
      <c r="A23" s="155" t="s">
        <v>429</v>
      </c>
      <c r="B23" s="122" t="s">
        <v>472</v>
      </c>
      <c r="C23" s="122" t="s">
        <v>473</v>
      </c>
      <c r="E23" s="122" t="s">
        <v>472</v>
      </c>
    </row>
    <row r="24" customFormat="false" ht="12.75" hidden="false" customHeight="false" outlineLevel="0" collapsed="false">
      <c r="A24" s="155" t="s">
        <v>429</v>
      </c>
      <c r="B24" s="122" t="s">
        <v>474</v>
      </c>
      <c r="C24" s="122" t="s">
        <v>475</v>
      </c>
      <c r="E24" s="122" t="s">
        <v>474</v>
      </c>
    </row>
    <row r="25" customFormat="false" ht="12.75" hidden="false" customHeight="false" outlineLevel="0" collapsed="false">
      <c r="A25" s="155" t="s">
        <v>429</v>
      </c>
      <c r="B25" s="122" t="s">
        <v>476</v>
      </c>
      <c r="C25" s="122" t="s">
        <v>477</v>
      </c>
      <c r="E25" s="122" t="s">
        <v>476</v>
      </c>
    </row>
    <row r="26" customFormat="false" ht="12.75" hidden="false" customHeight="false" outlineLevel="0" collapsed="false">
      <c r="A26" s="155" t="s">
        <v>429</v>
      </c>
      <c r="B26" s="122" t="s">
        <v>478</v>
      </c>
      <c r="C26" s="122" t="s">
        <v>479</v>
      </c>
      <c r="E26" s="122" t="s">
        <v>478</v>
      </c>
    </row>
    <row r="27" customFormat="false" ht="12.75" hidden="false" customHeight="false" outlineLevel="0" collapsed="false">
      <c r="A27" s="155" t="s">
        <v>429</v>
      </c>
      <c r="B27" s="122" t="s">
        <v>480</v>
      </c>
      <c r="C27" s="122" t="s">
        <v>481</v>
      </c>
      <c r="E27" s="122" t="s">
        <v>480</v>
      </c>
    </row>
    <row r="28" customFormat="false" ht="12.75" hidden="false" customHeight="false" outlineLevel="0" collapsed="false">
      <c r="A28" s="155" t="s">
        <v>429</v>
      </c>
      <c r="B28" s="122" t="s">
        <v>482</v>
      </c>
      <c r="C28" s="122" t="s">
        <v>483</v>
      </c>
      <c r="E28" s="122" t="s">
        <v>482</v>
      </c>
    </row>
    <row r="29" customFormat="false" ht="12.75" hidden="false" customHeight="false" outlineLevel="0" collapsed="false">
      <c r="A29" s="155" t="s">
        <v>429</v>
      </c>
      <c r="B29" s="122" t="s">
        <v>484</v>
      </c>
      <c r="C29" s="122" t="s">
        <v>485</v>
      </c>
      <c r="E29" s="122" t="s">
        <v>484</v>
      </c>
    </row>
    <row r="30" customFormat="false" ht="12.75" hidden="false" customHeight="false" outlineLevel="0" collapsed="false">
      <c r="A30" s="155" t="s">
        <v>429</v>
      </c>
      <c r="B30" s="122" t="s">
        <v>486</v>
      </c>
      <c r="C30" s="122" t="s">
        <v>487</v>
      </c>
      <c r="E30" s="122" t="s">
        <v>486</v>
      </c>
    </row>
    <row r="31" customFormat="false" ht="12.75" hidden="false" customHeight="false" outlineLevel="0" collapsed="false">
      <c r="A31" s="155" t="s">
        <v>429</v>
      </c>
      <c r="B31" s="122" t="s">
        <v>488</v>
      </c>
      <c r="C31" s="122" t="s">
        <v>489</v>
      </c>
      <c r="E31" s="122" t="s">
        <v>488</v>
      </c>
    </row>
    <row r="32" customFormat="false" ht="12.75" hidden="false" customHeight="false" outlineLevel="0" collapsed="false">
      <c r="A32" s="155" t="s">
        <v>429</v>
      </c>
      <c r="B32" s="122" t="s">
        <v>490</v>
      </c>
      <c r="C32" s="122" t="s">
        <v>491</v>
      </c>
      <c r="E32" s="122" t="s">
        <v>490</v>
      </c>
    </row>
    <row r="33" customFormat="false" ht="12.75" hidden="false" customHeight="false" outlineLevel="0" collapsed="false">
      <c r="A33" s="155" t="s">
        <v>429</v>
      </c>
      <c r="B33" s="122" t="s">
        <v>492</v>
      </c>
      <c r="C33" s="122" t="s">
        <v>493</v>
      </c>
      <c r="E33" s="122" t="s">
        <v>492</v>
      </c>
    </row>
    <row r="34" customFormat="false" ht="12.75" hidden="false" customHeight="false" outlineLevel="0" collapsed="false">
      <c r="A34" s="155" t="s">
        <v>429</v>
      </c>
      <c r="B34" s="122" t="s">
        <v>494</v>
      </c>
      <c r="C34" s="122" t="s">
        <v>495</v>
      </c>
      <c r="E34" s="122" t="s">
        <v>494</v>
      </c>
    </row>
    <row r="35" customFormat="false" ht="12.75" hidden="false" customHeight="false" outlineLevel="0" collapsed="false">
      <c r="A35" s="155" t="s">
        <v>429</v>
      </c>
      <c r="B35" s="122" t="s">
        <v>496</v>
      </c>
      <c r="C35" s="122" t="s">
        <v>497</v>
      </c>
      <c r="E35" s="122" t="s">
        <v>496</v>
      </c>
    </row>
    <row r="36" customFormat="false" ht="12.75" hidden="false" customHeight="false" outlineLevel="0" collapsed="false">
      <c r="A36" s="155" t="s">
        <v>429</v>
      </c>
      <c r="B36" s="122" t="s">
        <v>498</v>
      </c>
      <c r="C36" s="122" t="s">
        <v>499</v>
      </c>
      <c r="E36" s="122" t="s">
        <v>498</v>
      </c>
    </row>
    <row r="37" customFormat="false" ht="12.75" hidden="false" customHeight="false" outlineLevel="0" collapsed="false">
      <c r="A37" s="155" t="s">
        <v>429</v>
      </c>
      <c r="B37" s="122" t="s">
        <v>500</v>
      </c>
      <c r="C37" s="122" t="s">
        <v>501</v>
      </c>
      <c r="E37" s="122" t="s">
        <v>500</v>
      </c>
    </row>
    <row r="38" customFormat="false" ht="12.75" hidden="false" customHeight="false" outlineLevel="0" collapsed="false">
      <c r="A38" s="155" t="s">
        <v>429</v>
      </c>
      <c r="B38" s="122" t="s">
        <v>502</v>
      </c>
      <c r="C38" s="122" t="s">
        <v>503</v>
      </c>
      <c r="E38" s="122" t="s">
        <v>502</v>
      </c>
    </row>
    <row r="39" customFormat="false" ht="12.75" hidden="false" customHeight="false" outlineLevel="0" collapsed="false">
      <c r="A39" s="155" t="s">
        <v>429</v>
      </c>
      <c r="B39" s="122" t="s">
        <v>504</v>
      </c>
      <c r="C39" s="122" t="s">
        <v>505</v>
      </c>
      <c r="E39" s="122" t="s">
        <v>504</v>
      </c>
    </row>
    <row r="40" customFormat="false" ht="12.75" hidden="false" customHeight="false" outlineLevel="0" collapsed="false">
      <c r="A40" s="155" t="s">
        <v>429</v>
      </c>
      <c r="B40" s="122" t="s">
        <v>506</v>
      </c>
      <c r="C40" s="122" t="s">
        <v>507</v>
      </c>
      <c r="E40" s="122" t="s">
        <v>506</v>
      </c>
    </row>
    <row r="41" customFormat="false" ht="12.75" hidden="false" customHeight="false" outlineLevel="0" collapsed="false">
      <c r="A41" s="155" t="s">
        <v>429</v>
      </c>
      <c r="B41" s="124" t="s">
        <v>508</v>
      </c>
      <c r="C41" s="124" t="s">
        <v>509</v>
      </c>
      <c r="E41" s="124" t="s">
        <v>508</v>
      </c>
    </row>
    <row r="42" customFormat="false" ht="12.75" hidden="false" customHeight="false" outlineLevel="0" collapsed="false">
      <c r="A42" s="155" t="s">
        <v>429</v>
      </c>
      <c r="B42" s="122" t="s">
        <v>510</v>
      </c>
      <c r="C42" s="122" t="s">
        <v>511</v>
      </c>
      <c r="E42" s="122" t="s">
        <v>510</v>
      </c>
    </row>
    <row r="43" customFormat="false" ht="12.75" hidden="false" customHeight="false" outlineLevel="0" collapsed="false">
      <c r="A43" s="155" t="s">
        <v>429</v>
      </c>
      <c r="B43" s="122" t="s">
        <v>512</v>
      </c>
      <c r="C43" s="122" t="s">
        <v>513</v>
      </c>
      <c r="E43" s="122" t="s">
        <v>512</v>
      </c>
    </row>
    <row r="44" customFormat="false" ht="12.75" hidden="false" customHeight="false" outlineLevel="0" collapsed="false">
      <c r="A44" s="155" t="s">
        <v>429</v>
      </c>
      <c r="B44" s="122" t="s">
        <v>514</v>
      </c>
      <c r="C44" s="122" t="s">
        <v>515</v>
      </c>
      <c r="E44" s="122" t="s">
        <v>514</v>
      </c>
    </row>
    <row r="45" customFormat="false" ht="12.75" hidden="false" customHeight="false" outlineLevel="0" collapsed="false">
      <c r="A45" s="155" t="s">
        <v>429</v>
      </c>
      <c r="B45" s="122" t="s">
        <v>516</v>
      </c>
      <c r="C45" s="122" t="s">
        <v>517</v>
      </c>
      <c r="E45" s="122" t="s">
        <v>516</v>
      </c>
    </row>
    <row r="46" customFormat="false" ht="12.75" hidden="false" customHeight="false" outlineLevel="0" collapsed="false">
      <c r="A46" s="155" t="s">
        <v>429</v>
      </c>
      <c r="B46" s="122" t="s">
        <v>518</v>
      </c>
      <c r="C46" s="122" t="s">
        <v>519</v>
      </c>
      <c r="E46" s="122" t="s">
        <v>518</v>
      </c>
    </row>
    <row r="47" customFormat="false" ht="12.75" hidden="false" customHeight="false" outlineLevel="0" collapsed="false">
      <c r="A47" s="155" t="s">
        <v>429</v>
      </c>
      <c r="B47" s="122" t="s">
        <v>520</v>
      </c>
      <c r="C47" s="122" t="s">
        <v>521</v>
      </c>
      <c r="E47" s="122" t="s">
        <v>520</v>
      </c>
    </row>
    <row r="48" customFormat="false" ht="12.75" hidden="false" customHeight="false" outlineLevel="0" collapsed="false">
      <c r="A48" s="155" t="s">
        <v>429</v>
      </c>
      <c r="B48" s="122" t="s">
        <v>522</v>
      </c>
      <c r="C48" s="122" t="s">
        <v>523</v>
      </c>
      <c r="E48" s="122" t="s">
        <v>522</v>
      </c>
    </row>
    <row r="49" customFormat="false" ht="12.75" hidden="false" customHeight="false" outlineLevel="0" collapsed="false">
      <c r="A49" s="155" t="s">
        <v>429</v>
      </c>
      <c r="B49" s="122" t="s">
        <v>524</v>
      </c>
      <c r="C49" s="122" t="s">
        <v>525</v>
      </c>
      <c r="E49" s="122" t="s">
        <v>524</v>
      </c>
    </row>
    <row r="50" customFormat="false" ht="12.75" hidden="false" customHeight="false" outlineLevel="0" collapsed="false">
      <c r="A50" s="155" t="s">
        <v>429</v>
      </c>
      <c r="B50" s="122" t="s">
        <v>526</v>
      </c>
      <c r="C50" s="122" t="s">
        <v>527</v>
      </c>
      <c r="E50" s="122" t="s">
        <v>526</v>
      </c>
    </row>
    <row r="51" customFormat="false" ht="12.75" hidden="false" customHeight="false" outlineLevel="0" collapsed="false">
      <c r="A51" s="155" t="s">
        <v>429</v>
      </c>
      <c r="B51" s="122" t="s">
        <v>528</v>
      </c>
      <c r="C51" s="122" t="s">
        <v>529</v>
      </c>
      <c r="E51" s="122" t="s">
        <v>528</v>
      </c>
    </row>
    <row r="52" customFormat="false" ht="12.75" hidden="false" customHeight="false" outlineLevel="0" collapsed="false">
      <c r="A52" s="155" t="s">
        <v>429</v>
      </c>
      <c r="B52" s="122" t="s">
        <v>530</v>
      </c>
      <c r="C52" s="122" t="s">
        <v>531</v>
      </c>
      <c r="E52" s="122" t="s">
        <v>530</v>
      </c>
    </row>
    <row r="53" customFormat="false" ht="12.75" hidden="false" customHeight="false" outlineLevel="0" collapsed="false">
      <c r="A53" s="155" t="s">
        <v>429</v>
      </c>
      <c r="B53" s="122" t="s">
        <v>532</v>
      </c>
      <c r="C53" s="122" t="s">
        <v>533</v>
      </c>
      <c r="E53" s="122" t="s">
        <v>532</v>
      </c>
    </row>
    <row r="54" customFormat="false" ht="12.75" hidden="false" customHeight="false" outlineLevel="0" collapsed="false">
      <c r="A54" s="155" t="s">
        <v>429</v>
      </c>
      <c r="B54" s="122" t="s">
        <v>534</v>
      </c>
      <c r="C54" s="122" t="s">
        <v>535</v>
      </c>
      <c r="E54" s="122" t="s">
        <v>534</v>
      </c>
    </row>
    <row r="55" customFormat="false" ht="12.75" hidden="false" customHeight="false" outlineLevel="0" collapsed="false">
      <c r="A55" s="155" t="s">
        <v>429</v>
      </c>
      <c r="B55" s="122" t="s">
        <v>536</v>
      </c>
      <c r="C55" s="122" t="s">
        <v>537</v>
      </c>
      <c r="E55" s="122" t="s">
        <v>536</v>
      </c>
    </row>
    <row r="56" customFormat="false" ht="12.75" hidden="false" customHeight="false" outlineLevel="0" collapsed="false">
      <c r="A56" s="155" t="s">
        <v>429</v>
      </c>
      <c r="B56" s="122" t="s">
        <v>538</v>
      </c>
      <c r="C56" s="122" t="s">
        <v>539</v>
      </c>
      <c r="E56" s="122" t="s">
        <v>538</v>
      </c>
    </row>
    <row r="57" customFormat="false" ht="12.75" hidden="false" customHeight="false" outlineLevel="0" collapsed="false">
      <c r="A57" s="155" t="s">
        <v>429</v>
      </c>
      <c r="B57" s="122" t="s">
        <v>540</v>
      </c>
      <c r="C57" s="122" t="s">
        <v>541</v>
      </c>
      <c r="E57" s="122" t="s">
        <v>540</v>
      </c>
    </row>
    <row r="58" customFormat="false" ht="12.75" hidden="false" customHeight="false" outlineLevel="0" collapsed="false">
      <c r="A58" s="155" t="s">
        <v>429</v>
      </c>
      <c r="B58" s="122" t="s">
        <v>542</v>
      </c>
      <c r="C58" s="122" t="s">
        <v>543</v>
      </c>
      <c r="E58" s="122" t="s">
        <v>542</v>
      </c>
    </row>
    <row r="59" customFormat="false" ht="12.75" hidden="false" customHeight="false" outlineLevel="0" collapsed="false">
      <c r="A59" s="155" t="s">
        <v>429</v>
      </c>
      <c r="B59" s="122" t="s">
        <v>544</v>
      </c>
      <c r="C59" s="122" t="s">
        <v>545</v>
      </c>
      <c r="E59" s="122" t="s">
        <v>544</v>
      </c>
    </row>
    <row r="60" customFormat="false" ht="12.75" hidden="false" customHeight="false" outlineLevel="0" collapsed="false">
      <c r="A60" s="155" t="s">
        <v>429</v>
      </c>
      <c r="B60" s="122" t="s">
        <v>546</v>
      </c>
      <c r="C60" s="122" t="s">
        <v>547</v>
      </c>
      <c r="E60" s="122" t="s">
        <v>546</v>
      </c>
    </row>
    <row r="61" customFormat="false" ht="12.75" hidden="false" customHeight="false" outlineLevel="0" collapsed="false">
      <c r="A61" s="155" t="s">
        <v>429</v>
      </c>
      <c r="B61" s="122" t="s">
        <v>548</v>
      </c>
      <c r="C61" s="122" t="s">
        <v>549</v>
      </c>
      <c r="E61" s="122" t="s">
        <v>548</v>
      </c>
    </row>
    <row r="62" customFormat="false" ht="12.75" hidden="false" customHeight="false" outlineLevel="0" collapsed="false">
      <c r="A62" s="155" t="s">
        <v>429</v>
      </c>
      <c r="B62" s="122" t="s">
        <v>550</v>
      </c>
      <c r="C62" s="122" t="s">
        <v>551</v>
      </c>
      <c r="E62" s="122" t="s">
        <v>550</v>
      </c>
    </row>
    <row r="63" customFormat="false" ht="12.75" hidden="false" customHeight="false" outlineLevel="0" collapsed="false">
      <c r="A63" s="155" t="s">
        <v>429</v>
      </c>
      <c r="B63" s="122" t="s">
        <v>552</v>
      </c>
      <c r="C63" s="122" t="s">
        <v>553</v>
      </c>
      <c r="E63" s="122" t="s">
        <v>552</v>
      </c>
    </row>
    <row r="64" customFormat="false" ht="12.75" hidden="false" customHeight="false" outlineLevel="0" collapsed="false">
      <c r="A64" s="155" t="s">
        <v>429</v>
      </c>
      <c r="B64" s="122" t="s">
        <v>554</v>
      </c>
      <c r="C64" s="122" t="s">
        <v>555</v>
      </c>
      <c r="E64" s="122" t="s">
        <v>554</v>
      </c>
    </row>
    <row r="65" customFormat="false" ht="12.75" hidden="false" customHeight="false" outlineLevel="0" collapsed="false">
      <c r="A65" s="155" t="s">
        <v>429</v>
      </c>
      <c r="B65" s="122" t="s">
        <v>556</v>
      </c>
      <c r="C65" s="122" t="s">
        <v>557</v>
      </c>
      <c r="E65" s="122" t="s">
        <v>556</v>
      </c>
    </row>
    <row r="66" customFormat="false" ht="12.75" hidden="false" customHeight="false" outlineLevel="0" collapsed="false">
      <c r="A66" s="155" t="s">
        <v>429</v>
      </c>
      <c r="B66" s="122" t="s">
        <v>558</v>
      </c>
      <c r="C66" s="122" t="s">
        <v>559</v>
      </c>
      <c r="E66" s="122" t="s">
        <v>558</v>
      </c>
    </row>
    <row r="67" customFormat="false" ht="12.75" hidden="false" customHeight="false" outlineLevel="0" collapsed="false">
      <c r="A67" s="155" t="s">
        <v>429</v>
      </c>
      <c r="B67" s="122" t="s">
        <v>560</v>
      </c>
      <c r="C67" s="122" t="s">
        <v>561</v>
      </c>
      <c r="E67" s="122" t="s">
        <v>560</v>
      </c>
    </row>
    <row r="68" customFormat="false" ht="12.75" hidden="false" customHeight="false" outlineLevel="0" collapsed="false">
      <c r="A68" s="155" t="s">
        <v>429</v>
      </c>
      <c r="B68" s="122" t="s">
        <v>562</v>
      </c>
      <c r="C68" s="122" t="s">
        <v>563</v>
      </c>
      <c r="E68" s="122" t="s">
        <v>562</v>
      </c>
    </row>
    <row r="69" customFormat="false" ht="12.75" hidden="false" customHeight="false" outlineLevel="0" collapsed="false">
      <c r="A69" s="155" t="s">
        <v>429</v>
      </c>
      <c r="B69" s="122" t="s">
        <v>564</v>
      </c>
      <c r="C69" s="122" t="s">
        <v>565</v>
      </c>
      <c r="E69" s="122" t="s">
        <v>564</v>
      </c>
    </row>
    <row r="70" customFormat="false" ht="12.75" hidden="false" customHeight="false" outlineLevel="0" collapsed="false">
      <c r="A70" s="155" t="s">
        <v>429</v>
      </c>
      <c r="B70" s="122" t="s">
        <v>566</v>
      </c>
      <c r="C70" s="122" t="s">
        <v>567</v>
      </c>
      <c r="E70" s="122" t="s">
        <v>566</v>
      </c>
    </row>
    <row r="71" customFormat="false" ht="12.75" hidden="false" customHeight="false" outlineLevel="0" collapsed="false">
      <c r="A71" s="155" t="s">
        <v>429</v>
      </c>
      <c r="B71" s="122" t="s">
        <v>568</v>
      </c>
      <c r="C71" s="122" t="s">
        <v>569</v>
      </c>
      <c r="E71" s="122" t="s">
        <v>568</v>
      </c>
    </row>
    <row r="72" customFormat="false" ht="12.75" hidden="false" customHeight="false" outlineLevel="0" collapsed="false">
      <c r="A72" s="155" t="s">
        <v>429</v>
      </c>
      <c r="B72" s="122" t="s">
        <v>570</v>
      </c>
      <c r="C72" s="122" t="s">
        <v>571</v>
      </c>
      <c r="E72" s="122" t="s">
        <v>570</v>
      </c>
    </row>
    <row r="73" customFormat="false" ht="12.75" hidden="false" customHeight="false" outlineLevel="0" collapsed="false">
      <c r="A73" s="155" t="s">
        <v>429</v>
      </c>
      <c r="B73" s="122" t="s">
        <v>572</v>
      </c>
      <c r="C73" s="122" t="s">
        <v>573</v>
      </c>
      <c r="E73" s="122" t="s">
        <v>572</v>
      </c>
    </row>
    <row r="74" customFormat="false" ht="12.75" hidden="false" customHeight="false" outlineLevel="0" collapsed="false">
      <c r="A74" s="155" t="s">
        <v>429</v>
      </c>
      <c r="B74" s="122" t="s">
        <v>574</v>
      </c>
      <c r="C74" s="122" t="s">
        <v>575</v>
      </c>
      <c r="E74" s="122" t="s">
        <v>574</v>
      </c>
    </row>
    <row r="75" customFormat="false" ht="12.75" hidden="false" customHeight="false" outlineLevel="0" collapsed="false">
      <c r="A75" s="155" t="s">
        <v>429</v>
      </c>
      <c r="B75" s="122" t="s">
        <v>576</v>
      </c>
      <c r="C75" s="122" t="s">
        <v>577</v>
      </c>
      <c r="E75" s="122" t="s">
        <v>576</v>
      </c>
    </row>
    <row r="76" customFormat="false" ht="12.75" hidden="false" customHeight="false" outlineLevel="0" collapsed="false">
      <c r="A76" s="155" t="s">
        <v>429</v>
      </c>
      <c r="B76" s="122" t="s">
        <v>578</v>
      </c>
      <c r="C76" s="122" t="s">
        <v>579</v>
      </c>
      <c r="E76" s="122" t="s">
        <v>578</v>
      </c>
    </row>
    <row r="77" customFormat="false" ht="12.75" hidden="false" customHeight="false" outlineLevel="0" collapsed="false">
      <c r="A77" s="155" t="s">
        <v>429</v>
      </c>
      <c r="B77" s="122" t="s">
        <v>580</v>
      </c>
      <c r="C77" s="122" t="s">
        <v>581</v>
      </c>
      <c r="E77" s="122" t="s">
        <v>580</v>
      </c>
    </row>
    <row r="78" customFormat="false" ht="12.75" hidden="false" customHeight="false" outlineLevel="0" collapsed="false">
      <c r="A78" s="155" t="s">
        <v>429</v>
      </c>
      <c r="B78" s="122" t="s">
        <v>582</v>
      </c>
      <c r="C78" s="122" t="s">
        <v>583</v>
      </c>
      <c r="E78" s="122" t="s">
        <v>582</v>
      </c>
    </row>
    <row r="79" customFormat="false" ht="12.75" hidden="false" customHeight="false" outlineLevel="0" collapsed="false">
      <c r="A79" s="155" t="s">
        <v>429</v>
      </c>
      <c r="B79" s="122" t="s">
        <v>584</v>
      </c>
      <c r="C79" s="122" t="s">
        <v>585</v>
      </c>
      <c r="E79" s="122" t="s">
        <v>584</v>
      </c>
    </row>
    <row r="80" customFormat="false" ht="12.75" hidden="false" customHeight="false" outlineLevel="0" collapsed="false">
      <c r="A80" s="155" t="s">
        <v>429</v>
      </c>
      <c r="B80" s="122" t="s">
        <v>586</v>
      </c>
      <c r="C80" s="122" t="s">
        <v>587</v>
      </c>
      <c r="E80" s="122" t="s">
        <v>586</v>
      </c>
    </row>
    <row r="81" customFormat="false" ht="12.75" hidden="false" customHeight="false" outlineLevel="0" collapsed="false">
      <c r="A81" s="155" t="s">
        <v>429</v>
      </c>
      <c r="B81" s="122" t="s">
        <v>588</v>
      </c>
      <c r="C81" s="122" t="s">
        <v>589</v>
      </c>
      <c r="E81" s="122" t="s">
        <v>588</v>
      </c>
    </row>
    <row r="82" customFormat="false" ht="12.75" hidden="false" customHeight="false" outlineLevel="0" collapsed="false">
      <c r="A82" s="155" t="s">
        <v>429</v>
      </c>
      <c r="B82" s="122" t="s">
        <v>590</v>
      </c>
      <c r="C82" s="122" t="s">
        <v>591</v>
      </c>
      <c r="E82" s="122" t="s">
        <v>590</v>
      </c>
    </row>
    <row r="83" customFormat="false" ht="12.75" hidden="false" customHeight="false" outlineLevel="0" collapsed="false">
      <c r="A83" s="155" t="s">
        <v>429</v>
      </c>
      <c r="B83" s="122" t="s">
        <v>592</v>
      </c>
      <c r="C83" s="122" t="s">
        <v>593</v>
      </c>
      <c r="E83" s="122" t="s">
        <v>592</v>
      </c>
    </row>
    <row r="84" customFormat="false" ht="12.75" hidden="false" customHeight="false" outlineLevel="0" collapsed="false">
      <c r="A84" s="155" t="s">
        <v>429</v>
      </c>
      <c r="B84" s="122" t="s">
        <v>594</v>
      </c>
      <c r="C84" s="122" t="s">
        <v>595</v>
      </c>
      <c r="E84" s="122" t="s">
        <v>594</v>
      </c>
    </row>
    <row r="85" customFormat="false" ht="12.75" hidden="false" customHeight="false" outlineLevel="0" collapsed="false">
      <c r="A85" s="155" t="s">
        <v>429</v>
      </c>
      <c r="B85" s="122" t="s">
        <v>596</v>
      </c>
      <c r="C85" s="122" t="s">
        <v>597</v>
      </c>
      <c r="E85" s="122" t="s">
        <v>596</v>
      </c>
    </row>
    <row r="86" customFormat="false" ht="12.75" hidden="false" customHeight="false" outlineLevel="0" collapsed="false">
      <c r="A86" s="155" t="s">
        <v>429</v>
      </c>
      <c r="B86" s="122" t="s">
        <v>598</v>
      </c>
      <c r="C86" s="122" t="s">
        <v>599</v>
      </c>
      <c r="E86" s="122" t="s">
        <v>598</v>
      </c>
    </row>
    <row r="87" customFormat="false" ht="12.75" hidden="false" customHeight="false" outlineLevel="0" collapsed="false">
      <c r="A87" s="155" t="s">
        <v>429</v>
      </c>
      <c r="B87" s="122" t="s">
        <v>600</v>
      </c>
      <c r="C87" s="122" t="s">
        <v>601</v>
      </c>
      <c r="E87" s="122" t="s">
        <v>600</v>
      </c>
    </row>
    <row r="88" customFormat="false" ht="12.75" hidden="false" customHeight="false" outlineLevel="0" collapsed="false">
      <c r="A88" s="155" t="s">
        <v>429</v>
      </c>
      <c r="B88" s="122" t="s">
        <v>602</v>
      </c>
      <c r="C88" s="122" t="s">
        <v>603</v>
      </c>
      <c r="E88" s="122" t="s">
        <v>602</v>
      </c>
    </row>
    <row r="89" customFormat="false" ht="12.75" hidden="false" customHeight="false" outlineLevel="0" collapsed="false">
      <c r="A89" s="155" t="s">
        <v>429</v>
      </c>
      <c r="B89" s="122" t="s">
        <v>604</v>
      </c>
      <c r="C89" s="122" t="s">
        <v>605</v>
      </c>
      <c r="E89" s="122" t="s">
        <v>604</v>
      </c>
    </row>
    <row r="90" customFormat="false" ht="12.75" hidden="false" customHeight="false" outlineLevel="0" collapsed="false">
      <c r="A90" s="155" t="s">
        <v>429</v>
      </c>
      <c r="B90" s="122" t="s">
        <v>606</v>
      </c>
      <c r="C90" s="122" t="s">
        <v>607</v>
      </c>
      <c r="E90" s="122" t="s">
        <v>606</v>
      </c>
    </row>
    <row r="91" customFormat="false" ht="12.75" hidden="false" customHeight="false" outlineLevel="0" collapsed="false">
      <c r="A91" s="155" t="s">
        <v>429</v>
      </c>
      <c r="B91" s="122" t="s">
        <v>608</v>
      </c>
      <c r="C91" s="122" t="s">
        <v>609</v>
      </c>
      <c r="E91" s="122" t="s">
        <v>608</v>
      </c>
    </row>
    <row r="92" customFormat="false" ht="12.75" hidden="false" customHeight="false" outlineLevel="0" collapsed="false">
      <c r="A92" s="155" t="s">
        <v>429</v>
      </c>
      <c r="B92" s="122" t="s">
        <v>610</v>
      </c>
      <c r="C92" s="122" t="s">
        <v>611</v>
      </c>
      <c r="E92" s="122" t="s">
        <v>610</v>
      </c>
    </row>
    <row r="93" customFormat="false" ht="12.75" hidden="false" customHeight="false" outlineLevel="0" collapsed="false">
      <c r="A93" s="155" t="s">
        <v>429</v>
      </c>
      <c r="B93" s="122" t="s">
        <v>612</v>
      </c>
      <c r="C93" s="122" t="s">
        <v>613</v>
      </c>
      <c r="E93" s="122" t="s">
        <v>612</v>
      </c>
    </row>
    <row r="94" customFormat="false" ht="12.75" hidden="false" customHeight="false" outlineLevel="0" collapsed="false">
      <c r="A94" s="155" t="s">
        <v>429</v>
      </c>
      <c r="B94" s="122" t="s">
        <v>614</v>
      </c>
      <c r="C94" s="122" t="s">
        <v>615</v>
      </c>
      <c r="E94" s="122" t="s">
        <v>614</v>
      </c>
    </row>
    <row r="95" customFormat="false" ht="12.75" hidden="false" customHeight="false" outlineLevel="0" collapsed="false">
      <c r="A95" s="155" t="s">
        <v>429</v>
      </c>
      <c r="B95" s="122" t="s">
        <v>616</v>
      </c>
      <c r="C95" s="122" t="s">
        <v>617</v>
      </c>
      <c r="E95" s="122" t="s">
        <v>616</v>
      </c>
    </row>
    <row r="96" customFormat="false" ht="12.75" hidden="false" customHeight="false" outlineLevel="0" collapsed="false">
      <c r="A96" s="155" t="s">
        <v>429</v>
      </c>
      <c r="B96" s="122" t="s">
        <v>618</v>
      </c>
      <c r="C96" s="122" t="s">
        <v>619</v>
      </c>
      <c r="E96" s="122" t="s">
        <v>618</v>
      </c>
    </row>
    <row r="97" customFormat="false" ht="12.75" hidden="false" customHeight="false" outlineLevel="0" collapsed="false">
      <c r="A97" s="155" t="s">
        <v>429</v>
      </c>
      <c r="B97" s="122" t="s">
        <v>620</v>
      </c>
      <c r="C97" s="122" t="s">
        <v>621</v>
      </c>
      <c r="E97" s="122" t="s">
        <v>620</v>
      </c>
    </row>
    <row r="98" customFormat="false" ht="12.75" hidden="false" customHeight="false" outlineLevel="0" collapsed="false">
      <c r="A98" s="155" t="s">
        <v>429</v>
      </c>
      <c r="B98" s="122" t="s">
        <v>622</v>
      </c>
      <c r="C98" s="122" t="s">
        <v>623</v>
      </c>
      <c r="E98" s="122" t="s">
        <v>622</v>
      </c>
    </row>
    <row r="99" customFormat="false" ht="12.75" hidden="false" customHeight="false" outlineLevel="0" collapsed="false">
      <c r="A99" s="155" t="s">
        <v>429</v>
      </c>
      <c r="B99" s="122" t="s">
        <v>624</v>
      </c>
      <c r="C99" s="122" t="s">
        <v>625</v>
      </c>
      <c r="E99" s="122" t="s">
        <v>624</v>
      </c>
    </row>
    <row r="100" customFormat="false" ht="12.75" hidden="false" customHeight="false" outlineLevel="0" collapsed="false">
      <c r="A100" s="155" t="s">
        <v>429</v>
      </c>
      <c r="B100" s="122" t="s">
        <v>626</v>
      </c>
      <c r="C100" s="122" t="s">
        <v>627</v>
      </c>
      <c r="E100" s="122" t="s">
        <v>626</v>
      </c>
    </row>
    <row r="101" customFormat="false" ht="12.75" hidden="false" customHeight="false" outlineLevel="0" collapsed="false">
      <c r="A101" s="155" t="s">
        <v>429</v>
      </c>
      <c r="B101" s="122" t="s">
        <v>628</v>
      </c>
      <c r="C101" s="122" t="s">
        <v>629</v>
      </c>
      <c r="E101" s="122" t="s">
        <v>628</v>
      </c>
    </row>
    <row r="102" customFormat="false" ht="12.75" hidden="false" customHeight="false" outlineLevel="0" collapsed="false">
      <c r="A102" s="155" t="s">
        <v>429</v>
      </c>
      <c r="B102" s="122" t="s">
        <v>630</v>
      </c>
      <c r="C102" s="122" t="s">
        <v>631</v>
      </c>
      <c r="E102" s="122" t="s">
        <v>630</v>
      </c>
    </row>
    <row r="103" customFormat="false" ht="12.75" hidden="false" customHeight="false" outlineLevel="0" collapsed="false">
      <c r="A103" s="155" t="s">
        <v>429</v>
      </c>
      <c r="B103" s="122" t="s">
        <v>632</v>
      </c>
      <c r="C103" s="122" t="s">
        <v>633</v>
      </c>
      <c r="E103" s="122" t="s">
        <v>632</v>
      </c>
    </row>
    <row r="104" customFormat="false" ht="12.75" hidden="false" customHeight="false" outlineLevel="0" collapsed="false">
      <c r="A104" s="155" t="s">
        <v>429</v>
      </c>
      <c r="B104" s="122" t="s">
        <v>634</v>
      </c>
      <c r="C104" s="122" t="s">
        <v>635</v>
      </c>
      <c r="E104" s="122" t="s">
        <v>634</v>
      </c>
    </row>
    <row r="105" customFormat="false" ht="12.75" hidden="false" customHeight="false" outlineLevel="0" collapsed="false">
      <c r="A105" s="155" t="s">
        <v>429</v>
      </c>
      <c r="B105" s="122" t="s">
        <v>636</v>
      </c>
      <c r="C105" s="122" t="s">
        <v>637</v>
      </c>
      <c r="E105" s="122" t="s">
        <v>636</v>
      </c>
    </row>
    <row r="106" customFormat="false" ht="12.75" hidden="false" customHeight="false" outlineLevel="0" collapsed="false">
      <c r="A106" s="155" t="s">
        <v>429</v>
      </c>
      <c r="B106" s="122" t="s">
        <v>638</v>
      </c>
      <c r="C106" s="122" t="s">
        <v>639</v>
      </c>
      <c r="E106" s="122" t="s">
        <v>638</v>
      </c>
    </row>
    <row r="107" customFormat="false" ht="12.75" hidden="false" customHeight="false" outlineLevel="0" collapsed="false">
      <c r="A107" s="155" t="s">
        <v>429</v>
      </c>
      <c r="B107" s="122" t="s">
        <v>640</v>
      </c>
      <c r="C107" s="122" t="s">
        <v>641</v>
      </c>
      <c r="E107" s="122" t="s">
        <v>640</v>
      </c>
    </row>
    <row r="108" customFormat="false" ht="12.75" hidden="false" customHeight="false" outlineLevel="0" collapsed="false">
      <c r="A108" s="155" t="s">
        <v>429</v>
      </c>
      <c r="B108" s="122" t="s">
        <v>642</v>
      </c>
      <c r="C108" s="122" t="s">
        <v>643</v>
      </c>
      <c r="E108" s="122" t="s">
        <v>642</v>
      </c>
    </row>
    <row r="109" customFormat="false" ht="12.75" hidden="false" customHeight="false" outlineLevel="0" collapsed="false">
      <c r="A109" s="155" t="s">
        <v>429</v>
      </c>
      <c r="B109" s="122" t="s">
        <v>644</v>
      </c>
      <c r="C109" s="122" t="s">
        <v>645</v>
      </c>
      <c r="E109" s="122" t="s">
        <v>644</v>
      </c>
    </row>
    <row r="110" customFormat="false" ht="12.75" hidden="false" customHeight="false" outlineLevel="0" collapsed="false">
      <c r="A110" s="155" t="s">
        <v>429</v>
      </c>
      <c r="B110" s="122" t="s">
        <v>646</v>
      </c>
      <c r="C110" s="122" t="s">
        <v>647</v>
      </c>
      <c r="E110" s="122" t="s">
        <v>646</v>
      </c>
    </row>
    <row r="111" customFormat="false" ht="12.75" hidden="false" customHeight="false" outlineLevel="0" collapsed="false">
      <c r="A111" s="155" t="s">
        <v>429</v>
      </c>
      <c r="B111" s="122" t="s">
        <v>648</v>
      </c>
      <c r="C111" s="122" t="s">
        <v>649</v>
      </c>
      <c r="E111" s="122" t="s">
        <v>648</v>
      </c>
    </row>
    <row r="112" customFormat="false" ht="12.75" hidden="false" customHeight="false" outlineLevel="0" collapsed="false">
      <c r="A112" s="155" t="s">
        <v>429</v>
      </c>
      <c r="B112" s="122" t="s">
        <v>650</v>
      </c>
      <c r="C112" s="122" t="s">
        <v>651</v>
      </c>
      <c r="E112" s="122" t="s">
        <v>650</v>
      </c>
    </row>
    <row r="113" customFormat="false" ht="12.75" hidden="false" customHeight="false" outlineLevel="0" collapsed="false">
      <c r="A113" s="155" t="s">
        <v>429</v>
      </c>
      <c r="B113" s="122" t="s">
        <v>652</v>
      </c>
      <c r="C113" s="122" t="s">
        <v>653</v>
      </c>
      <c r="E113" s="122" t="s">
        <v>652</v>
      </c>
    </row>
    <row r="114" customFormat="false" ht="12.75" hidden="false" customHeight="false" outlineLevel="0" collapsed="false">
      <c r="A114" s="155" t="s">
        <v>429</v>
      </c>
      <c r="B114" s="122" t="s">
        <v>654</v>
      </c>
      <c r="C114" s="122" t="s">
        <v>655</v>
      </c>
      <c r="E114" s="122" t="s">
        <v>654</v>
      </c>
    </row>
    <row r="115" customFormat="false" ht="12.75" hidden="false" customHeight="false" outlineLevel="0" collapsed="false">
      <c r="A115" s="155" t="s">
        <v>429</v>
      </c>
      <c r="B115" s="122" t="s">
        <v>656</v>
      </c>
      <c r="C115" s="122" t="s">
        <v>657</v>
      </c>
      <c r="E115" s="122" t="s">
        <v>656</v>
      </c>
    </row>
    <row r="116" customFormat="false" ht="12.75" hidden="false" customHeight="false" outlineLevel="0" collapsed="false">
      <c r="A116" s="155" t="s">
        <v>429</v>
      </c>
      <c r="B116" s="122" t="s">
        <v>658</v>
      </c>
      <c r="C116" s="122" t="s">
        <v>659</v>
      </c>
      <c r="E116" s="122" t="s">
        <v>658</v>
      </c>
    </row>
    <row r="117" customFormat="false" ht="12.75" hidden="false" customHeight="false" outlineLevel="0" collapsed="false">
      <c r="A117" s="155" t="s">
        <v>429</v>
      </c>
      <c r="B117" s="122" t="s">
        <v>660</v>
      </c>
      <c r="C117" s="122" t="s">
        <v>661</v>
      </c>
      <c r="E117" s="122" t="s">
        <v>660</v>
      </c>
    </row>
    <row r="118" customFormat="false" ht="12.75" hidden="false" customHeight="false" outlineLevel="0" collapsed="false">
      <c r="A118" s="155" t="s">
        <v>429</v>
      </c>
      <c r="B118" s="122" t="s">
        <v>662</v>
      </c>
      <c r="C118" s="122" t="s">
        <v>663</v>
      </c>
      <c r="E118" s="122" t="s">
        <v>662</v>
      </c>
    </row>
  </sheetData>
  <dataValidations count="2">
    <dataValidation allowBlank="true" errorStyle="stop" operator="between" showDropDown="false" showErrorMessage="true" showInputMessage="false" sqref="D2:D17" type="list">
      <formula1>HoldingInstitution</formula1>
      <formula2>0</formula2>
    </dataValidation>
    <dataValidation allowBlank="true" errorStyle="stop" operator="between" showDropDown="false" showErrorMessage="true" showInputMessage="false" sqref="A2:A118" type="list">
      <formula1>TaxonScientificName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F14" activeCellId="1" sqref="A26:A49 F14"/>
    </sheetView>
  </sheetViews>
  <sheetFormatPr defaultColWidth="10.71484375" defaultRowHeight="12.75" customHeight="true" zeroHeight="false" outlineLevelRow="0" outlineLevelCol="0"/>
  <cols>
    <col collapsed="false" customWidth="true" hidden="false" outlineLevel="0" max="1" min="1" style="122" width="7.43"/>
    <col collapsed="false" customWidth="true" hidden="false" outlineLevel="0" max="2" min="2" style="122" width="11.71"/>
    <col collapsed="false" customWidth="true" hidden="false" outlineLevel="0" max="3" min="3" style="122" width="12.86"/>
    <col collapsed="false" customWidth="true" hidden="false" outlineLevel="0" max="4" min="4" style="105" width="23.57"/>
    <col collapsed="false" customWidth="true" hidden="false" outlineLevel="0" max="9" min="9" style="157" width="58.43"/>
  </cols>
  <sheetData>
    <row r="1" customFormat="false" ht="12.75" hidden="false" customHeight="false" outlineLevel="0" collapsed="false">
      <c r="A1" s="107" t="s">
        <v>163</v>
      </c>
      <c r="B1" s="107" t="s">
        <v>164</v>
      </c>
      <c r="C1" s="107" t="s">
        <v>165</v>
      </c>
      <c r="D1" s="108" t="s">
        <v>166</v>
      </c>
      <c r="G1" s="158"/>
      <c r="H1" s="158"/>
      <c r="I1" s="114"/>
      <c r="J1" s="158"/>
    </row>
    <row r="2" customFormat="false" ht="12.75" hidden="false" customHeight="false" outlineLevel="0" collapsed="false">
      <c r="A2" s="124" t="s">
        <v>664</v>
      </c>
      <c r="B2" s="124" t="s">
        <v>665</v>
      </c>
      <c r="C2" s="124" t="s">
        <v>666</v>
      </c>
      <c r="D2" s="105" t="s">
        <v>667</v>
      </c>
      <c r="J2" s="159"/>
    </row>
    <row r="3" customFormat="false" ht="12.75" hidden="false" customHeight="false" outlineLevel="0" collapsed="false">
      <c r="A3" s="122" t="s">
        <v>664</v>
      </c>
      <c r="B3" s="122" t="s">
        <v>668</v>
      </c>
      <c r="C3" s="122" t="s">
        <v>669</v>
      </c>
      <c r="D3" s="105" t="s">
        <v>670</v>
      </c>
      <c r="J3" s="159"/>
    </row>
    <row r="4" customFormat="false" ht="12.75" hidden="false" customHeight="false" outlineLevel="0" collapsed="false">
      <c r="J4" s="159"/>
    </row>
    <row r="5" customFormat="false" ht="12.75" hidden="false" customHeight="false" outlineLevel="0" collapsed="false">
      <c r="G5" s="160"/>
      <c r="H5" s="160"/>
      <c r="J5" s="159"/>
    </row>
    <row r="6" customFormat="false" ht="12.75" hidden="false" customHeight="false" outlineLevel="0" collapsed="false">
      <c r="G6" s="158"/>
      <c r="H6" s="158"/>
      <c r="I6" s="114"/>
      <c r="J6" s="15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5" activeCellId="1" sqref="A26:A49 B5"/>
    </sheetView>
  </sheetViews>
  <sheetFormatPr defaultColWidth="12.86328125" defaultRowHeight="12.75" customHeight="true" zeroHeight="false" outlineLevelRow="0" outlineLevelCol="0"/>
  <cols>
    <col collapsed="false" customWidth="true" hidden="false" outlineLevel="0" max="1" min="1" style="122" width="13.29"/>
    <col collapsed="false" customWidth="true" hidden="false" outlineLevel="0" max="2" min="2" style="105" width="13.71"/>
    <col collapsed="false" customWidth="true" hidden="false" outlineLevel="0" max="3" min="3" style="105" width="12.43"/>
    <col collapsed="false" customWidth="true" hidden="false" outlineLevel="0" max="4" min="4" style="105" width="13"/>
  </cols>
  <sheetData>
    <row r="1" customFormat="false" ht="12.75" hidden="false" customHeight="false" outlineLevel="0" collapsed="false">
      <c r="A1" s="107" t="s">
        <v>178</v>
      </c>
      <c r="B1" s="108" t="s">
        <v>179</v>
      </c>
      <c r="C1" s="108" t="s">
        <v>29</v>
      </c>
      <c r="D1" s="108" t="s">
        <v>180</v>
      </c>
    </row>
    <row r="2" customFormat="false" ht="12.75" hidden="false" customHeight="false" outlineLevel="0" collapsed="false">
      <c r="A2" s="124" t="s">
        <v>671</v>
      </c>
      <c r="B2" s="105" t="s">
        <v>671</v>
      </c>
    </row>
    <row r="3" customFormat="false" ht="12.75" hidden="false" customHeight="false" outlineLevel="0" collapsed="false">
      <c r="A3" s="122" t="s">
        <v>672</v>
      </c>
      <c r="B3" s="161" t="s">
        <v>673</v>
      </c>
      <c r="D3" s="105" t="s">
        <v>671</v>
      </c>
    </row>
    <row r="4" customFormat="false" ht="12.75" hidden="false" customHeight="false" outlineLevel="0" collapsed="false">
      <c r="A4" s="122" t="s">
        <v>674</v>
      </c>
      <c r="B4" s="105" t="s">
        <v>675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&amp;C&amp;"Arial,Normal"&amp;10&amp;A</oddHeader>
    <oddFooter>&amp;C&amp;"Arial,Normal"&amp;10Page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CM96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8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A26" activeCellId="0" sqref="A26:A49"/>
    </sheetView>
  </sheetViews>
  <sheetFormatPr defaultColWidth="11.29296875" defaultRowHeight="12.75" customHeight="true" zeroHeight="false" outlineLevelRow="0" outlineLevelCol="0"/>
  <cols>
    <col collapsed="false" customWidth="true" hidden="false" outlineLevel="0" max="1" min="1" style="162" width="12.14"/>
    <col collapsed="false" customWidth="true" hidden="false" outlineLevel="0" max="2" min="2" style="157" width="8.14"/>
    <col collapsed="false" customWidth="true" hidden="false" outlineLevel="0" max="3" min="3" style="157" width="5.29"/>
    <col collapsed="false" customWidth="true" hidden="false" outlineLevel="0" max="4" min="4" style="157" width="9"/>
    <col collapsed="false" customWidth="true" hidden="false" outlineLevel="0" max="5" min="5" style="106" width="7.14"/>
    <col collapsed="false" customWidth="true" hidden="false" outlineLevel="0" max="6" min="6" style="106" width="7"/>
    <col collapsed="false" customWidth="true" hidden="false" outlineLevel="0" max="7" min="7" style="106" width="5.43"/>
    <col collapsed="false" customWidth="true" hidden="false" outlineLevel="0" max="8" min="8" style="106" width="5.29"/>
    <col collapsed="false" customWidth="true" hidden="false" outlineLevel="0" max="9" min="9" style="105" width="18.14"/>
    <col collapsed="false" customWidth="true" hidden="false" outlineLevel="0" max="10" min="10" style="105" width="17.57"/>
    <col collapsed="false" customWidth="true" hidden="false" outlineLevel="0" max="11" min="11" style="105" width="17.29"/>
    <col collapsed="false" customWidth="true" hidden="false" outlineLevel="0" max="12" min="12" style="163" width="16.71"/>
    <col collapsed="false" customWidth="true" hidden="false" outlineLevel="0" max="13" min="13" style="164" width="20.86"/>
    <col collapsed="false" customWidth="true" hidden="false" outlineLevel="0" max="14" min="14" style="164" width="20.29"/>
    <col collapsed="false" customWidth="true" hidden="false" outlineLevel="0" max="15" min="15" style="164" width="12.14"/>
    <col collapsed="false" customWidth="true" hidden="false" outlineLevel="0" max="16" min="16" style="165" width="7.71"/>
    <col collapsed="false" customWidth="true" hidden="false" outlineLevel="0" max="17" min="17" style="165" width="9.57"/>
    <col collapsed="false" customWidth="true" hidden="false" outlineLevel="0" max="18" min="18" style="165" width="9"/>
    <col collapsed="false" customWidth="true" hidden="false" outlineLevel="0" max="19" min="19" style="165" width="9.29"/>
    <col collapsed="false" customWidth="true" hidden="false" outlineLevel="0" max="20" min="20" style="165" width="11.14"/>
    <col collapsed="false" customWidth="true" hidden="false" outlineLevel="0" max="21" min="21" style="164" width="16.86"/>
    <col collapsed="false" customWidth="true" hidden="false" outlineLevel="0" max="22" min="22" style="164" width="16.29"/>
    <col collapsed="false" customWidth="true" hidden="false" outlineLevel="0" max="23" min="23" style="165" width="16"/>
    <col collapsed="false" customWidth="true" hidden="false" outlineLevel="0" max="24" min="24" style="165" width="15.29"/>
    <col collapsed="false" customWidth="true" hidden="false" outlineLevel="0" max="25" min="25" style="164" width="9.71"/>
    <col collapsed="false" customWidth="true" hidden="false" outlineLevel="0" max="26" min="26" style="164" width="9.14"/>
    <col collapsed="false" customWidth="true" hidden="false" outlineLevel="0" max="27" min="27" style="165" width="12.29"/>
    <col collapsed="false" customWidth="true" hidden="false" outlineLevel="0" max="28" min="28" style="165" width="11"/>
    <col collapsed="false" customWidth="true" hidden="false" outlineLevel="0" max="29" min="29" style="164" width="10"/>
    <col collapsed="false" customWidth="true" hidden="false" outlineLevel="0" max="30" min="30" style="164" width="10.57"/>
    <col collapsed="false" customWidth="true" hidden="false" outlineLevel="0" max="31" min="31" style="164" width="15.14"/>
    <col collapsed="false" customWidth="true" hidden="false" outlineLevel="0" max="32" min="32" style="166" width="14.43"/>
    <col collapsed="false" customWidth="true" hidden="false" outlineLevel="0" max="33" min="33" style="167" width="16.71"/>
    <col collapsed="false" customWidth="true" hidden="false" outlineLevel="0" max="34" min="34" style="164" width="10.29"/>
    <col collapsed="false" customWidth="true" hidden="false" outlineLevel="0" max="35" min="35" style="165" width="17"/>
    <col collapsed="false" customWidth="true" hidden="false" outlineLevel="0" max="36" min="36" style="165" width="16.43"/>
    <col collapsed="false" customWidth="true" hidden="false" outlineLevel="0" max="37" min="37" style="164" width="18.86"/>
    <col collapsed="false" customWidth="true" hidden="false" outlineLevel="0" max="38" min="38" style="164" width="18.14"/>
    <col collapsed="false" customWidth="true" hidden="false" outlineLevel="0" max="39" min="39" style="165" width="18.57"/>
    <col collapsed="false" customWidth="true" hidden="false" outlineLevel="0" max="40" min="40" style="165" width="18"/>
    <col collapsed="false" customWidth="true" hidden="false" outlineLevel="0" max="41" min="41" style="164" width="18.57"/>
    <col collapsed="false" customWidth="true" hidden="false" outlineLevel="0" max="42" min="42" style="164" width="18"/>
    <col collapsed="false" customWidth="true" hidden="false" outlineLevel="0" max="43" min="43" style="165" width="20.29"/>
    <col collapsed="false" customWidth="true" hidden="false" outlineLevel="0" max="44" min="44" style="165" width="19.71"/>
    <col collapsed="false" customWidth="true" hidden="false" outlineLevel="0" max="45" min="45" style="164" width="24.57"/>
    <col collapsed="false" customWidth="true" hidden="false" outlineLevel="0" max="46" min="46" style="164" width="23.71"/>
    <col collapsed="false" customWidth="true" hidden="false" outlineLevel="0" max="47" min="47" style="165" width="19"/>
    <col collapsed="false" customWidth="true" hidden="false" outlineLevel="0" max="48" min="48" style="165" width="18.29"/>
    <col collapsed="false" customWidth="true" hidden="false" outlineLevel="0" max="49" min="49" style="164" width="19"/>
    <col collapsed="false" customWidth="true" hidden="false" outlineLevel="0" max="50" min="50" style="164" width="18.29"/>
    <col collapsed="false" customWidth="true" hidden="false" outlineLevel="0" max="51" min="51" style="165" width="25"/>
    <col collapsed="false" customWidth="true" hidden="false" outlineLevel="0" max="52" min="52" style="165" width="24.29"/>
    <col collapsed="false" customWidth="true" hidden="false" outlineLevel="0" max="53" min="53" style="164" width="19"/>
    <col collapsed="false" customWidth="true" hidden="false" outlineLevel="0" max="54" min="54" style="164" width="18.29"/>
    <col collapsed="false" customWidth="true" hidden="false" outlineLevel="0" max="55" min="55" style="165" width="30.71"/>
    <col collapsed="false" customWidth="true" hidden="false" outlineLevel="0" max="56" min="56" style="165" width="30"/>
    <col collapsed="false" customWidth="true" hidden="false" outlineLevel="0" max="57" min="57" style="165" width="13.71"/>
    <col collapsed="false" customWidth="true" hidden="false" outlineLevel="0" max="58" min="58" style="165" width="13.14"/>
    <col collapsed="false" customWidth="true" hidden="false" outlineLevel="0" max="59" min="59" style="165" width="13.71"/>
    <col collapsed="false" customWidth="true" hidden="false" outlineLevel="0" max="60" min="60" style="165" width="13.14"/>
    <col collapsed="false" customWidth="true" hidden="false" outlineLevel="0" max="61" min="61" style="165" width="15.29"/>
    <col collapsed="false" customWidth="true" hidden="false" outlineLevel="0" max="62" min="62" style="165" width="14.14"/>
    <col collapsed="false" customWidth="true" hidden="false" outlineLevel="0" max="63" min="63" style="165" width="14.86"/>
    <col collapsed="false" customWidth="true" hidden="false" outlineLevel="0" max="64" min="64" style="165" width="14.14"/>
    <col collapsed="false" customWidth="true" hidden="false" outlineLevel="0" max="65" min="65" style="164" width="12.14"/>
    <col collapsed="false" customWidth="true" hidden="false" outlineLevel="0" max="66" min="66" style="164" width="11.57"/>
    <col collapsed="false" customWidth="true" hidden="false" outlineLevel="0" max="67" min="67" style="165" width="15.14"/>
    <col collapsed="false" customWidth="true" hidden="false" outlineLevel="0" max="68" min="68" style="165" width="14.43"/>
    <col collapsed="false" customWidth="true" hidden="false" outlineLevel="0" max="69" min="69" style="164" width="16.57"/>
    <col collapsed="false" customWidth="true" hidden="false" outlineLevel="0" max="70" min="70" style="164" width="16"/>
    <col collapsed="false" customWidth="true" hidden="false" outlineLevel="0" max="71" min="71" style="165" width="10.71"/>
    <col collapsed="false" customWidth="true" hidden="false" outlineLevel="0" max="72" min="72" style="165" width="9.86"/>
    <col collapsed="false" customWidth="true" hidden="false" outlineLevel="0" max="74" min="73" style="164" width="10.29"/>
    <col collapsed="false" customWidth="true" hidden="false" outlineLevel="0" max="75" min="75" style="164" width="14.43"/>
    <col collapsed="false" customWidth="true" hidden="false" outlineLevel="0" max="76" min="76" style="164" width="9.71"/>
    <col collapsed="false" customWidth="true" hidden="false" outlineLevel="0" max="77" min="77" style="164" width="21.71"/>
    <col collapsed="false" customWidth="true" hidden="false" outlineLevel="0" max="78" min="78" style="164" width="21"/>
    <col collapsed="false" customWidth="true" hidden="false" outlineLevel="0" max="79" min="79" style="164" width="14.71"/>
    <col collapsed="false" customWidth="true" hidden="false" outlineLevel="0" max="80" min="80" style="164" width="14"/>
    <col collapsed="false" customWidth="true" hidden="false" outlineLevel="0" max="81" min="81" style="164" width="22.57"/>
    <col collapsed="false" customWidth="true" hidden="false" outlineLevel="0" max="82" min="82" style="164" width="22"/>
    <col collapsed="false" customWidth="true" hidden="false" outlineLevel="0" max="83" min="83" style="164" width="20.86"/>
    <col collapsed="false" customWidth="true" hidden="false" outlineLevel="0" max="84" min="84" style="164" width="20.29"/>
    <col collapsed="false" customWidth="true" hidden="false" outlineLevel="0" max="85" min="85" style="164" width="18.14"/>
    <col collapsed="false" customWidth="true" hidden="false" outlineLevel="0" max="86" min="86" style="164" width="17.57"/>
    <col collapsed="false" customWidth="true" hidden="false" outlineLevel="0" max="87" min="87" style="164" width="7.14"/>
    <col collapsed="false" customWidth="true" hidden="false" outlineLevel="0" max="88" min="88" style="164" width="6.57"/>
    <col collapsed="false" customWidth="true" hidden="false" outlineLevel="0" max="89" min="89" style="164" width="9.71"/>
    <col collapsed="false" customWidth="true" hidden="false" outlineLevel="0" max="90" min="90" style="164" width="15.29"/>
    <col collapsed="false" customWidth="true" hidden="false" outlineLevel="0" max="91" min="91" style="164" width="14.71"/>
    <col collapsed="false" customWidth="false" hidden="false" outlineLevel="0" max="16384" min="92" style="160" width="11.29"/>
  </cols>
  <sheetData>
    <row r="1" customFormat="false" ht="12.75" hidden="false" customHeight="false" outlineLevel="0" collapsed="false">
      <c r="A1" s="168" t="s">
        <v>150</v>
      </c>
      <c r="B1" s="108" t="s">
        <v>171</v>
      </c>
      <c r="C1" s="108" t="s">
        <v>187</v>
      </c>
      <c r="D1" s="108" t="s">
        <v>676</v>
      </c>
      <c r="E1" s="106" t="s">
        <v>21</v>
      </c>
      <c r="F1" s="106" t="s">
        <v>22</v>
      </c>
      <c r="G1" s="109" t="s">
        <v>192</v>
      </c>
      <c r="H1" s="109" t="s">
        <v>193</v>
      </c>
      <c r="I1" s="132" t="s">
        <v>677</v>
      </c>
      <c r="J1" s="132" t="s">
        <v>678</v>
      </c>
      <c r="K1" s="132" t="s">
        <v>679</v>
      </c>
      <c r="L1" s="132" t="s">
        <v>680</v>
      </c>
      <c r="M1" s="132" t="s">
        <v>681</v>
      </c>
      <c r="N1" s="132" t="s">
        <v>682</v>
      </c>
      <c r="O1" s="132" t="s">
        <v>683</v>
      </c>
      <c r="P1" s="132" t="s">
        <v>684</v>
      </c>
      <c r="Q1" s="132" t="s">
        <v>685</v>
      </c>
      <c r="R1" s="132" t="s">
        <v>686</v>
      </c>
      <c r="S1" s="132" t="s">
        <v>687</v>
      </c>
      <c r="T1" s="132" t="s">
        <v>688</v>
      </c>
      <c r="U1" s="132" t="s">
        <v>689</v>
      </c>
      <c r="V1" s="132" t="s">
        <v>690</v>
      </c>
      <c r="W1" s="132" t="s">
        <v>691</v>
      </c>
      <c r="X1" s="132" t="s">
        <v>692</v>
      </c>
      <c r="Y1" s="132" t="s">
        <v>693</v>
      </c>
      <c r="Z1" s="132" t="s">
        <v>694</v>
      </c>
      <c r="AA1" s="132" t="s">
        <v>695</v>
      </c>
      <c r="AB1" s="132" t="s">
        <v>696</v>
      </c>
      <c r="AC1" s="132" t="s">
        <v>697</v>
      </c>
      <c r="AD1" s="132" t="s">
        <v>698</v>
      </c>
      <c r="AE1" s="132" t="s">
        <v>699</v>
      </c>
      <c r="AF1" s="169" t="s">
        <v>700</v>
      </c>
      <c r="AG1" s="170" t="s">
        <v>701</v>
      </c>
      <c r="AH1" s="132" t="s">
        <v>702</v>
      </c>
      <c r="AI1" s="132" t="s">
        <v>703</v>
      </c>
      <c r="AJ1" s="132" t="s">
        <v>704</v>
      </c>
      <c r="AK1" s="132" t="s">
        <v>705</v>
      </c>
      <c r="AL1" s="132" t="s">
        <v>706</v>
      </c>
      <c r="AM1" s="132" t="s">
        <v>707</v>
      </c>
      <c r="AN1" s="171" t="s">
        <v>708</v>
      </c>
      <c r="AO1" s="132" t="s">
        <v>709</v>
      </c>
      <c r="AP1" s="132" t="s">
        <v>710</v>
      </c>
      <c r="AQ1" s="132" t="s">
        <v>711</v>
      </c>
      <c r="AR1" s="132" t="s">
        <v>712</v>
      </c>
      <c r="AS1" s="132" t="s">
        <v>713</v>
      </c>
      <c r="AT1" s="132" t="s">
        <v>714</v>
      </c>
      <c r="AU1" s="132" t="s">
        <v>715</v>
      </c>
      <c r="AV1" s="132" t="s">
        <v>716</v>
      </c>
      <c r="AW1" s="132" t="s">
        <v>717</v>
      </c>
      <c r="AX1" s="132" t="s">
        <v>718</v>
      </c>
      <c r="AY1" s="132" t="s">
        <v>719</v>
      </c>
      <c r="AZ1" s="132" t="s">
        <v>720</v>
      </c>
      <c r="BA1" s="132" t="s">
        <v>721</v>
      </c>
      <c r="BB1" s="132" t="s">
        <v>722</v>
      </c>
      <c r="BC1" s="132" t="s">
        <v>723</v>
      </c>
      <c r="BD1" s="132" t="s">
        <v>724</v>
      </c>
      <c r="BE1" s="132" t="s">
        <v>725</v>
      </c>
      <c r="BF1" s="132" t="s">
        <v>726</v>
      </c>
      <c r="BG1" s="132" t="s">
        <v>727</v>
      </c>
      <c r="BH1" s="132" t="s">
        <v>728</v>
      </c>
      <c r="BI1" s="132" t="s">
        <v>729</v>
      </c>
      <c r="BJ1" s="132" t="s">
        <v>730</v>
      </c>
      <c r="BK1" s="132" t="s">
        <v>731</v>
      </c>
      <c r="BL1" s="132" t="s">
        <v>732</v>
      </c>
      <c r="BM1" s="132" t="s">
        <v>733</v>
      </c>
      <c r="BN1" s="132" t="s">
        <v>734</v>
      </c>
      <c r="BO1" s="132" t="s">
        <v>735</v>
      </c>
      <c r="BP1" s="132" t="s">
        <v>736</v>
      </c>
      <c r="BQ1" s="132" t="s">
        <v>737</v>
      </c>
      <c r="BR1" s="132" t="s">
        <v>738</v>
      </c>
      <c r="BS1" s="132" t="s">
        <v>739</v>
      </c>
      <c r="BT1" s="132" t="s">
        <v>740</v>
      </c>
      <c r="BU1" s="132" t="s">
        <v>741</v>
      </c>
      <c r="BV1" s="132" t="s">
        <v>742</v>
      </c>
      <c r="BW1" s="132" t="s">
        <v>743</v>
      </c>
      <c r="BX1" s="132" t="s">
        <v>744</v>
      </c>
      <c r="BY1" s="132" t="s">
        <v>745</v>
      </c>
      <c r="BZ1" s="132" t="s">
        <v>746</v>
      </c>
      <c r="CA1" s="132" t="s">
        <v>747</v>
      </c>
      <c r="CB1" s="132" t="s">
        <v>748</v>
      </c>
      <c r="CC1" s="132" t="s">
        <v>749</v>
      </c>
      <c r="CD1" s="132" t="s">
        <v>750</v>
      </c>
      <c r="CE1" s="132" t="s">
        <v>751</v>
      </c>
      <c r="CF1" s="132" t="s">
        <v>752</v>
      </c>
      <c r="CG1" s="132" t="s">
        <v>753</v>
      </c>
      <c r="CH1" s="132" t="s">
        <v>754</v>
      </c>
      <c r="CI1" s="132" t="s">
        <v>412</v>
      </c>
      <c r="CJ1" s="132" t="s">
        <v>417</v>
      </c>
      <c r="CK1" s="132" t="s">
        <v>421</v>
      </c>
      <c r="CL1" s="132" t="s">
        <v>755</v>
      </c>
      <c r="CM1" s="132" t="s">
        <v>756</v>
      </c>
    </row>
    <row r="2" customFormat="false" ht="12.75" hidden="false" customHeight="false" outlineLevel="0" collapsed="false">
      <c r="A2" s="122" t="s">
        <v>757</v>
      </c>
      <c r="B2" s="172" t="s">
        <v>665</v>
      </c>
      <c r="C2" s="172" t="s">
        <v>758</v>
      </c>
      <c r="D2" s="172"/>
      <c r="E2" s="106" t="s">
        <v>759</v>
      </c>
      <c r="F2" s="173" t="s">
        <v>759</v>
      </c>
      <c r="S2" s="167" t="n">
        <v>983.5547308</v>
      </c>
      <c r="T2" s="111" t="s">
        <v>246</v>
      </c>
      <c r="Y2" s="167" t="n">
        <v>433.98</v>
      </c>
      <c r="Z2" s="111" t="s">
        <v>246</v>
      </c>
      <c r="AA2" s="167" t="n">
        <v>41867.6</v>
      </c>
      <c r="AB2" s="111" t="s">
        <v>246</v>
      </c>
      <c r="AC2" s="164" t="n">
        <v>20.86</v>
      </c>
      <c r="AD2" s="111" t="s">
        <v>246</v>
      </c>
      <c r="AG2" s="167" t="n">
        <v>4.983461963</v>
      </c>
      <c r="AH2" s="111" t="s">
        <v>246</v>
      </c>
      <c r="AM2" s="165" t="n">
        <v>87</v>
      </c>
      <c r="BS2" s="167" t="n">
        <v>47.14</v>
      </c>
      <c r="BT2" s="111" t="s">
        <v>246</v>
      </c>
      <c r="BU2" s="164" t="n">
        <v>20.8</v>
      </c>
      <c r="BV2" s="111" t="s">
        <v>246</v>
      </c>
    </row>
    <row r="3" customFormat="false" ht="12.75" hidden="false" customHeight="false" outlineLevel="0" collapsed="false">
      <c r="A3" s="122" t="s">
        <v>757</v>
      </c>
      <c r="B3" s="172" t="s">
        <v>665</v>
      </c>
      <c r="C3" s="172" t="s">
        <v>758</v>
      </c>
      <c r="D3" s="172"/>
      <c r="E3" s="106" t="s">
        <v>759</v>
      </c>
      <c r="F3" s="173" t="s">
        <v>759</v>
      </c>
      <c r="S3" s="167" t="n">
        <v>1348.904388</v>
      </c>
      <c r="T3" s="111" t="s">
        <v>246</v>
      </c>
      <c r="Y3" s="167" t="n">
        <v>581.91</v>
      </c>
      <c r="Z3" s="111" t="s">
        <v>246</v>
      </c>
      <c r="AA3" s="167" t="n">
        <v>57056.57</v>
      </c>
      <c r="AB3" s="111" t="s">
        <v>246</v>
      </c>
      <c r="AC3" s="164" t="n">
        <v>28.28</v>
      </c>
      <c r="AD3" s="111" t="s">
        <v>246</v>
      </c>
      <c r="AG3" s="167" t="n">
        <v>4.956140351</v>
      </c>
      <c r="AH3" s="111" t="s">
        <v>246</v>
      </c>
      <c r="AM3" s="165" t="n">
        <v>88</v>
      </c>
      <c r="BS3" s="167" t="n">
        <v>47.7</v>
      </c>
      <c r="BT3" s="111" t="s">
        <v>246</v>
      </c>
      <c r="BU3" s="164" t="n">
        <v>20.58</v>
      </c>
      <c r="BV3" s="111" t="s">
        <v>246</v>
      </c>
    </row>
    <row r="4" customFormat="false" ht="12.75" hidden="false" customHeight="false" outlineLevel="0" collapsed="false">
      <c r="A4" s="122" t="s">
        <v>757</v>
      </c>
      <c r="B4" s="172" t="s">
        <v>665</v>
      </c>
      <c r="C4" s="172" t="s">
        <v>758</v>
      </c>
      <c r="D4" s="172"/>
      <c r="E4" s="106" t="n">
        <v>4</v>
      </c>
      <c r="F4" s="173" t="n">
        <v>13</v>
      </c>
      <c r="S4" s="167" t="n">
        <v>1251.628302</v>
      </c>
      <c r="T4" s="111" t="s">
        <v>246</v>
      </c>
      <c r="Y4" s="167" t="n">
        <v>589.43</v>
      </c>
      <c r="Z4" s="111" t="s">
        <v>246</v>
      </c>
      <c r="AA4" s="167" t="n">
        <v>55220.1</v>
      </c>
      <c r="AB4" s="111" t="s">
        <v>246</v>
      </c>
      <c r="AC4" s="164" t="n">
        <v>27.61</v>
      </c>
      <c r="AD4" s="111" t="s">
        <v>246</v>
      </c>
      <c r="AG4" s="167" t="n">
        <v>5</v>
      </c>
      <c r="AH4" s="111" t="s">
        <v>246</v>
      </c>
      <c r="AM4" s="165" t="n">
        <v>88</v>
      </c>
      <c r="BS4" s="167" t="n">
        <v>45.33</v>
      </c>
      <c r="BT4" s="111" t="s">
        <v>246</v>
      </c>
      <c r="BU4" s="164" t="n">
        <v>21.35</v>
      </c>
      <c r="BV4" s="111" t="s">
        <v>246</v>
      </c>
    </row>
    <row r="5" customFormat="false" ht="12.75" hidden="false" customHeight="false" outlineLevel="0" collapsed="false">
      <c r="A5" s="122" t="s">
        <v>757</v>
      </c>
      <c r="B5" s="172" t="s">
        <v>668</v>
      </c>
      <c r="C5" s="172" t="s">
        <v>758</v>
      </c>
      <c r="D5" s="172"/>
      <c r="E5" s="106" t="s">
        <v>759</v>
      </c>
      <c r="F5" s="173" t="s">
        <v>759</v>
      </c>
      <c r="S5" s="167" t="n">
        <v>1464.874028</v>
      </c>
      <c r="T5" s="111" t="s">
        <v>246</v>
      </c>
      <c r="Y5" s="167" t="n">
        <v>668.09</v>
      </c>
      <c r="Z5" s="111" t="s">
        <v>246</v>
      </c>
      <c r="AA5" s="167" t="n">
        <v>67847.45</v>
      </c>
      <c r="AB5" s="111" t="s">
        <v>246</v>
      </c>
      <c r="AC5" s="164" t="n">
        <v>31.22</v>
      </c>
      <c r="AD5" s="111" t="s">
        <v>246</v>
      </c>
      <c r="AG5" s="167" t="n">
        <v>4.602215509</v>
      </c>
      <c r="AH5" s="111" t="s">
        <v>246</v>
      </c>
      <c r="AM5" s="165" t="n">
        <v>90</v>
      </c>
      <c r="BS5" s="167" t="n">
        <v>46.91</v>
      </c>
      <c r="BT5" s="111" t="s">
        <v>246</v>
      </c>
      <c r="BU5" s="164" t="n">
        <v>21.4</v>
      </c>
      <c r="BV5" s="111" t="s">
        <v>246</v>
      </c>
    </row>
    <row r="6" customFormat="false" ht="12.75" hidden="false" customHeight="false" outlineLevel="0" collapsed="false">
      <c r="A6" s="122" t="s">
        <v>757</v>
      </c>
      <c r="B6" s="172" t="s">
        <v>668</v>
      </c>
      <c r="C6" s="172" t="s">
        <v>758</v>
      </c>
      <c r="D6" s="172"/>
      <c r="E6" s="106" t="n">
        <v>2</v>
      </c>
      <c r="F6" s="173" t="n">
        <v>58</v>
      </c>
      <c r="S6" s="167" t="n">
        <v>1631.709336</v>
      </c>
      <c r="T6" s="111" t="s">
        <v>246</v>
      </c>
      <c r="Y6" s="167" t="n">
        <v>745.53</v>
      </c>
      <c r="Z6" s="111" t="s">
        <v>246</v>
      </c>
      <c r="AA6" s="167" t="n">
        <v>69128.9</v>
      </c>
      <c r="AB6" s="111" t="s">
        <v>246</v>
      </c>
      <c r="AC6" s="164" t="n">
        <v>34.98</v>
      </c>
      <c r="AD6" s="111" t="s">
        <v>246</v>
      </c>
      <c r="AG6" s="167" t="n">
        <v>5.060773481</v>
      </c>
      <c r="AH6" s="111" t="s">
        <v>246</v>
      </c>
      <c r="AM6" s="165" t="n">
        <v>88</v>
      </c>
      <c r="BS6" s="167" t="n">
        <v>46.64</v>
      </c>
      <c r="BT6" s="111" t="s">
        <v>246</v>
      </c>
      <c r="BU6" s="164" t="n">
        <v>21.31</v>
      </c>
      <c r="BV6" s="111" t="s">
        <v>246</v>
      </c>
    </row>
    <row r="7" customFormat="false" ht="12.75" hidden="false" customHeight="false" outlineLevel="0" collapsed="false">
      <c r="A7" s="122" t="s">
        <v>757</v>
      </c>
      <c r="B7" s="172" t="s">
        <v>668</v>
      </c>
      <c r="C7" s="172" t="s">
        <v>758</v>
      </c>
      <c r="D7" s="172"/>
      <c r="E7" s="106" t="s">
        <v>759</v>
      </c>
      <c r="F7" s="173" t="s">
        <v>759</v>
      </c>
      <c r="S7" s="167" t="n">
        <v>1496.268858</v>
      </c>
      <c r="T7" s="111" t="s">
        <v>246</v>
      </c>
      <c r="Y7" s="167" t="n">
        <v>699.34</v>
      </c>
      <c r="Z7" s="111" t="s">
        <v>246</v>
      </c>
      <c r="AA7" s="167" t="n">
        <v>68153.56</v>
      </c>
      <c r="AB7" s="111" t="s">
        <v>246</v>
      </c>
      <c r="AC7" s="164" t="n">
        <v>32.34</v>
      </c>
      <c r="AD7" s="111" t="s">
        <v>246</v>
      </c>
      <c r="AG7" s="167" t="n">
        <v>4.745586708</v>
      </c>
      <c r="AH7" s="111" t="s">
        <v>246</v>
      </c>
      <c r="AM7" s="165" t="n">
        <v>90</v>
      </c>
      <c r="BS7" s="167" t="n">
        <v>46.26</v>
      </c>
      <c r="BT7" s="111" t="s">
        <v>246</v>
      </c>
      <c r="BU7" s="164" t="n">
        <v>21.62</v>
      </c>
      <c r="BV7" s="111" t="s">
        <v>246</v>
      </c>
    </row>
    <row r="8" customFormat="false" ht="12.75" hidden="false" customHeight="false" outlineLevel="0" collapsed="false">
      <c r="A8" s="122" t="s">
        <v>757</v>
      </c>
      <c r="B8" s="172" t="s">
        <v>665</v>
      </c>
      <c r="C8" s="172" t="s">
        <v>760</v>
      </c>
      <c r="D8" s="172"/>
      <c r="E8" s="106" t="s">
        <v>759</v>
      </c>
      <c r="F8" s="173" t="s">
        <v>759</v>
      </c>
      <c r="S8" s="167" t="n">
        <v>1406.024886</v>
      </c>
      <c r="T8" s="111" t="s">
        <v>246</v>
      </c>
      <c r="Y8" s="167" t="n">
        <v>586.79</v>
      </c>
      <c r="Z8" s="111" t="s">
        <v>246</v>
      </c>
      <c r="AA8" s="167" t="n">
        <v>58024.78</v>
      </c>
      <c r="AB8" s="111" t="s">
        <v>246</v>
      </c>
      <c r="AC8" s="164" t="n">
        <v>29.14</v>
      </c>
      <c r="AD8" s="111" t="s">
        <v>246</v>
      </c>
      <c r="AG8" s="167" t="n">
        <v>5.021786492</v>
      </c>
      <c r="AH8" s="111" t="s">
        <v>246</v>
      </c>
      <c r="AM8" s="165" t="n">
        <v>87</v>
      </c>
      <c r="BS8" s="167" t="n">
        <v>48.25</v>
      </c>
      <c r="BT8" s="111" t="s">
        <v>246</v>
      </c>
      <c r="BU8" s="164" t="n">
        <v>20.14</v>
      </c>
      <c r="BV8" s="111" t="s">
        <v>246</v>
      </c>
    </row>
    <row r="9" customFormat="false" ht="12.75" hidden="false" customHeight="false" outlineLevel="0" collapsed="false">
      <c r="A9" s="122" t="s">
        <v>757</v>
      </c>
      <c r="B9" s="172" t="s">
        <v>665</v>
      </c>
      <c r="C9" s="172" t="s">
        <v>760</v>
      </c>
      <c r="D9" s="172"/>
      <c r="E9" s="106" t="s">
        <v>759</v>
      </c>
      <c r="F9" s="173" t="s">
        <v>759</v>
      </c>
      <c r="S9" s="167" t="n">
        <v>1333.105011</v>
      </c>
      <c r="T9" s="111" t="s">
        <v>246</v>
      </c>
      <c r="Y9" s="167" t="n">
        <v>559.69</v>
      </c>
      <c r="Z9" s="111" t="s">
        <v>246</v>
      </c>
      <c r="AA9" s="167" t="n">
        <v>58111.91</v>
      </c>
      <c r="AB9" s="111" t="s">
        <v>246</v>
      </c>
      <c r="AC9" s="164" t="n">
        <v>28.04</v>
      </c>
      <c r="AD9" s="111" t="s">
        <v>246</v>
      </c>
      <c r="AG9" s="167" t="n">
        <v>4.825765576</v>
      </c>
      <c r="AH9" s="111" t="s">
        <v>246</v>
      </c>
      <c r="AM9" s="165" t="n">
        <v>88</v>
      </c>
      <c r="BS9" s="167" t="n">
        <v>47.54</v>
      </c>
      <c r="BT9" s="111" t="s">
        <v>246</v>
      </c>
      <c r="BU9" s="164" t="n">
        <v>19.96</v>
      </c>
      <c r="BV9" s="111" t="s">
        <v>246</v>
      </c>
    </row>
    <row r="10" customFormat="false" ht="12.75" hidden="false" customHeight="false" outlineLevel="0" collapsed="false">
      <c r="A10" s="122" t="s">
        <v>757</v>
      </c>
      <c r="B10" s="172" t="s">
        <v>665</v>
      </c>
      <c r="C10" s="172" t="s">
        <v>760</v>
      </c>
      <c r="D10" s="172"/>
      <c r="E10" s="106" t="n">
        <v>8</v>
      </c>
      <c r="F10" s="173" t="n">
        <v>62</v>
      </c>
      <c r="S10" s="167" t="n">
        <v>1624.568312</v>
      </c>
      <c r="T10" s="111" t="s">
        <v>246</v>
      </c>
      <c r="Y10" s="167" t="n">
        <v>704.21</v>
      </c>
      <c r="Z10" s="111" t="s">
        <v>246</v>
      </c>
      <c r="AA10" s="167" t="n">
        <v>68174.42</v>
      </c>
      <c r="AB10" s="111" t="s">
        <v>246</v>
      </c>
      <c r="AC10" s="164" t="n">
        <v>34.61</v>
      </c>
      <c r="AD10" s="111" t="s">
        <v>246</v>
      </c>
      <c r="AG10" s="167" t="n">
        <v>5.076923077</v>
      </c>
      <c r="AH10" s="111" t="s">
        <v>246</v>
      </c>
      <c r="AM10" s="165" t="n">
        <v>88</v>
      </c>
      <c r="BS10" s="167" t="n">
        <v>46.94</v>
      </c>
      <c r="BT10" s="111" t="s">
        <v>246</v>
      </c>
      <c r="BU10" s="164" t="n">
        <v>20.35</v>
      </c>
      <c r="BV10" s="111" t="s">
        <v>246</v>
      </c>
    </row>
    <row r="11" customFormat="false" ht="12.75" hidden="false" customHeight="false" outlineLevel="0" collapsed="false">
      <c r="A11" s="122" t="s">
        <v>757</v>
      </c>
      <c r="B11" s="172" t="s">
        <v>668</v>
      </c>
      <c r="C11" s="172" t="s">
        <v>760</v>
      </c>
      <c r="D11" s="172"/>
      <c r="E11" s="106" t="s">
        <v>759</v>
      </c>
      <c r="F11" s="173" t="s">
        <v>759</v>
      </c>
      <c r="S11" s="167" t="n">
        <v>1209.449611</v>
      </c>
      <c r="T11" s="111" t="s">
        <v>246</v>
      </c>
      <c r="Y11" s="167" t="n">
        <v>594.82</v>
      </c>
      <c r="Z11" s="111" t="s">
        <v>246</v>
      </c>
      <c r="AA11" s="167" t="n">
        <v>55531.4</v>
      </c>
      <c r="AB11" s="111" t="s">
        <v>246</v>
      </c>
      <c r="AC11" s="164" t="n">
        <v>26.94</v>
      </c>
      <c r="AD11" s="111" t="s">
        <v>246</v>
      </c>
      <c r="AG11" s="167" t="n">
        <v>4.852008457</v>
      </c>
      <c r="AH11" s="111" t="s">
        <v>246</v>
      </c>
      <c r="AM11" s="165" t="n">
        <v>90</v>
      </c>
      <c r="BS11" s="167" t="n">
        <v>44.89</v>
      </c>
      <c r="BT11" s="111" t="s">
        <v>246</v>
      </c>
      <c r="BU11" s="164" t="n">
        <v>22.08</v>
      </c>
      <c r="BV11" s="111" t="s">
        <v>246</v>
      </c>
    </row>
    <row r="12" customFormat="false" ht="12.75" hidden="false" customHeight="false" outlineLevel="0" collapsed="false">
      <c r="A12" s="122" t="s">
        <v>757</v>
      </c>
      <c r="B12" s="172" t="s">
        <v>668</v>
      </c>
      <c r="C12" s="172" t="s">
        <v>760</v>
      </c>
      <c r="D12" s="172"/>
      <c r="E12" s="106" t="n">
        <v>7</v>
      </c>
      <c r="F12" s="173" t="n">
        <v>11</v>
      </c>
      <c r="S12" s="167" t="n">
        <v>1439.518741</v>
      </c>
      <c r="T12" s="111" t="s">
        <v>246</v>
      </c>
      <c r="Y12" s="167" t="n">
        <v>685.72</v>
      </c>
      <c r="Z12" s="111" t="s">
        <v>246</v>
      </c>
      <c r="AA12" s="167" t="n">
        <v>64856.41</v>
      </c>
      <c r="AB12" s="111" t="s">
        <v>246</v>
      </c>
      <c r="AC12" s="164" t="n">
        <v>31.6</v>
      </c>
      <c r="AD12" s="111" t="s">
        <v>246</v>
      </c>
      <c r="AG12" s="167" t="n">
        <v>4.872881356</v>
      </c>
      <c r="AH12" s="111" t="s">
        <v>246</v>
      </c>
      <c r="AM12" s="165" t="n">
        <v>90</v>
      </c>
      <c r="BS12" s="167" t="n">
        <v>45.55</v>
      </c>
      <c r="BT12" s="111" t="s">
        <v>246</v>
      </c>
      <c r="BU12" s="164" t="n">
        <v>21.7</v>
      </c>
      <c r="BV12" s="111" t="s">
        <v>246</v>
      </c>
    </row>
    <row r="13" customFormat="false" ht="12.75" hidden="false" customHeight="false" outlineLevel="0" collapsed="false">
      <c r="A13" s="122" t="s">
        <v>757</v>
      </c>
      <c r="B13" s="172" t="s">
        <v>668</v>
      </c>
      <c r="C13" s="172" t="s">
        <v>760</v>
      </c>
      <c r="D13" s="172"/>
      <c r="E13" s="106" t="n">
        <v>12</v>
      </c>
      <c r="F13" s="173" t="n">
        <v>6</v>
      </c>
      <c r="S13" s="167" t="n">
        <v>1126.653636</v>
      </c>
      <c r="T13" s="111" t="s">
        <v>246</v>
      </c>
      <c r="Y13" s="167" t="n">
        <v>546.08</v>
      </c>
      <c r="Z13" s="111" t="s">
        <v>246</v>
      </c>
      <c r="AA13" s="167" t="n">
        <v>56952.76</v>
      </c>
      <c r="AB13" s="111" t="s">
        <v>246</v>
      </c>
      <c r="AC13" s="164" t="n">
        <v>25.16</v>
      </c>
      <c r="AD13" s="111" t="s">
        <v>246</v>
      </c>
      <c r="AG13" s="167" t="n">
        <v>4.416826004</v>
      </c>
      <c r="AH13" s="111" t="s">
        <v>246</v>
      </c>
      <c r="AM13" s="165" t="n">
        <v>90</v>
      </c>
      <c r="BS13" s="167" t="n">
        <v>44.79</v>
      </c>
      <c r="BT13" s="111" t="s">
        <v>246</v>
      </c>
      <c r="BU13" s="164" t="n">
        <v>21.71</v>
      </c>
      <c r="BV13" s="111" t="s">
        <v>246</v>
      </c>
    </row>
    <row r="14" customFormat="false" ht="12.75" hidden="false" customHeight="false" outlineLevel="0" collapsed="false">
      <c r="A14" s="122" t="s">
        <v>757</v>
      </c>
      <c r="B14" s="172" t="s">
        <v>665</v>
      </c>
      <c r="C14" s="172" t="s">
        <v>761</v>
      </c>
      <c r="D14" s="172"/>
      <c r="E14" s="106" t="s">
        <v>759</v>
      </c>
      <c r="F14" s="173" t="s">
        <v>759</v>
      </c>
      <c r="S14" s="167" t="n">
        <v>1427.838886</v>
      </c>
      <c r="T14" s="111" t="s">
        <v>246</v>
      </c>
      <c r="Y14" s="167" t="n">
        <v>660.98</v>
      </c>
      <c r="Z14" s="111" t="s">
        <v>246</v>
      </c>
      <c r="AA14" s="167" t="n">
        <v>69307.19</v>
      </c>
      <c r="AB14" s="111" t="s">
        <v>246</v>
      </c>
      <c r="AC14" s="164" t="n">
        <v>30.86</v>
      </c>
      <c r="AD14" s="111" t="s">
        <v>246</v>
      </c>
      <c r="AG14" s="167" t="n">
        <v>4.451923077</v>
      </c>
      <c r="AH14" s="111" t="s">
        <v>246</v>
      </c>
      <c r="AM14" s="165" t="n">
        <v>88</v>
      </c>
      <c r="BS14" s="167" t="n">
        <v>46.28</v>
      </c>
      <c r="BT14" s="111" t="s">
        <v>246</v>
      </c>
      <c r="BU14" s="164" t="n">
        <v>21.42</v>
      </c>
      <c r="BV14" s="111" t="s">
        <v>246</v>
      </c>
    </row>
    <row r="15" customFormat="false" ht="12.75" hidden="false" customHeight="false" outlineLevel="0" collapsed="false">
      <c r="A15" s="122" t="s">
        <v>757</v>
      </c>
      <c r="B15" s="172" t="s">
        <v>665</v>
      </c>
      <c r="C15" s="172" t="s">
        <v>761</v>
      </c>
      <c r="D15" s="172"/>
      <c r="E15" s="106" t="s">
        <v>759</v>
      </c>
      <c r="F15" s="173" t="s">
        <v>759</v>
      </c>
      <c r="S15" s="167" t="n">
        <v>1549.822617</v>
      </c>
      <c r="T15" s="111" t="s">
        <v>246</v>
      </c>
      <c r="Y15" s="167" t="n">
        <v>705.34</v>
      </c>
      <c r="Z15" s="111" t="s">
        <v>246</v>
      </c>
      <c r="AA15" s="167" t="n">
        <v>72675.41</v>
      </c>
      <c r="AB15" s="111" t="s">
        <v>246</v>
      </c>
      <c r="AC15" s="164" t="n">
        <v>33.47</v>
      </c>
      <c r="AD15" s="111" t="s">
        <v>246</v>
      </c>
      <c r="AG15" s="167" t="n">
        <v>4.605394605</v>
      </c>
      <c r="AH15" s="111" t="s">
        <v>246</v>
      </c>
      <c r="AM15" s="165" t="n">
        <v>88</v>
      </c>
      <c r="BS15" s="167" t="n">
        <v>46.3</v>
      </c>
      <c r="BT15" s="111" t="s">
        <v>246</v>
      </c>
      <c r="BU15" s="164" t="n">
        <v>21.07</v>
      </c>
      <c r="BV15" s="111" t="s">
        <v>246</v>
      </c>
    </row>
    <row r="16" customFormat="false" ht="12.75" hidden="false" customHeight="false" outlineLevel="0" collapsed="false">
      <c r="A16" s="122" t="s">
        <v>757</v>
      </c>
      <c r="B16" s="172" t="s">
        <v>665</v>
      </c>
      <c r="C16" s="172" t="s">
        <v>761</v>
      </c>
      <c r="D16" s="172"/>
      <c r="E16" s="106" t="s">
        <v>759</v>
      </c>
      <c r="F16" s="173" t="s">
        <v>759</v>
      </c>
      <c r="S16" s="167" t="n">
        <v>1368.473618</v>
      </c>
      <c r="T16" s="111" t="s">
        <v>246</v>
      </c>
      <c r="Y16" s="167" t="n">
        <v>658.74</v>
      </c>
      <c r="Z16" s="111" t="s">
        <v>246</v>
      </c>
      <c r="AA16" s="167" t="n">
        <v>60689.1</v>
      </c>
      <c r="AB16" s="111" t="s">
        <v>246</v>
      </c>
      <c r="AC16" s="164" t="n">
        <v>30.12</v>
      </c>
      <c r="AD16" s="111" t="s">
        <v>246</v>
      </c>
      <c r="AG16" s="167" t="n">
        <v>4.962566845</v>
      </c>
      <c r="AH16" s="111" t="s">
        <v>246</v>
      </c>
      <c r="AM16" s="165" t="n">
        <v>88</v>
      </c>
      <c r="BS16" s="167" t="n">
        <v>45.44</v>
      </c>
      <c r="BT16" s="111" t="s">
        <v>246</v>
      </c>
      <c r="BU16" s="164" t="n">
        <v>21.87</v>
      </c>
      <c r="BV16" s="111" t="s">
        <v>246</v>
      </c>
    </row>
    <row r="17" customFormat="false" ht="12.75" hidden="false" customHeight="false" outlineLevel="0" collapsed="false">
      <c r="A17" s="122" t="s">
        <v>757</v>
      </c>
      <c r="B17" s="172" t="s">
        <v>668</v>
      </c>
      <c r="C17" s="172" t="s">
        <v>761</v>
      </c>
      <c r="D17" s="172"/>
      <c r="E17" s="106" t="n">
        <v>9</v>
      </c>
      <c r="F17" s="173" t="n">
        <v>39</v>
      </c>
      <c r="S17" s="167" t="n">
        <v>1280.570696</v>
      </c>
      <c r="T17" s="111" t="s">
        <v>246</v>
      </c>
      <c r="Y17" s="167" t="n">
        <v>647.44</v>
      </c>
      <c r="Z17" s="111" t="s">
        <v>246</v>
      </c>
      <c r="AA17" s="167" t="n">
        <v>58876.61</v>
      </c>
      <c r="AB17" s="111" t="s">
        <v>246</v>
      </c>
      <c r="AC17" s="164" t="n">
        <v>28.35</v>
      </c>
      <c r="AD17" s="111" t="s">
        <v>246</v>
      </c>
      <c r="AG17" s="167" t="n">
        <v>4.815595364</v>
      </c>
      <c r="AH17" s="111" t="s">
        <v>246</v>
      </c>
      <c r="AM17" s="165" t="n">
        <v>91</v>
      </c>
      <c r="BS17" s="167" t="n">
        <v>45.17</v>
      </c>
      <c r="BT17" s="111" t="s">
        <v>246</v>
      </c>
      <c r="BU17" s="164" t="n">
        <v>22.84</v>
      </c>
      <c r="BV17" s="111" t="s">
        <v>246</v>
      </c>
    </row>
    <row r="18" customFormat="false" ht="12.75" hidden="false" customHeight="false" outlineLevel="0" collapsed="false">
      <c r="A18" s="122" t="s">
        <v>757</v>
      </c>
      <c r="B18" s="172" t="s">
        <v>668</v>
      </c>
      <c r="C18" s="172" t="s">
        <v>761</v>
      </c>
      <c r="D18" s="172"/>
      <c r="E18" s="106" t="s">
        <v>759</v>
      </c>
      <c r="F18" s="173" t="s">
        <v>759</v>
      </c>
      <c r="S18" s="167" t="n">
        <v>1436.145576</v>
      </c>
      <c r="T18" s="111" t="s">
        <v>246</v>
      </c>
      <c r="Y18" s="167" t="n">
        <v>715.7</v>
      </c>
      <c r="Z18" s="111" t="s">
        <v>246</v>
      </c>
      <c r="AA18" s="167" t="n">
        <v>69399.33</v>
      </c>
      <c r="AB18" s="111" t="s">
        <v>246</v>
      </c>
      <c r="AC18" s="164" t="n">
        <v>31.91</v>
      </c>
      <c r="AD18" s="111" t="s">
        <v>246</v>
      </c>
      <c r="AG18" s="167" t="n">
        <v>4.597815293</v>
      </c>
      <c r="AH18" s="111" t="s">
        <v>246</v>
      </c>
      <c r="AM18" s="165" t="n">
        <v>88</v>
      </c>
      <c r="BS18" s="167" t="n">
        <v>45.01</v>
      </c>
      <c r="BT18" s="111" t="s">
        <v>246</v>
      </c>
      <c r="BU18" s="164" t="n">
        <v>22.43</v>
      </c>
      <c r="BV18" s="111" t="s">
        <v>246</v>
      </c>
    </row>
    <row r="19" customFormat="false" ht="12.75" hidden="false" customHeight="false" outlineLevel="0" collapsed="false">
      <c r="A19" s="122" t="s">
        <v>757</v>
      </c>
      <c r="B19" s="172" t="s">
        <v>668</v>
      </c>
      <c r="C19" s="172" t="s">
        <v>761</v>
      </c>
      <c r="D19" s="172"/>
      <c r="E19" s="106" t="s">
        <v>759</v>
      </c>
      <c r="F19" s="173" t="s">
        <v>759</v>
      </c>
      <c r="S19" s="167" t="n">
        <v>1180.20868</v>
      </c>
      <c r="T19" s="111" t="s">
        <v>246</v>
      </c>
      <c r="Y19" s="167" t="n">
        <v>600.11</v>
      </c>
      <c r="Z19" s="111" t="s">
        <v>246</v>
      </c>
      <c r="AA19" s="167" t="n">
        <v>55541.4</v>
      </c>
      <c r="AB19" s="111" t="s">
        <v>246</v>
      </c>
      <c r="AC19" s="164" t="n">
        <v>26.28</v>
      </c>
      <c r="AD19" s="111" t="s">
        <v>246</v>
      </c>
      <c r="AG19" s="167" t="n">
        <v>4.731509625</v>
      </c>
      <c r="AH19" s="111" t="s">
        <v>246</v>
      </c>
      <c r="AM19" s="165" t="n">
        <v>92</v>
      </c>
      <c r="BS19" s="167" t="n">
        <v>44.91</v>
      </c>
      <c r="BT19" s="111" t="s">
        <v>246</v>
      </c>
      <c r="BU19" s="164" t="n">
        <v>22.84</v>
      </c>
      <c r="BV19" s="111" t="s">
        <v>246</v>
      </c>
    </row>
    <row r="20" customFormat="false" ht="12.75" hidden="false" customHeight="false" outlineLevel="0" collapsed="false">
      <c r="A20" s="122" t="s">
        <v>757</v>
      </c>
      <c r="B20" s="172" t="s">
        <v>665</v>
      </c>
      <c r="C20" s="172" t="s">
        <v>762</v>
      </c>
      <c r="D20" s="172"/>
      <c r="E20" s="106" t="s">
        <v>759</v>
      </c>
      <c r="F20" s="173" t="s">
        <v>759</v>
      </c>
      <c r="S20" s="167" t="n">
        <v>1390.901476</v>
      </c>
      <c r="T20" s="111" t="s">
        <v>246</v>
      </c>
      <c r="Y20" s="167" t="n">
        <v>613.75</v>
      </c>
      <c r="Z20" s="111" t="s">
        <v>246</v>
      </c>
      <c r="AA20" s="167" t="n">
        <v>60501.95</v>
      </c>
      <c r="AB20" s="111" t="s">
        <v>246</v>
      </c>
      <c r="AC20" s="164" t="n">
        <v>29.93</v>
      </c>
      <c r="AD20" s="111" t="s">
        <v>246</v>
      </c>
      <c r="AG20" s="167" t="n">
        <v>4.947257384</v>
      </c>
      <c r="AH20" s="111" t="s">
        <v>246</v>
      </c>
      <c r="AM20" s="165" t="n">
        <v>88</v>
      </c>
      <c r="BS20" s="167" t="n">
        <v>46.47</v>
      </c>
      <c r="BT20" s="111" t="s">
        <v>246</v>
      </c>
      <c r="BU20" s="164" t="n">
        <v>20.51</v>
      </c>
      <c r="BV20" s="111" t="s">
        <v>246</v>
      </c>
    </row>
    <row r="21" customFormat="false" ht="12.75" hidden="false" customHeight="false" outlineLevel="0" collapsed="false">
      <c r="A21" s="122" t="s">
        <v>757</v>
      </c>
      <c r="B21" s="172" t="s">
        <v>665</v>
      </c>
      <c r="C21" s="172" t="s">
        <v>762</v>
      </c>
      <c r="D21" s="172"/>
      <c r="E21" s="106" t="s">
        <v>759</v>
      </c>
      <c r="F21" s="173" t="s">
        <v>759</v>
      </c>
      <c r="S21" s="167" t="n">
        <v>1478.350801</v>
      </c>
      <c r="T21" s="111" t="s">
        <v>246</v>
      </c>
      <c r="Y21" s="167" t="n">
        <v>660.12</v>
      </c>
      <c r="Z21" s="111" t="s">
        <v>246</v>
      </c>
      <c r="AA21" s="167" t="n">
        <v>68587.4</v>
      </c>
      <c r="AB21" s="111" t="s">
        <v>246</v>
      </c>
      <c r="AC21" s="164" t="n">
        <v>31.55</v>
      </c>
      <c r="AD21" s="111" t="s">
        <v>246</v>
      </c>
      <c r="AG21" s="167" t="n">
        <v>4.599406528</v>
      </c>
      <c r="AH21" s="111" t="s">
        <v>246</v>
      </c>
      <c r="AM21" s="165" t="n">
        <v>88</v>
      </c>
      <c r="BS21" s="167" t="n">
        <v>46.86</v>
      </c>
      <c r="BT21" s="111" t="s">
        <v>246</v>
      </c>
      <c r="BU21" s="164" t="n">
        <v>20.93</v>
      </c>
      <c r="BV21" s="111" t="s">
        <v>246</v>
      </c>
    </row>
    <row r="22" customFormat="false" ht="12.75" hidden="false" customHeight="false" outlineLevel="0" collapsed="false">
      <c r="A22" s="122" t="s">
        <v>757</v>
      </c>
      <c r="B22" s="172" t="s">
        <v>665</v>
      </c>
      <c r="C22" s="172" t="s">
        <v>762</v>
      </c>
      <c r="D22" s="172"/>
      <c r="E22" s="106" t="n">
        <v>16</v>
      </c>
      <c r="F22" s="173" t="n">
        <v>35</v>
      </c>
      <c r="S22" s="167" t="n">
        <v>1538.054045</v>
      </c>
      <c r="T22" s="111" t="s">
        <v>246</v>
      </c>
      <c r="Y22" s="167" t="n">
        <v>709.39</v>
      </c>
      <c r="Z22" s="111" t="s">
        <v>246</v>
      </c>
      <c r="AA22" s="167" t="n">
        <v>73419.79</v>
      </c>
      <c r="AB22" s="111" t="s">
        <v>246</v>
      </c>
      <c r="AC22" s="164" t="n">
        <v>33.58</v>
      </c>
      <c r="AD22" s="111" t="s">
        <v>246</v>
      </c>
      <c r="AG22" s="167" t="n">
        <v>4.573643411</v>
      </c>
      <c r="AH22" s="111" t="s">
        <v>246</v>
      </c>
      <c r="AM22" s="165" t="n">
        <v>88</v>
      </c>
      <c r="BS22" s="167" t="n">
        <v>45.8</v>
      </c>
      <c r="BT22" s="111" t="s">
        <v>246</v>
      </c>
      <c r="BU22" s="164" t="n">
        <v>21.13</v>
      </c>
      <c r="BV22" s="111" t="s">
        <v>246</v>
      </c>
    </row>
    <row r="23" customFormat="false" ht="12.75" hidden="false" customHeight="false" outlineLevel="0" collapsed="false">
      <c r="A23" s="122" t="s">
        <v>757</v>
      </c>
      <c r="B23" s="172" t="s">
        <v>668</v>
      </c>
      <c r="C23" s="172" t="s">
        <v>762</v>
      </c>
      <c r="D23" s="172"/>
      <c r="E23" s="106" t="n">
        <v>14</v>
      </c>
      <c r="F23" s="173" t="n">
        <v>17</v>
      </c>
      <c r="S23" s="167" t="n">
        <v>1399.995279</v>
      </c>
      <c r="T23" s="111" t="s">
        <v>246</v>
      </c>
      <c r="Y23" s="167" t="n">
        <v>759.48</v>
      </c>
      <c r="Z23" s="111" t="s">
        <v>246</v>
      </c>
      <c r="AA23" s="167" t="n">
        <v>76421.28</v>
      </c>
      <c r="AB23" s="111" t="s">
        <v>246</v>
      </c>
      <c r="AC23" s="164" t="n">
        <v>32.78</v>
      </c>
      <c r="AD23" s="111" t="s">
        <v>246</v>
      </c>
      <c r="AG23" s="167" t="n">
        <v>4.289617486</v>
      </c>
      <c r="AH23" s="111" t="s">
        <v>246</v>
      </c>
      <c r="AM23" s="165" t="n">
        <v>91</v>
      </c>
      <c r="BS23" s="167" t="n">
        <v>42.71</v>
      </c>
      <c r="BT23" s="111" t="s">
        <v>246</v>
      </c>
      <c r="BU23" s="164" t="n">
        <v>23.17</v>
      </c>
      <c r="BV23" s="111" t="s">
        <v>246</v>
      </c>
    </row>
    <row r="24" customFormat="false" ht="12.75" hidden="false" customHeight="false" outlineLevel="0" collapsed="false">
      <c r="A24" s="122" t="s">
        <v>757</v>
      </c>
      <c r="B24" s="172" t="s">
        <v>668</v>
      </c>
      <c r="C24" s="172" t="s">
        <v>762</v>
      </c>
      <c r="D24" s="172"/>
      <c r="E24" s="106" t="s">
        <v>759</v>
      </c>
      <c r="F24" s="173" t="s">
        <v>759</v>
      </c>
      <c r="S24" s="167" t="n">
        <v>1455.470843</v>
      </c>
      <c r="T24" s="111" t="s">
        <v>246</v>
      </c>
      <c r="Y24" s="167" t="n">
        <v>757.27</v>
      </c>
      <c r="Z24" s="111" t="s">
        <v>246</v>
      </c>
      <c r="AA24" s="167" t="n">
        <v>70234.5</v>
      </c>
      <c r="AB24" s="111" t="s">
        <v>246</v>
      </c>
      <c r="AC24" s="164" t="n">
        <v>32.83</v>
      </c>
      <c r="AD24" s="111" t="s">
        <v>246</v>
      </c>
      <c r="AG24" s="167" t="n">
        <v>4.674022066</v>
      </c>
      <c r="AH24" s="111" t="s">
        <v>246</v>
      </c>
      <c r="AM24" s="165" t="n">
        <v>92</v>
      </c>
      <c r="BS24" s="167" t="n">
        <v>44.34</v>
      </c>
      <c r="BT24" s="111" t="s">
        <v>246</v>
      </c>
      <c r="BU24" s="164" t="n">
        <v>23.07</v>
      </c>
      <c r="BV24" s="111" t="s">
        <v>246</v>
      </c>
    </row>
    <row r="25" customFormat="false" ht="12.75" hidden="false" customHeight="false" outlineLevel="0" collapsed="false">
      <c r="A25" s="122" t="s">
        <v>757</v>
      </c>
      <c r="B25" s="172" t="s">
        <v>668</v>
      </c>
      <c r="C25" s="172" t="s">
        <v>762</v>
      </c>
      <c r="D25" s="172"/>
      <c r="E25" s="106" t="s">
        <v>759</v>
      </c>
      <c r="F25" s="173" t="s">
        <v>759</v>
      </c>
      <c r="S25" s="167" t="n">
        <v>1124.182773</v>
      </c>
      <c r="T25" s="111" t="s">
        <v>246</v>
      </c>
      <c r="Y25" s="167" t="n">
        <v>636.91</v>
      </c>
      <c r="Z25" s="111" t="s">
        <v>246</v>
      </c>
      <c r="AA25" s="167" t="n">
        <v>59359.76</v>
      </c>
      <c r="AB25" s="111" t="s">
        <v>246</v>
      </c>
      <c r="AC25" s="164" t="n">
        <v>26.26</v>
      </c>
      <c r="AD25" s="111" t="s">
        <v>246</v>
      </c>
      <c r="AG25" s="167" t="n">
        <v>4.424528302</v>
      </c>
      <c r="AH25" s="111" t="s">
        <v>246</v>
      </c>
      <c r="AM25" s="165" t="n">
        <v>92</v>
      </c>
      <c r="BS25" s="167" t="n">
        <v>42.8</v>
      </c>
      <c r="BT25" s="111" t="s">
        <v>246</v>
      </c>
      <c r="BU25" s="164" t="n">
        <v>24.25</v>
      </c>
      <c r="BV25" s="111" t="s">
        <v>246</v>
      </c>
    </row>
    <row r="26" customFormat="false" ht="12.75" hidden="false" customHeight="false" outlineLevel="0" collapsed="false">
      <c r="A26" s="122" t="s">
        <v>763</v>
      </c>
      <c r="B26" s="172" t="s">
        <v>665</v>
      </c>
      <c r="C26" s="172" t="s">
        <v>758</v>
      </c>
      <c r="D26" s="172"/>
      <c r="E26" s="106" t="s">
        <v>759</v>
      </c>
      <c r="F26" s="173" t="s">
        <v>759</v>
      </c>
      <c r="S26" s="167" t="n">
        <v>1621.370158</v>
      </c>
      <c r="T26" s="111" t="s">
        <v>246</v>
      </c>
      <c r="Y26" s="167" t="n">
        <v>675.75</v>
      </c>
      <c r="Z26" s="111" t="s">
        <v>246</v>
      </c>
      <c r="AA26" s="167" t="n">
        <v>75490.61</v>
      </c>
      <c r="AB26" s="111" t="s">
        <v>246</v>
      </c>
      <c r="AC26" s="164" t="n">
        <v>33</v>
      </c>
      <c r="AD26" s="111" t="s">
        <v>246</v>
      </c>
      <c r="AG26" s="167" t="n">
        <v>4.37079731</v>
      </c>
      <c r="AH26" s="111" t="s">
        <v>246</v>
      </c>
      <c r="AM26" s="165" t="n">
        <v>83</v>
      </c>
      <c r="BS26" s="167" t="n">
        <v>49.14</v>
      </c>
      <c r="BT26" s="111" t="s">
        <v>246</v>
      </c>
      <c r="BU26" s="164" t="n">
        <v>20.48</v>
      </c>
      <c r="BV26" s="111" t="s">
        <v>246</v>
      </c>
    </row>
    <row r="27" customFormat="false" ht="12.75" hidden="false" customHeight="false" outlineLevel="0" collapsed="false">
      <c r="A27" s="122" t="s">
        <v>763</v>
      </c>
      <c r="B27" s="172" t="s">
        <v>665</v>
      </c>
      <c r="C27" s="172" t="s">
        <v>758</v>
      </c>
      <c r="D27" s="172"/>
      <c r="E27" s="106" t="s">
        <v>759</v>
      </c>
      <c r="F27" s="173" t="s">
        <v>759</v>
      </c>
      <c r="S27" s="167" t="n">
        <v>1995.224519</v>
      </c>
      <c r="T27" s="111" t="s">
        <v>246</v>
      </c>
      <c r="Y27" s="167" t="n">
        <v>837.36</v>
      </c>
      <c r="Z27" s="111" t="s">
        <v>246</v>
      </c>
      <c r="AA27" s="167" t="n">
        <v>88933.31</v>
      </c>
      <c r="AB27" s="111" t="s">
        <v>246</v>
      </c>
      <c r="AC27" s="164" t="n">
        <v>40.55</v>
      </c>
      <c r="AD27" s="111" t="s">
        <v>246</v>
      </c>
      <c r="AG27" s="167" t="n">
        <v>4.559118236</v>
      </c>
      <c r="AH27" s="111" t="s">
        <v>246</v>
      </c>
      <c r="AM27" s="165" t="n">
        <v>83</v>
      </c>
      <c r="BS27" s="167" t="n">
        <v>49.21</v>
      </c>
      <c r="BT27" s="111" t="s">
        <v>246</v>
      </c>
      <c r="BU27" s="164" t="n">
        <v>20.65</v>
      </c>
      <c r="BV27" s="111" t="s">
        <v>246</v>
      </c>
    </row>
    <row r="28" customFormat="false" ht="12.75" hidden="false" customHeight="false" outlineLevel="0" collapsed="false">
      <c r="A28" s="122" t="s">
        <v>763</v>
      </c>
      <c r="B28" s="172" t="s">
        <v>665</v>
      </c>
      <c r="C28" s="172" t="s">
        <v>758</v>
      </c>
      <c r="D28" s="172"/>
      <c r="E28" s="106" t="n">
        <v>4</v>
      </c>
      <c r="F28" s="173" t="n">
        <v>10</v>
      </c>
      <c r="S28" s="167" t="n">
        <v>1806.435174</v>
      </c>
      <c r="T28" s="111" t="s">
        <v>246</v>
      </c>
      <c r="Y28" s="167" t="n">
        <v>779.42</v>
      </c>
      <c r="Z28" s="111" t="s">
        <v>246</v>
      </c>
      <c r="AA28" s="167" t="n">
        <v>83257.35</v>
      </c>
      <c r="AB28" s="111" t="s">
        <v>246</v>
      </c>
      <c r="AC28" s="164" t="n">
        <v>37.34</v>
      </c>
      <c r="AD28" s="111" t="s">
        <v>246</v>
      </c>
      <c r="AG28" s="167" t="n">
        <v>4.484435798</v>
      </c>
      <c r="AH28" s="111" t="s">
        <v>246</v>
      </c>
      <c r="AM28" s="165" t="n">
        <v>84</v>
      </c>
      <c r="BS28" s="167" t="n">
        <v>48.38</v>
      </c>
      <c r="BT28" s="111" t="s">
        <v>246</v>
      </c>
      <c r="BU28" s="164" t="n">
        <v>20.88</v>
      </c>
      <c r="BV28" s="111" t="s">
        <v>246</v>
      </c>
    </row>
    <row r="29" customFormat="false" ht="12.75" hidden="false" customHeight="false" outlineLevel="0" collapsed="false">
      <c r="A29" s="122" t="s">
        <v>763</v>
      </c>
      <c r="B29" s="172" t="s">
        <v>668</v>
      </c>
      <c r="C29" s="172" t="s">
        <v>758</v>
      </c>
      <c r="D29" s="172"/>
      <c r="E29" s="106" t="s">
        <v>759</v>
      </c>
      <c r="F29" s="173" t="s">
        <v>759</v>
      </c>
      <c r="S29" s="167" t="n">
        <v>1891.74218</v>
      </c>
      <c r="T29" s="111" t="s">
        <v>246</v>
      </c>
      <c r="Y29" s="167" t="n">
        <v>871.04</v>
      </c>
      <c r="Z29" s="111" t="s">
        <v>246</v>
      </c>
      <c r="AA29" s="167" t="n">
        <v>95067.14</v>
      </c>
      <c r="AB29" s="111" t="s">
        <v>246</v>
      </c>
      <c r="AC29" s="164" t="n">
        <v>40.12</v>
      </c>
      <c r="AD29" s="111" t="s">
        <v>246</v>
      </c>
      <c r="AG29" s="167" t="n">
        <v>4.219759926</v>
      </c>
      <c r="AH29" s="111" t="s">
        <v>246</v>
      </c>
      <c r="AM29" s="165" t="n">
        <v>85</v>
      </c>
      <c r="BS29" s="167" t="n">
        <v>47.16</v>
      </c>
      <c r="BT29" s="111" t="s">
        <v>246</v>
      </c>
      <c r="BU29" s="164" t="n">
        <v>21.71</v>
      </c>
      <c r="BV29" s="111" t="s">
        <v>246</v>
      </c>
    </row>
    <row r="30" customFormat="false" ht="12.75" hidden="false" customHeight="false" outlineLevel="0" collapsed="false">
      <c r="A30" s="122" t="s">
        <v>763</v>
      </c>
      <c r="B30" s="172" t="s">
        <v>668</v>
      </c>
      <c r="C30" s="172" t="s">
        <v>758</v>
      </c>
      <c r="D30" s="172"/>
      <c r="E30" s="106" t="s">
        <v>759</v>
      </c>
      <c r="F30" s="173" t="s">
        <v>759</v>
      </c>
      <c r="S30" s="167" t="n">
        <v>2137.125485</v>
      </c>
      <c r="T30" s="111" t="s">
        <v>246</v>
      </c>
      <c r="Y30" s="167" t="n">
        <v>866.67</v>
      </c>
      <c r="Z30" s="111" t="s">
        <v>246</v>
      </c>
      <c r="AA30" s="167" t="n">
        <v>96205.64</v>
      </c>
      <c r="AB30" s="111" t="s">
        <v>246</v>
      </c>
      <c r="AC30" s="164" t="n">
        <v>43.02</v>
      </c>
      <c r="AD30" s="111" t="s">
        <v>246</v>
      </c>
      <c r="AG30" s="167" t="n">
        <v>4.471387003</v>
      </c>
      <c r="AH30" s="111" t="s">
        <v>246</v>
      </c>
      <c r="AM30" s="165" t="n">
        <v>85</v>
      </c>
      <c r="BS30" s="167" t="n">
        <v>49.68</v>
      </c>
      <c r="BT30" s="111" t="s">
        <v>246</v>
      </c>
      <c r="BU30" s="164" t="n">
        <v>20.15</v>
      </c>
      <c r="BV30" s="111" t="s">
        <v>246</v>
      </c>
    </row>
    <row r="31" customFormat="false" ht="12.75" hidden="false" customHeight="false" outlineLevel="0" collapsed="false">
      <c r="A31" s="122" t="s">
        <v>763</v>
      </c>
      <c r="B31" s="172" t="s">
        <v>668</v>
      </c>
      <c r="C31" s="172" t="s">
        <v>758</v>
      </c>
      <c r="D31" s="172"/>
      <c r="E31" s="106" t="n">
        <v>4</v>
      </c>
      <c r="F31" s="173" t="n">
        <v>63</v>
      </c>
      <c r="S31" s="167" t="n">
        <v>1960.779036</v>
      </c>
      <c r="T31" s="111" t="s">
        <v>246</v>
      </c>
      <c r="Y31" s="167" t="n">
        <v>816.98</v>
      </c>
      <c r="Z31" s="111" t="s">
        <v>246</v>
      </c>
      <c r="AA31" s="167" t="n">
        <v>90141.78</v>
      </c>
      <c r="AB31" s="111" t="s">
        <v>246</v>
      </c>
      <c r="AC31" s="164" t="n">
        <v>39.58</v>
      </c>
      <c r="AD31" s="111" t="s">
        <v>246</v>
      </c>
      <c r="AG31" s="167" t="n">
        <v>4.390715667</v>
      </c>
      <c r="AH31" s="111" t="s">
        <v>246</v>
      </c>
      <c r="AM31" s="165" t="n">
        <v>85</v>
      </c>
      <c r="BS31" s="167" t="n">
        <v>49.54</v>
      </c>
      <c r="BT31" s="111" t="s">
        <v>246</v>
      </c>
      <c r="BU31" s="164" t="n">
        <v>20.64</v>
      </c>
      <c r="BV31" s="111" t="s">
        <v>246</v>
      </c>
    </row>
    <row r="32" customFormat="false" ht="12.75" hidden="false" customHeight="false" outlineLevel="0" collapsed="false">
      <c r="A32" s="122" t="s">
        <v>763</v>
      </c>
      <c r="B32" s="172" t="s">
        <v>665</v>
      </c>
      <c r="C32" s="172" t="s">
        <v>760</v>
      </c>
      <c r="D32" s="172"/>
      <c r="E32" s="106" t="s">
        <v>759</v>
      </c>
      <c r="F32" s="173" t="s">
        <v>759</v>
      </c>
      <c r="S32" s="167" t="n">
        <v>1976.448964</v>
      </c>
      <c r="T32" s="111" t="s">
        <v>246</v>
      </c>
      <c r="Y32" s="167" t="n">
        <v>754.93</v>
      </c>
      <c r="Z32" s="111" t="s">
        <v>246</v>
      </c>
      <c r="AA32" s="167" t="n">
        <v>87473.9</v>
      </c>
      <c r="AB32" s="111" t="s">
        <v>246</v>
      </c>
      <c r="AC32" s="164" t="n">
        <v>38.91</v>
      </c>
      <c r="AD32" s="111" t="s">
        <v>246</v>
      </c>
      <c r="AG32" s="167" t="n">
        <v>4.448705657</v>
      </c>
      <c r="AH32" s="111" t="s">
        <v>246</v>
      </c>
      <c r="AM32" s="165" t="n">
        <v>84</v>
      </c>
      <c r="BS32" s="167" t="n">
        <v>50.79</v>
      </c>
      <c r="BT32" s="111" t="s">
        <v>246</v>
      </c>
      <c r="BU32" s="164" t="n">
        <v>19.4</v>
      </c>
      <c r="BV32" s="111" t="s">
        <v>246</v>
      </c>
    </row>
    <row r="33" customFormat="false" ht="12.75" hidden="false" customHeight="false" outlineLevel="0" collapsed="false">
      <c r="A33" s="122" t="s">
        <v>763</v>
      </c>
      <c r="B33" s="172" t="s">
        <v>665</v>
      </c>
      <c r="C33" s="172" t="s">
        <v>760</v>
      </c>
      <c r="D33" s="172"/>
      <c r="E33" s="106" t="n">
        <v>7</v>
      </c>
      <c r="F33" s="173" t="n">
        <v>42</v>
      </c>
      <c r="S33" s="167" t="n">
        <v>1709.524042</v>
      </c>
      <c r="T33" s="111" t="s">
        <v>246</v>
      </c>
      <c r="Y33" s="167" t="n">
        <v>690.87</v>
      </c>
      <c r="Z33" s="111" t="s">
        <v>246</v>
      </c>
      <c r="AA33" s="167" t="n">
        <v>82591.04</v>
      </c>
      <c r="AB33" s="111" t="s">
        <v>246</v>
      </c>
      <c r="AC33" s="164" t="n">
        <v>34.63</v>
      </c>
      <c r="AD33" s="111" t="s">
        <v>246</v>
      </c>
      <c r="AG33" s="167" t="n">
        <v>4.19325433</v>
      </c>
      <c r="AH33" s="111" t="s">
        <v>246</v>
      </c>
      <c r="AM33" s="165" t="n">
        <v>85</v>
      </c>
      <c r="BS33" s="167" t="n">
        <v>49.36</v>
      </c>
      <c r="BT33" s="111" t="s">
        <v>246</v>
      </c>
      <c r="BU33" s="164" t="n">
        <v>19.95</v>
      </c>
      <c r="BV33" s="111" t="s">
        <v>246</v>
      </c>
    </row>
    <row r="34" customFormat="false" ht="12.75" hidden="false" customHeight="false" outlineLevel="0" collapsed="false">
      <c r="A34" s="122" t="s">
        <v>763</v>
      </c>
      <c r="B34" s="172" t="s">
        <v>665</v>
      </c>
      <c r="C34" s="172" t="s">
        <v>760</v>
      </c>
      <c r="D34" s="172"/>
      <c r="E34" s="106" t="s">
        <v>759</v>
      </c>
      <c r="F34" s="173" t="s">
        <v>759</v>
      </c>
      <c r="S34" s="167" t="n">
        <v>1791.496214</v>
      </c>
      <c r="T34" s="111" t="s">
        <v>246</v>
      </c>
      <c r="Y34" s="167" t="n">
        <v>750.45</v>
      </c>
      <c r="Z34" s="111" t="s">
        <v>246</v>
      </c>
      <c r="AA34" s="167" t="n">
        <v>83062.06</v>
      </c>
      <c r="AB34" s="111" t="s">
        <v>246</v>
      </c>
      <c r="AC34" s="164" t="n">
        <v>36.78</v>
      </c>
      <c r="AD34" s="111" t="s">
        <v>246</v>
      </c>
      <c r="AG34" s="167" t="n">
        <v>4.427480916</v>
      </c>
      <c r="AH34" s="111" t="s">
        <v>246</v>
      </c>
      <c r="AM34" s="165" t="n">
        <v>85</v>
      </c>
      <c r="BS34" s="167" t="n">
        <v>48.71</v>
      </c>
      <c r="BT34" s="111" t="s">
        <v>246</v>
      </c>
      <c r="BU34" s="164" t="n">
        <v>20.41</v>
      </c>
      <c r="BV34" s="111" t="s">
        <v>246</v>
      </c>
    </row>
    <row r="35" customFormat="false" ht="12.75" hidden="false" customHeight="false" outlineLevel="0" collapsed="false">
      <c r="A35" s="122" t="s">
        <v>763</v>
      </c>
      <c r="B35" s="172" t="s">
        <v>668</v>
      </c>
      <c r="C35" s="172" t="s">
        <v>760</v>
      </c>
      <c r="D35" s="172"/>
      <c r="E35" s="106" t="s">
        <v>759</v>
      </c>
      <c r="F35" s="173" t="s">
        <v>759</v>
      </c>
      <c r="S35" s="167" t="n">
        <v>1588.274415</v>
      </c>
      <c r="T35" s="111" t="s">
        <v>246</v>
      </c>
      <c r="Y35" s="167" t="n">
        <v>737.8</v>
      </c>
      <c r="Z35" s="111" t="s">
        <v>246</v>
      </c>
      <c r="AA35" s="167" t="n">
        <v>76851.13</v>
      </c>
      <c r="AB35" s="111" t="s">
        <v>246</v>
      </c>
      <c r="AC35" s="164" t="n">
        <v>33.35</v>
      </c>
      <c r="AD35" s="111" t="s">
        <v>246</v>
      </c>
      <c r="AG35" s="167" t="n">
        <v>4.339268978</v>
      </c>
      <c r="AH35" s="111" t="s">
        <v>246</v>
      </c>
      <c r="AM35" s="165" t="n">
        <v>85</v>
      </c>
      <c r="BS35" s="167" t="n">
        <v>47.63</v>
      </c>
      <c r="BT35" s="111" t="s">
        <v>246</v>
      </c>
      <c r="BU35" s="164" t="n">
        <v>22.12</v>
      </c>
      <c r="BV35" s="111" t="s">
        <v>246</v>
      </c>
    </row>
    <row r="36" customFormat="false" ht="12.75" hidden="false" customHeight="false" outlineLevel="0" collapsed="false">
      <c r="A36" s="122" t="s">
        <v>763</v>
      </c>
      <c r="B36" s="172" t="s">
        <v>668</v>
      </c>
      <c r="C36" s="172" t="s">
        <v>760</v>
      </c>
      <c r="D36" s="172"/>
      <c r="E36" s="106" t="s">
        <v>759</v>
      </c>
      <c r="F36" s="173" t="s">
        <v>759</v>
      </c>
      <c r="S36" s="167" t="n">
        <v>1701.755253</v>
      </c>
      <c r="T36" s="111" t="s">
        <v>246</v>
      </c>
      <c r="Y36" s="167" t="n">
        <v>703.21</v>
      </c>
      <c r="Z36" s="111" t="s">
        <v>246</v>
      </c>
      <c r="AA36" s="167" t="n">
        <v>81840.22</v>
      </c>
      <c r="AB36" s="111" t="s">
        <v>246</v>
      </c>
      <c r="AC36" s="164" t="n">
        <v>34.62</v>
      </c>
      <c r="AD36" s="111" t="s">
        <v>246</v>
      </c>
      <c r="AG36" s="167" t="n">
        <v>4.230769231</v>
      </c>
      <c r="AH36" s="111" t="s">
        <v>246</v>
      </c>
      <c r="AM36" s="165" t="n">
        <v>85</v>
      </c>
      <c r="BS36" s="167" t="n">
        <v>49.15</v>
      </c>
      <c r="BT36" s="111" t="s">
        <v>246</v>
      </c>
      <c r="BU36" s="164" t="n">
        <v>20.31</v>
      </c>
      <c r="BV36" s="111" t="s">
        <v>246</v>
      </c>
    </row>
    <row r="37" customFormat="false" ht="12.75" hidden="false" customHeight="false" outlineLevel="0" collapsed="false">
      <c r="A37" s="122" t="s">
        <v>763</v>
      </c>
      <c r="B37" s="172" t="s">
        <v>668</v>
      </c>
      <c r="C37" s="172" t="s">
        <v>760</v>
      </c>
      <c r="D37" s="172"/>
      <c r="E37" s="106" t="n">
        <v>7</v>
      </c>
      <c r="F37" s="173" t="n">
        <v>20</v>
      </c>
      <c r="S37" s="167" t="n">
        <v>1691.340116</v>
      </c>
      <c r="T37" s="111" t="s">
        <v>246</v>
      </c>
      <c r="Y37" s="167" t="n">
        <v>680.06</v>
      </c>
      <c r="Z37" s="111" t="s">
        <v>246</v>
      </c>
      <c r="AA37" s="167" t="n">
        <v>74565.74</v>
      </c>
      <c r="AB37" s="111" t="s">
        <v>246</v>
      </c>
      <c r="AC37" s="164" t="n">
        <v>33.99</v>
      </c>
      <c r="AD37" s="111" t="s">
        <v>246</v>
      </c>
      <c r="AG37" s="167" t="n">
        <v>4.557956778</v>
      </c>
      <c r="AH37" s="111" t="s">
        <v>246</v>
      </c>
      <c r="AM37" s="165" t="n">
        <v>85</v>
      </c>
      <c r="BS37" s="167" t="n">
        <v>49.76</v>
      </c>
      <c r="BT37" s="111" t="s">
        <v>246</v>
      </c>
      <c r="BU37" s="164" t="n">
        <v>20.01</v>
      </c>
      <c r="BV37" s="111" t="s">
        <v>246</v>
      </c>
    </row>
    <row r="38" customFormat="false" ht="12.75" hidden="false" customHeight="false" outlineLevel="0" collapsed="false">
      <c r="A38" s="122" t="s">
        <v>763</v>
      </c>
      <c r="B38" s="172" t="s">
        <v>665</v>
      </c>
      <c r="C38" s="172" t="s">
        <v>761</v>
      </c>
      <c r="D38" s="172"/>
      <c r="E38" s="106" t="s">
        <v>759</v>
      </c>
      <c r="F38" s="173" t="s">
        <v>759</v>
      </c>
      <c r="S38" s="167" t="n">
        <v>1960.478464</v>
      </c>
      <c r="T38" s="111" t="s">
        <v>246</v>
      </c>
      <c r="Y38" s="167" t="n">
        <v>815.24</v>
      </c>
      <c r="Z38" s="111" t="s">
        <v>246</v>
      </c>
      <c r="AA38" s="167" t="n">
        <v>93945.02</v>
      </c>
      <c r="AB38" s="111" t="s">
        <v>246</v>
      </c>
      <c r="AC38" s="164" t="n">
        <v>40.1</v>
      </c>
      <c r="AD38" s="111" t="s">
        <v>246</v>
      </c>
      <c r="AG38" s="167" t="n">
        <v>4.268629255</v>
      </c>
      <c r="AH38" s="111" t="s">
        <v>246</v>
      </c>
      <c r="AM38" s="165" t="n">
        <v>84</v>
      </c>
      <c r="BS38" s="167" t="n">
        <v>48.89</v>
      </c>
      <c r="BT38" s="111" t="s">
        <v>246</v>
      </c>
      <c r="BU38" s="164" t="n">
        <v>20.33</v>
      </c>
      <c r="BV38" s="111" t="s">
        <v>246</v>
      </c>
    </row>
    <row r="39" customFormat="false" ht="12.75" hidden="false" customHeight="false" outlineLevel="0" collapsed="false">
      <c r="A39" s="122" t="s">
        <v>763</v>
      </c>
      <c r="B39" s="172" t="s">
        <v>665</v>
      </c>
      <c r="C39" s="172" t="s">
        <v>761</v>
      </c>
      <c r="D39" s="172"/>
      <c r="E39" s="106" t="s">
        <v>759</v>
      </c>
      <c r="F39" s="173" t="s">
        <v>759</v>
      </c>
      <c r="S39" s="167" t="n">
        <v>1960.878577</v>
      </c>
      <c r="T39" s="111" t="s">
        <v>246</v>
      </c>
      <c r="Y39" s="167" t="n">
        <v>863.66</v>
      </c>
      <c r="Z39" s="111" t="s">
        <v>246</v>
      </c>
      <c r="AA39" s="167" t="n">
        <v>98042.25</v>
      </c>
      <c r="AB39" s="111" t="s">
        <v>246</v>
      </c>
      <c r="AC39" s="164" t="n">
        <v>40.81</v>
      </c>
      <c r="AD39" s="111" t="s">
        <v>246</v>
      </c>
      <c r="AG39" s="167" t="n">
        <v>4.162162162</v>
      </c>
      <c r="AH39" s="111" t="s">
        <v>246</v>
      </c>
      <c r="AM39" s="165" t="n">
        <v>84</v>
      </c>
      <c r="BS39" s="167" t="n">
        <v>48.05</v>
      </c>
      <c r="BT39" s="111" t="s">
        <v>246</v>
      </c>
      <c r="BU39" s="164" t="n">
        <v>21.16</v>
      </c>
      <c r="BV39" s="111" t="s">
        <v>246</v>
      </c>
    </row>
    <row r="40" customFormat="false" ht="12.75" hidden="false" customHeight="false" outlineLevel="0" collapsed="false">
      <c r="A40" s="122" t="s">
        <v>763</v>
      </c>
      <c r="B40" s="172" t="s">
        <v>665</v>
      </c>
      <c r="C40" s="172" t="s">
        <v>761</v>
      </c>
      <c r="D40" s="172"/>
      <c r="E40" s="106" t="n">
        <v>12</v>
      </c>
      <c r="F40" s="173" t="n">
        <v>30</v>
      </c>
      <c r="S40" s="167" t="n">
        <v>2083.146881</v>
      </c>
      <c r="T40" s="111" t="s">
        <v>246</v>
      </c>
      <c r="Y40" s="167" t="n">
        <v>887.83</v>
      </c>
      <c r="Z40" s="111" t="s">
        <v>246</v>
      </c>
      <c r="AA40" s="167" t="n">
        <v>95823.82</v>
      </c>
      <c r="AB40" s="111" t="s">
        <v>246</v>
      </c>
      <c r="AC40" s="164" t="n">
        <v>43.02</v>
      </c>
      <c r="AD40" s="111" t="s">
        <v>246</v>
      </c>
      <c r="AG40" s="167" t="n">
        <v>4.489795918</v>
      </c>
      <c r="AH40" s="111" t="s">
        <v>246</v>
      </c>
      <c r="AM40" s="165" t="n">
        <v>85</v>
      </c>
      <c r="BS40" s="167" t="n">
        <v>48.42</v>
      </c>
      <c r="BT40" s="111" t="s">
        <v>246</v>
      </c>
      <c r="BU40" s="164" t="n">
        <v>20.64</v>
      </c>
      <c r="BV40" s="111" t="s">
        <v>246</v>
      </c>
    </row>
    <row r="41" customFormat="false" ht="12.75" hidden="false" customHeight="false" outlineLevel="0" collapsed="false">
      <c r="A41" s="124" t="s">
        <v>763</v>
      </c>
      <c r="B41" s="172" t="s">
        <v>668</v>
      </c>
      <c r="C41" s="172" t="s">
        <v>761</v>
      </c>
      <c r="D41" s="172"/>
      <c r="E41" s="106" t="s">
        <v>759</v>
      </c>
      <c r="F41" s="173" t="s">
        <v>759</v>
      </c>
      <c r="S41" s="167" t="n">
        <v>1648.938433</v>
      </c>
      <c r="T41" s="111" t="s">
        <v>246</v>
      </c>
      <c r="Y41" s="167" t="n">
        <v>751.86</v>
      </c>
      <c r="Z41" s="111" t="s">
        <v>246</v>
      </c>
      <c r="AA41" s="167" t="n">
        <v>81925.19</v>
      </c>
      <c r="AB41" s="111" t="s">
        <v>246</v>
      </c>
      <c r="AC41" s="164" t="n">
        <v>34.46</v>
      </c>
      <c r="AD41" s="111" t="s">
        <v>246</v>
      </c>
      <c r="AG41" s="167" t="n">
        <v>4.205776173</v>
      </c>
      <c r="AH41" s="111" t="s">
        <v>246</v>
      </c>
      <c r="AM41" s="165" t="n">
        <v>85</v>
      </c>
      <c r="BS41" s="167" t="n">
        <v>47.86</v>
      </c>
      <c r="BT41" s="111" t="s">
        <v>246</v>
      </c>
      <c r="BU41" s="164" t="n">
        <v>21.82</v>
      </c>
      <c r="BV41" s="111" t="s">
        <v>246</v>
      </c>
    </row>
    <row r="42" customFormat="false" ht="12.75" hidden="false" customHeight="false" outlineLevel="0" collapsed="false">
      <c r="A42" s="122" t="s">
        <v>763</v>
      </c>
      <c r="B42" s="172" t="s">
        <v>668</v>
      </c>
      <c r="C42" s="172" t="s">
        <v>761</v>
      </c>
      <c r="D42" s="172"/>
      <c r="E42" s="106" t="s">
        <v>759</v>
      </c>
      <c r="F42" s="173" t="s">
        <v>759</v>
      </c>
      <c r="S42" s="167" t="n">
        <v>1366.438547</v>
      </c>
      <c r="T42" s="111" t="s">
        <v>246</v>
      </c>
      <c r="Y42" s="167" t="n">
        <v>658.03</v>
      </c>
      <c r="Z42" s="111" t="s">
        <v>246</v>
      </c>
      <c r="AA42" s="167" t="n">
        <v>66568.32</v>
      </c>
      <c r="AB42" s="111" t="s">
        <v>246</v>
      </c>
      <c r="AC42" s="164" t="n">
        <v>29.27</v>
      </c>
      <c r="AD42" s="111" t="s">
        <v>246</v>
      </c>
      <c r="AG42" s="167" t="n">
        <v>4.396961064</v>
      </c>
      <c r="AH42" s="111" t="s">
        <v>246</v>
      </c>
      <c r="AM42" s="165" t="n">
        <v>85</v>
      </c>
      <c r="BS42" s="167" t="n">
        <v>46.68</v>
      </c>
      <c r="BT42" s="111" t="s">
        <v>246</v>
      </c>
      <c r="BU42" s="164" t="n">
        <v>22.48</v>
      </c>
      <c r="BV42" s="111" t="s">
        <v>246</v>
      </c>
    </row>
    <row r="43" customFormat="false" ht="12.75" hidden="false" customHeight="false" outlineLevel="0" collapsed="false">
      <c r="A43" s="122" t="s">
        <v>763</v>
      </c>
      <c r="B43" s="172" t="s">
        <v>668</v>
      </c>
      <c r="C43" s="172" t="s">
        <v>761</v>
      </c>
      <c r="D43" s="172"/>
      <c r="E43" s="106" t="n">
        <v>11</v>
      </c>
      <c r="F43" s="173" t="n">
        <v>51</v>
      </c>
      <c r="S43" s="167" t="n">
        <v>2164.268495</v>
      </c>
      <c r="T43" s="111" t="s">
        <v>246</v>
      </c>
      <c r="Y43" s="167" t="n">
        <v>959.51</v>
      </c>
      <c r="Z43" s="111" t="s">
        <v>246</v>
      </c>
      <c r="AA43" s="167" t="n">
        <v>103089.87</v>
      </c>
      <c r="AB43" s="111" t="s">
        <v>246</v>
      </c>
      <c r="AC43" s="164" t="n">
        <v>45.16</v>
      </c>
      <c r="AD43" s="111" t="s">
        <v>246</v>
      </c>
      <c r="AG43" s="167" t="n">
        <v>4.380321665</v>
      </c>
      <c r="AH43" s="111" t="s">
        <v>246</v>
      </c>
      <c r="AM43" s="165" t="n">
        <v>85</v>
      </c>
      <c r="BS43" s="167" t="n">
        <v>47.93</v>
      </c>
      <c r="BT43" s="111" t="s">
        <v>246</v>
      </c>
      <c r="BU43" s="164" t="n">
        <v>21.25</v>
      </c>
      <c r="BV43" s="111" t="s">
        <v>246</v>
      </c>
    </row>
    <row r="44" customFormat="false" ht="12.75" hidden="false" customHeight="false" outlineLevel="0" collapsed="false">
      <c r="A44" s="122" t="s">
        <v>763</v>
      </c>
      <c r="B44" s="172" t="s">
        <v>665</v>
      </c>
      <c r="C44" s="172" t="s">
        <v>762</v>
      </c>
      <c r="D44" s="172"/>
      <c r="E44" s="106" t="s">
        <v>759</v>
      </c>
      <c r="F44" s="173" t="s">
        <v>759</v>
      </c>
      <c r="S44" s="167" t="n">
        <v>1692.71177</v>
      </c>
      <c r="T44" s="111" t="s">
        <v>246</v>
      </c>
      <c r="Y44" s="167" t="n">
        <v>728.63</v>
      </c>
      <c r="Z44" s="111" t="s">
        <v>246</v>
      </c>
      <c r="AA44" s="167" t="n">
        <v>70614.38</v>
      </c>
      <c r="AB44" s="111" t="s">
        <v>246</v>
      </c>
      <c r="AC44" s="164" t="n">
        <v>35.08</v>
      </c>
      <c r="AD44" s="111" t="s">
        <v>246</v>
      </c>
      <c r="AG44" s="167" t="n">
        <v>4.968287526</v>
      </c>
      <c r="AH44" s="111" t="s">
        <v>246</v>
      </c>
      <c r="AM44" s="165" t="n">
        <v>85</v>
      </c>
      <c r="BS44" s="167" t="n">
        <v>48.25</v>
      </c>
      <c r="BT44" s="111" t="s">
        <v>246</v>
      </c>
      <c r="BU44" s="164" t="n">
        <v>20.77</v>
      </c>
      <c r="BV44" s="111" t="s">
        <v>246</v>
      </c>
    </row>
    <row r="45" customFormat="false" ht="12.75" hidden="false" customHeight="false" outlineLevel="0" collapsed="false">
      <c r="A45" s="122" t="s">
        <v>763</v>
      </c>
      <c r="B45" s="172" t="s">
        <v>665</v>
      </c>
      <c r="C45" s="172" t="s">
        <v>762</v>
      </c>
      <c r="D45" s="172"/>
      <c r="E45" s="106" t="s">
        <v>759</v>
      </c>
      <c r="F45" s="173" t="s">
        <v>759</v>
      </c>
      <c r="S45" s="167" t="n">
        <v>1780.119005</v>
      </c>
      <c r="T45" s="111" t="s">
        <v>246</v>
      </c>
      <c r="Y45" s="167" t="n">
        <v>730.67</v>
      </c>
      <c r="Z45" s="111" t="s">
        <v>246</v>
      </c>
      <c r="AA45" s="167" t="n">
        <v>69087.95</v>
      </c>
      <c r="AB45" s="111" t="s">
        <v>246</v>
      </c>
      <c r="AC45" s="164" t="n">
        <v>36.17</v>
      </c>
      <c r="AD45" s="111" t="s">
        <v>246</v>
      </c>
      <c r="AG45" s="167" t="n">
        <v>5.235955056</v>
      </c>
      <c r="AH45" s="111" t="s">
        <v>246</v>
      </c>
      <c r="AM45" s="165" t="n">
        <v>85</v>
      </c>
      <c r="BS45" s="167" t="n">
        <v>49.21</v>
      </c>
      <c r="BT45" s="111" t="s">
        <v>246</v>
      </c>
      <c r="BU45" s="164" t="n">
        <v>20.2</v>
      </c>
      <c r="BV45" s="111" t="s">
        <v>246</v>
      </c>
    </row>
    <row r="46" customFormat="false" ht="12.75" hidden="false" customHeight="false" outlineLevel="0" collapsed="false">
      <c r="A46" s="122" t="s">
        <v>763</v>
      </c>
      <c r="B46" s="172" t="s">
        <v>665</v>
      </c>
      <c r="C46" s="172" t="s">
        <v>762</v>
      </c>
      <c r="D46" s="172"/>
      <c r="E46" s="106" t="n">
        <v>16</v>
      </c>
      <c r="F46" s="173" t="n">
        <v>39</v>
      </c>
      <c r="S46" s="167" t="n">
        <v>2019.166409</v>
      </c>
      <c r="T46" s="111" t="s">
        <v>246</v>
      </c>
      <c r="Y46" s="167" t="n">
        <v>840.83</v>
      </c>
      <c r="Z46" s="111" t="s">
        <v>246</v>
      </c>
      <c r="AA46" s="167" t="n">
        <v>93670.99</v>
      </c>
      <c r="AB46" s="111" t="s">
        <v>246</v>
      </c>
      <c r="AC46" s="164" t="n">
        <v>41.37</v>
      </c>
      <c r="AD46" s="111" t="s">
        <v>246</v>
      </c>
      <c r="AG46" s="167" t="n">
        <v>4.416195857</v>
      </c>
      <c r="AH46" s="111" t="s">
        <v>246</v>
      </c>
      <c r="AM46" s="165" t="n">
        <v>85</v>
      </c>
      <c r="BS46" s="167" t="n">
        <v>48.81</v>
      </c>
      <c r="BT46" s="111" t="s">
        <v>246</v>
      </c>
      <c r="BU46" s="164" t="n">
        <v>20.33</v>
      </c>
      <c r="BV46" s="111" t="s">
        <v>246</v>
      </c>
    </row>
    <row r="47" customFormat="false" ht="12.75" hidden="false" customHeight="false" outlineLevel="0" collapsed="false">
      <c r="A47" s="122" t="s">
        <v>763</v>
      </c>
      <c r="B47" s="172" t="s">
        <v>668</v>
      </c>
      <c r="C47" s="172" t="s">
        <v>762</v>
      </c>
      <c r="D47" s="172"/>
      <c r="E47" s="106" t="s">
        <v>759</v>
      </c>
      <c r="F47" s="173" t="s">
        <v>759</v>
      </c>
      <c r="S47" s="167" t="n">
        <v>1702.135838</v>
      </c>
      <c r="T47" s="111" t="s">
        <v>246</v>
      </c>
      <c r="Y47" s="167" t="n">
        <v>755.53</v>
      </c>
      <c r="Z47" s="111" t="s">
        <v>246</v>
      </c>
      <c r="AA47" s="167" t="n">
        <v>83178.84</v>
      </c>
      <c r="AB47" s="111" t="s">
        <v>246</v>
      </c>
      <c r="AC47" s="164" t="n">
        <v>35.49</v>
      </c>
      <c r="AD47" s="111" t="s">
        <v>246</v>
      </c>
      <c r="AG47" s="167" t="n">
        <v>4.266180492</v>
      </c>
      <c r="AH47" s="111" t="s">
        <v>246</v>
      </c>
      <c r="AM47" s="165" t="n">
        <v>86</v>
      </c>
      <c r="BS47" s="167" t="n">
        <v>47.97</v>
      </c>
      <c r="BT47" s="111" t="s">
        <v>246</v>
      </c>
      <c r="BU47" s="164" t="n">
        <v>21.29</v>
      </c>
      <c r="BV47" s="111" t="s">
        <v>246</v>
      </c>
    </row>
    <row r="48" customFormat="false" ht="12.75" hidden="false" customHeight="false" outlineLevel="0" collapsed="false">
      <c r="A48" s="122" t="s">
        <v>763</v>
      </c>
      <c r="B48" s="172" t="s">
        <v>668</v>
      </c>
      <c r="C48" s="172" t="s">
        <v>762</v>
      </c>
      <c r="D48" s="172"/>
      <c r="E48" s="106" t="s">
        <v>759</v>
      </c>
      <c r="F48" s="173" t="s">
        <v>759</v>
      </c>
      <c r="S48" s="167" t="n">
        <v>1654.325532</v>
      </c>
      <c r="T48" s="111" t="s">
        <v>246</v>
      </c>
      <c r="Y48" s="167" t="n">
        <v>803.57</v>
      </c>
      <c r="Z48" s="111" t="s">
        <v>246</v>
      </c>
      <c r="AA48" s="167" t="n">
        <v>84373.37</v>
      </c>
      <c r="AB48" s="111" t="s">
        <v>246</v>
      </c>
      <c r="AC48" s="164" t="n">
        <v>35.33</v>
      </c>
      <c r="AD48" s="111" t="s">
        <v>246</v>
      </c>
      <c r="AG48" s="167" t="n">
        <v>4.1875</v>
      </c>
      <c r="AH48" s="111" t="s">
        <v>246</v>
      </c>
      <c r="AM48" s="165" t="n">
        <v>85</v>
      </c>
      <c r="BS48" s="167" t="n">
        <v>46.82</v>
      </c>
      <c r="BT48" s="111" t="s">
        <v>246</v>
      </c>
      <c r="BU48" s="164" t="n">
        <v>22.74</v>
      </c>
      <c r="BV48" s="111" t="s">
        <v>246</v>
      </c>
    </row>
    <row r="49" customFormat="false" ht="12.75" hidden="false" customHeight="false" outlineLevel="0" collapsed="false">
      <c r="A49" s="122" t="s">
        <v>763</v>
      </c>
      <c r="B49" s="172" t="s">
        <v>668</v>
      </c>
      <c r="C49" s="172" t="s">
        <v>762</v>
      </c>
      <c r="D49" s="172"/>
      <c r="E49" s="106" t="n">
        <v>16</v>
      </c>
      <c r="F49" s="173" t="n">
        <v>6</v>
      </c>
      <c r="S49" s="167" t="n">
        <v>1517.089156</v>
      </c>
      <c r="T49" s="111" t="s">
        <v>246</v>
      </c>
      <c r="Y49" s="167" t="n">
        <v>750.87</v>
      </c>
      <c r="Z49" s="111" t="s">
        <v>246</v>
      </c>
      <c r="AA49" s="167" t="n">
        <v>63619.97</v>
      </c>
      <c r="AB49" s="111" t="s">
        <v>246</v>
      </c>
      <c r="AC49" s="164" t="n">
        <v>32.9</v>
      </c>
      <c r="AD49" s="111" t="s">
        <v>246</v>
      </c>
      <c r="AG49" s="167" t="n">
        <v>5.171650055</v>
      </c>
      <c r="AH49" s="111" t="s">
        <v>246</v>
      </c>
      <c r="AM49" s="165" t="n">
        <v>85</v>
      </c>
      <c r="BS49" s="167" t="n">
        <v>46.11</v>
      </c>
      <c r="BT49" s="111" t="s">
        <v>246</v>
      </c>
      <c r="BU49" s="164" t="n">
        <v>22.82</v>
      </c>
      <c r="BV49" s="111" t="s">
        <v>246</v>
      </c>
    </row>
    <row r="50" customFormat="false" ht="12.75" hidden="false" customHeight="false" outlineLevel="0" collapsed="false">
      <c r="A50" s="122" t="s">
        <v>431</v>
      </c>
      <c r="B50" s="172" t="s">
        <v>665</v>
      </c>
      <c r="C50" s="172" t="s">
        <v>758</v>
      </c>
      <c r="D50" s="172"/>
      <c r="E50" s="106" t="n">
        <v>6</v>
      </c>
      <c r="F50" s="173" t="n">
        <v>5</v>
      </c>
      <c r="S50" s="167" t="n">
        <v>1130.702726</v>
      </c>
      <c r="T50" s="111" t="s">
        <v>246</v>
      </c>
      <c r="Y50" s="167" t="n">
        <v>513.04</v>
      </c>
      <c r="Z50" s="111" t="s">
        <v>246</v>
      </c>
      <c r="AA50" s="167" t="n">
        <v>43331.11</v>
      </c>
      <c r="AB50" s="111" t="s">
        <v>246</v>
      </c>
      <c r="AC50" s="164" t="n">
        <v>23.9</v>
      </c>
      <c r="AD50" s="111" t="s">
        <v>246</v>
      </c>
      <c r="AG50" s="167" t="n">
        <v>5.515970516</v>
      </c>
      <c r="AH50" s="111" t="s">
        <v>246</v>
      </c>
      <c r="AM50" s="165" t="n">
        <v>82</v>
      </c>
      <c r="BS50" s="167" t="n">
        <v>47.31</v>
      </c>
      <c r="BT50" s="111" t="s">
        <v>246</v>
      </c>
      <c r="BU50" s="164" t="n">
        <v>21.46</v>
      </c>
      <c r="BV50" s="111" t="s">
        <v>246</v>
      </c>
    </row>
    <row r="51" customFormat="false" ht="12.75" hidden="false" customHeight="false" outlineLevel="0" collapsed="false">
      <c r="A51" s="122" t="s">
        <v>431</v>
      </c>
      <c r="B51" s="172" t="s">
        <v>668</v>
      </c>
      <c r="C51" s="172" t="s">
        <v>758</v>
      </c>
      <c r="D51" s="172"/>
      <c r="E51" s="106" t="n">
        <v>12</v>
      </c>
      <c r="F51" s="173" t="n">
        <v>13</v>
      </c>
      <c r="S51" s="167" t="n">
        <v>931.2207312</v>
      </c>
      <c r="T51" s="111" t="s">
        <v>246</v>
      </c>
      <c r="Y51" s="167" t="n">
        <v>432.05</v>
      </c>
      <c r="Z51" s="111" t="s">
        <v>246</v>
      </c>
      <c r="AA51" s="167" t="n">
        <v>36691.12</v>
      </c>
      <c r="AB51" s="111" t="s">
        <v>246</v>
      </c>
      <c r="AC51" s="164" t="n">
        <v>19.75</v>
      </c>
      <c r="AD51" s="111" t="s">
        <v>246</v>
      </c>
      <c r="AG51" s="167" t="n">
        <v>5.382803298</v>
      </c>
      <c r="AH51" s="111" t="s">
        <v>246</v>
      </c>
      <c r="AM51" s="165" t="n">
        <v>84</v>
      </c>
      <c r="BS51" s="167" t="n">
        <v>47.15</v>
      </c>
      <c r="BT51" s="111" t="s">
        <v>246</v>
      </c>
      <c r="BU51" s="164" t="n">
        <v>21.88</v>
      </c>
      <c r="BV51" s="111" t="s">
        <v>246</v>
      </c>
    </row>
    <row r="52" customFormat="false" ht="12.75" hidden="false" customHeight="false" outlineLevel="0" collapsed="false">
      <c r="A52" s="122" t="s">
        <v>431</v>
      </c>
      <c r="B52" s="172" t="s">
        <v>665</v>
      </c>
      <c r="C52" s="172" t="s">
        <v>760</v>
      </c>
      <c r="D52" s="172"/>
      <c r="E52" s="106" t="n">
        <v>9</v>
      </c>
      <c r="F52" s="173" t="n">
        <v>52</v>
      </c>
      <c r="S52" s="167" t="n">
        <v>1109.220098</v>
      </c>
      <c r="T52" s="111" t="s">
        <v>246</v>
      </c>
      <c r="Y52" s="167" t="n">
        <v>525.57</v>
      </c>
      <c r="Z52" s="111" t="s">
        <v>246</v>
      </c>
      <c r="AA52" s="167" t="n">
        <v>44091.74</v>
      </c>
      <c r="AB52" s="111" t="s">
        <v>246</v>
      </c>
      <c r="AC52" s="164" t="n">
        <v>23.77</v>
      </c>
      <c r="AD52" s="111" t="s">
        <v>246</v>
      </c>
      <c r="AG52" s="167" t="n">
        <v>5.390070922</v>
      </c>
      <c r="AH52" s="111" t="s">
        <v>246</v>
      </c>
      <c r="AM52" s="165" t="n">
        <v>85</v>
      </c>
      <c r="BS52" s="167" t="n">
        <v>46.67</v>
      </c>
      <c r="BT52" s="111" t="s">
        <v>246</v>
      </c>
      <c r="BU52" s="164" t="n">
        <v>22.11</v>
      </c>
      <c r="BV52" s="111" t="s">
        <v>246</v>
      </c>
    </row>
    <row r="53" customFormat="false" ht="12.75" hidden="false" customHeight="false" outlineLevel="0" collapsed="false">
      <c r="A53" s="122" t="s">
        <v>431</v>
      </c>
      <c r="B53" s="172" t="s">
        <v>668</v>
      </c>
      <c r="C53" s="172" t="s">
        <v>760</v>
      </c>
      <c r="D53" s="172"/>
      <c r="E53" s="106" t="n">
        <v>16</v>
      </c>
      <c r="F53" s="173" t="n">
        <v>47</v>
      </c>
      <c r="S53" s="167" t="n">
        <v>936.8819089</v>
      </c>
      <c r="T53" s="111" t="s">
        <v>246</v>
      </c>
      <c r="Y53" s="167" t="n">
        <v>478.94</v>
      </c>
      <c r="Z53" s="111" t="s">
        <v>246</v>
      </c>
      <c r="AA53" s="167" t="n">
        <v>41630.66</v>
      </c>
      <c r="AB53" s="111" t="s">
        <v>246</v>
      </c>
      <c r="AC53" s="164" t="n">
        <v>20.53</v>
      </c>
      <c r="AD53" s="111" t="s">
        <v>246</v>
      </c>
      <c r="AG53" s="167" t="n">
        <v>4.930481283</v>
      </c>
      <c r="AH53" s="111" t="s">
        <v>246</v>
      </c>
      <c r="AM53" s="165" t="n">
        <v>84</v>
      </c>
      <c r="BS53" s="167" t="n">
        <v>45.64</v>
      </c>
      <c r="BT53" s="111" t="s">
        <v>246</v>
      </c>
      <c r="BU53" s="164" t="n">
        <v>23.33</v>
      </c>
      <c r="BV53" s="111" t="s">
        <v>246</v>
      </c>
    </row>
    <row r="54" customFormat="false" ht="12.75" hidden="false" customHeight="false" outlineLevel="0" collapsed="false">
      <c r="A54" s="122" t="s">
        <v>431</v>
      </c>
      <c r="B54" s="172" t="s">
        <v>665</v>
      </c>
      <c r="C54" s="172" t="s">
        <v>761</v>
      </c>
      <c r="D54" s="172"/>
      <c r="E54" s="106" t="n">
        <v>14</v>
      </c>
      <c r="F54" s="173" t="n">
        <v>18</v>
      </c>
      <c r="S54" s="167" t="n">
        <v>980.3707947</v>
      </c>
      <c r="T54" s="111" t="s">
        <v>246</v>
      </c>
      <c r="Y54" s="167" t="n">
        <v>456.14</v>
      </c>
      <c r="Z54" s="111" t="s">
        <v>246</v>
      </c>
      <c r="AA54" s="167" t="n">
        <v>41966.77</v>
      </c>
      <c r="AB54" s="111" t="s">
        <v>246</v>
      </c>
      <c r="AC54" s="164" t="n">
        <v>21.21</v>
      </c>
      <c r="AD54" s="111" t="s">
        <v>246</v>
      </c>
      <c r="AG54" s="167" t="n">
        <v>5.055187638</v>
      </c>
      <c r="AH54" s="111" t="s">
        <v>246</v>
      </c>
      <c r="AM54" s="165" t="n">
        <v>84</v>
      </c>
      <c r="BS54" s="167" t="n">
        <v>46.21</v>
      </c>
      <c r="BT54" s="111" t="s">
        <v>246</v>
      </c>
      <c r="BU54" s="164" t="n">
        <v>21.5</v>
      </c>
      <c r="BV54" s="111" t="s">
        <v>246</v>
      </c>
    </row>
    <row r="55" customFormat="false" ht="12.75" hidden="false" customHeight="false" outlineLevel="0" collapsed="false">
      <c r="A55" s="122" t="s">
        <v>431</v>
      </c>
      <c r="B55" s="172" t="s">
        <v>668</v>
      </c>
      <c r="C55" s="172" t="s">
        <v>761</v>
      </c>
      <c r="D55" s="172"/>
      <c r="E55" s="106" t="n">
        <v>17</v>
      </c>
      <c r="F55" s="173" t="n">
        <v>12</v>
      </c>
      <c r="S55" s="167" t="n">
        <v>915.3223914</v>
      </c>
      <c r="T55" s="111" t="s">
        <v>246</v>
      </c>
      <c r="Y55" s="167" t="n">
        <v>476.74</v>
      </c>
      <c r="Z55" s="111" t="s">
        <v>246</v>
      </c>
      <c r="AA55" s="167" t="n">
        <v>39008.08</v>
      </c>
      <c r="AB55" s="111" t="s">
        <v>246</v>
      </c>
      <c r="AC55" s="164" t="n">
        <v>20.48</v>
      </c>
      <c r="AD55" s="111" t="s">
        <v>246</v>
      </c>
      <c r="AG55" s="167" t="n">
        <v>5.25</v>
      </c>
      <c r="AH55" s="111" t="s">
        <v>246</v>
      </c>
      <c r="AM55" s="165" t="n">
        <v>84</v>
      </c>
      <c r="BS55" s="167" t="n">
        <v>44.7</v>
      </c>
      <c r="BT55" s="111" t="s">
        <v>246</v>
      </c>
      <c r="BU55" s="164" t="n">
        <v>23.28</v>
      </c>
      <c r="BV55" s="111" t="s">
        <v>246</v>
      </c>
    </row>
    <row r="56" customFormat="false" ht="12.75" hidden="false" customHeight="false" outlineLevel="0" collapsed="false">
      <c r="A56" s="122" t="s">
        <v>431</v>
      </c>
      <c r="B56" s="172" t="s">
        <v>665</v>
      </c>
      <c r="C56" s="172" t="s">
        <v>762</v>
      </c>
      <c r="D56" s="172"/>
      <c r="E56" s="106" t="n">
        <v>3</v>
      </c>
      <c r="F56" s="173" t="n">
        <v>19</v>
      </c>
      <c r="S56" s="167" t="n">
        <v>810.7237603</v>
      </c>
      <c r="T56" s="111" t="s">
        <v>246</v>
      </c>
      <c r="Y56" s="167" t="n">
        <v>417.02</v>
      </c>
      <c r="Z56" s="111" t="s">
        <v>246</v>
      </c>
      <c r="AA56" s="167" t="n">
        <v>36240.68</v>
      </c>
      <c r="AB56" s="111" t="s">
        <v>246</v>
      </c>
      <c r="AC56" s="164" t="n">
        <v>18.04</v>
      </c>
      <c r="AD56" s="111" t="s">
        <v>246</v>
      </c>
      <c r="AG56" s="167" t="n">
        <v>4.978678038</v>
      </c>
      <c r="AH56" s="111" t="s">
        <v>246</v>
      </c>
      <c r="AM56" s="165" t="n">
        <v>84</v>
      </c>
      <c r="BS56" s="167" t="n">
        <v>44.93</v>
      </c>
      <c r="BT56" s="111" t="s">
        <v>246</v>
      </c>
      <c r="BU56" s="164" t="n">
        <v>23.11</v>
      </c>
      <c r="BV56" s="111" t="s">
        <v>246</v>
      </c>
    </row>
    <row r="57" customFormat="false" ht="12.75" hidden="false" customHeight="false" outlineLevel="0" collapsed="false">
      <c r="A57" s="122" t="s">
        <v>431</v>
      </c>
      <c r="B57" s="172" t="s">
        <v>668</v>
      </c>
      <c r="C57" s="172" t="s">
        <v>762</v>
      </c>
      <c r="D57" s="172"/>
      <c r="E57" s="106" t="n">
        <v>3</v>
      </c>
      <c r="F57" s="173" t="n">
        <v>58</v>
      </c>
      <c r="S57" s="167" t="n">
        <v>637.623598</v>
      </c>
      <c r="T57" s="111" t="s">
        <v>246</v>
      </c>
      <c r="Y57" s="167" t="n">
        <v>372.32</v>
      </c>
      <c r="Z57" s="111" t="s">
        <v>246</v>
      </c>
      <c r="AA57" s="167" t="n">
        <v>34861.62</v>
      </c>
      <c r="AB57" s="111" t="s">
        <v>246</v>
      </c>
      <c r="AC57" s="164" t="n">
        <v>15.01</v>
      </c>
      <c r="AD57" s="111" t="s">
        <v>246</v>
      </c>
      <c r="AG57" s="167" t="n">
        <v>4.306976744</v>
      </c>
      <c r="AH57" s="111" t="s">
        <v>246</v>
      </c>
      <c r="AM57" s="165" t="n">
        <v>85</v>
      </c>
      <c r="BS57" s="167" t="n">
        <v>42.47</v>
      </c>
      <c r="BT57" s="111" t="s">
        <v>246</v>
      </c>
      <c r="BU57" s="164" t="n">
        <v>24.8</v>
      </c>
      <c r="BV57" s="111" t="s">
        <v>246</v>
      </c>
    </row>
    <row r="58" customFormat="false" ht="12.75" hidden="false" customHeight="false" outlineLevel="0" collapsed="false">
      <c r="A58" s="122" t="s">
        <v>433</v>
      </c>
      <c r="B58" s="172" t="s">
        <v>665</v>
      </c>
      <c r="C58" s="172" t="s">
        <v>758</v>
      </c>
      <c r="D58" s="172"/>
      <c r="E58" s="106" t="n">
        <v>6</v>
      </c>
      <c r="F58" s="173" t="n">
        <v>29</v>
      </c>
      <c r="S58" s="167" t="n">
        <v>1434.612687</v>
      </c>
      <c r="T58" s="111" t="s">
        <v>246</v>
      </c>
      <c r="Y58" s="167" t="n">
        <v>602.41</v>
      </c>
      <c r="Z58" s="111" t="s">
        <v>246</v>
      </c>
      <c r="AA58" s="167" t="n">
        <v>58709.16</v>
      </c>
      <c r="AB58" s="111" t="s">
        <v>246</v>
      </c>
      <c r="AC58" s="164" t="n">
        <v>29.48</v>
      </c>
      <c r="AD58" s="111" t="s">
        <v>246</v>
      </c>
      <c r="AG58" s="167" t="n">
        <v>5.02</v>
      </c>
      <c r="AH58" s="111" t="s">
        <v>246</v>
      </c>
      <c r="AM58" s="165" t="n">
        <v>83</v>
      </c>
      <c r="BS58" s="167" t="n">
        <v>48.66</v>
      </c>
      <c r="BT58" s="111" t="s">
        <v>246</v>
      </c>
      <c r="BU58" s="164" t="n">
        <v>20.43</v>
      </c>
      <c r="BV58" s="111" t="s">
        <v>246</v>
      </c>
    </row>
    <row r="59" customFormat="false" ht="12.75" hidden="false" customHeight="false" outlineLevel="0" collapsed="false">
      <c r="A59" s="122" t="s">
        <v>433</v>
      </c>
      <c r="B59" s="172" t="s">
        <v>668</v>
      </c>
      <c r="C59" s="172" t="s">
        <v>758</v>
      </c>
      <c r="D59" s="172"/>
      <c r="E59" s="106" t="n">
        <v>9</v>
      </c>
      <c r="F59" s="173" t="n">
        <v>5</v>
      </c>
      <c r="S59" s="167" t="n">
        <v>1730.38672</v>
      </c>
      <c r="T59" s="111" t="s">
        <v>246</v>
      </c>
      <c r="Y59" s="167" t="n">
        <v>751.72</v>
      </c>
      <c r="Z59" s="111" t="s">
        <v>246</v>
      </c>
      <c r="AA59" s="167" t="n">
        <v>70311.69</v>
      </c>
      <c r="AB59" s="111" t="s">
        <v>246</v>
      </c>
      <c r="AC59" s="164" t="n">
        <v>35.74</v>
      </c>
      <c r="AD59" s="111" t="s">
        <v>246</v>
      </c>
      <c r="AG59" s="167" t="n">
        <v>5.08</v>
      </c>
      <c r="AH59" s="111" t="s">
        <v>246</v>
      </c>
      <c r="AM59" s="165" t="n">
        <v>84</v>
      </c>
      <c r="BS59" s="167" t="n">
        <v>48.42</v>
      </c>
      <c r="BT59" s="111" t="s">
        <v>246</v>
      </c>
      <c r="BU59" s="164" t="n">
        <v>21.03</v>
      </c>
      <c r="BV59" s="111" t="s">
        <v>246</v>
      </c>
    </row>
    <row r="60" customFormat="false" ht="12.75" hidden="false" customHeight="false" outlineLevel="0" collapsed="false">
      <c r="A60" s="122" t="s">
        <v>433</v>
      </c>
      <c r="B60" s="172" t="s">
        <v>665</v>
      </c>
      <c r="C60" s="172" t="s">
        <v>760</v>
      </c>
      <c r="D60" s="172"/>
      <c r="E60" s="106" t="n">
        <v>12</v>
      </c>
      <c r="F60" s="173" t="n">
        <v>63</v>
      </c>
      <c r="S60" s="167" t="n">
        <v>1386.731568</v>
      </c>
      <c r="T60" s="111" t="s">
        <v>246</v>
      </c>
      <c r="Y60" s="167" t="n">
        <v>564.23</v>
      </c>
      <c r="Z60" s="111" t="s">
        <v>246</v>
      </c>
      <c r="AA60" s="167" t="n">
        <v>56060.36</v>
      </c>
      <c r="AB60" s="111" t="s">
        <v>246</v>
      </c>
      <c r="AC60" s="164" t="n">
        <v>28.28</v>
      </c>
      <c r="AD60" s="111" t="s">
        <v>246</v>
      </c>
      <c r="AG60" s="167" t="n">
        <v>5.04</v>
      </c>
      <c r="AH60" s="111" t="s">
        <v>246</v>
      </c>
      <c r="AM60" s="165" t="n">
        <v>82</v>
      </c>
      <c r="BS60" s="167" t="n">
        <v>49.04</v>
      </c>
      <c r="BT60" s="111" t="s">
        <v>246</v>
      </c>
      <c r="BU60" s="164" t="n">
        <v>19.95</v>
      </c>
      <c r="BV60" s="111" t="s">
        <v>246</v>
      </c>
    </row>
    <row r="61" customFormat="false" ht="12.75" hidden="false" customHeight="false" outlineLevel="0" collapsed="false">
      <c r="A61" s="122" t="s">
        <v>433</v>
      </c>
      <c r="B61" s="172" t="s">
        <v>668</v>
      </c>
      <c r="C61" s="172" t="s">
        <v>760</v>
      </c>
      <c r="D61" s="172"/>
      <c r="E61" s="106" t="n">
        <v>14</v>
      </c>
      <c r="F61" s="173" t="n">
        <v>52</v>
      </c>
      <c r="S61" s="167" t="n">
        <v>1286.33758</v>
      </c>
      <c r="T61" s="111" t="s">
        <v>246</v>
      </c>
      <c r="Y61" s="167" t="n">
        <v>608.34</v>
      </c>
      <c r="Z61" s="111" t="s">
        <v>246</v>
      </c>
      <c r="AA61" s="167" t="n">
        <v>56915.72</v>
      </c>
      <c r="AB61" s="111" t="s">
        <v>246</v>
      </c>
      <c r="AC61" s="164" t="n">
        <v>27.45</v>
      </c>
      <c r="AD61" s="111" t="s">
        <v>246</v>
      </c>
      <c r="AG61" s="167" t="n">
        <v>4.82</v>
      </c>
      <c r="AH61" s="111" t="s">
        <v>246</v>
      </c>
      <c r="AM61" s="165" t="n">
        <v>84</v>
      </c>
      <c r="BS61" s="167" t="n">
        <v>46.87</v>
      </c>
      <c r="BT61" s="111" t="s">
        <v>246</v>
      </c>
      <c r="BU61" s="164" t="n">
        <v>22.17</v>
      </c>
      <c r="BV61" s="111" t="s">
        <v>246</v>
      </c>
    </row>
    <row r="62" customFormat="false" ht="12.75" hidden="false" customHeight="false" outlineLevel="0" collapsed="false">
      <c r="A62" s="122" t="s">
        <v>433</v>
      </c>
      <c r="B62" s="172" t="s">
        <v>665</v>
      </c>
      <c r="C62" s="172" t="s">
        <v>761</v>
      </c>
      <c r="D62" s="172"/>
      <c r="E62" s="106" t="n">
        <v>16</v>
      </c>
      <c r="F62" s="173" t="n">
        <v>25</v>
      </c>
      <c r="S62" s="167" t="n">
        <v>1604.300167</v>
      </c>
      <c r="T62" s="111" t="s">
        <v>246</v>
      </c>
      <c r="Y62" s="167" t="n">
        <v>679.54</v>
      </c>
      <c r="Z62" s="111" t="s">
        <v>246</v>
      </c>
      <c r="AA62" s="167" t="n">
        <v>65280.75</v>
      </c>
      <c r="AB62" s="111" t="s">
        <v>246</v>
      </c>
      <c r="AC62" s="164" t="n">
        <v>33</v>
      </c>
      <c r="AD62" s="111" t="s">
        <v>246</v>
      </c>
      <c r="AG62" s="167" t="n">
        <v>5.05</v>
      </c>
      <c r="AH62" s="111" t="s">
        <v>246</v>
      </c>
      <c r="AM62" s="165" t="n">
        <v>83</v>
      </c>
      <c r="BS62" s="167" t="n">
        <v>48.62</v>
      </c>
      <c r="BT62" s="111" t="s">
        <v>246</v>
      </c>
      <c r="BU62" s="164" t="n">
        <v>20.59</v>
      </c>
      <c r="BV62" s="111" t="s">
        <v>246</v>
      </c>
    </row>
    <row r="63" customFormat="false" ht="12.75" hidden="false" customHeight="false" outlineLevel="0" collapsed="false">
      <c r="A63" s="122" t="s">
        <v>433</v>
      </c>
      <c r="B63" s="172" t="s">
        <v>668</v>
      </c>
      <c r="C63" s="172" t="s">
        <v>761</v>
      </c>
      <c r="D63" s="172"/>
      <c r="E63" s="106" t="n">
        <v>17</v>
      </c>
      <c r="F63" s="173" t="n">
        <v>24</v>
      </c>
      <c r="S63" s="167" t="n">
        <v>1395.32862</v>
      </c>
      <c r="T63" s="111" t="s">
        <v>246</v>
      </c>
      <c r="Y63" s="167" t="n">
        <v>640.43</v>
      </c>
      <c r="Z63" s="111" t="s">
        <v>246</v>
      </c>
      <c r="AA63" s="167" t="n">
        <v>56858.78</v>
      </c>
      <c r="AB63" s="111" t="s">
        <v>246</v>
      </c>
      <c r="AC63" s="164" t="n">
        <v>29.31</v>
      </c>
      <c r="AD63" s="111" t="s">
        <v>246</v>
      </c>
      <c r="AG63" s="167" t="n">
        <v>5.15</v>
      </c>
      <c r="AH63" s="111" t="s">
        <v>246</v>
      </c>
      <c r="AM63" s="165" t="n">
        <v>84</v>
      </c>
      <c r="BS63" s="167" t="n">
        <v>47.61</v>
      </c>
      <c r="BT63" s="111" t="s">
        <v>246</v>
      </c>
      <c r="BU63" s="164" t="n">
        <v>21.85</v>
      </c>
      <c r="BV63" s="111" t="s">
        <v>246</v>
      </c>
    </row>
    <row r="64" customFormat="false" ht="12.75" hidden="false" customHeight="false" outlineLevel="0" collapsed="false">
      <c r="A64" s="122" t="s">
        <v>433</v>
      </c>
      <c r="B64" s="172" t="s">
        <v>665</v>
      </c>
      <c r="C64" s="172" t="s">
        <v>762</v>
      </c>
      <c r="D64" s="172"/>
      <c r="E64" s="106" t="n">
        <v>2</v>
      </c>
      <c r="F64" s="173" t="n">
        <v>16</v>
      </c>
      <c r="S64" s="167" t="n">
        <v>1524.276204</v>
      </c>
      <c r="T64" s="111" t="s">
        <v>246</v>
      </c>
      <c r="Y64" s="167" t="n">
        <v>669.1</v>
      </c>
      <c r="Z64" s="111" t="s">
        <v>246</v>
      </c>
      <c r="AA64" s="167" t="n">
        <v>60880.51</v>
      </c>
      <c r="AB64" s="111" t="s">
        <v>246</v>
      </c>
      <c r="AC64" s="164" t="n">
        <v>31.83</v>
      </c>
      <c r="AD64" s="111" t="s">
        <v>246</v>
      </c>
      <c r="AG64" s="167" t="n">
        <v>5.23</v>
      </c>
      <c r="AH64" s="111" t="s">
        <v>246</v>
      </c>
      <c r="AM64" s="165" t="n">
        <v>84</v>
      </c>
      <c r="BS64" s="167" t="n">
        <v>47.89</v>
      </c>
      <c r="BT64" s="111" t="s">
        <v>246</v>
      </c>
      <c r="BU64" s="164" t="n">
        <v>21.02</v>
      </c>
      <c r="BV64" s="111" t="s">
        <v>246</v>
      </c>
    </row>
    <row r="65" customFormat="false" ht="12.75" hidden="false" customHeight="false" outlineLevel="0" collapsed="false">
      <c r="A65" s="122" t="s">
        <v>433</v>
      </c>
      <c r="B65" s="172" t="s">
        <v>668</v>
      </c>
      <c r="C65" s="172" t="s">
        <v>762</v>
      </c>
      <c r="D65" s="172"/>
      <c r="E65" s="106" t="n">
        <v>1</v>
      </c>
      <c r="F65" s="173" t="n">
        <v>44</v>
      </c>
      <c r="S65" s="167" t="n">
        <v>1351.344071</v>
      </c>
      <c r="T65" s="111" t="s">
        <v>246</v>
      </c>
      <c r="Y65" s="167" t="n">
        <v>681.05</v>
      </c>
      <c r="Z65" s="111" t="s">
        <v>246</v>
      </c>
      <c r="AA65" s="167" t="n">
        <v>60594.33</v>
      </c>
      <c r="AB65" s="111" t="s">
        <v>246</v>
      </c>
      <c r="AC65" s="164" t="n">
        <v>29.82</v>
      </c>
      <c r="AD65" s="111" t="s">
        <v>246</v>
      </c>
      <c r="AG65" s="167" t="n">
        <v>4.92</v>
      </c>
      <c r="AH65" s="111" t="s">
        <v>246</v>
      </c>
      <c r="AM65" s="165" t="n">
        <v>84</v>
      </c>
      <c r="BS65" s="167" t="n">
        <v>45.32</v>
      </c>
      <c r="BT65" s="111" t="s">
        <v>246</v>
      </c>
      <c r="BU65" s="164" t="n">
        <v>22.84</v>
      </c>
      <c r="BV65" s="111" t="s">
        <v>246</v>
      </c>
    </row>
    <row r="66" customFormat="false" ht="12.75" hidden="false" customHeight="false" outlineLevel="0" collapsed="false">
      <c r="A66" s="122" t="s">
        <v>435</v>
      </c>
      <c r="B66" s="172" t="s">
        <v>665</v>
      </c>
      <c r="C66" s="172" t="s">
        <v>758</v>
      </c>
      <c r="D66" s="172"/>
      <c r="E66" s="106" t="n">
        <v>8</v>
      </c>
      <c r="F66" s="173" t="n">
        <v>28</v>
      </c>
      <c r="S66" s="167" t="n">
        <v>1172.713933</v>
      </c>
      <c r="T66" s="111" t="s">
        <v>246</v>
      </c>
      <c r="Y66" s="167" t="n">
        <v>535.01</v>
      </c>
      <c r="Z66" s="111" t="s">
        <v>246</v>
      </c>
      <c r="AA66" s="167" t="n">
        <v>48575.81</v>
      </c>
      <c r="AB66" s="111" t="s">
        <v>246</v>
      </c>
      <c r="AC66" s="164" t="n">
        <v>24.94</v>
      </c>
      <c r="AD66" s="111" t="s">
        <v>246</v>
      </c>
      <c r="AG66" s="167" t="n">
        <v>5.13</v>
      </c>
      <c r="AH66" s="111" t="s">
        <v>246</v>
      </c>
      <c r="AM66" s="165" t="n">
        <v>84</v>
      </c>
      <c r="BS66" s="167" t="n">
        <v>47.03</v>
      </c>
      <c r="BT66" s="111" t="s">
        <v>246</v>
      </c>
      <c r="BU66" s="164" t="n">
        <v>21.45</v>
      </c>
      <c r="BV66" s="111" t="s">
        <v>246</v>
      </c>
    </row>
    <row r="67" customFormat="false" ht="12.75" hidden="false" customHeight="false" outlineLevel="0" collapsed="false">
      <c r="A67" s="122" t="s">
        <v>435</v>
      </c>
      <c r="B67" s="172" t="s">
        <v>668</v>
      </c>
      <c r="C67" s="172" t="s">
        <v>758</v>
      </c>
      <c r="D67" s="172"/>
      <c r="E67" s="106" t="n">
        <v>11</v>
      </c>
      <c r="F67" s="173" t="n">
        <v>21</v>
      </c>
      <c r="S67" s="167" t="n">
        <v>1218.548466</v>
      </c>
      <c r="T67" s="111" t="s">
        <v>246</v>
      </c>
      <c r="Y67" s="167" t="n">
        <v>582.35</v>
      </c>
      <c r="Z67" s="111" t="s">
        <v>246</v>
      </c>
      <c r="AA67" s="167" t="n">
        <v>53265.43</v>
      </c>
      <c r="AB67" s="111" t="s">
        <v>246</v>
      </c>
      <c r="AC67" s="164" t="n">
        <v>26.18</v>
      </c>
      <c r="AD67" s="111" t="s">
        <v>246</v>
      </c>
      <c r="AG67" s="167" t="n">
        <v>4.91</v>
      </c>
      <c r="AH67" s="111" t="s">
        <v>246</v>
      </c>
      <c r="AM67" s="165" t="n">
        <v>85</v>
      </c>
      <c r="BS67" s="167" t="n">
        <v>46.55</v>
      </c>
      <c r="BT67" s="111" t="s">
        <v>246</v>
      </c>
      <c r="BU67" s="164" t="n">
        <v>22.25</v>
      </c>
      <c r="BV67" s="111" t="s">
        <v>246</v>
      </c>
    </row>
    <row r="68" customFormat="false" ht="12.75" hidden="false" customHeight="false" outlineLevel="0" collapsed="false">
      <c r="A68" s="122" t="s">
        <v>435</v>
      </c>
      <c r="B68" s="172" t="s">
        <v>665</v>
      </c>
      <c r="C68" s="172" t="s">
        <v>760</v>
      </c>
      <c r="D68" s="172"/>
      <c r="E68" s="106" t="n">
        <v>11</v>
      </c>
      <c r="F68" s="173" t="n">
        <v>56</v>
      </c>
      <c r="S68" s="167" t="n">
        <v>1072.458697</v>
      </c>
      <c r="T68" s="111" t="s">
        <v>246</v>
      </c>
      <c r="Y68" s="167" t="n">
        <v>506.3</v>
      </c>
      <c r="Z68" s="111" t="s">
        <v>246</v>
      </c>
      <c r="AA68" s="167" t="n">
        <v>48880.23</v>
      </c>
      <c r="AB68" s="111" t="s">
        <v>246</v>
      </c>
      <c r="AC68" s="164" t="n">
        <v>23.03</v>
      </c>
      <c r="AD68" s="111" t="s">
        <v>246</v>
      </c>
      <c r="AG68" s="167" t="n">
        <v>4.71</v>
      </c>
      <c r="AH68" s="111" t="s">
        <v>246</v>
      </c>
      <c r="AM68" s="165" t="n">
        <v>85</v>
      </c>
      <c r="BS68" s="167" t="n">
        <v>46.56</v>
      </c>
      <c r="BT68" s="111" t="s">
        <v>246</v>
      </c>
      <c r="BU68" s="164" t="n">
        <v>21.98</v>
      </c>
      <c r="BV68" s="111" t="s">
        <v>246</v>
      </c>
    </row>
    <row r="69" customFormat="false" ht="12.75" hidden="false" customHeight="false" outlineLevel="0" collapsed="false">
      <c r="A69" s="122" t="s">
        <v>435</v>
      </c>
      <c r="B69" s="172" t="s">
        <v>668</v>
      </c>
      <c r="C69" s="172" t="s">
        <v>760</v>
      </c>
      <c r="D69" s="172"/>
      <c r="E69" s="106" t="n">
        <v>15</v>
      </c>
      <c r="F69" s="173" t="n">
        <v>34</v>
      </c>
      <c r="S69" s="167" t="n">
        <v>933.493547</v>
      </c>
      <c r="T69" s="111" t="s">
        <v>246</v>
      </c>
      <c r="Y69" s="167" t="n">
        <v>484.32</v>
      </c>
      <c r="Z69" s="111" t="s">
        <v>246</v>
      </c>
      <c r="AA69" s="167" t="n">
        <v>49422.35</v>
      </c>
      <c r="AB69" s="111" t="s">
        <v>246</v>
      </c>
      <c r="AC69" s="164" t="n">
        <v>20.7</v>
      </c>
      <c r="AD69" s="111" t="s">
        <v>246</v>
      </c>
      <c r="AG69" s="167" t="n">
        <v>4.19</v>
      </c>
      <c r="AH69" s="111" t="s">
        <v>246</v>
      </c>
      <c r="AM69" s="165" t="n">
        <v>85</v>
      </c>
      <c r="BS69" s="167" t="n">
        <v>45.09</v>
      </c>
      <c r="BT69" s="111" t="s">
        <v>246</v>
      </c>
      <c r="BU69" s="164" t="n">
        <v>23.39</v>
      </c>
      <c r="BV69" s="111" t="s">
        <v>246</v>
      </c>
    </row>
    <row r="70" customFormat="false" ht="12.75" hidden="false" customHeight="false" outlineLevel="0" collapsed="false">
      <c r="A70" s="122" t="s">
        <v>435</v>
      </c>
      <c r="B70" s="172" t="s">
        <v>665</v>
      </c>
      <c r="C70" s="172" t="s">
        <v>761</v>
      </c>
      <c r="D70" s="172"/>
      <c r="E70" s="106" t="n">
        <v>16</v>
      </c>
      <c r="F70" s="173" t="n">
        <v>20</v>
      </c>
      <c r="S70" s="167" t="n">
        <v>931.4796921</v>
      </c>
      <c r="T70" s="111" t="s">
        <v>246</v>
      </c>
      <c r="Y70" s="167" t="n">
        <v>466.75</v>
      </c>
      <c r="Z70" s="111" t="s">
        <v>246</v>
      </c>
      <c r="AA70" s="167" t="n">
        <v>42460.97</v>
      </c>
      <c r="AB70" s="111" t="s">
        <v>246</v>
      </c>
      <c r="AC70" s="164" t="n">
        <v>20.6</v>
      </c>
      <c r="AD70" s="111" t="s">
        <v>246</v>
      </c>
      <c r="AG70" s="167" t="n">
        <v>4.85</v>
      </c>
      <c r="AH70" s="111" t="s">
        <v>246</v>
      </c>
      <c r="AM70" s="165" t="n">
        <v>85</v>
      </c>
      <c r="BS70" s="167" t="n">
        <v>45.21</v>
      </c>
      <c r="BT70" s="111" t="s">
        <v>246</v>
      </c>
      <c r="BU70" s="164" t="n">
        <v>22.65</v>
      </c>
      <c r="BV70" s="111" t="s">
        <v>246</v>
      </c>
    </row>
    <row r="71" customFormat="false" ht="12.75" hidden="false" customHeight="false" outlineLevel="0" collapsed="false">
      <c r="A71" s="122" t="s">
        <v>435</v>
      </c>
      <c r="B71" s="172" t="s">
        <v>668</v>
      </c>
      <c r="C71" s="172" t="s">
        <v>761</v>
      </c>
      <c r="D71" s="172"/>
      <c r="E71" s="106" t="n">
        <v>17</v>
      </c>
      <c r="F71" s="173" t="n">
        <v>19</v>
      </c>
      <c r="S71" s="167" t="n">
        <v>1056.227434</v>
      </c>
      <c r="T71" s="111" t="s">
        <v>246</v>
      </c>
      <c r="Y71" s="167" t="n">
        <v>528.32</v>
      </c>
      <c r="Z71" s="111" t="s">
        <v>246</v>
      </c>
      <c r="AA71" s="167" t="n">
        <v>49345.41</v>
      </c>
      <c r="AB71" s="111" t="s">
        <v>246</v>
      </c>
      <c r="AC71" s="164" t="n">
        <v>23.09</v>
      </c>
      <c r="AD71" s="111" t="s">
        <v>246</v>
      </c>
      <c r="AG71" s="167" t="n">
        <v>4.68</v>
      </c>
      <c r="AH71" s="111" t="s">
        <v>246</v>
      </c>
      <c r="AM71" s="165" t="n">
        <v>87</v>
      </c>
      <c r="BS71" s="167" t="n">
        <v>45.75</v>
      </c>
      <c r="BT71" s="111" t="s">
        <v>246</v>
      </c>
      <c r="BU71" s="164" t="n">
        <v>22.88</v>
      </c>
      <c r="BV71" s="111" t="s">
        <v>246</v>
      </c>
    </row>
    <row r="72" customFormat="false" ht="12.75" hidden="false" customHeight="false" outlineLevel="0" collapsed="false">
      <c r="A72" s="122" t="s">
        <v>435</v>
      </c>
      <c r="B72" s="172" t="s">
        <v>665</v>
      </c>
      <c r="C72" s="172" t="s">
        <v>762</v>
      </c>
      <c r="D72" s="172"/>
      <c r="E72" s="106" t="n">
        <v>1</v>
      </c>
      <c r="F72" s="173" t="n">
        <v>24</v>
      </c>
      <c r="S72" s="167" t="n">
        <v>1042.662088</v>
      </c>
      <c r="T72" s="111" t="s">
        <v>246</v>
      </c>
      <c r="Y72" s="167" t="n">
        <v>528.44</v>
      </c>
      <c r="Z72" s="111" t="s">
        <v>246</v>
      </c>
      <c r="AA72" s="167" t="n">
        <v>45780.82</v>
      </c>
      <c r="AB72" s="111" t="s">
        <v>246</v>
      </c>
      <c r="AC72" s="164" t="n">
        <v>23.09</v>
      </c>
      <c r="AD72" s="111" t="s">
        <v>246</v>
      </c>
      <c r="AG72" s="167" t="n">
        <v>5.04</v>
      </c>
      <c r="AH72" s="111" t="s">
        <v>246</v>
      </c>
      <c r="AM72" s="165" t="n">
        <v>85</v>
      </c>
      <c r="BS72" s="167" t="n">
        <v>45.16</v>
      </c>
      <c r="BT72" s="111" t="s">
        <v>246</v>
      </c>
      <c r="BU72" s="164" t="n">
        <v>22.89</v>
      </c>
      <c r="BV72" s="111" t="s">
        <v>246</v>
      </c>
    </row>
    <row r="73" customFormat="false" ht="12.75" hidden="false" customHeight="false" outlineLevel="0" collapsed="false">
      <c r="A73" s="122" t="s">
        <v>435</v>
      </c>
      <c r="B73" s="172" t="s">
        <v>668</v>
      </c>
      <c r="C73" s="172" t="s">
        <v>762</v>
      </c>
      <c r="D73" s="172"/>
      <c r="E73" s="106" t="n">
        <v>4</v>
      </c>
      <c r="F73" s="173" t="n">
        <v>46</v>
      </c>
      <c r="S73" s="167" t="n">
        <v>1164.527609</v>
      </c>
      <c r="T73" s="111" t="s">
        <v>246</v>
      </c>
      <c r="Y73" s="167" t="n">
        <v>632.65</v>
      </c>
      <c r="Z73" s="111" t="s">
        <v>246</v>
      </c>
      <c r="AA73" s="167" t="n">
        <v>56957.78</v>
      </c>
      <c r="AB73" s="111" t="s">
        <v>246</v>
      </c>
      <c r="AC73" s="164" t="n">
        <v>26.26</v>
      </c>
      <c r="AD73" s="111" t="s">
        <v>246</v>
      </c>
      <c r="AG73" s="167" t="n">
        <v>4.61</v>
      </c>
      <c r="AH73" s="111" t="s">
        <v>246</v>
      </c>
      <c r="AM73" s="165" t="n">
        <v>85</v>
      </c>
      <c r="BS73" s="167" t="n">
        <v>44.34</v>
      </c>
      <c r="BT73" s="111" t="s">
        <v>246</v>
      </c>
      <c r="BU73" s="164" t="n">
        <v>24.09</v>
      </c>
      <c r="BV73" s="111" t="s">
        <v>246</v>
      </c>
    </row>
    <row r="74" customFormat="false" ht="12.75" hidden="false" customHeight="false" outlineLevel="0" collapsed="false">
      <c r="A74" s="122" t="s">
        <v>437</v>
      </c>
      <c r="B74" s="172" t="s">
        <v>665</v>
      </c>
      <c r="C74" s="172" t="s">
        <v>758</v>
      </c>
      <c r="D74" s="172"/>
      <c r="E74" s="106" t="n">
        <v>6</v>
      </c>
      <c r="F74" s="173" t="n">
        <v>14</v>
      </c>
      <c r="S74" s="167" t="n">
        <v>1462.810707</v>
      </c>
      <c r="T74" s="111" t="s">
        <v>246</v>
      </c>
      <c r="Y74" s="167" t="n">
        <v>615.41</v>
      </c>
      <c r="Z74" s="111" t="s">
        <v>246</v>
      </c>
      <c r="AA74" s="167" t="n">
        <v>57387.53</v>
      </c>
      <c r="AB74" s="111" t="s">
        <v>246</v>
      </c>
      <c r="AC74" s="164" t="n">
        <v>29.84</v>
      </c>
      <c r="AD74" s="111" t="s">
        <v>246</v>
      </c>
      <c r="AG74" s="167" t="n">
        <v>5.2</v>
      </c>
      <c r="AH74" s="111" t="s">
        <v>246</v>
      </c>
      <c r="AM74" s="165" t="n">
        <v>77</v>
      </c>
      <c r="BS74" s="167" t="n">
        <v>49.03</v>
      </c>
      <c r="BT74" s="111" t="s">
        <v>246</v>
      </c>
      <c r="BU74" s="164" t="n">
        <v>20.63</v>
      </c>
      <c r="BV74" s="111" t="s">
        <v>246</v>
      </c>
    </row>
    <row r="75" customFormat="false" ht="12.75" hidden="false" customHeight="false" outlineLevel="0" collapsed="false">
      <c r="A75" s="122" t="s">
        <v>437</v>
      </c>
      <c r="B75" s="172" t="s">
        <v>668</v>
      </c>
      <c r="C75" s="172" t="s">
        <v>758</v>
      </c>
      <c r="D75" s="172"/>
      <c r="E75" s="106" t="n">
        <v>10</v>
      </c>
      <c r="F75" s="173" t="n">
        <v>12</v>
      </c>
      <c r="S75" s="167" t="n">
        <v>1549.634967</v>
      </c>
      <c r="T75" s="111" t="s">
        <v>246</v>
      </c>
      <c r="Y75" s="167" t="n">
        <v>688.19</v>
      </c>
      <c r="Z75" s="111" t="s">
        <v>246</v>
      </c>
      <c r="AA75" s="167" t="n">
        <v>61900.83</v>
      </c>
      <c r="AB75" s="111" t="s">
        <v>246</v>
      </c>
      <c r="AC75" s="164" t="n">
        <v>32.26</v>
      </c>
      <c r="AD75" s="111" t="s">
        <v>246</v>
      </c>
      <c r="AG75" s="167" t="n">
        <v>5.21</v>
      </c>
      <c r="AH75" s="111" t="s">
        <v>246</v>
      </c>
      <c r="AM75" s="165" t="n">
        <v>78</v>
      </c>
      <c r="BS75" s="167" t="n">
        <v>48.04</v>
      </c>
      <c r="BT75" s="111" t="s">
        <v>246</v>
      </c>
      <c r="BU75" s="164" t="n">
        <v>21.34</v>
      </c>
      <c r="BV75" s="111" t="s">
        <v>246</v>
      </c>
    </row>
    <row r="76" customFormat="false" ht="12.75" hidden="false" customHeight="false" outlineLevel="0" collapsed="false">
      <c r="A76" s="122" t="s">
        <v>437</v>
      </c>
      <c r="B76" s="172" t="s">
        <v>665</v>
      </c>
      <c r="C76" s="172" t="s">
        <v>760</v>
      </c>
      <c r="D76" s="172"/>
      <c r="E76" s="106" t="n">
        <v>12</v>
      </c>
      <c r="F76" s="173" t="n">
        <v>56</v>
      </c>
      <c r="S76" s="167" t="n">
        <v>1410.012268</v>
      </c>
      <c r="T76" s="111" t="s">
        <v>246</v>
      </c>
      <c r="Y76" s="167" t="n">
        <v>572.57</v>
      </c>
      <c r="Z76" s="111" t="s">
        <v>246</v>
      </c>
      <c r="AA76" s="167" t="n">
        <v>54589.22</v>
      </c>
      <c r="AB76" s="111" t="s">
        <v>246</v>
      </c>
      <c r="AC76" s="164" t="n">
        <v>28.58</v>
      </c>
      <c r="AD76" s="111" t="s">
        <v>246</v>
      </c>
      <c r="AG76" s="167" t="n">
        <v>5.24</v>
      </c>
      <c r="AH76" s="111" t="s">
        <v>246</v>
      </c>
      <c r="AM76" s="165" t="n">
        <v>78</v>
      </c>
      <c r="BS76" s="167" t="n">
        <v>49.34</v>
      </c>
      <c r="BT76" s="111" t="s">
        <v>246</v>
      </c>
      <c r="BU76" s="164" t="n">
        <v>20.03</v>
      </c>
      <c r="BV76" s="111" t="s">
        <v>246</v>
      </c>
    </row>
    <row r="77" customFormat="false" ht="12.75" hidden="false" customHeight="false" outlineLevel="0" collapsed="false">
      <c r="A77" s="122" t="s">
        <v>437</v>
      </c>
      <c r="B77" s="172" t="s">
        <v>668</v>
      </c>
      <c r="C77" s="172" t="s">
        <v>760</v>
      </c>
      <c r="D77" s="172"/>
      <c r="E77" s="106" t="n">
        <v>14</v>
      </c>
      <c r="F77" s="173" t="n">
        <v>60</v>
      </c>
      <c r="S77" s="167" t="n">
        <v>1467.132543</v>
      </c>
      <c r="T77" s="111" t="s">
        <v>246</v>
      </c>
      <c r="Y77" s="167" t="n">
        <v>661.38</v>
      </c>
      <c r="Z77" s="111" t="s">
        <v>246</v>
      </c>
      <c r="AA77" s="167" t="n">
        <v>59064.49</v>
      </c>
      <c r="AB77" s="111" t="s">
        <v>246</v>
      </c>
      <c r="AC77" s="164" t="n">
        <v>30.82</v>
      </c>
      <c r="AD77" s="111" t="s">
        <v>246</v>
      </c>
      <c r="AG77" s="167" t="n">
        <v>5.22</v>
      </c>
      <c r="AH77" s="111" t="s">
        <v>246</v>
      </c>
      <c r="AM77" s="165" t="n">
        <v>79</v>
      </c>
      <c r="BS77" s="167" t="n">
        <v>47.6</v>
      </c>
      <c r="BT77" s="111" t="s">
        <v>246</v>
      </c>
      <c r="BU77" s="164" t="n">
        <v>21.46</v>
      </c>
      <c r="BV77" s="111" t="s">
        <v>246</v>
      </c>
    </row>
    <row r="78" customFormat="false" ht="12.75" hidden="false" customHeight="false" outlineLevel="0" collapsed="false">
      <c r="A78" s="122" t="s">
        <v>437</v>
      </c>
      <c r="B78" s="172" t="s">
        <v>665</v>
      </c>
      <c r="C78" s="172" t="s">
        <v>761</v>
      </c>
      <c r="D78" s="172"/>
      <c r="E78" s="106" t="n">
        <v>16</v>
      </c>
      <c r="F78" s="173" t="n">
        <v>18</v>
      </c>
      <c r="S78" s="167" t="n">
        <v>1196.475123</v>
      </c>
      <c r="T78" s="111" t="s">
        <v>246</v>
      </c>
      <c r="Y78" s="167" t="n">
        <v>540.87</v>
      </c>
      <c r="Z78" s="111" t="s">
        <v>246</v>
      </c>
      <c r="AA78" s="167" t="n">
        <v>48868.38</v>
      </c>
      <c r="AB78" s="111" t="s">
        <v>246</v>
      </c>
      <c r="AC78" s="164" t="n">
        <v>25.11</v>
      </c>
      <c r="AD78" s="111" t="s">
        <v>246</v>
      </c>
      <c r="AG78" s="167" t="n">
        <v>5.14</v>
      </c>
      <c r="AH78" s="111" t="s">
        <v>246</v>
      </c>
      <c r="AM78" s="165" t="n">
        <v>78</v>
      </c>
      <c r="BS78" s="167" t="n">
        <v>47.64</v>
      </c>
      <c r="BT78" s="111" t="s">
        <v>246</v>
      </c>
      <c r="BU78" s="164" t="n">
        <v>21.54</v>
      </c>
      <c r="BV78" s="111" t="s">
        <v>246</v>
      </c>
    </row>
    <row r="79" customFormat="false" ht="12.75" hidden="false" customHeight="false" outlineLevel="0" collapsed="false">
      <c r="A79" s="122" t="s">
        <v>437</v>
      </c>
      <c r="B79" s="172" t="s">
        <v>668</v>
      </c>
      <c r="C79" s="172" t="s">
        <v>761</v>
      </c>
      <c r="D79" s="172"/>
      <c r="E79" s="106" t="n">
        <v>20</v>
      </c>
      <c r="F79" s="173" t="n">
        <v>27</v>
      </c>
      <c r="S79" s="167" t="n">
        <v>1372.414454</v>
      </c>
      <c r="T79" s="111" t="s">
        <v>246</v>
      </c>
      <c r="Y79" s="167" t="n">
        <v>606.85</v>
      </c>
      <c r="Z79" s="111" t="s">
        <v>246</v>
      </c>
      <c r="AA79" s="167" t="n">
        <v>56522.91</v>
      </c>
      <c r="AB79" s="111" t="s">
        <v>246</v>
      </c>
      <c r="AC79" s="164" t="n">
        <v>28.48</v>
      </c>
      <c r="AD79" s="111" t="s">
        <v>246</v>
      </c>
      <c r="AG79" s="167" t="n">
        <v>5.04</v>
      </c>
      <c r="AH79" s="111" t="s">
        <v>246</v>
      </c>
      <c r="AM79" s="165" t="n">
        <v>79</v>
      </c>
      <c r="BS79" s="167" t="n">
        <v>48.19</v>
      </c>
      <c r="BT79" s="111" t="s">
        <v>246</v>
      </c>
      <c r="BU79" s="164" t="n">
        <v>21.31</v>
      </c>
      <c r="BV79" s="111" t="s">
        <v>246</v>
      </c>
    </row>
    <row r="80" customFormat="false" ht="12.75" hidden="false" customHeight="false" outlineLevel="0" collapsed="false">
      <c r="A80" s="122" t="s">
        <v>437</v>
      </c>
      <c r="B80" s="172" t="s">
        <v>665</v>
      </c>
      <c r="C80" s="172" t="s">
        <v>762</v>
      </c>
      <c r="D80" s="172"/>
      <c r="E80" s="106" t="n">
        <v>3</v>
      </c>
      <c r="F80" s="173" t="n">
        <v>5</v>
      </c>
      <c r="S80" s="167" t="n">
        <v>1409.908104</v>
      </c>
      <c r="T80" s="111" t="s">
        <v>246</v>
      </c>
      <c r="Y80" s="167" t="n">
        <v>609.75</v>
      </c>
      <c r="Z80" s="111" t="s">
        <v>246</v>
      </c>
      <c r="AA80" s="167" t="n">
        <v>54633.97</v>
      </c>
      <c r="AB80" s="111" t="s">
        <v>246</v>
      </c>
      <c r="AC80" s="164" t="n">
        <v>29.26</v>
      </c>
      <c r="AD80" s="111" t="s">
        <v>246</v>
      </c>
      <c r="AG80" s="167" t="n">
        <v>5.36</v>
      </c>
      <c r="AH80" s="111" t="s">
        <v>246</v>
      </c>
      <c r="AM80" s="165" t="n">
        <v>79</v>
      </c>
      <c r="BS80" s="167" t="n">
        <v>48.19</v>
      </c>
      <c r="BT80" s="111" t="s">
        <v>246</v>
      </c>
      <c r="BU80" s="164" t="n">
        <v>20.84</v>
      </c>
      <c r="BV80" s="111" t="s">
        <v>246</v>
      </c>
    </row>
    <row r="81" customFormat="false" ht="12.75" hidden="false" customHeight="false" outlineLevel="0" collapsed="false">
      <c r="A81" s="122" t="s">
        <v>437</v>
      </c>
      <c r="B81" s="172" t="s">
        <v>668</v>
      </c>
      <c r="C81" s="172" t="s">
        <v>762</v>
      </c>
      <c r="D81" s="172"/>
      <c r="E81" s="106" t="n">
        <v>1</v>
      </c>
      <c r="F81" s="173" t="n">
        <v>56</v>
      </c>
      <c r="S81" s="167" t="n">
        <v>1271.887596</v>
      </c>
      <c r="T81" s="111" t="s">
        <v>246</v>
      </c>
      <c r="Y81" s="167" t="n">
        <v>600.82</v>
      </c>
      <c r="Z81" s="111" t="s">
        <v>246</v>
      </c>
      <c r="AA81" s="167" t="n">
        <v>55978.91</v>
      </c>
      <c r="AB81" s="111" t="s">
        <v>246</v>
      </c>
      <c r="AC81" s="164" t="n">
        <v>27.15</v>
      </c>
      <c r="AD81" s="111" t="s">
        <v>246</v>
      </c>
      <c r="AG81" s="167" t="n">
        <v>4.85</v>
      </c>
      <c r="AH81" s="111" t="s">
        <v>246</v>
      </c>
      <c r="AM81" s="165" t="n">
        <v>78</v>
      </c>
      <c r="BS81" s="167" t="n">
        <v>46.85</v>
      </c>
      <c r="BT81" s="111" t="s">
        <v>246</v>
      </c>
      <c r="BU81" s="164" t="n">
        <v>22.13</v>
      </c>
      <c r="BV81" s="111" t="s">
        <v>246</v>
      </c>
    </row>
    <row r="82" customFormat="false" ht="12.75" hidden="false" customHeight="false" outlineLevel="0" collapsed="false">
      <c r="A82" s="122" t="s">
        <v>439</v>
      </c>
      <c r="B82" s="172" t="s">
        <v>665</v>
      </c>
      <c r="C82" s="172" t="s">
        <v>758</v>
      </c>
      <c r="D82" s="172"/>
      <c r="E82" s="106" t="n">
        <v>8</v>
      </c>
      <c r="F82" s="173" t="n">
        <v>13</v>
      </c>
      <c r="S82" s="167" t="s">
        <v>759</v>
      </c>
      <c r="T82" s="111" t="s">
        <v>246</v>
      </c>
      <c r="Y82" s="167" t="s">
        <v>759</v>
      </c>
      <c r="Z82" s="111" t="s">
        <v>246</v>
      </c>
      <c r="AA82" s="167" t="s">
        <v>759</v>
      </c>
      <c r="AB82" s="111" t="s">
        <v>246</v>
      </c>
      <c r="AC82" s="164" t="s">
        <v>759</v>
      </c>
      <c r="AD82" s="111" t="s">
        <v>246</v>
      </c>
      <c r="AG82" s="167" t="s">
        <v>759</v>
      </c>
      <c r="AH82" s="111" t="s">
        <v>246</v>
      </c>
      <c r="AM82" s="167"/>
      <c r="BS82" s="167" t="s">
        <v>759</v>
      </c>
      <c r="BT82" s="111" t="s">
        <v>246</v>
      </c>
      <c r="BU82" s="164" t="s">
        <v>759</v>
      </c>
      <c r="BV82" s="111" t="s">
        <v>246</v>
      </c>
    </row>
    <row r="83" customFormat="false" ht="12.75" hidden="false" customHeight="false" outlineLevel="0" collapsed="false">
      <c r="A83" s="122" t="s">
        <v>439</v>
      </c>
      <c r="B83" s="172" t="s">
        <v>668</v>
      </c>
      <c r="C83" s="172" t="s">
        <v>758</v>
      </c>
      <c r="D83" s="172"/>
      <c r="E83" s="106" t="n">
        <v>12</v>
      </c>
      <c r="F83" s="173" t="n">
        <v>9</v>
      </c>
      <c r="S83" s="167" t="n">
        <v>1541.308699</v>
      </c>
      <c r="T83" s="111" t="s">
        <v>246</v>
      </c>
      <c r="Y83" s="167" t="n">
        <v>709.93</v>
      </c>
      <c r="Z83" s="111" t="s">
        <v>246</v>
      </c>
      <c r="AA83" s="167" t="n">
        <v>63275.87</v>
      </c>
      <c r="AB83" s="111" t="s">
        <v>246</v>
      </c>
      <c r="AC83" s="164" t="n">
        <v>32.46</v>
      </c>
      <c r="AD83" s="111" t="s">
        <v>246</v>
      </c>
      <c r="AG83" s="167" t="n">
        <v>5.13</v>
      </c>
      <c r="AH83" s="111" t="s">
        <v>246</v>
      </c>
      <c r="AM83" s="167"/>
      <c r="BS83" s="167" t="n">
        <v>47.49</v>
      </c>
      <c r="BT83" s="111" t="s">
        <v>246</v>
      </c>
      <c r="BU83" s="164" t="n">
        <v>21.87</v>
      </c>
      <c r="BV83" s="111" t="s">
        <v>246</v>
      </c>
    </row>
    <row r="84" customFormat="false" ht="12.75" hidden="false" customHeight="false" outlineLevel="0" collapsed="false">
      <c r="A84" s="122" t="s">
        <v>439</v>
      </c>
      <c r="B84" s="172" t="s">
        <v>665</v>
      </c>
      <c r="C84" s="172" t="s">
        <v>760</v>
      </c>
      <c r="D84" s="172"/>
      <c r="E84" s="106" t="n">
        <v>11</v>
      </c>
      <c r="F84" s="173" t="n">
        <v>42</v>
      </c>
      <c r="S84" s="167" t="n">
        <v>1407.735001</v>
      </c>
      <c r="T84" s="111" t="s">
        <v>246</v>
      </c>
      <c r="Y84" s="167" t="n">
        <v>564.59</v>
      </c>
      <c r="Z84" s="111" t="s">
        <v>246</v>
      </c>
      <c r="AA84" s="167" t="n">
        <v>52547.24</v>
      </c>
      <c r="AB84" s="111" t="s">
        <v>246</v>
      </c>
      <c r="AC84" s="164" t="n">
        <v>28.36</v>
      </c>
      <c r="AD84" s="111" t="s">
        <v>246</v>
      </c>
      <c r="AG84" s="167" t="n">
        <v>5.4</v>
      </c>
      <c r="AH84" s="111" t="s">
        <v>246</v>
      </c>
      <c r="AM84" s="167"/>
      <c r="BS84" s="167" t="n">
        <v>49.65</v>
      </c>
      <c r="BT84" s="111" t="s">
        <v>246</v>
      </c>
      <c r="BU84" s="164" t="n">
        <v>19.91</v>
      </c>
      <c r="BV84" s="111" t="s">
        <v>246</v>
      </c>
    </row>
    <row r="85" customFormat="false" ht="12.75" hidden="false" customHeight="false" outlineLevel="0" collapsed="false">
      <c r="A85" s="122" t="s">
        <v>439</v>
      </c>
      <c r="B85" s="172" t="s">
        <v>668</v>
      </c>
      <c r="C85" s="172" t="s">
        <v>760</v>
      </c>
      <c r="D85" s="172"/>
      <c r="E85" s="106" t="n">
        <v>14</v>
      </c>
      <c r="F85" s="173" t="n">
        <v>35</v>
      </c>
      <c r="S85" s="167" t="n">
        <v>1306.989311</v>
      </c>
      <c r="T85" s="111" t="s">
        <v>246</v>
      </c>
      <c r="Y85" s="167" t="n">
        <v>623.55</v>
      </c>
      <c r="Z85" s="111" t="s">
        <v>246</v>
      </c>
      <c r="AA85" s="167" t="n">
        <v>58298.7</v>
      </c>
      <c r="AB85" s="111" t="s">
        <v>246</v>
      </c>
      <c r="AC85" s="164" t="n">
        <v>28.2</v>
      </c>
      <c r="AD85" s="111" t="s">
        <v>246</v>
      </c>
      <c r="AG85" s="167" t="n">
        <v>4.84</v>
      </c>
      <c r="AH85" s="111" t="s">
        <v>246</v>
      </c>
      <c r="AM85" s="167"/>
      <c r="BS85" s="167" t="n">
        <v>46.34</v>
      </c>
      <c r="BT85" s="111" t="s">
        <v>246</v>
      </c>
      <c r="BU85" s="164" t="n">
        <v>22.11</v>
      </c>
      <c r="BV85" s="111" t="s">
        <v>246</v>
      </c>
    </row>
    <row r="86" customFormat="false" ht="12.75" hidden="false" customHeight="false" outlineLevel="0" collapsed="false">
      <c r="A86" s="122" t="s">
        <v>439</v>
      </c>
      <c r="B86" s="172" t="s">
        <v>665</v>
      </c>
      <c r="C86" s="172" t="s">
        <v>761</v>
      </c>
      <c r="D86" s="172"/>
      <c r="E86" s="106" t="n">
        <v>14</v>
      </c>
      <c r="F86" s="173" t="n">
        <v>2</v>
      </c>
      <c r="S86" s="167" t="n">
        <v>1178.841633</v>
      </c>
      <c r="T86" s="111" t="s">
        <v>246</v>
      </c>
      <c r="Y86" s="167" t="n">
        <v>562.74</v>
      </c>
      <c r="Z86" s="111" t="s">
        <v>246</v>
      </c>
      <c r="AA86" s="167" t="n">
        <v>54614.47</v>
      </c>
      <c r="AB86" s="111" t="s">
        <v>246</v>
      </c>
      <c r="AC86" s="164" t="n">
        <v>25.36</v>
      </c>
      <c r="AD86" s="111" t="s">
        <v>246</v>
      </c>
      <c r="AG86" s="167" t="n">
        <v>4.64</v>
      </c>
      <c r="AH86" s="111" t="s">
        <v>246</v>
      </c>
      <c r="AM86" s="167"/>
      <c r="BS86" s="167" t="n">
        <v>46.48</v>
      </c>
      <c r="BT86" s="111" t="s">
        <v>246</v>
      </c>
      <c r="BU86" s="164" t="n">
        <v>22.19</v>
      </c>
      <c r="BV86" s="111" t="s">
        <v>246</v>
      </c>
    </row>
    <row r="87" customFormat="false" ht="12.75" hidden="false" customHeight="false" outlineLevel="0" collapsed="false">
      <c r="A87" s="122" t="s">
        <v>439</v>
      </c>
      <c r="B87" s="172" t="s">
        <v>668</v>
      </c>
      <c r="C87" s="172" t="s">
        <v>761</v>
      </c>
      <c r="D87" s="172"/>
      <c r="E87" s="106" t="n">
        <v>19</v>
      </c>
      <c r="F87" s="173" t="n">
        <v>26</v>
      </c>
      <c r="S87" s="167" t="n">
        <v>1237.225793</v>
      </c>
      <c r="T87" s="111" t="s">
        <v>246</v>
      </c>
      <c r="Y87" s="167" t="n">
        <v>629.93</v>
      </c>
      <c r="Z87" s="111" t="s">
        <v>246</v>
      </c>
      <c r="AA87" s="167" t="n">
        <v>51702.34</v>
      </c>
      <c r="AB87" s="111" t="s">
        <v>246</v>
      </c>
      <c r="AC87" s="164" t="n">
        <v>27.03</v>
      </c>
      <c r="AD87" s="111" t="s">
        <v>246</v>
      </c>
      <c r="AG87" s="167" t="n">
        <v>5.23</v>
      </c>
      <c r="AH87" s="111" t="s">
        <v>246</v>
      </c>
      <c r="AM87" s="167"/>
      <c r="BS87" s="167" t="n">
        <v>45.77</v>
      </c>
      <c r="BT87" s="111" t="s">
        <v>246</v>
      </c>
      <c r="BU87" s="164" t="n">
        <v>23.3</v>
      </c>
      <c r="BV87" s="111" t="s">
        <v>246</v>
      </c>
    </row>
    <row r="88" customFormat="false" ht="12.75" hidden="false" customHeight="false" outlineLevel="0" collapsed="false">
      <c r="A88" s="122" t="s">
        <v>439</v>
      </c>
      <c r="B88" s="172" t="s">
        <v>665</v>
      </c>
      <c r="C88" s="172" t="s">
        <v>762</v>
      </c>
      <c r="D88" s="172"/>
      <c r="E88" s="106" t="n">
        <v>4</v>
      </c>
      <c r="F88" s="173" t="n">
        <v>11</v>
      </c>
      <c r="S88" s="167" t="n">
        <v>1189.223628</v>
      </c>
      <c r="T88" s="111" t="s">
        <v>246</v>
      </c>
      <c r="Y88" s="167" t="n">
        <v>543.54</v>
      </c>
      <c r="Z88" s="111" t="s">
        <v>246</v>
      </c>
      <c r="AA88" s="167" t="n">
        <v>49575.01</v>
      </c>
      <c r="AB88" s="111" t="s">
        <v>246</v>
      </c>
      <c r="AC88" s="164" t="n">
        <v>25.17</v>
      </c>
      <c r="AD88" s="111" t="s">
        <v>246</v>
      </c>
      <c r="AG88" s="167" t="n">
        <v>5.08</v>
      </c>
      <c r="AH88" s="111" t="s">
        <v>246</v>
      </c>
      <c r="AM88" s="167"/>
      <c r="BS88" s="167" t="n">
        <v>47.25</v>
      </c>
      <c r="BT88" s="111" t="s">
        <v>246</v>
      </c>
      <c r="BU88" s="164" t="n">
        <v>21.6</v>
      </c>
      <c r="BV88" s="111" t="s">
        <v>246</v>
      </c>
    </row>
    <row r="89" customFormat="false" ht="12.75" hidden="false" customHeight="false" outlineLevel="0" collapsed="false">
      <c r="A89" s="122" t="s">
        <v>439</v>
      </c>
      <c r="B89" s="172" t="s">
        <v>668</v>
      </c>
      <c r="C89" s="172" t="s">
        <v>762</v>
      </c>
      <c r="D89" s="172"/>
      <c r="E89" s="106" t="n">
        <v>1</v>
      </c>
      <c r="F89" s="173" t="n">
        <v>60</v>
      </c>
      <c r="S89" s="167" t="n">
        <v>1008.959356</v>
      </c>
      <c r="T89" s="111" t="s">
        <v>246</v>
      </c>
      <c r="Y89" s="167" t="n">
        <v>566.93</v>
      </c>
      <c r="Z89" s="111" t="s">
        <v>246</v>
      </c>
      <c r="AA89" s="167" t="n">
        <v>53173.17</v>
      </c>
      <c r="AB89" s="111" t="s">
        <v>246</v>
      </c>
      <c r="AC89" s="164" t="n">
        <v>23</v>
      </c>
      <c r="AD89" s="111" t="s">
        <v>246</v>
      </c>
      <c r="AG89" s="167" t="n">
        <v>4.33</v>
      </c>
      <c r="AH89" s="111" t="s">
        <v>246</v>
      </c>
      <c r="AM89" s="167"/>
      <c r="BS89" s="167" t="n">
        <v>43.87</v>
      </c>
      <c r="BT89" s="111" t="s">
        <v>246</v>
      </c>
      <c r="BU89" s="164" t="n">
        <v>24.65</v>
      </c>
      <c r="BV89" s="111" t="s">
        <v>246</v>
      </c>
    </row>
    <row r="90" customFormat="false" ht="12.75" hidden="false" customHeight="false" outlineLevel="0" collapsed="false">
      <c r="A90" s="122" t="s">
        <v>441</v>
      </c>
      <c r="B90" s="172" t="s">
        <v>665</v>
      </c>
      <c r="C90" s="172" t="s">
        <v>758</v>
      </c>
      <c r="D90" s="172"/>
      <c r="E90" s="106" t="n">
        <v>7</v>
      </c>
      <c r="F90" s="173" t="n">
        <v>7</v>
      </c>
      <c r="S90" s="167" t="n">
        <v>1075.678976</v>
      </c>
      <c r="T90" s="111" t="s">
        <v>246</v>
      </c>
      <c r="Y90" s="167" t="n">
        <v>475.95</v>
      </c>
      <c r="Z90" s="111" t="s">
        <v>246</v>
      </c>
      <c r="AA90" s="167" t="n">
        <v>42153.39</v>
      </c>
      <c r="AB90" s="111" t="s">
        <v>246</v>
      </c>
      <c r="AC90" s="164" t="n">
        <v>22.35</v>
      </c>
      <c r="AD90" s="111" t="s">
        <v>246</v>
      </c>
      <c r="AG90" s="167" t="n">
        <v>5.3</v>
      </c>
      <c r="AH90" s="111" t="s">
        <v>246</v>
      </c>
      <c r="AM90" s="167"/>
      <c r="BS90" s="167" t="n">
        <v>48.12</v>
      </c>
      <c r="BT90" s="111" t="s">
        <v>246</v>
      </c>
      <c r="BU90" s="164" t="n">
        <v>21.29</v>
      </c>
      <c r="BV90" s="111" t="s">
        <v>246</v>
      </c>
    </row>
    <row r="91" customFormat="false" ht="12.75" hidden="false" customHeight="false" outlineLevel="0" collapsed="false">
      <c r="A91" s="122" t="s">
        <v>441</v>
      </c>
      <c r="B91" s="172" t="s">
        <v>668</v>
      </c>
      <c r="C91" s="172" t="s">
        <v>758</v>
      </c>
      <c r="D91" s="172"/>
      <c r="E91" s="106" t="n">
        <v>11</v>
      </c>
      <c r="F91" s="173" t="n">
        <v>17</v>
      </c>
      <c r="S91" s="167" t="n">
        <v>1336.399808</v>
      </c>
      <c r="T91" s="111" t="s">
        <v>246</v>
      </c>
      <c r="Y91" s="167" t="n">
        <v>612.58</v>
      </c>
      <c r="Z91" s="111" t="s">
        <v>246</v>
      </c>
      <c r="AA91" s="167" t="n">
        <v>54493.91</v>
      </c>
      <c r="AB91" s="111" t="s">
        <v>246</v>
      </c>
      <c r="AC91" s="164" t="n">
        <v>27.89</v>
      </c>
      <c r="AD91" s="111" t="s">
        <v>246</v>
      </c>
      <c r="AG91" s="167" t="n">
        <v>5.12</v>
      </c>
      <c r="AH91" s="111" t="s">
        <v>246</v>
      </c>
      <c r="AM91" s="167"/>
      <c r="BS91" s="167" t="n">
        <v>47.92</v>
      </c>
      <c r="BT91" s="111" t="s">
        <v>246</v>
      </c>
      <c r="BU91" s="164" t="n">
        <v>21.96</v>
      </c>
      <c r="BV91" s="111" t="s">
        <v>246</v>
      </c>
    </row>
    <row r="92" customFormat="false" ht="12.75" hidden="false" customHeight="false" outlineLevel="0" collapsed="false">
      <c r="A92" s="122" t="s">
        <v>441</v>
      </c>
      <c r="B92" s="172" t="s">
        <v>665</v>
      </c>
      <c r="C92" s="172" t="s">
        <v>760</v>
      </c>
      <c r="D92" s="172"/>
      <c r="E92" s="106" t="n">
        <v>12</v>
      </c>
      <c r="F92" s="173" t="n">
        <v>55</v>
      </c>
      <c r="S92" s="167" t="n">
        <v>1082.926747</v>
      </c>
      <c r="T92" s="111" t="s">
        <v>246</v>
      </c>
      <c r="Y92" s="167" t="n">
        <v>477.06</v>
      </c>
      <c r="Z92" s="111" t="s">
        <v>246</v>
      </c>
      <c r="AA92" s="167" t="n">
        <v>44722.69</v>
      </c>
      <c r="AB92" s="111" t="s">
        <v>246</v>
      </c>
      <c r="AC92" s="164" t="n">
        <v>22.68</v>
      </c>
      <c r="AD92" s="111" t="s">
        <v>246</v>
      </c>
      <c r="AG92" s="167" t="n">
        <v>5.07</v>
      </c>
      <c r="AH92" s="111" t="s">
        <v>246</v>
      </c>
      <c r="AM92" s="167"/>
      <c r="BS92" s="167" t="n">
        <v>47.75</v>
      </c>
      <c r="BT92" s="111" t="s">
        <v>246</v>
      </c>
      <c r="BU92" s="164" t="n">
        <v>21.03</v>
      </c>
      <c r="BV92" s="111" t="s">
        <v>246</v>
      </c>
    </row>
    <row r="93" customFormat="false" ht="12.75" hidden="false" customHeight="false" outlineLevel="0" collapsed="false">
      <c r="A93" s="122" t="s">
        <v>441</v>
      </c>
      <c r="B93" s="172" t="s">
        <v>668</v>
      </c>
      <c r="C93" s="172" t="s">
        <v>760</v>
      </c>
      <c r="D93" s="172"/>
      <c r="E93" s="106" t="n">
        <v>15</v>
      </c>
      <c r="F93" s="173" t="n">
        <v>45</v>
      </c>
      <c r="S93" s="167" t="n">
        <v>1348.574919</v>
      </c>
      <c r="T93" s="111" t="s">
        <v>246</v>
      </c>
      <c r="Y93" s="167" t="n">
        <v>596.64</v>
      </c>
      <c r="Z93" s="111" t="s">
        <v>246</v>
      </c>
      <c r="AA93" s="167" t="n">
        <v>57980.75</v>
      </c>
      <c r="AB93" s="111" t="s">
        <v>246</v>
      </c>
      <c r="AC93" s="164" t="n">
        <v>27.99</v>
      </c>
      <c r="AD93" s="111" t="s">
        <v>246</v>
      </c>
      <c r="AG93" s="167" t="n">
        <v>4.83</v>
      </c>
      <c r="AH93" s="111" t="s">
        <v>246</v>
      </c>
      <c r="AM93" s="167"/>
      <c r="BS93" s="167" t="n">
        <v>48.19</v>
      </c>
      <c r="BT93" s="111" t="s">
        <v>246</v>
      </c>
      <c r="BU93" s="164" t="n">
        <v>21.32</v>
      </c>
      <c r="BV93" s="111" t="s">
        <v>246</v>
      </c>
    </row>
    <row r="94" customFormat="false" ht="12.75" hidden="false" customHeight="false" outlineLevel="0" collapsed="false">
      <c r="A94" s="122" t="s">
        <v>441</v>
      </c>
      <c r="B94" s="172" t="s">
        <v>665</v>
      </c>
      <c r="C94" s="172" t="s">
        <v>761</v>
      </c>
      <c r="D94" s="172"/>
      <c r="E94" s="106" t="n">
        <v>14</v>
      </c>
      <c r="F94" s="173" t="n">
        <v>28</v>
      </c>
      <c r="S94" s="167" t="n">
        <v>1565.144839</v>
      </c>
      <c r="T94" s="111" t="s">
        <v>246</v>
      </c>
      <c r="Y94" s="167" t="n">
        <v>677.63</v>
      </c>
      <c r="Z94" s="111" t="s">
        <v>246</v>
      </c>
      <c r="AA94" s="167" t="n">
        <v>63801.71</v>
      </c>
      <c r="AB94" s="111" t="s">
        <v>246</v>
      </c>
      <c r="AC94" s="164" t="n">
        <v>32.39</v>
      </c>
      <c r="AD94" s="111" t="s">
        <v>246</v>
      </c>
      <c r="AG94" s="167" t="n">
        <v>5.08</v>
      </c>
      <c r="AH94" s="111" t="s">
        <v>246</v>
      </c>
      <c r="AM94" s="167"/>
      <c r="BS94" s="167" t="n">
        <v>48.32</v>
      </c>
      <c r="BT94" s="111" t="s">
        <v>246</v>
      </c>
      <c r="BU94" s="164" t="n">
        <v>20.92</v>
      </c>
      <c r="BV94" s="111" t="s">
        <v>246</v>
      </c>
    </row>
    <row r="95" customFormat="false" ht="12.75" hidden="false" customHeight="false" outlineLevel="0" collapsed="false">
      <c r="A95" s="122" t="s">
        <v>441</v>
      </c>
      <c r="B95" s="172" t="s">
        <v>668</v>
      </c>
      <c r="C95" s="172" t="s">
        <v>761</v>
      </c>
      <c r="D95" s="172"/>
      <c r="E95" s="106" t="n">
        <v>19</v>
      </c>
      <c r="F95" s="173" t="n">
        <v>2</v>
      </c>
      <c r="S95" s="167" t="n">
        <v>1173.45488</v>
      </c>
      <c r="T95" s="111" t="s">
        <v>246</v>
      </c>
      <c r="Y95" s="167" t="n">
        <v>553.96</v>
      </c>
      <c r="Z95" s="111" t="s">
        <v>246</v>
      </c>
      <c r="AA95" s="167" t="n">
        <v>46921.49</v>
      </c>
      <c r="AB95" s="111" t="s">
        <v>246</v>
      </c>
      <c r="AC95" s="164" t="n">
        <v>24.88</v>
      </c>
      <c r="AD95" s="111" t="s">
        <v>246</v>
      </c>
      <c r="AG95" s="167" t="n">
        <v>5.3</v>
      </c>
      <c r="AH95" s="111" t="s">
        <v>246</v>
      </c>
      <c r="AM95" s="167"/>
      <c r="BS95" s="167" t="n">
        <v>47.17</v>
      </c>
      <c r="BT95" s="111" t="s">
        <v>246</v>
      </c>
      <c r="BU95" s="164" t="n">
        <v>22.27</v>
      </c>
      <c r="BV95" s="111" t="s">
        <v>246</v>
      </c>
    </row>
    <row r="96" customFormat="false" ht="12.75" hidden="false" customHeight="false" outlineLevel="0" collapsed="false">
      <c r="A96" s="122" t="s">
        <v>441</v>
      </c>
      <c r="B96" s="172" t="s">
        <v>665</v>
      </c>
      <c r="C96" s="172" t="s">
        <v>762</v>
      </c>
      <c r="D96" s="172"/>
      <c r="E96" s="106" t="n">
        <v>4</v>
      </c>
      <c r="F96" s="173" t="n">
        <v>20</v>
      </c>
      <c r="S96" s="167" t="n">
        <v>1185.566784</v>
      </c>
      <c r="T96" s="111" t="s">
        <v>246</v>
      </c>
      <c r="Y96" s="167" t="n">
        <v>528.11</v>
      </c>
      <c r="Z96" s="111" t="s">
        <v>246</v>
      </c>
      <c r="AA96" s="167" t="n">
        <v>58072.38</v>
      </c>
      <c r="AB96" s="111" t="s">
        <v>246</v>
      </c>
      <c r="AC96" s="164" t="n">
        <v>25.17</v>
      </c>
      <c r="AD96" s="111" t="s">
        <v>246</v>
      </c>
      <c r="AG96" s="167" t="n">
        <v>4.33</v>
      </c>
      <c r="AH96" s="111" t="s">
        <v>246</v>
      </c>
      <c r="AM96" s="167"/>
      <c r="BS96" s="167" t="n">
        <v>47.1</v>
      </c>
      <c r="BT96" s="111" t="s">
        <v>246</v>
      </c>
      <c r="BU96" s="164" t="n">
        <v>20.98</v>
      </c>
      <c r="BV96" s="111" t="s">
        <v>246</v>
      </c>
    </row>
    <row r="97" customFormat="false" ht="12.75" hidden="false" customHeight="false" outlineLevel="0" collapsed="false">
      <c r="A97" s="122" t="s">
        <v>441</v>
      </c>
      <c r="B97" s="172" t="s">
        <v>668</v>
      </c>
      <c r="C97" s="172" t="s">
        <v>762</v>
      </c>
      <c r="D97" s="172"/>
      <c r="E97" s="106" t="n">
        <v>1</v>
      </c>
      <c r="F97" s="173" t="n">
        <v>43</v>
      </c>
      <c r="S97" s="167" t="n">
        <v>862.0809427</v>
      </c>
      <c r="T97" s="111" t="s">
        <v>246</v>
      </c>
      <c r="Y97" s="167" t="n">
        <v>441.47</v>
      </c>
      <c r="Z97" s="111" t="s">
        <v>246</v>
      </c>
      <c r="AA97" s="167" t="n">
        <v>41421.68</v>
      </c>
      <c r="AB97" s="111" t="s">
        <v>246</v>
      </c>
      <c r="AC97" s="164" t="n">
        <v>18.85</v>
      </c>
      <c r="AD97" s="111" t="s">
        <v>246</v>
      </c>
      <c r="AG97" s="167" t="n">
        <v>4.55</v>
      </c>
      <c r="AH97" s="111" t="s">
        <v>246</v>
      </c>
      <c r="AM97" s="167"/>
      <c r="BS97" s="167" t="n">
        <v>45.72</v>
      </c>
      <c r="BT97" s="111" t="s">
        <v>246</v>
      </c>
      <c r="BU97" s="164" t="n">
        <v>23.42</v>
      </c>
      <c r="BV97" s="111" t="s">
        <v>246</v>
      </c>
    </row>
    <row r="98" customFormat="false" ht="12.75" hidden="false" customHeight="false" outlineLevel="0" collapsed="false">
      <c r="A98" s="122" t="s">
        <v>443</v>
      </c>
      <c r="B98" s="172" t="s">
        <v>665</v>
      </c>
      <c r="C98" s="172" t="s">
        <v>758</v>
      </c>
      <c r="D98" s="172"/>
      <c r="E98" s="106" t="n">
        <v>5</v>
      </c>
      <c r="F98" s="173" t="n">
        <v>15</v>
      </c>
      <c r="S98" s="167" t="n">
        <v>1421.218787</v>
      </c>
      <c r="T98" s="111" t="s">
        <v>246</v>
      </c>
      <c r="Y98" s="167" t="n">
        <v>661.79</v>
      </c>
      <c r="Z98" s="111" t="s">
        <v>246</v>
      </c>
      <c r="AA98" s="167" t="n">
        <v>67312.05</v>
      </c>
      <c r="AB98" s="111" t="s">
        <v>246</v>
      </c>
      <c r="AC98" s="164" t="n">
        <v>30.61</v>
      </c>
      <c r="AD98" s="111" t="s">
        <v>246</v>
      </c>
      <c r="AG98" s="167" t="n">
        <v>4.55</v>
      </c>
      <c r="AH98" s="111" t="s">
        <v>246</v>
      </c>
      <c r="AM98" s="167"/>
      <c r="BS98" s="167" t="n">
        <v>46.42</v>
      </c>
      <c r="BT98" s="111" t="s">
        <v>246</v>
      </c>
      <c r="BU98" s="164" t="n">
        <v>21.62</v>
      </c>
      <c r="BV98" s="111" t="s">
        <v>246</v>
      </c>
    </row>
    <row r="99" customFormat="false" ht="12.75" hidden="false" customHeight="false" outlineLevel="0" collapsed="false">
      <c r="A99" s="122" t="s">
        <v>443</v>
      </c>
      <c r="B99" s="172" t="s">
        <v>668</v>
      </c>
      <c r="C99" s="172" t="s">
        <v>758</v>
      </c>
      <c r="D99" s="172"/>
      <c r="E99" s="106" t="n">
        <v>11</v>
      </c>
      <c r="F99" s="173" t="n">
        <v>23</v>
      </c>
      <c r="S99" s="167" t="n">
        <v>1432.766177</v>
      </c>
      <c r="T99" s="111" t="s">
        <v>246</v>
      </c>
      <c r="Y99" s="167" t="n">
        <v>651.71</v>
      </c>
      <c r="Z99" s="111" t="s">
        <v>246</v>
      </c>
      <c r="AA99" s="167" t="n">
        <v>64251.28</v>
      </c>
      <c r="AB99" s="111" t="s">
        <v>246</v>
      </c>
      <c r="AC99" s="164" t="n">
        <v>30.22</v>
      </c>
      <c r="AD99" s="111" t="s">
        <v>246</v>
      </c>
      <c r="AG99" s="167" t="n">
        <v>4.7</v>
      </c>
      <c r="AH99" s="111" t="s">
        <v>246</v>
      </c>
      <c r="AM99" s="167"/>
      <c r="BS99" s="167" t="n">
        <v>47.41</v>
      </c>
      <c r="BT99" s="111" t="s">
        <v>246</v>
      </c>
      <c r="BU99" s="164" t="n">
        <v>21.57</v>
      </c>
      <c r="BV99" s="111" t="s">
        <v>246</v>
      </c>
    </row>
    <row r="100" customFormat="false" ht="12.75" hidden="false" customHeight="false" outlineLevel="0" collapsed="false">
      <c r="A100" s="122" t="s">
        <v>443</v>
      </c>
      <c r="B100" s="172" t="s">
        <v>665</v>
      </c>
      <c r="C100" s="172" t="s">
        <v>760</v>
      </c>
      <c r="D100" s="172"/>
      <c r="E100" s="106" t="n">
        <v>12</v>
      </c>
      <c r="F100" s="173" t="n">
        <v>46</v>
      </c>
      <c r="S100" s="167" t="n">
        <v>1609.618409</v>
      </c>
      <c r="T100" s="111" t="s">
        <v>246</v>
      </c>
      <c r="Y100" s="167" t="n">
        <v>687.98</v>
      </c>
      <c r="Z100" s="111" t="s">
        <v>246</v>
      </c>
      <c r="AA100" s="167" t="n">
        <v>72879.6</v>
      </c>
      <c r="AB100" s="111" t="s">
        <v>246</v>
      </c>
      <c r="AC100" s="164" t="n">
        <v>33.57</v>
      </c>
      <c r="AD100" s="111" t="s">
        <v>246</v>
      </c>
      <c r="AG100" s="167" t="n">
        <v>4.61</v>
      </c>
      <c r="AH100" s="111" t="s">
        <v>246</v>
      </c>
      <c r="AM100" s="167"/>
      <c r="BS100" s="167" t="n">
        <v>47.95</v>
      </c>
      <c r="BT100" s="111" t="s">
        <v>246</v>
      </c>
      <c r="BU100" s="164" t="n">
        <v>20.49</v>
      </c>
      <c r="BV100" s="111" t="s">
        <v>246</v>
      </c>
    </row>
    <row r="101" customFormat="false" ht="12.75" hidden="false" customHeight="false" outlineLevel="0" collapsed="false">
      <c r="A101" s="122" t="s">
        <v>443</v>
      </c>
      <c r="B101" s="172" t="s">
        <v>668</v>
      </c>
      <c r="C101" s="172" t="s">
        <v>760</v>
      </c>
      <c r="D101" s="172"/>
      <c r="E101" s="106" t="n">
        <v>13</v>
      </c>
      <c r="F101" s="173" t="n">
        <v>34</v>
      </c>
      <c r="S101" s="167" t="n">
        <v>1288.392718</v>
      </c>
      <c r="T101" s="111" t="s">
        <v>246</v>
      </c>
      <c r="Y101" s="167" t="n">
        <v>605.55</v>
      </c>
      <c r="Z101" s="111" t="s">
        <v>246</v>
      </c>
      <c r="AA101" s="167" t="n">
        <v>58553.84</v>
      </c>
      <c r="AB101" s="111" t="s">
        <v>246</v>
      </c>
      <c r="AC101" s="164" t="n">
        <v>28.05</v>
      </c>
      <c r="AD101" s="111" t="s">
        <v>246</v>
      </c>
      <c r="AG101" s="167" t="n">
        <v>4.79</v>
      </c>
      <c r="AH101" s="111" t="s">
        <v>246</v>
      </c>
      <c r="AM101" s="167"/>
      <c r="BS101" s="167" t="n">
        <v>45.94</v>
      </c>
      <c r="BT101" s="111" t="s">
        <v>246</v>
      </c>
      <c r="BU101" s="164" t="n">
        <v>21.59</v>
      </c>
      <c r="BV101" s="111" t="s">
        <v>246</v>
      </c>
    </row>
    <row r="102" customFormat="false" ht="12.75" hidden="false" customHeight="false" outlineLevel="0" collapsed="false">
      <c r="A102" s="122" t="s">
        <v>443</v>
      </c>
      <c r="B102" s="172" t="s">
        <v>665</v>
      </c>
      <c r="C102" s="172" t="s">
        <v>761</v>
      </c>
      <c r="D102" s="172"/>
      <c r="E102" s="106" t="n">
        <v>15</v>
      </c>
      <c r="F102" s="173" t="n">
        <v>28</v>
      </c>
      <c r="S102" s="167" t="n">
        <v>1322.585789</v>
      </c>
      <c r="T102" s="111" t="s">
        <v>246</v>
      </c>
      <c r="Y102" s="167" t="n">
        <v>621.15</v>
      </c>
      <c r="Z102" s="111" t="s">
        <v>246</v>
      </c>
      <c r="AA102" s="167" t="n">
        <v>64429.87</v>
      </c>
      <c r="AB102" s="111" t="s">
        <v>246</v>
      </c>
      <c r="AC102" s="164" t="n">
        <v>28.79</v>
      </c>
      <c r="AD102" s="111" t="s">
        <v>246</v>
      </c>
      <c r="AG102" s="167" t="n">
        <v>4.47</v>
      </c>
      <c r="AH102" s="111" t="s">
        <v>246</v>
      </c>
      <c r="AM102" s="167"/>
      <c r="BS102" s="167" t="n">
        <v>45.94</v>
      </c>
      <c r="BT102" s="111" t="s">
        <v>246</v>
      </c>
      <c r="BU102" s="164" t="n">
        <v>21.58</v>
      </c>
      <c r="BV102" s="111" t="s">
        <v>246</v>
      </c>
    </row>
    <row r="103" customFormat="false" ht="12.75" hidden="false" customHeight="false" outlineLevel="0" collapsed="false">
      <c r="A103" s="122" t="s">
        <v>443</v>
      </c>
      <c r="B103" s="172" t="s">
        <v>668</v>
      </c>
      <c r="C103" s="172" t="s">
        <v>761</v>
      </c>
      <c r="D103" s="172"/>
      <c r="E103" s="106" t="n">
        <v>20</v>
      </c>
      <c r="F103" s="173" t="n">
        <v>7</v>
      </c>
      <c r="S103" s="167" t="n">
        <v>956.4988987</v>
      </c>
      <c r="T103" s="111" t="s">
        <v>246</v>
      </c>
      <c r="Y103" s="167" t="n">
        <v>481.78</v>
      </c>
      <c r="Z103" s="111" t="s">
        <v>246</v>
      </c>
      <c r="AA103" s="167" t="n">
        <v>45958.5</v>
      </c>
      <c r="AB103" s="111" t="s">
        <v>246</v>
      </c>
      <c r="AC103" s="164" t="n">
        <v>21.05</v>
      </c>
      <c r="AD103" s="111" t="s">
        <v>246</v>
      </c>
      <c r="AG103" s="167" t="n">
        <v>4.58</v>
      </c>
      <c r="AH103" s="111" t="s">
        <v>246</v>
      </c>
      <c r="AM103" s="167"/>
      <c r="BS103" s="167" t="n">
        <v>45.44</v>
      </c>
      <c r="BT103" s="111" t="s">
        <v>246</v>
      </c>
      <c r="BU103" s="164" t="n">
        <v>22.89</v>
      </c>
      <c r="BV103" s="111" t="s">
        <v>246</v>
      </c>
    </row>
    <row r="104" customFormat="false" ht="12.75" hidden="false" customHeight="false" outlineLevel="0" collapsed="false">
      <c r="A104" s="122" t="s">
        <v>443</v>
      </c>
      <c r="B104" s="172" t="s">
        <v>665</v>
      </c>
      <c r="C104" s="172" t="s">
        <v>762</v>
      </c>
      <c r="D104" s="172"/>
      <c r="E104" s="106" t="n">
        <v>4</v>
      </c>
      <c r="F104" s="173" t="n">
        <v>19</v>
      </c>
      <c r="S104" s="167" t="n">
        <v>1531.390943</v>
      </c>
      <c r="T104" s="111" t="s">
        <v>246</v>
      </c>
      <c r="Y104" s="167" t="n">
        <v>664.07</v>
      </c>
      <c r="Z104" s="111" t="s">
        <v>246</v>
      </c>
      <c r="AA104" s="167" t="n">
        <v>67715.58</v>
      </c>
      <c r="AB104" s="111" t="s">
        <v>246</v>
      </c>
      <c r="AC104" s="164" t="n">
        <v>31.96</v>
      </c>
      <c r="AD104" s="111" t="s">
        <v>246</v>
      </c>
      <c r="AG104" s="167" t="n">
        <v>4.72</v>
      </c>
      <c r="AH104" s="111" t="s">
        <v>246</v>
      </c>
      <c r="AM104" s="167"/>
      <c r="BS104" s="167" t="n">
        <v>47.92</v>
      </c>
      <c r="BT104" s="111" t="s">
        <v>246</v>
      </c>
      <c r="BU104" s="164" t="n">
        <v>20.78</v>
      </c>
      <c r="BV104" s="111" t="s">
        <v>246</v>
      </c>
    </row>
    <row r="105" customFormat="false" ht="12.75" hidden="false" customHeight="false" outlineLevel="0" collapsed="false">
      <c r="A105" s="122" t="s">
        <v>443</v>
      </c>
      <c r="B105" s="172" t="s">
        <v>668</v>
      </c>
      <c r="C105" s="172" t="s">
        <v>762</v>
      </c>
      <c r="D105" s="172"/>
      <c r="E105" s="106" t="n">
        <v>3</v>
      </c>
      <c r="F105" s="173" t="n">
        <v>48</v>
      </c>
      <c r="S105" s="167" t="n">
        <v>1065.039432</v>
      </c>
      <c r="T105" s="111" t="s">
        <v>246</v>
      </c>
      <c r="Y105" s="167" t="n">
        <v>530.9</v>
      </c>
      <c r="Z105" s="111" t="s">
        <v>246</v>
      </c>
      <c r="AA105" s="167" t="n">
        <v>51982.59</v>
      </c>
      <c r="AB105" s="111" t="s">
        <v>246</v>
      </c>
      <c r="AC105" s="164" t="n">
        <v>23.61</v>
      </c>
      <c r="AD105" s="111" t="s">
        <v>246</v>
      </c>
      <c r="AG105" s="167" t="n">
        <v>4.54</v>
      </c>
      <c r="AH105" s="111" t="s">
        <v>246</v>
      </c>
      <c r="AM105" s="167"/>
      <c r="BS105" s="167" t="n">
        <v>45.1</v>
      </c>
      <c r="BT105" s="111" t="s">
        <v>246</v>
      </c>
      <c r="BU105" s="164" t="n">
        <v>22.48</v>
      </c>
      <c r="BV105" s="111" t="s">
        <v>246</v>
      </c>
    </row>
    <row r="106" customFormat="false" ht="12.75" hidden="false" customHeight="false" outlineLevel="0" collapsed="false">
      <c r="A106" s="122" t="s">
        <v>445</v>
      </c>
      <c r="B106" s="172" t="s">
        <v>665</v>
      </c>
      <c r="C106" s="172" t="s">
        <v>758</v>
      </c>
      <c r="D106" s="172"/>
      <c r="E106" s="106" t="n">
        <v>8</v>
      </c>
      <c r="F106" s="173" t="n">
        <v>16</v>
      </c>
      <c r="S106" s="167" t="n">
        <v>1493.765559</v>
      </c>
      <c r="T106" s="111" t="s">
        <v>246</v>
      </c>
      <c r="Y106" s="167" t="n">
        <v>663.78</v>
      </c>
      <c r="Z106" s="111" t="s">
        <v>246</v>
      </c>
      <c r="AA106" s="167" t="n">
        <v>62415.59</v>
      </c>
      <c r="AB106" s="111" t="s">
        <v>246</v>
      </c>
      <c r="AC106" s="164" t="n">
        <v>31.21</v>
      </c>
      <c r="AD106" s="111" t="s">
        <v>246</v>
      </c>
      <c r="AG106" s="167" t="n">
        <v>5</v>
      </c>
      <c r="AH106" s="111" t="s">
        <v>246</v>
      </c>
      <c r="AM106" s="167"/>
      <c r="BS106" s="167" t="n">
        <v>47.87</v>
      </c>
      <c r="BT106" s="111" t="s">
        <v>246</v>
      </c>
      <c r="BU106" s="164" t="n">
        <v>21.27</v>
      </c>
      <c r="BV106" s="111" t="s">
        <v>246</v>
      </c>
    </row>
    <row r="107" customFormat="false" ht="12.75" hidden="false" customHeight="false" outlineLevel="0" collapsed="false">
      <c r="A107" s="122" t="s">
        <v>445</v>
      </c>
      <c r="B107" s="172" t="s">
        <v>668</v>
      </c>
      <c r="C107" s="172" t="s">
        <v>758</v>
      </c>
      <c r="D107" s="172"/>
      <c r="E107" s="106" t="n">
        <v>9</v>
      </c>
      <c r="F107" s="173" t="n">
        <v>6</v>
      </c>
      <c r="S107" s="167" t="n">
        <v>1545.124957</v>
      </c>
      <c r="T107" s="111" t="s">
        <v>246</v>
      </c>
      <c r="Y107" s="167" t="n">
        <v>668.43</v>
      </c>
      <c r="Z107" s="111" t="s">
        <v>246</v>
      </c>
      <c r="AA107" s="167" t="n">
        <v>66283.32</v>
      </c>
      <c r="AB107" s="111" t="s">
        <v>246</v>
      </c>
      <c r="AC107" s="164" t="n">
        <v>31.89</v>
      </c>
      <c r="AD107" s="111" t="s">
        <v>246</v>
      </c>
      <c r="AG107" s="167" t="n">
        <v>4.81092437</v>
      </c>
      <c r="AH107" s="111" t="s">
        <v>246</v>
      </c>
      <c r="AM107" s="167"/>
      <c r="BS107" s="167" t="n">
        <v>48.45</v>
      </c>
      <c r="BT107" s="111" t="s">
        <v>246</v>
      </c>
      <c r="BU107" s="164" t="n">
        <v>20.96</v>
      </c>
      <c r="BV107" s="111" t="s">
        <v>246</v>
      </c>
    </row>
    <row r="108" customFormat="false" ht="12.75" hidden="false" customHeight="false" outlineLevel="0" collapsed="false">
      <c r="A108" s="122" t="s">
        <v>445</v>
      </c>
      <c r="B108" s="172" t="s">
        <v>665</v>
      </c>
      <c r="C108" s="172" t="s">
        <v>760</v>
      </c>
      <c r="D108" s="172"/>
      <c r="E108" s="106" t="n">
        <v>12</v>
      </c>
      <c r="F108" s="173" t="n">
        <v>41</v>
      </c>
      <c r="S108" s="167" t="n">
        <v>1484.992755</v>
      </c>
      <c r="T108" s="111" t="s">
        <v>246</v>
      </c>
      <c r="Y108" s="167" t="n">
        <v>610.47</v>
      </c>
      <c r="Z108" s="111" t="s">
        <v>246</v>
      </c>
      <c r="AA108" s="167" t="n">
        <v>62542.73</v>
      </c>
      <c r="AB108" s="111" t="s">
        <v>246</v>
      </c>
      <c r="AC108" s="164" t="n">
        <v>30.29</v>
      </c>
      <c r="AD108" s="111" t="s">
        <v>246</v>
      </c>
      <c r="AG108" s="167" t="n">
        <v>4.8434238</v>
      </c>
      <c r="AH108" s="111" t="s">
        <v>246</v>
      </c>
      <c r="AM108" s="167"/>
      <c r="BS108" s="167" t="n">
        <v>49.02</v>
      </c>
      <c r="BT108" s="111" t="s">
        <v>246</v>
      </c>
      <c r="BU108" s="164" t="n">
        <v>20.15</v>
      </c>
      <c r="BV108" s="111" t="s">
        <v>246</v>
      </c>
    </row>
    <row r="109" customFormat="false" ht="12.75" hidden="false" customHeight="false" outlineLevel="0" collapsed="false">
      <c r="A109" s="122" t="s">
        <v>445</v>
      </c>
      <c r="B109" s="172" t="s">
        <v>668</v>
      </c>
      <c r="C109" s="172" t="s">
        <v>760</v>
      </c>
      <c r="D109" s="172"/>
      <c r="E109" s="106" t="n">
        <v>15</v>
      </c>
      <c r="F109" s="173" t="n">
        <v>55</v>
      </c>
      <c r="S109" s="167" t="n">
        <v>1066.318121</v>
      </c>
      <c r="T109" s="111" t="s">
        <v>246</v>
      </c>
      <c r="Y109" s="167" t="n">
        <v>497.51</v>
      </c>
      <c r="Z109" s="111" t="s">
        <v>246</v>
      </c>
      <c r="AA109" s="167" t="n">
        <v>49113.99</v>
      </c>
      <c r="AB109" s="111" t="s">
        <v>246</v>
      </c>
      <c r="AC109" s="164" t="n">
        <v>22.76</v>
      </c>
      <c r="AD109" s="111" t="s">
        <v>246</v>
      </c>
      <c r="AG109" s="167" t="n">
        <v>4.633901705</v>
      </c>
      <c r="AH109" s="111" t="s">
        <v>246</v>
      </c>
      <c r="AM109" s="167"/>
      <c r="BS109" s="167" t="n">
        <v>46.85</v>
      </c>
      <c r="BT109" s="111" t="s">
        <v>246</v>
      </c>
      <c r="BU109" s="164" t="n">
        <v>21.86</v>
      </c>
      <c r="BV109" s="111" t="s">
        <v>246</v>
      </c>
    </row>
    <row r="110" customFormat="false" ht="12.75" hidden="false" customHeight="false" outlineLevel="0" collapsed="false">
      <c r="A110" s="122" t="s">
        <v>445</v>
      </c>
      <c r="B110" s="172" t="s">
        <v>665</v>
      </c>
      <c r="C110" s="172" t="s">
        <v>761</v>
      </c>
      <c r="D110" s="172"/>
      <c r="E110" s="106" t="n">
        <v>16</v>
      </c>
      <c r="F110" s="173" t="n">
        <v>28</v>
      </c>
      <c r="S110" s="167" t="n">
        <v>1565.657909</v>
      </c>
      <c r="T110" s="111" t="s">
        <v>246</v>
      </c>
      <c r="Y110" s="167" t="n">
        <v>679.84</v>
      </c>
      <c r="Z110" s="111" t="s">
        <v>246</v>
      </c>
      <c r="AA110" s="167" t="n">
        <v>64738.87</v>
      </c>
      <c r="AB110" s="111" t="s">
        <v>246</v>
      </c>
      <c r="AC110" s="164" t="n">
        <v>33.13</v>
      </c>
      <c r="AD110" s="111" t="s">
        <v>246</v>
      </c>
      <c r="AG110" s="167" t="n">
        <v>5.11679644</v>
      </c>
      <c r="AH110" s="111" t="s">
        <v>246</v>
      </c>
      <c r="AM110" s="167"/>
      <c r="BS110" s="167" t="n">
        <v>47.26</v>
      </c>
      <c r="BT110" s="111" t="s">
        <v>246</v>
      </c>
      <c r="BU110" s="164" t="n">
        <v>20.52</v>
      </c>
      <c r="BV110" s="111" t="s">
        <v>246</v>
      </c>
    </row>
    <row r="111" customFormat="false" ht="12.75" hidden="false" customHeight="false" outlineLevel="0" collapsed="false">
      <c r="A111" s="122" t="s">
        <v>445</v>
      </c>
      <c r="B111" s="172" t="s">
        <v>668</v>
      </c>
      <c r="C111" s="172" t="s">
        <v>761</v>
      </c>
      <c r="D111" s="172"/>
      <c r="E111" s="106" t="n">
        <v>19</v>
      </c>
      <c r="F111" s="173" t="n">
        <v>9</v>
      </c>
      <c r="S111" s="167" t="n">
        <v>1370.85592</v>
      </c>
      <c r="T111" s="111" t="s">
        <v>246</v>
      </c>
      <c r="Y111" s="167" t="n">
        <v>621.96</v>
      </c>
      <c r="Z111" s="111" t="s">
        <v>246</v>
      </c>
      <c r="AA111" s="167" t="n">
        <v>63727.18</v>
      </c>
      <c r="AB111" s="111" t="s">
        <v>246</v>
      </c>
      <c r="AC111" s="164" t="n">
        <v>29.55</v>
      </c>
      <c r="AD111" s="111" t="s">
        <v>246</v>
      </c>
      <c r="AG111" s="167" t="n">
        <v>4.637096774</v>
      </c>
      <c r="AH111" s="111" t="s">
        <v>246</v>
      </c>
      <c r="AM111" s="167"/>
      <c r="BS111" s="167" t="n">
        <v>46.39</v>
      </c>
      <c r="BT111" s="111" t="s">
        <v>246</v>
      </c>
      <c r="BU111" s="164" t="n">
        <v>21.05</v>
      </c>
      <c r="BV111" s="111" t="s">
        <v>246</v>
      </c>
    </row>
    <row r="112" customFormat="false" ht="12.75" hidden="false" customHeight="false" outlineLevel="0" collapsed="false">
      <c r="A112" s="122" t="s">
        <v>445</v>
      </c>
      <c r="B112" s="172" t="s">
        <v>665</v>
      </c>
      <c r="C112" s="172" t="s">
        <v>762</v>
      </c>
      <c r="D112" s="172"/>
      <c r="E112" s="106" t="n">
        <v>2</v>
      </c>
      <c r="F112" s="173" t="n">
        <v>21</v>
      </c>
      <c r="S112" s="167" t="n">
        <v>1639.346057</v>
      </c>
      <c r="T112" s="111" t="s">
        <v>246</v>
      </c>
      <c r="Y112" s="167" t="n">
        <v>694.21</v>
      </c>
      <c r="Z112" s="111" t="s">
        <v>246</v>
      </c>
      <c r="AA112" s="167" t="n">
        <v>70603.04</v>
      </c>
      <c r="AB112" s="111" t="s">
        <v>246</v>
      </c>
      <c r="AC112" s="164" t="n">
        <v>34.57</v>
      </c>
      <c r="AD112" s="111" t="s">
        <v>246</v>
      </c>
      <c r="AG112" s="167" t="n">
        <v>4.89626556</v>
      </c>
      <c r="AH112" s="111" t="s">
        <v>246</v>
      </c>
      <c r="AM112" s="167"/>
      <c r="BS112" s="167" t="n">
        <v>47.42</v>
      </c>
      <c r="BT112" s="111" t="s">
        <v>246</v>
      </c>
      <c r="BU112" s="164" t="n">
        <v>20.08</v>
      </c>
      <c r="BV112" s="111" t="s">
        <v>246</v>
      </c>
    </row>
    <row r="113" customFormat="false" ht="12.75" hidden="false" customHeight="false" outlineLevel="0" collapsed="false">
      <c r="A113" s="122" t="s">
        <v>445</v>
      </c>
      <c r="B113" s="172" t="s">
        <v>668</v>
      </c>
      <c r="C113" s="172" t="s">
        <v>762</v>
      </c>
      <c r="D113" s="172"/>
      <c r="E113" s="106" t="n">
        <v>4</v>
      </c>
      <c r="F113" s="173" t="n">
        <v>58</v>
      </c>
      <c r="S113" s="167" t="n">
        <v>1635.597572</v>
      </c>
      <c r="T113" s="111" t="s">
        <v>246</v>
      </c>
      <c r="Y113" s="167" t="n">
        <v>758.84</v>
      </c>
      <c r="Z113" s="111" t="s">
        <v>246</v>
      </c>
      <c r="AA113" s="167" t="n">
        <v>73676.34</v>
      </c>
      <c r="AB113" s="111" t="s">
        <v>246</v>
      </c>
      <c r="AC113" s="164" t="n">
        <v>35.21</v>
      </c>
      <c r="AD113" s="111" t="s">
        <v>246</v>
      </c>
      <c r="AG113" s="167" t="n">
        <v>4.779033916</v>
      </c>
      <c r="AH113" s="111" t="s">
        <v>246</v>
      </c>
      <c r="AM113" s="167"/>
      <c r="BS113" s="167" t="n">
        <v>46.45</v>
      </c>
      <c r="BT113" s="111" t="s">
        <v>246</v>
      </c>
      <c r="BU113" s="164" t="n">
        <v>21.55</v>
      </c>
      <c r="BV113" s="111" t="s">
        <v>246</v>
      </c>
    </row>
    <row r="114" customFormat="false" ht="12.75" hidden="false" customHeight="false" outlineLevel="0" collapsed="false">
      <c r="A114" s="122" t="s">
        <v>447</v>
      </c>
      <c r="B114" s="172" t="s">
        <v>665</v>
      </c>
      <c r="C114" s="172" t="s">
        <v>758</v>
      </c>
      <c r="D114" s="172"/>
      <c r="E114" s="106" t="n">
        <v>6</v>
      </c>
      <c r="F114" s="173" t="n">
        <v>30</v>
      </c>
      <c r="S114" s="167" t="n">
        <v>1212.022584</v>
      </c>
      <c r="T114" s="111" t="s">
        <v>246</v>
      </c>
      <c r="Y114" s="167" t="n">
        <v>557.85</v>
      </c>
      <c r="Z114" s="111" t="s">
        <v>246</v>
      </c>
      <c r="AA114" s="167" t="n">
        <v>52228.44</v>
      </c>
      <c r="AB114" s="111" t="s">
        <v>246</v>
      </c>
      <c r="AC114" s="164" t="n">
        <v>25.69</v>
      </c>
      <c r="AD114" s="111" t="s">
        <v>246</v>
      </c>
      <c r="AG114" s="167" t="n">
        <v>4.91926803</v>
      </c>
      <c r="AH114" s="111" t="s">
        <v>246</v>
      </c>
      <c r="AM114" s="167"/>
      <c r="BS114" s="167" t="n">
        <v>47.17</v>
      </c>
      <c r="BT114" s="111" t="s">
        <v>246</v>
      </c>
      <c r="BU114" s="164" t="n">
        <v>21.71</v>
      </c>
      <c r="BV114" s="111" t="s">
        <v>246</v>
      </c>
    </row>
    <row r="115" customFormat="false" ht="12.75" hidden="false" customHeight="false" outlineLevel="0" collapsed="false">
      <c r="A115" s="122" t="s">
        <v>447</v>
      </c>
      <c r="B115" s="172" t="s">
        <v>668</v>
      </c>
      <c r="C115" s="172" t="s">
        <v>758</v>
      </c>
      <c r="D115" s="172"/>
      <c r="E115" s="106" t="n">
        <v>10</v>
      </c>
      <c r="F115" s="173" t="n">
        <v>17</v>
      </c>
      <c r="S115" s="167" t="n">
        <v>1448.349695</v>
      </c>
      <c r="T115" s="111" t="s">
        <v>246</v>
      </c>
      <c r="Y115" s="167" t="n">
        <v>636.57</v>
      </c>
      <c r="Z115" s="111" t="s">
        <v>246</v>
      </c>
      <c r="AA115" s="167" t="n">
        <v>60743.3</v>
      </c>
      <c r="AB115" s="111" t="s">
        <v>246</v>
      </c>
      <c r="AC115" s="164" t="n">
        <v>30.24</v>
      </c>
      <c r="AD115" s="111" t="s">
        <v>246</v>
      </c>
      <c r="AG115" s="167" t="n">
        <v>4.97826087</v>
      </c>
      <c r="AH115" s="111" t="s">
        <v>246</v>
      </c>
      <c r="AM115" s="167"/>
      <c r="BS115" s="167" t="n">
        <v>47.9</v>
      </c>
      <c r="BT115" s="111" t="s">
        <v>246</v>
      </c>
      <c r="BU115" s="164" t="n">
        <v>21.05</v>
      </c>
      <c r="BV115" s="111" t="s">
        <v>246</v>
      </c>
    </row>
    <row r="116" customFormat="false" ht="12.75" hidden="false" customHeight="false" outlineLevel="0" collapsed="false">
      <c r="A116" s="122" t="s">
        <v>447</v>
      </c>
      <c r="B116" s="172" t="s">
        <v>665</v>
      </c>
      <c r="C116" s="172" t="s">
        <v>760</v>
      </c>
      <c r="D116" s="172"/>
      <c r="E116" s="106" t="n">
        <v>9</v>
      </c>
      <c r="F116" s="173" t="n">
        <v>51</v>
      </c>
      <c r="S116" s="167" t="n">
        <v>1147.258841</v>
      </c>
      <c r="T116" s="111" t="s">
        <v>246</v>
      </c>
      <c r="Y116" s="167" t="n">
        <v>516.99</v>
      </c>
      <c r="Z116" s="111" t="s">
        <v>246</v>
      </c>
      <c r="AA116" s="167" t="n">
        <v>48389.8</v>
      </c>
      <c r="AB116" s="111" t="s">
        <v>246</v>
      </c>
      <c r="AC116" s="164" t="n">
        <v>24.27</v>
      </c>
      <c r="AD116" s="111" t="s">
        <v>246</v>
      </c>
      <c r="AG116" s="167" t="n">
        <v>5.016429354</v>
      </c>
      <c r="AH116" s="111" t="s">
        <v>246</v>
      </c>
      <c r="AM116" s="167"/>
      <c r="BS116" s="167" t="n">
        <v>47.26</v>
      </c>
      <c r="BT116" s="111" t="s">
        <v>246</v>
      </c>
      <c r="BU116" s="164" t="n">
        <v>21.3</v>
      </c>
      <c r="BV116" s="111" t="s">
        <v>246</v>
      </c>
    </row>
    <row r="117" customFormat="false" ht="12.75" hidden="false" customHeight="false" outlineLevel="0" collapsed="false">
      <c r="A117" s="122" t="s">
        <v>447</v>
      </c>
      <c r="B117" s="172" t="s">
        <v>668</v>
      </c>
      <c r="C117" s="172" t="s">
        <v>760</v>
      </c>
      <c r="D117" s="172"/>
      <c r="E117" s="106" t="n">
        <v>15</v>
      </c>
      <c r="F117" s="173" t="n">
        <v>40</v>
      </c>
      <c r="S117" s="167" t="s">
        <v>759</v>
      </c>
      <c r="T117" s="111" t="s">
        <v>246</v>
      </c>
      <c r="Y117" s="167" t="s">
        <v>759</v>
      </c>
      <c r="Z117" s="111" t="s">
        <v>246</v>
      </c>
      <c r="AA117" s="167" t="s">
        <v>759</v>
      </c>
      <c r="AB117" s="111" t="s">
        <v>246</v>
      </c>
      <c r="AC117" s="164" t="s">
        <v>759</v>
      </c>
      <c r="AD117" s="111" t="s">
        <v>246</v>
      </c>
      <c r="AG117" s="167" t="s">
        <v>759</v>
      </c>
      <c r="AH117" s="111" t="s">
        <v>246</v>
      </c>
      <c r="AM117" s="167"/>
      <c r="BS117" s="167" t="s">
        <v>759</v>
      </c>
      <c r="BT117" s="111" t="s">
        <v>246</v>
      </c>
      <c r="BU117" s="164" t="s">
        <v>759</v>
      </c>
      <c r="BV117" s="111" t="s">
        <v>246</v>
      </c>
    </row>
    <row r="118" customFormat="false" ht="12.75" hidden="false" customHeight="false" outlineLevel="0" collapsed="false">
      <c r="A118" s="122" t="s">
        <v>447</v>
      </c>
      <c r="B118" s="172" t="s">
        <v>665</v>
      </c>
      <c r="C118" s="172" t="s">
        <v>761</v>
      </c>
      <c r="D118" s="172"/>
      <c r="E118" s="106" t="n">
        <v>13</v>
      </c>
      <c r="F118" s="173" t="n">
        <v>27</v>
      </c>
      <c r="S118" s="167" t="n">
        <v>1256.670404</v>
      </c>
      <c r="T118" s="111" t="s">
        <v>246</v>
      </c>
      <c r="Y118" s="167" t="n">
        <v>593.02</v>
      </c>
      <c r="Z118" s="111" t="s">
        <v>246</v>
      </c>
      <c r="AA118" s="167" t="n">
        <v>52244.66</v>
      </c>
      <c r="AB118" s="111" t="s">
        <v>246</v>
      </c>
      <c r="AC118" s="164" t="n">
        <v>26.82</v>
      </c>
      <c r="AD118" s="111" t="s">
        <v>246</v>
      </c>
      <c r="AG118" s="167" t="n">
        <v>5.13363029</v>
      </c>
      <c r="AH118" s="111" t="s">
        <v>246</v>
      </c>
      <c r="AM118" s="167"/>
      <c r="BS118" s="167" t="n">
        <v>46.85</v>
      </c>
      <c r="BT118" s="111" t="s">
        <v>246</v>
      </c>
      <c r="BU118" s="164" t="n">
        <v>22.11</v>
      </c>
      <c r="BV118" s="111" t="s">
        <v>246</v>
      </c>
    </row>
    <row r="119" customFormat="false" ht="12.75" hidden="false" customHeight="false" outlineLevel="0" collapsed="false">
      <c r="A119" s="122" t="s">
        <v>447</v>
      </c>
      <c r="B119" s="172" t="s">
        <v>668</v>
      </c>
      <c r="C119" s="172" t="s">
        <v>761</v>
      </c>
      <c r="D119" s="172"/>
      <c r="E119" s="106" t="n">
        <v>18</v>
      </c>
      <c r="F119" s="173" t="n">
        <v>14</v>
      </c>
      <c r="S119" s="167" t="n">
        <v>1247.81042</v>
      </c>
      <c r="T119" s="111" t="s">
        <v>246</v>
      </c>
      <c r="Y119" s="167" t="n">
        <v>584.36</v>
      </c>
      <c r="Z119" s="111" t="s">
        <v>246</v>
      </c>
      <c r="AA119" s="167" t="n">
        <v>52923.38</v>
      </c>
      <c r="AB119" s="111" t="s">
        <v>246</v>
      </c>
      <c r="AC119" s="164" t="n">
        <v>26.52</v>
      </c>
      <c r="AD119" s="111" t="s">
        <v>246</v>
      </c>
      <c r="AG119" s="167" t="n">
        <v>5.010752688</v>
      </c>
      <c r="AH119" s="111" t="s">
        <v>246</v>
      </c>
      <c r="AM119" s="167"/>
      <c r="BS119" s="167" t="n">
        <v>47.05</v>
      </c>
      <c r="BT119" s="111" t="s">
        <v>246</v>
      </c>
      <c r="BU119" s="164" t="n">
        <v>22.04</v>
      </c>
      <c r="BV119" s="111" t="s">
        <v>246</v>
      </c>
    </row>
    <row r="120" customFormat="false" ht="12.75" hidden="false" customHeight="false" outlineLevel="0" collapsed="false">
      <c r="A120" s="162" t="s">
        <v>447</v>
      </c>
      <c r="B120" s="172" t="s">
        <v>665</v>
      </c>
      <c r="C120" s="172" t="s">
        <v>762</v>
      </c>
      <c r="D120" s="172"/>
      <c r="E120" s="106" t="n">
        <v>2</v>
      </c>
      <c r="F120" s="173" t="n">
        <v>19</v>
      </c>
      <c r="S120" s="167" t="n">
        <v>1061.601579</v>
      </c>
      <c r="T120" s="111" t="s">
        <v>246</v>
      </c>
      <c r="Y120" s="167" t="n">
        <v>488.34</v>
      </c>
      <c r="Z120" s="111" t="s">
        <v>246</v>
      </c>
      <c r="AA120" s="167" t="n">
        <v>45765.7</v>
      </c>
      <c r="AB120" s="111" t="s">
        <v>246</v>
      </c>
      <c r="AC120" s="164" t="n">
        <v>22.66</v>
      </c>
      <c r="AD120" s="111" t="s">
        <v>246</v>
      </c>
      <c r="AG120" s="167" t="n">
        <v>4.952178533</v>
      </c>
      <c r="AH120" s="111" t="s">
        <v>246</v>
      </c>
      <c r="AM120" s="167"/>
      <c r="BS120" s="167" t="n">
        <v>46.84</v>
      </c>
      <c r="BT120" s="111" t="s">
        <v>246</v>
      </c>
      <c r="BU120" s="164" t="n">
        <v>21.55</v>
      </c>
      <c r="BV120" s="111" t="s">
        <v>246</v>
      </c>
    </row>
    <row r="121" customFormat="false" ht="12.75" hidden="false" customHeight="false" outlineLevel="0" collapsed="false">
      <c r="A121" s="162" t="s">
        <v>447</v>
      </c>
      <c r="B121" s="172" t="s">
        <v>668</v>
      </c>
      <c r="C121" s="172" t="s">
        <v>762</v>
      </c>
      <c r="D121" s="172"/>
      <c r="E121" s="106" t="n">
        <v>3</v>
      </c>
      <c r="F121" s="173" t="n">
        <v>40</v>
      </c>
      <c r="S121" s="167" t="n">
        <v>1149.687589</v>
      </c>
      <c r="T121" s="111" t="s">
        <v>246</v>
      </c>
      <c r="Y121" s="167" t="n">
        <v>568.61</v>
      </c>
      <c r="Z121" s="111" t="s">
        <v>246</v>
      </c>
      <c r="AA121" s="167" t="n">
        <v>54022.5</v>
      </c>
      <c r="AB121" s="111" t="s">
        <v>246</v>
      </c>
      <c r="AC121" s="164" t="n">
        <v>25.21</v>
      </c>
      <c r="AD121" s="111" t="s">
        <v>246</v>
      </c>
      <c r="AG121" s="167" t="n">
        <v>4.666666667</v>
      </c>
      <c r="AH121" s="111" t="s">
        <v>246</v>
      </c>
      <c r="AM121" s="167"/>
      <c r="BS121" s="167" t="n">
        <v>45.6</v>
      </c>
      <c r="BT121" s="111" t="s">
        <v>246</v>
      </c>
      <c r="BU121" s="164" t="n">
        <v>22.55</v>
      </c>
      <c r="BV121" s="111" t="s">
        <v>246</v>
      </c>
    </row>
    <row r="122" customFormat="false" ht="12.75" hidden="false" customHeight="false" outlineLevel="0" collapsed="false">
      <c r="A122" s="162" t="s">
        <v>449</v>
      </c>
      <c r="B122" s="172" t="s">
        <v>665</v>
      </c>
      <c r="C122" s="172" t="s">
        <v>758</v>
      </c>
      <c r="D122" s="172"/>
      <c r="E122" s="106" t="n">
        <v>6</v>
      </c>
      <c r="F122" s="173" t="n">
        <v>21</v>
      </c>
      <c r="S122" s="167" t="n">
        <v>1591.629265</v>
      </c>
      <c r="T122" s="111" t="s">
        <v>246</v>
      </c>
      <c r="Y122" s="167" t="n">
        <v>707.19</v>
      </c>
      <c r="Z122" s="111" t="s">
        <v>246</v>
      </c>
      <c r="AA122" s="167" t="n">
        <v>68488.56</v>
      </c>
      <c r="AB122" s="111" t="s">
        <v>246</v>
      </c>
      <c r="AC122" s="164" t="n">
        <v>33.43</v>
      </c>
      <c r="AD122" s="111" t="s">
        <v>246</v>
      </c>
      <c r="AG122" s="167" t="n">
        <v>4.880434783</v>
      </c>
      <c r="AH122" s="111" t="s">
        <v>246</v>
      </c>
      <c r="AM122" s="167"/>
      <c r="BS122" s="167" t="n">
        <v>47.62</v>
      </c>
      <c r="BT122" s="111" t="s">
        <v>246</v>
      </c>
      <c r="BU122" s="164" t="n">
        <v>21.16</v>
      </c>
      <c r="BV122" s="111" t="s">
        <v>246</v>
      </c>
    </row>
    <row r="123" customFormat="false" ht="12.75" hidden="false" customHeight="false" outlineLevel="0" collapsed="false">
      <c r="A123" s="162" t="s">
        <v>449</v>
      </c>
      <c r="B123" s="172" t="s">
        <v>668</v>
      </c>
      <c r="C123" s="172" t="s">
        <v>758</v>
      </c>
      <c r="D123" s="172"/>
      <c r="E123" s="106" t="n">
        <v>11</v>
      </c>
      <c r="F123" s="173" t="n">
        <v>16</v>
      </c>
      <c r="S123" s="167" t="n">
        <v>1782.021105</v>
      </c>
      <c r="T123" s="111" t="s">
        <v>246</v>
      </c>
      <c r="Y123" s="167" t="n">
        <v>774.51</v>
      </c>
      <c r="Z123" s="111" t="s">
        <v>246</v>
      </c>
      <c r="AA123" s="167" t="n">
        <v>76411.61</v>
      </c>
      <c r="AB123" s="111" t="s">
        <v>246</v>
      </c>
      <c r="AC123" s="164" t="n">
        <v>37.34</v>
      </c>
      <c r="AD123" s="111" t="s">
        <v>246</v>
      </c>
      <c r="AG123" s="167" t="n">
        <v>4.887218045</v>
      </c>
      <c r="AH123" s="111" t="s">
        <v>246</v>
      </c>
      <c r="AM123" s="167"/>
      <c r="BS123" s="167" t="n">
        <v>47.72</v>
      </c>
      <c r="BT123" s="111" t="s">
        <v>246</v>
      </c>
      <c r="BU123" s="164" t="n">
        <v>20.74</v>
      </c>
      <c r="BV123" s="111" t="s">
        <v>246</v>
      </c>
    </row>
    <row r="124" customFormat="false" ht="12.75" hidden="false" customHeight="false" outlineLevel="0" collapsed="false">
      <c r="A124" s="162" t="s">
        <v>449</v>
      </c>
      <c r="B124" s="172" t="s">
        <v>665</v>
      </c>
      <c r="C124" s="172" t="s">
        <v>760</v>
      </c>
      <c r="D124" s="172"/>
      <c r="E124" s="106" t="n">
        <v>10</v>
      </c>
      <c r="F124" s="173" t="n">
        <v>50</v>
      </c>
      <c r="S124" s="167" t="n">
        <v>1762.621451</v>
      </c>
      <c r="T124" s="111" t="s">
        <v>246</v>
      </c>
      <c r="Y124" s="167" t="n">
        <v>745.62</v>
      </c>
      <c r="Z124" s="111" t="s">
        <v>246</v>
      </c>
      <c r="AA124" s="167" t="n">
        <v>73024.24</v>
      </c>
      <c r="AB124" s="111" t="s">
        <v>246</v>
      </c>
      <c r="AC124" s="164" t="n">
        <v>36.55</v>
      </c>
      <c r="AD124" s="111" t="s">
        <v>246</v>
      </c>
      <c r="AG124" s="167" t="n">
        <v>5.005370569</v>
      </c>
      <c r="AH124" s="111" t="s">
        <v>246</v>
      </c>
      <c r="AM124" s="167"/>
      <c r="BS124" s="167" t="n">
        <v>48.22</v>
      </c>
      <c r="BT124" s="111" t="s">
        <v>246</v>
      </c>
      <c r="BU124" s="164" t="n">
        <v>20.4</v>
      </c>
      <c r="BV124" s="111" t="s">
        <v>246</v>
      </c>
    </row>
    <row r="125" customFormat="false" ht="12.75" hidden="false" customHeight="false" outlineLevel="0" collapsed="false">
      <c r="A125" s="162" t="s">
        <v>449</v>
      </c>
      <c r="B125" s="172" t="s">
        <v>668</v>
      </c>
      <c r="C125" s="172" t="s">
        <v>760</v>
      </c>
      <c r="D125" s="172"/>
      <c r="E125" s="106" t="n">
        <v>15</v>
      </c>
      <c r="F125" s="173" t="n">
        <v>57</v>
      </c>
      <c r="S125" s="167" t="n">
        <v>1342.66369</v>
      </c>
      <c r="T125" s="111" t="s">
        <v>246</v>
      </c>
      <c r="Y125" s="167" t="n">
        <v>579.42</v>
      </c>
      <c r="Z125" s="111" t="s">
        <v>246</v>
      </c>
      <c r="AA125" s="167" t="n">
        <v>57764.23</v>
      </c>
      <c r="AB125" s="111" t="s">
        <v>246</v>
      </c>
      <c r="AC125" s="164" t="n">
        <v>28.06</v>
      </c>
      <c r="AD125" s="111" t="s">
        <v>246</v>
      </c>
      <c r="AG125" s="167" t="n">
        <v>4.857744995</v>
      </c>
      <c r="AH125" s="111" t="s">
        <v>246</v>
      </c>
      <c r="AM125" s="167"/>
      <c r="BS125" s="167" t="n">
        <v>47.85</v>
      </c>
      <c r="BT125" s="111" t="s">
        <v>246</v>
      </c>
      <c r="BU125" s="164" t="n">
        <v>20.65</v>
      </c>
      <c r="BV125" s="111" t="s">
        <v>246</v>
      </c>
    </row>
    <row r="126" customFormat="false" ht="12.75" hidden="false" customHeight="false" outlineLevel="0" collapsed="false">
      <c r="A126" s="162" t="s">
        <v>449</v>
      </c>
      <c r="B126" s="172" t="s">
        <v>665</v>
      </c>
      <c r="C126" s="172" t="s">
        <v>761</v>
      </c>
      <c r="D126" s="172"/>
      <c r="E126" s="106" t="n">
        <v>16</v>
      </c>
      <c r="F126" s="173" t="n">
        <v>10</v>
      </c>
      <c r="S126" s="167" t="n">
        <v>1663.168316</v>
      </c>
      <c r="T126" s="111" t="s">
        <v>246</v>
      </c>
      <c r="Y126" s="167" t="n">
        <v>723.01</v>
      </c>
      <c r="Z126" s="111" t="s">
        <v>246</v>
      </c>
      <c r="AA126" s="167" t="n">
        <v>68936.27</v>
      </c>
      <c r="AB126" s="111" t="s">
        <v>246</v>
      </c>
      <c r="AC126" s="164" t="n">
        <v>35.19</v>
      </c>
      <c r="AD126" s="111" t="s">
        <v>246</v>
      </c>
      <c r="AG126" s="167" t="n">
        <v>5.105438402</v>
      </c>
      <c r="AH126" s="111" t="s">
        <v>246</v>
      </c>
      <c r="AM126" s="167"/>
      <c r="BS126" s="167" t="n">
        <v>47.26</v>
      </c>
      <c r="BT126" s="111" t="s">
        <v>246</v>
      </c>
      <c r="BU126" s="164" t="n">
        <v>20.54</v>
      </c>
      <c r="BV126" s="111" t="s">
        <v>246</v>
      </c>
    </row>
    <row r="127" customFormat="false" ht="12.75" hidden="false" customHeight="false" outlineLevel="0" collapsed="false">
      <c r="A127" s="162" t="s">
        <v>449</v>
      </c>
      <c r="B127" s="172" t="s">
        <v>668</v>
      </c>
      <c r="C127" s="172" t="s">
        <v>761</v>
      </c>
      <c r="D127" s="172"/>
      <c r="E127" s="106" t="n">
        <v>20</v>
      </c>
      <c r="F127" s="173" t="n">
        <v>16</v>
      </c>
      <c r="S127" s="167" t="n">
        <v>1544.469978</v>
      </c>
      <c r="T127" s="111" t="s">
        <v>246</v>
      </c>
      <c r="Y127" s="167" t="n">
        <v>686.68</v>
      </c>
      <c r="Z127" s="111" t="s">
        <v>246</v>
      </c>
      <c r="AA127" s="167" t="n">
        <v>66788.9</v>
      </c>
      <c r="AB127" s="111" t="s">
        <v>246</v>
      </c>
      <c r="AC127" s="164" t="n">
        <v>32.7</v>
      </c>
      <c r="AD127" s="111" t="s">
        <v>246</v>
      </c>
      <c r="AG127" s="167" t="n">
        <v>4.89539749</v>
      </c>
      <c r="AH127" s="111" t="s">
        <v>246</v>
      </c>
      <c r="AM127" s="167"/>
      <c r="BS127" s="167" t="n">
        <v>47.24</v>
      </c>
      <c r="BT127" s="111" t="s">
        <v>246</v>
      </c>
      <c r="BU127" s="164" t="n">
        <v>21</v>
      </c>
      <c r="BV127" s="111" t="s">
        <v>246</v>
      </c>
    </row>
    <row r="128" customFormat="false" ht="12.75" hidden="false" customHeight="false" outlineLevel="0" collapsed="false">
      <c r="A128" s="162" t="s">
        <v>449</v>
      </c>
      <c r="B128" s="172" t="s">
        <v>665</v>
      </c>
      <c r="C128" s="172" t="s">
        <v>762</v>
      </c>
      <c r="D128" s="172"/>
      <c r="E128" s="106" t="n">
        <v>2</v>
      </c>
      <c r="F128" s="173" t="n">
        <v>14</v>
      </c>
      <c r="S128" s="167" t="n">
        <v>1489.955341</v>
      </c>
      <c r="T128" s="111" t="s">
        <v>246</v>
      </c>
      <c r="Y128" s="167" t="n">
        <v>633.03</v>
      </c>
      <c r="Z128" s="111" t="s">
        <v>246</v>
      </c>
      <c r="AA128" s="167" t="n">
        <v>61830.09</v>
      </c>
      <c r="AB128" s="111" t="s">
        <v>246</v>
      </c>
      <c r="AC128" s="164" t="n">
        <v>31.28</v>
      </c>
      <c r="AD128" s="111" t="s">
        <v>246</v>
      </c>
      <c r="AG128" s="167" t="n">
        <v>5.059331176</v>
      </c>
      <c r="AH128" s="111" t="s">
        <v>246</v>
      </c>
      <c r="AM128" s="167"/>
      <c r="BS128" s="167" t="n">
        <v>47.63</v>
      </c>
      <c r="BT128" s="111" t="s">
        <v>246</v>
      </c>
      <c r="BU128" s="164" t="n">
        <v>20.24</v>
      </c>
      <c r="BV128" s="111" t="s">
        <v>246</v>
      </c>
    </row>
    <row r="129" customFormat="false" ht="12.75" hidden="false" customHeight="false" outlineLevel="0" collapsed="false">
      <c r="A129" s="162" t="s">
        <v>449</v>
      </c>
      <c r="B129" s="172" t="s">
        <v>668</v>
      </c>
      <c r="C129" s="172" t="s">
        <v>762</v>
      </c>
      <c r="D129" s="172"/>
      <c r="E129" s="106" t="n">
        <v>1</v>
      </c>
      <c r="F129" s="173" t="n">
        <v>33</v>
      </c>
      <c r="S129" s="167" t="n">
        <v>1211.848269</v>
      </c>
      <c r="T129" s="111" t="s">
        <v>246</v>
      </c>
      <c r="Y129" s="167" t="n">
        <v>573.27</v>
      </c>
      <c r="Z129" s="111" t="s">
        <v>246</v>
      </c>
      <c r="AA129" s="167" t="n">
        <v>52678.24</v>
      </c>
      <c r="AB129" s="111" t="s">
        <v>246</v>
      </c>
      <c r="AC129" s="164" t="n">
        <v>26.34</v>
      </c>
      <c r="AD129" s="111" t="s">
        <v>246</v>
      </c>
      <c r="AG129" s="167" t="n">
        <v>5</v>
      </c>
      <c r="AH129" s="111" t="s">
        <v>246</v>
      </c>
      <c r="AM129" s="167"/>
      <c r="BS129" s="167" t="n">
        <v>46.01</v>
      </c>
      <c r="BT129" s="111" t="s">
        <v>246</v>
      </c>
      <c r="BU129" s="164" t="n">
        <v>21.77</v>
      </c>
      <c r="BV129" s="111" t="s">
        <v>246</v>
      </c>
    </row>
    <row r="130" customFormat="false" ht="12.75" hidden="false" customHeight="false" outlineLevel="0" collapsed="false">
      <c r="A130" s="162" t="s">
        <v>451</v>
      </c>
      <c r="B130" s="172" t="s">
        <v>665</v>
      </c>
      <c r="C130" s="172" t="s">
        <v>758</v>
      </c>
      <c r="D130" s="172"/>
      <c r="E130" s="106" t="n">
        <v>8</v>
      </c>
      <c r="F130" s="173" t="n">
        <v>17</v>
      </c>
      <c r="S130" s="167" t="s">
        <v>759</v>
      </c>
      <c r="T130" s="111" t="s">
        <v>246</v>
      </c>
      <c r="Y130" s="167" t="s">
        <v>759</v>
      </c>
      <c r="Z130" s="111" t="s">
        <v>246</v>
      </c>
      <c r="AA130" s="167" t="s">
        <v>759</v>
      </c>
      <c r="AB130" s="111" t="s">
        <v>246</v>
      </c>
      <c r="AC130" s="164" t="s">
        <v>759</v>
      </c>
      <c r="AD130" s="111" t="s">
        <v>246</v>
      </c>
      <c r="AG130" s="167" t="s">
        <v>759</v>
      </c>
      <c r="AH130" s="111" t="s">
        <v>246</v>
      </c>
      <c r="AM130" s="167"/>
      <c r="BS130" s="167" t="s">
        <v>759</v>
      </c>
      <c r="BT130" s="111" t="s">
        <v>246</v>
      </c>
      <c r="BU130" s="164" t="s">
        <v>759</v>
      </c>
      <c r="BV130" s="111" t="s">
        <v>246</v>
      </c>
    </row>
    <row r="131" customFormat="false" ht="12.75" hidden="false" customHeight="false" outlineLevel="0" collapsed="false">
      <c r="A131" s="162" t="s">
        <v>451</v>
      </c>
      <c r="B131" s="172" t="s">
        <v>668</v>
      </c>
      <c r="C131" s="172" t="s">
        <v>758</v>
      </c>
      <c r="D131" s="172"/>
      <c r="E131" s="106" t="n">
        <v>12</v>
      </c>
      <c r="F131" s="173" t="n">
        <v>26</v>
      </c>
      <c r="S131" s="167" t="n">
        <v>1890.56903</v>
      </c>
      <c r="T131" s="111" t="s">
        <v>246</v>
      </c>
      <c r="Y131" s="167" t="n">
        <v>795.96</v>
      </c>
      <c r="Z131" s="111" t="s">
        <v>246</v>
      </c>
      <c r="AA131" s="167" t="n">
        <v>77139.62</v>
      </c>
      <c r="AB131" s="111" t="s">
        <v>246</v>
      </c>
      <c r="AC131" s="164" t="n">
        <v>38.33</v>
      </c>
      <c r="AD131" s="111" t="s">
        <v>246</v>
      </c>
      <c r="AG131" s="167" t="n">
        <v>4.968287526</v>
      </c>
      <c r="AH131" s="111" t="s">
        <v>246</v>
      </c>
      <c r="AM131" s="167"/>
      <c r="BS131" s="167" t="n">
        <v>49.33</v>
      </c>
      <c r="BT131" s="111" t="s">
        <v>246</v>
      </c>
      <c r="BU131" s="164" t="n">
        <v>20.77</v>
      </c>
      <c r="BV131" s="111" t="s">
        <v>246</v>
      </c>
    </row>
    <row r="132" customFormat="false" ht="12.75" hidden="false" customHeight="false" outlineLevel="0" collapsed="false">
      <c r="A132" s="162" t="s">
        <v>451</v>
      </c>
      <c r="B132" s="172" t="s">
        <v>665</v>
      </c>
      <c r="C132" s="172" t="s">
        <v>760</v>
      </c>
      <c r="D132" s="172"/>
      <c r="E132" s="106" t="n">
        <v>9</v>
      </c>
      <c r="F132" s="173" t="n">
        <v>59</v>
      </c>
      <c r="S132" s="167" t="n">
        <v>1570.776871</v>
      </c>
      <c r="T132" s="111" t="s">
        <v>246</v>
      </c>
      <c r="Y132" s="167" t="n">
        <v>663.92</v>
      </c>
      <c r="Z132" s="111" t="s">
        <v>246</v>
      </c>
      <c r="AA132" s="167" t="n">
        <v>65992.15</v>
      </c>
      <c r="AB132" s="111" t="s">
        <v>246</v>
      </c>
      <c r="AC132" s="164" t="n">
        <v>32.3</v>
      </c>
      <c r="AD132" s="111" t="s">
        <v>246</v>
      </c>
      <c r="AG132" s="167" t="n">
        <v>4.895178197</v>
      </c>
      <c r="AH132" s="111" t="s">
        <v>246</v>
      </c>
      <c r="AM132" s="167"/>
      <c r="BS132" s="167" t="n">
        <v>48.62</v>
      </c>
      <c r="BT132" s="111" t="s">
        <v>246</v>
      </c>
      <c r="BU132" s="164" t="n">
        <v>20.55</v>
      </c>
      <c r="BV132" s="111" t="s">
        <v>246</v>
      </c>
    </row>
    <row r="133" customFormat="false" ht="12.75" hidden="false" customHeight="false" outlineLevel="0" collapsed="false">
      <c r="A133" s="162" t="s">
        <v>451</v>
      </c>
      <c r="B133" s="172" t="s">
        <v>668</v>
      </c>
      <c r="C133" s="172" t="s">
        <v>760</v>
      </c>
      <c r="D133" s="172"/>
      <c r="E133" s="106" t="n">
        <v>16</v>
      </c>
      <c r="F133" s="173" t="n">
        <v>61</v>
      </c>
      <c r="S133" s="167" t="n">
        <v>1246.97098</v>
      </c>
      <c r="T133" s="111" t="s">
        <v>246</v>
      </c>
      <c r="Y133" s="167" t="n">
        <v>604.39</v>
      </c>
      <c r="Z133" s="111" t="s">
        <v>246</v>
      </c>
      <c r="AA133" s="167" t="n">
        <v>55289.47</v>
      </c>
      <c r="AB133" s="111" t="s">
        <v>246</v>
      </c>
      <c r="AC133" s="164" t="n">
        <v>26.79</v>
      </c>
      <c r="AD133" s="111" t="s">
        <v>246</v>
      </c>
      <c r="AG133" s="167" t="n">
        <v>4.845580405</v>
      </c>
      <c r="AH133" s="111" t="s">
        <v>246</v>
      </c>
      <c r="AM133" s="167"/>
      <c r="BS133" s="167" t="n">
        <v>46.54</v>
      </c>
      <c r="BT133" s="111" t="s">
        <v>246</v>
      </c>
      <c r="BU133" s="164" t="n">
        <v>22.56</v>
      </c>
      <c r="BV133" s="111" t="s">
        <v>246</v>
      </c>
    </row>
    <row r="134" customFormat="false" ht="12.75" hidden="false" customHeight="false" outlineLevel="0" collapsed="false">
      <c r="A134" s="162" t="s">
        <v>451</v>
      </c>
      <c r="B134" s="172" t="s">
        <v>665</v>
      </c>
      <c r="C134" s="172" t="s">
        <v>761</v>
      </c>
      <c r="D134" s="172"/>
      <c r="E134" s="106" t="n">
        <v>13</v>
      </c>
      <c r="F134" s="173" t="n">
        <v>8</v>
      </c>
      <c r="S134" s="167" t="n">
        <v>1314.507094</v>
      </c>
      <c r="T134" s="111" t="s">
        <v>246</v>
      </c>
      <c r="Y134" s="167" t="n">
        <v>591.96</v>
      </c>
      <c r="Z134" s="111" t="s">
        <v>246</v>
      </c>
      <c r="AA134" s="167" t="n">
        <v>59137.23</v>
      </c>
      <c r="AB134" s="111" t="s">
        <v>246</v>
      </c>
      <c r="AC134" s="164" t="n">
        <v>27.6</v>
      </c>
      <c r="AD134" s="111" t="s">
        <v>246</v>
      </c>
      <c r="AG134" s="167" t="n">
        <v>4.666666667</v>
      </c>
      <c r="AH134" s="111" t="s">
        <v>246</v>
      </c>
      <c r="AM134" s="167"/>
      <c r="BS134" s="167" t="n">
        <v>47.63</v>
      </c>
      <c r="BT134" s="111" t="s">
        <v>246</v>
      </c>
      <c r="BU134" s="164" t="n">
        <v>21.45</v>
      </c>
      <c r="BV134" s="111" t="s">
        <v>246</v>
      </c>
    </row>
    <row r="135" customFormat="false" ht="12.75" hidden="false" customHeight="false" outlineLevel="0" collapsed="false">
      <c r="A135" s="162" t="s">
        <v>451</v>
      </c>
      <c r="B135" s="172" t="s">
        <v>668</v>
      </c>
      <c r="C135" s="172" t="s">
        <v>761</v>
      </c>
      <c r="D135" s="172"/>
      <c r="E135" s="106" t="n">
        <v>21</v>
      </c>
      <c r="F135" s="173" t="n">
        <v>2</v>
      </c>
      <c r="S135" s="167" t="n">
        <v>1222.47186</v>
      </c>
      <c r="T135" s="111" t="s">
        <v>246</v>
      </c>
      <c r="Y135" s="167" t="n">
        <v>631.8</v>
      </c>
      <c r="Z135" s="111" t="s">
        <v>246</v>
      </c>
      <c r="AA135" s="167" t="n">
        <v>56200.13</v>
      </c>
      <c r="AB135" s="111" t="s">
        <v>246</v>
      </c>
      <c r="AC135" s="164" t="n">
        <v>26.88</v>
      </c>
      <c r="AD135" s="111" t="s">
        <v>246</v>
      </c>
      <c r="AG135" s="167" t="n">
        <v>4.782157676</v>
      </c>
      <c r="AH135" s="111" t="s">
        <v>246</v>
      </c>
      <c r="AM135" s="167"/>
      <c r="BS135" s="167" t="n">
        <v>45.49</v>
      </c>
      <c r="BT135" s="111" t="s">
        <v>246</v>
      </c>
      <c r="BU135" s="164" t="n">
        <v>23.51</v>
      </c>
      <c r="BV135" s="111" t="s">
        <v>246</v>
      </c>
    </row>
    <row r="136" customFormat="false" ht="12.75" hidden="false" customHeight="false" outlineLevel="0" collapsed="false">
      <c r="A136" s="162" t="s">
        <v>451</v>
      </c>
      <c r="B136" s="172" t="s">
        <v>665</v>
      </c>
      <c r="C136" s="172" t="s">
        <v>762</v>
      </c>
      <c r="D136" s="172"/>
      <c r="E136" s="106" t="n">
        <v>3</v>
      </c>
      <c r="F136" s="173" t="n">
        <v>25</v>
      </c>
      <c r="S136" s="167" t="n">
        <v>1550.166958</v>
      </c>
      <c r="T136" s="111" t="s">
        <v>246</v>
      </c>
      <c r="Y136" s="167" t="n">
        <v>702.44</v>
      </c>
      <c r="Z136" s="111" t="s">
        <v>246</v>
      </c>
      <c r="AA136" s="167" t="n">
        <v>66836.51</v>
      </c>
      <c r="AB136" s="111" t="s">
        <v>246</v>
      </c>
      <c r="AC136" s="164" t="n">
        <v>32.58</v>
      </c>
      <c r="AD136" s="111" t="s">
        <v>246</v>
      </c>
      <c r="AG136" s="167" t="n">
        <v>4.875259875</v>
      </c>
      <c r="AH136" s="111" t="s">
        <v>246</v>
      </c>
      <c r="AM136" s="167"/>
      <c r="BS136" s="167" t="n">
        <v>47.57</v>
      </c>
      <c r="BT136" s="111" t="s">
        <v>246</v>
      </c>
      <c r="BU136" s="164" t="n">
        <v>21.56</v>
      </c>
      <c r="BV136" s="111" t="s">
        <v>246</v>
      </c>
    </row>
    <row r="137" customFormat="false" ht="12.75" hidden="false" customHeight="false" outlineLevel="0" collapsed="false">
      <c r="A137" s="162" t="s">
        <v>451</v>
      </c>
      <c r="B137" s="172" t="s">
        <v>668</v>
      </c>
      <c r="C137" s="172" t="s">
        <v>762</v>
      </c>
      <c r="D137" s="172"/>
      <c r="E137" s="106" t="n">
        <v>4</v>
      </c>
      <c r="F137" s="173" t="n">
        <v>53</v>
      </c>
      <c r="S137" s="167" t="n">
        <v>1478.137377</v>
      </c>
      <c r="T137" s="111" t="s">
        <v>246</v>
      </c>
      <c r="Y137" s="167" t="n">
        <v>723.05</v>
      </c>
      <c r="Z137" s="111" t="s">
        <v>246</v>
      </c>
      <c r="AA137" s="167" t="n">
        <v>65851.55</v>
      </c>
      <c r="AB137" s="111" t="s">
        <v>246</v>
      </c>
      <c r="AC137" s="164" t="n">
        <v>31.73</v>
      </c>
      <c r="AD137" s="111" t="s">
        <v>246</v>
      </c>
      <c r="AG137" s="167" t="n">
        <v>4.819027921</v>
      </c>
      <c r="AH137" s="111" t="s">
        <v>246</v>
      </c>
      <c r="AM137" s="167"/>
      <c r="BS137" s="167" t="n">
        <v>46.58</v>
      </c>
      <c r="BT137" s="111" t="s">
        <v>246</v>
      </c>
      <c r="BU137" s="164" t="n">
        <v>22.78</v>
      </c>
      <c r="BV137" s="111" t="s">
        <v>246</v>
      </c>
    </row>
    <row r="138" customFormat="false" ht="12.75" hidden="false" customHeight="false" outlineLevel="0" collapsed="false">
      <c r="A138" s="162" t="s">
        <v>453</v>
      </c>
      <c r="B138" s="172" t="s">
        <v>665</v>
      </c>
      <c r="C138" s="172" t="s">
        <v>758</v>
      </c>
      <c r="D138" s="172"/>
      <c r="E138" s="106" t="n">
        <v>8</v>
      </c>
      <c r="F138" s="173" t="n">
        <v>29</v>
      </c>
      <c r="S138" s="167" t="n">
        <v>1678.694061</v>
      </c>
      <c r="T138" s="111" t="s">
        <v>246</v>
      </c>
      <c r="Y138" s="167" t="n">
        <v>683.88</v>
      </c>
      <c r="Z138" s="111" t="s">
        <v>246</v>
      </c>
      <c r="AA138" s="167" t="n">
        <v>69037.12</v>
      </c>
      <c r="AB138" s="111" t="s">
        <v>246</v>
      </c>
      <c r="AC138" s="164" t="n">
        <v>33.63</v>
      </c>
      <c r="AD138" s="111" t="s">
        <v>246</v>
      </c>
      <c r="AG138" s="167" t="n">
        <v>4.870967742</v>
      </c>
      <c r="AH138" s="111" t="s">
        <v>246</v>
      </c>
      <c r="AM138" s="167"/>
      <c r="BS138" s="167" t="n">
        <v>49.92</v>
      </c>
      <c r="BT138" s="111" t="s">
        <v>246</v>
      </c>
      <c r="BU138" s="164" t="n">
        <v>20.34</v>
      </c>
      <c r="BV138" s="111" t="s">
        <v>246</v>
      </c>
    </row>
    <row r="139" customFormat="false" ht="12.75" hidden="false" customHeight="false" outlineLevel="0" collapsed="false">
      <c r="A139" s="162" t="s">
        <v>453</v>
      </c>
      <c r="B139" s="172" t="s">
        <v>668</v>
      </c>
      <c r="C139" s="172" t="s">
        <v>758</v>
      </c>
      <c r="D139" s="172"/>
      <c r="E139" s="106" t="n">
        <v>9</v>
      </c>
      <c r="F139" s="173" t="n">
        <v>19</v>
      </c>
      <c r="S139" s="167" t="n">
        <v>1996.44346</v>
      </c>
      <c r="T139" s="111" t="s">
        <v>246</v>
      </c>
      <c r="Y139" s="167" t="n">
        <v>855.3</v>
      </c>
      <c r="Z139" s="111" t="s">
        <v>246</v>
      </c>
      <c r="AA139" s="167" t="n">
        <v>87551.92</v>
      </c>
      <c r="AB139" s="111" t="s">
        <v>246</v>
      </c>
      <c r="AC139" s="164" t="n">
        <v>40.96</v>
      </c>
      <c r="AD139" s="111" t="s">
        <v>246</v>
      </c>
      <c r="AG139" s="167" t="n">
        <v>4.678899083</v>
      </c>
      <c r="AH139" s="111" t="s">
        <v>246</v>
      </c>
      <c r="AM139" s="167"/>
      <c r="BS139" s="167" t="n">
        <v>48.74</v>
      </c>
      <c r="BT139" s="111" t="s">
        <v>246</v>
      </c>
      <c r="BU139" s="164" t="n">
        <v>20.88</v>
      </c>
      <c r="BV139" s="111" t="s">
        <v>246</v>
      </c>
    </row>
    <row r="140" customFormat="false" ht="12.75" hidden="false" customHeight="false" outlineLevel="0" collapsed="false">
      <c r="A140" s="162" t="s">
        <v>453</v>
      </c>
      <c r="B140" s="172" t="s">
        <v>665</v>
      </c>
      <c r="C140" s="172" t="s">
        <v>760</v>
      </c>
      <c r="D140" s="172"/>
      <c r="E140" s="106" t="n">
        <v>9</v>
      </c>
      <c r="F140" s="173" t="n">
        <v>58</v>
      </c>
      <c r="S140" s="167" t="n">
        <v>1517.483891</v>
      </c>
      <c r="T140" s="111" t="s">
        <v>246</v>
      </c>
      <c r="Y140" s="167" t="n">
        <v>652.63</v>
      </c>
      <c r="Z140" s="111" t="s">
        <v>246</v>
      </c>
      <c r="AA140" s="167" t="n">
        <v>64629.25</v>
      </c>
      <c r="AB140" s="111" t="s">
        <v>246</v>
      </c>
      <c r="AC140" s="164" t="n">
        <v>31.08</v>
      </c>
      <c r="AD140" s="111" t="s">
        <v>246</v>
      </c>
      <c r="AG140" s="167" t="n">
        <v>4.809322034</v>
      </c>
      <c r="AH140" s="111" t="s">
        <v>246</v>
      </c>
      <c r="AM140" s="167"/>
      <c r="BS140" s="167" t="n">
        <v>48.82</v>
      </c>
      <c r="BT140" s="111" t="s">
        <v>246</v>
      </c>
      <c r="BU140" s="164" t="n">
        <v>21</v>
      </c>
      <c r="BV140" s="111" t="s">
        <v>246</v>
      </c>
    </row>
    <row r="141" customFormat="false" ht="12.75" hidden="false" customHeight="false" outlineLevel="0" collapsed="false">
      <c r="A141" s="162" t="s">
        <v>453</v>
      </c>
      <c r="B141" s="172" t="s">
        <v>668</v>
      </c>
      <c r="C141" s="172" t="s">
        <v>760</v>
      </c>
      <c r="D141" s="172"/>
      <c r="E141" s="106" t="n">
        <v>15</v>
      </c>
      <c r="F141" s="173" t="n">
        <v>33</v>
      </c>
      <c r="S141" s="167" t="n">
        <v>1893.171737</v>
      </c>
      <c r="T141" s="111" t="s">
        <v>246</v>
      </c>
      <c r="Y141" s="167" t="n">
        <v>799.21</v>
      </c>
      <c r="Z141" s="111" t="s">
        <v>246</v>
      </c>
      <c r="AA141" s="167" t="n">
        <v>79205.72</v>
      </c>
      <c r="AB141" s="111" t="s">
        <v>246</v>
      </c>
      <c r="AC141" s="164" t="n">
        <v>38.64</v>
      </c>
      <c r="AD141" s="111" t="s">
        <v>246</v>
      </c>
      <c r="AG141" s="167" t="n">
        <v>4.87881981</v>
      </c>
      <c r="AH141" s="111" t="s">
        <v>246</v>
      </c>
      <c r="AM141" s="167"/>
      <c r="BS141" s="167" t="n">
        <v>48.99</v>
      </c>
      <c r="BT141" s="111" t="s">
        <v>246</v>
      </c>
      <c r="BU141" s="164" t="n">
        <v>20.68</v>
      </c>
      <c r="BV141" s="111" t="s">
        <v>246</v>
      </c>
    </row>
    <row r="142" customFormat="false" ht="12.75" hidden="false" customHeight="false" outlineLevel="0" collapsed="false">
      <c r="A142" s="162" t="s">
        <v>453</v>
      </c>
      <c r="B142" s="172" t="s">
        <v>665</v>
      </c>
      <c r="C142" s="172" t="s">
        <v>761</v>
      </c>
      <c r="D142" s="172"/>
      <c r="E142" s="106" t="n">
        <v>15</v>
      </c>
      <c r="F142" s="173" t="n">
        <v>23</v>
      </c>
      <c r="S142" s="167" t="n">
        <v>1601.027234</v>
      </c>
      <c r="T142" s="111" t="s">
        <v>246</v>
      </c>
      <c r="Y142" s="167" t="n">
        <v>654.44</v>
      </c>
      <c r="Z142" s="111" t="s">
        <v>246</v>
      </c>
      <c r="AA142" s="167" t="n">
        <v>65722.96</v>
      </c>
      <c r="AB142" s="111" t="s">
        <v>246</v>
      </c>
      <c r="AC142" s="164" t="n">
        <v>32.34</v>
      </c>
      <c r="AD142" s="111" t="s">
        <v>246</v>
      </c>
      <c r="AG142" s="167" t="n">
        <v>4.921135647</v>
      </c>
      <c r="AH142" s="111" t="s">
        <v>246</v>
      </c>
      <c r="AM142" s="167"/>
      <c r="BS142" s="167" t="n">
        <v>49.5</v>
      </c>
      <c r="BT142" s="111" t="s">
        <v>246</v>
      </c>
      <c r="BU142" s="164" t="n">
        <v>20.23</v>
      </c>
      <c r="BV142" s="111" t="s">
        <v>246</v>
      </c>
    </row>
    <row r="143" customFormat="false" ht="12.75" hidden="false" customHeight="false" outlineLevel="0" collapsed="false">
      <c r="A143" s="162" t="s">
        <v>453</v>
      </c>
      <c r="B143" s="172" t="s">
        <v>668</v>
      </c>
      <c r="C143" s="172" t="s">
        <v>761</v>
      </c>
      <c r="D143" s="172"/>
      <c r="E143" s="106" t="n">
        <v>20</v>
      </c>
      <c r="F143" s="173" t="n">
        <v>2</v>
      </c>
      <c r="S143" s="167" t="n">
        <v>1428.651183</v>
      </c>
      <c r="T143" s="111" t="s">
        <v>246</v>
      </c>
      <c r="Y143" s="167" t="n">
        <v>663.63</v>
      </c>
      <c r="Z143" s="111" t="s">
        <v>246</v>
      </c>
      <c r="AA143" s="167" t="n">
        <v>60100.34</v>
      </c>
      <c r="AB143" s="111" t="s">
        <v>246</v>
      </c>
      <c r="AC143" s="164" t="n">
        <v>29.95</v>
      </c>
      <c r="AD143" s="111" t="s">
        <v>246</v>
      </c>
      <c r="AG143" s="167" t="n">
        <v>4.984093319</v>
      </c>
      <c r="AH143" s="111" t="s">
        <v>246</v>
      </c>
      <c r="AM143" s="167"/>
      <c r="BS143" s="167" t="n">
        <v>47.69</v>
      </c>
      <c r="BT143" s="111" t="s">
        <v>246</v>
      </c>
      <c r="BU143" s="164" t="n">
        <v>22.15</v>
      </c>
      <c r="BV143" s="111" t="s">
        <v>246</v>
      </c>
    </row>
    <row r="144" customFormat="false" ht="12.75" hidden="false" customHeight="false" outlineLevel="0" collapsed="false">
      <c r="A144" s="162" t="s">
        <v>453</v>
      </c>
      <c r="B144" s="172" t="s">
        <v>665</v>
      </c>
      <c r="C144" s="172" t="s">
        <v>762</v>
      </c>
      <c r="D144" s="172"/>
      <c r="E144" s="106" t="n">
        <v>3</v>
      </c>
      <c r="F144" s="173" t="n">
        <v>11</v>
      </c>
      <c r="S144" s="167" t="n">
        <v>1777.944819</v>
      </c>
      <c r="T144" s="111" t="s">
        <v>246</v>
      </c>
      <c r="Y144" s="167" t="n">
        <v>750.11</v>
      </c>
      <c r="Z144" s="111" t="s">
        <v>246</v>
      </c>
      <c r="AA144" s="167" t="n">
        <v>78940.97</v>
      </c>
      <c r="AB144" s="111" t="s">
        <v>246</v>
      </c>
      <c r="AC144" s="164" t="n">
        <v>36.7</v>
      </c>
      <c r="AD144" s="111" t="s">
        <v>246</v>
      </c>
      <c r="AG144" s="167" t="n">
        <v>4.648862512</v>
      </c>
      <c r="AH144" s="111" t="s">
        <v>246</v>
      </c>
      <c r="AM144" s="167"/>
      <c r="BS144" s="167" t="n">
        <v>48.45</v>
      </c>
      <c r="BT144" s="111" t="s">
        <v>246</v>
      </c>
      <c r="BU144" s="164" t="n">
        <v>20.44</v>
      </c>
      <c r="BV144" s="111" t="s">
        <v>246</v>
      </c>
    </row>
    <row r="145" customFormat="false" ht="12.75" hidden="false" customHeight="false" outlineLevel="0" collapsed="false">
      <c r="A145" s="162" t="s">
        <v>453</v>
      </c>
      <c r="B145" s="172" t="s">
        <v>668</v>
      </c>
      <c r="C145" s="172" t="s">
        <v>762</v>
      </c>
      <c r="D145" s="172"/>
      <c r="E145" s="106" t="n">
        <v>1</v>
      </c>
      <c r="F145" s="173" t="n">
        <v>45</v>
      </c>
      <c r="S145" s="167" t="n">
        <v>1470.762116</v>
      </c>
      <c r="T145" s="111" t="s">
        <v>246</v>
      </c>
      <c r="Y145" s="167" t="n">
        <v>723.48</v>
      </c>
      <c r="Z145" s="111" t="s">
        <v>246</v>
      </c>
      <c r="AA145" s="167" t="n">
        <v>65768.67</v>
      </c>
      <c r="AB145" s="111" t="s">
        <v>246</v>
      </c>
      <c r="AC145" s="164" t="n">
        <v>31.7</v>
      </c>
      <c r="AD145" s="111" t="s">
        <v>246</v>
      </c>
      <c r="AG145" s="167" t="n">
        <v>4.820143885</v>
      </c>
      <c r="AH145" s="111" t="s">
        <v>246</v>
      </c>
      <c r="AM145" s="167"/>
      <c r="BS145" s="167" t="n">
        <v>46.39</v>
      </c>
      <c r="BT145" s="111" t="s">
        <v>246</v>
      </c>
      <c r="BU145" s="164" t="n">
        <v>22.82</v>
      </c>
      <c r="BV145" s="111" t="s">
        <v>246</v>
      </c>
    </row>
    <row r="146" customFormat="false" ht="12.75" hidden="false" customHeight="false" outlineLevel="0" collapsed="false">
      <c r="A146" s="162" t="s">
        <v>455</v>
      </c>
      <c r="B146" s="172" t="s">
        <v>665</v>
      </c>
      <c r="C146" s="172" t="s">
        <v>758</v>
      </c>
      <c r="D146" s="172"/>
      <c r="E146" s="106" t="n">
        <v>6</v>
      </c>
      <c r="F146" s="173" t="n">
        <v>23</v>
      </c>
      <c r="S146" s="167" t="n">
        <v>1182.933903</v>
      </c>
      <c r="T146" s="111" t="s">
        <v>246</v>
      </c>
      <c r="Y146" s="167" t="n">
        <v>484.9</v>
      </c>
      <c r="Z146" s="111" t="s">
        <v>246</v>
      </c>
      <c r="AA146" s="167" t="n">
        <v>52394.18</v>
      </c>
      <c r="AB146" s="111" t="s">
        <v>246</v>
      </c>
      <c r="AC146" s="164" t="n">
        <v>23.69</v>
      </c>
      <c r="AD146" s="111" t="s">
        <v>246</v>
      </c>
      <c r="AG146" s="167" t="n">
        <v>4.520958084</v>
      </c>
      <c r="AH146" s="111" t="s">
        <v>246</v>
      </c>
      <c r="AM146" s="167"/>
      <c r="BS146" s="167" t="n">
        <v>49.94</v>
      </c>
      <c r="BT146" s="111" t="s">
        <v>246</v>
      </c>
      <c r="BU146" s="164" t="n">
        <v>20.47</v>
      </c>
      <c r="BV146" s="111" t="s">
        <v>246</v>
      </c>
    </row>
    <row r="147" customFormat="false" ht="12.75" hidden="false" customHeight="false" outlineLevel="0" collapsed="false">
      <c r="A147" s="162" t="s">
        <v>455</v>
      </c>
      <c r="B147" s="172" t="s">
        <v>668</v>
      </c>
      <c r="C147" s="172" t="s">
        <v>758</v>
      </c>
      <c r="D147" s="172"/>
      <c r="E147" s="106" t="n">
        <v>9</v>
      </c>
      <c r="F147" s="173" t="n">
        <v>18</v>
      </c>
      <c r="S147" s="167" t="n">
        <v>1431.268598</v>
      </c>
      <c r="T147" s="111" t="s">
        <v>246</v>
      </c>
      <c r="Y147" s="167" t="n">
        <v>633.12</v>
      </c>
      <c r="Z147" s="111" t="s">
        <v>246</v>
      </c>
      <c r="AA147" s="167" t="n">
        <v>67894.67</v>
      </c>
      <c r="AB147" s="111" t="s">
        <v>246</v>
      </c>
      <c r="AC147" s="164" t="n">
        <v>29.54</v>
      </c>
      <c r="AD147" s="111" t="s">
        <v>246</v>
      </c>
      <c r="AG147" s="167" t="n">
        <v>4.350282486</v>
      </c>
      <c r="AH147" s="111" t="s">
        <v>246</v>
      </c>
      <c r="AM147" s="167"/>
      <c r="BS147" s="167" t="n">
        <v>48.46</v>
      </c>
      <c r="BT147" s="111" t="s">
        <v>246</v>
      </c>
      <c r="BU147" s="164" t="n">
        <v>21.44</v>
      </c>
      <c r="BV147" s="111" t="s">
        <v>246</v>
      </c>
    </row>
    <row r="148" customFormat="false" ht="12.75" hidden="false" customHeight="false" outlineLevel="0" collapsed="false">
      <c r="A148" s="162" t="s">
        <v>455</v>
      </c>
      <c r="B148" s="172" t="s">
        <v>665</v>
      </c>
      <c r="C148" s="172" t="s">
        <v>760</v>
      </c>
      <c r="D148" s="172"/>
      <c r="E148" s="106" t="n">
        <v>11</v>
      </c>
      <c r="F148" s="173" t="n">
        <v>35</v>
      </c>
      <c r="S148" s="167" t="n">
        <v>1221.903645</v>
      </c>
      <c r="T148" s="111" t="s">
        <v>246</v>
      </c>
      <c r="Y148" s="167" t="n">
        <v>507.45</v>
      </c>
      <c r="Z148" s="111" t="s">
        <v>246</v>
      </c>
      <c r="AA148" s="167" t="n">
        <v>57383.99</v>
      </c>
      <c r="AB148" s="111" t="s">
        <v>246</v>
      </c>
      <c r="AC148" s="164" t="n">
        <v>25.01</v>
      </c>
      <c r="AD148" s="111" t="s">
        <v>246</v>
      </c>
      <c r="AG148" s="167" t="n">
        <v>4.358727097</v>
      </c>
      <c r="AH148" s="111" t="s">
        <v>246</v>
      </c>
      <c r="AM148" s="167"/>
      <c r="BS148" s="167" t="n">
        <v>48.85</v>
      </c>
      <c r="BT148" s="111" t="s">
        <v>246</v>
      </c>
      <c r="BU148" s="164" t="n">
        <v>20.29</v>
      </c>
      <c r="BV148" s="111" t="s">
        <v>246</v>
      </c>
    </row>
    <row r="149" customFormat="false" ht="12.75" hidden="false" customHeight="false" outlineLevel="0" collapsed="false">
      <c r="A149" s="162" t="s">
        <v>455</v>
      </c>
      <c r="B149" s="172" t="s">
        <v>668</v>
      </c>
      <c r="C149" s="172" t="s">
        <v>760</v>
      </c>
      <c r="D149" s="172"/>
      <c r="E149" s="106" t="n">
        <v>16</v>
      </c>
      <c r="F149" s="173" t="n">
        <v>42</v>
      </c>
      <c r="S149" s="167" t="n">
        <v>1116.510907</v>
      </c>
      <c r="T149" s="111" t="s">
        <v>246</v>
      </c>
      <c r="Y149" s="167" t="n">
        <v>521.39</v>
      </c>
      <c r="Z149" s="111" t="s">
        <v>246</v>
      </c>
      <c r="AA149" s="167" t="n">
        <v>52087.81</v>
      </c>
      <c r="AB149" s="111" t="s">
        <v>246</v>
      </c>
      <c r="AC149" s="164" t="n">
        <v>23.56</v>
      </c>
      <c r="AD149" s="111" t="s">
        <v>246</v>
      </c>
      <c r="AG149" s="167" t="n">
        <v>4.522417154</v>
      </c>
      <c r="AH149" s="111" t="s">
        <v>246</v>
      </c>
      <c r="AM149" s="167"/>
      <c r="BS149" s="167" t="n">
        <v>47.4</v>
      </c>
      <c r="BT149" s="111" t="s">
        <v>246</v>
      </c>
      <c r="BU149" s="164" t="n">
        <v>22.13</v>
      </c>
      <c r="BV149" s="111" t="s">
        <v>246</v>
      </c>
    </row>
    <row r="150" customFormat="false" ht="12.75" hidden="false" customHeight="false" outlineLevel="0" collapsed="false">
      <c r="A150" s="162" t="s">
        <v>455</v>
      </c>
      <c r="B150" s="172" t="s">
        <v>665</v>
      </c>
      <c r="C150" s="172" t="s">
        <v>761</v>
      </c>
      <c r="D150" s="172"/>
      <c r="E150" s="106" t="n">
        <v>16</v>
      </c>
      <c r="F150" s="173" t="n">
        <v>30</v>
      </c>
      <c r="S150" s="167" t="n">
        <v>1434.614781</v>
      </c>
      <c r="T150" s="111" t="s">
        <v>246</v>
      </c>
      <c r="Y150" s="167" t="n">
        <v>664.48</v>
      </c>
      <c r="Z150" s="111" t="s">
        <v>246</v>
      </c>
      <c r="AA150" s="167" t="n">
        <v>67378.1</v>
      </c>
      <c r="AB150" s="111" t="s">
        <v>246</v>
      </c>
      <c r="AC150" s="164" t="n">
        <v>30.23</v>
      </c>
      <c r="AD150" s="111" t="s">
        <v>246</v>
      </c>
      <c r="AG150" s="167" t="n">
        <v>4.486434109</v>
      </c>
      <c r="AH150" s="111" t="s">
        <v>246</v>
      </c>
      <c r="AM150" s="167"/>
      <c r="BS150" s="167" t="n">
        <v>47.46</v>
      </c>
      <c r="BT150" s="111" t="s">
        <v>246</v>
      </c>
      <c r="BU150" s="164" t="n">
        <v>21.98</v>
      </c>
      <c r="BV150" s="111" t="s">
        <v>246</v>
      </c>
    </row>
    <row r="151" customFormat="false" ht="12.75" hidden="false" customHeight="false" outlineLevel="0" collapsed="false">
      <c r="A151" s="162" t="s">
        <v>455</v>
      </c>
      <c r="B151" s="172" t="s">
        <v>668</v>
      </c>
      <c r="C151" s="172" t="s">
        <v>761</v>
      </c>
      <c r="D151" s="172"/>
      <c r="E151" s="106" t="n">
        <v>18</v>
      </c>
      <c r="F151" s="173" t="n">
        <v>8</v>
      </c>
      <c r="S151" s="167" t="n">
        <v>1257.960904</v>
      </c>
      <c r="T151" s="111" t="s">
        <v>246</v>
      </c>
      <c r="Y151" s="167" t="n">
        <v>569.68</v>
      </c>
      <c r="Z151" s="111" t="s">
        <v>246</v>
      </c>
      <c r="AA151" s="167" t="n">
        <v>65859.45</v>
      </c>
      <c r="AB151" s="111" t="s">
        <v>246</v>
      </c>
      <c r="AC151" s="164" t="n">
        <v>26.15</v>
      </c>
      <c r="AD151" s="111" t="s">
        <v>246</v>
      </c>
      <c r="AG151" s="167" t="n">
        <v>3.971332209</v>
      </c>
      <c r="AH151" s="111" t="s">
        <v>246</v>
      </c>
      <c r="AM151" s="167"/>
      <c r="BS151" s="167" t="n">
        <v>48.1</v>
      </c>
      <c r="BT151" s="111" t="s">
        <v>246</v>
      </c>
      <c r="BU151" s="164" t="n">
        <v>21.78</v>
      </c>
      <c r="BV151" s="111" t="s">
        <v>246</v>
      </c>
    </row>
    <row r="152" customFormat="false" ht="12.75" hidden="false" customHeight="false" outlineLevel="0" collapsed="false">
      <c r="A152" s="162" t="s">
        <v>455</v>
      </c>
      <c r="B152" s="172" t="s">
        <v>665</v>
      </c>
      <c r="C152" s="172" t="s">
        <v>762</v>
      </c>
      <c r="D152" s="172"/>
      <c r="E152" s="106" t="n">
        <v>1</v>
      </c>
      <c r="F152" s="173" t="n">
        <v>15</v>
      </c>
      <c r="S152" s="167" t="n">
        <v>1218.94182</v>
      </c>
      <c r="T152" s="111" t="s">
        <v>246</v>
      </c>
      <c r="Y152" s="167" t="n">
        <v>510.59</v>
      </c>
      <c r="Z152" s="111" t="s">
        <v>246</v>
      </c>
      <c r="AA152" s="167" t="n">
        <v>48410.54</v>
      </c>
      <c r="AB152" s="111" t="s">
        <v>246</v>
      </c>
      <c r="AC152" s="164" t="n">
        <v>25.12</v>
      </c>
      <c r="AD152" s="111" t="s">
        <v>246</v>
      </c>
      <c r="AG152" s="167" t="n">
        <v>5.188053097</v>
      </c>
      <c r="AH152" s="111" t="s">
        <v>246</v>
      </c>
      <c r="AM152" s="167"/>
      <c r="BS152" s="167" t="n">
        <v>48.53</v>
      </c>
      <c r="BT152" s="111" t="s">
        <v>246</v>
      </c>
      <c r="BU152" s="164" t="n">
        <v>20.33</v>
      </c>
      <c r="BV152" s="111" t="s">
        <v>246</v>
      </c>
    </row>
    <row r="153" customFormat="false" ht="12.75" hidden="false" customHeight="false" outlineLevel="0" collapsed="false">
      <c r="A153" s="162" t="s">
        <v>455</v>
      </c>
      <c r="B153" s="172" t="s">
        <v>668</v>
      </c>
      <c r="C153" s="172" t="s">
        <v>762</v>
      </c>
      <c r="D153" s="172"/>
      <c r="E153" s="106" t="n">
        <v>4</v>
      </c>
      <c r="F153" s="173" t="n">
        <v>50</v>
      </c>
      <c r="S153" s="167" t="n">
        <v>1131.593414</v>
      </c>
      <c r="T153" s="111" t="s">
        <v>246</v>
      </c>
      <c r="Y153" s="167" t="n">
        <v>560.53</v>
      </c>
      <c r="Z153" s="111" t="s">
        <v>246</v>
      </c>
      <c r="AA153" s="167" t="n">
        <v>59416.41</v>
      </c>
      <c r="AB153" s="111" t="s">
        <v>246</v>
      </c>
      <c r="AC153" s="164" t="n">
        <v>24.58</v>
      </c>
      <c r="AD153" s="111" t="s">
        <v>246</v>
      </c>
      <c r="AG153" s="167" t="n">
        <v>4.137323944</v>
      </c>
      <c r="AH153" s="111" t="s">
        <v>246</v>
      </c>
      <c r="AM153" s="167"/>
      <c r="BS153" s="167" t="n">
        <v>46.03</v>
      </c>
      <c r="BT153" s="111" t="s">
        <v>246</v>
      </c>
      <c r="BU153" s="164" t="n">
        <v>22.8</v>
      </c>
      <c r="BV153" s="111" t="s">
        <v>246</v>
      </c>
    </row>
    <row r="154" customFormat="false" ht="12.75" hidden="false" customHeight="false" outlineLevel="0" collapsed="false">
      <c r="A154" s="162" t="s">
        <v>457</v>
      </c>
      <c r="B154" s="172" t="s">
        <v>665</v>
      </c>
      <c r="C154" s="172" t="s">
        <v>758</v>
      </c>
      <c r="D154" s="172"/>
      <c r="E154" s="106" t="n">
        <v>8</v>
      </c>
      <c r="F154" s="173" t="n">
        <v>3</v>
      </c>
      <c r="S154" s="167" t="n">
        <v>963.0547797</v>
      </c>
      <c r="T154" s="111" t="s">
        <v>246</v>
      </c>
      <c r="Y154" s="167" t="n">
        <v>467.74</v>
      </c>
      <c r="Z154" s="111" t="s">
        <v>246</v>
      </c>
      <c r="AA154" s="167" t="n">
        <v>41801.84</v>
      </c>
      <c r="AB154" s="111" t="s">
        <v>246</v>
      </c>
      <c r="AC154" s="164" t="n">
        <v>20.7</v>
      </c>
      <c r="AD154" s="111" t="s">
        <v>246</v>
      </c>
      <c r="AG154" s="167" t="n">
        <v>4.950926936</v>
      </c>
      <c r="AH154" s="111" t="s">
        <v>246</v>
      </c>
      <c r="AM154" s="167"/>
      <c r="BS154" s="167" t="n">
        <v>46.53</v>
      </c>
      <c r="BT154" s="111" t="s">
        <v>246</v>
      </c>
      <c r="BU154" s="164" t="n">
        <v>22.6</v>
      </c>
      <c r="BV154" s="111" t="s">
        <v>246</v>
      </c>
    </row>
    <row r="155" customFormat="false" ht="12.75" hidden="false" customHeight="false" outlineLevel="0" collapsed="false">
      <c r="A155" s="162" t="s">
        <v>457</v>
      </c>
      <c r="B155" s="172" t="s">
        <v>668</v>
      </c>
      <c r="C155" s="172" t="s">
        <v>758</v>
      </c>
      <c r="D155" s="172"/>
      <c r="E155" s="106" t="n">
        <v>10</v>
      </c>
      <c r="F155" s="173" t="n">
        <v>28</v>
      </c>
      <c r="S155" s="167" t="n">
        <v>1250.357759</v>
      </c>
      <c r="T155" s="111" t="s">
        <v>246</v>
      </c>
      <c r="Y155" s="167" t="n">
        <v>620.2</v>
      </c>
      <c r="Z155" s="111" t="s">
        <v>246</v>
      </c>
      <c r="AA155" s="167" t="n">
        <v>58228.22</v>
      </c>
      <c r="AB155" s="111" t="s">
        <v>246</v>
      </c>
      <c r="AC155" s="164" t="n">
        <v>26.99</v>
      </c>
      <c r="AD155" s="111" t="s">
        <v>246</v>
      </c>
      <c r="AG155" s="167" t="n">
        <v>4.634888438</v>
      </c>
      <c r="AH155" s="111" t="s">
        <v>246</v>
      </c>
      <c r="AM155" s="167"/>
      <c r="BS155" s="167" t="n">
        <v>46.33</v>
      </c>
      <c r="BT155" s="111" t="s">
        <v>246</v>
      </c>
      <c r="BU155" s="164" t="n">
        <v>22.98</v>
      </c>
      <c r="BV155" s="111" t="s">
        <v>246</v>
      </c>
    </row>
    <row r="156" customFormat="false" ht="12.75" hidden="false" customHeight="false" outlineLevel="0" collapsed="false">
      <c r="A156" s="162" t="s">
        <v>457</v>
      </c>
      <c r="B156" s="172" t="s">
        <v>665</v>
      </c>
      <c r="C156" s="172" t="s">
        <v>760</v>
      </c>
      <c r="D156" s="172"/>
      <c r="E156" s="106" t="n">
        <v>10</v>
      </c>
      <c r="F156" s="173" t="n">
        <v>44</v>
      </c>
      <c r="S156" s="167" t="n">
        <v>1118.204027</v>
      </c>
      <c r="T156" s="111" t="s">
        <v>246</v>
      </c>
      <c r="Y156" s="167" t="n">
        <v>519.31</v>
      </c>
      <c r="Z156" s="111" t="s">
        <v>246</v>
      </c>
      <c r="AA156" s="167" t="n">
        <v>49024.88</v>
      </c>
      <c r="AB156" s="111" t="s">
        <v>246</v>
      </c>
      <c r="AC156" s="164" t="n">
        <v>23.74</v>
      </c>
      <c r="AD156" s="111" t="s">
        <v>246</v>
      </c>
      <c r="AG156" s="167" t="n">
        <v>4.841772152</v>
      </c>
      <c r="AH156" s="111" t="s">
        <v>246</v>
      </c>
      <c r="AM156" s="167"/>
      <c r="BS156" s="167" t="n">
        <v>47.11</v>
      </c>
      <c r="BT156" s="111" t="s">
        <v>246</v>
      </c>
      <c r="BU156" s="164" t="n">
        <v>21.88</v>
      </c>
      <c r="BV156" s="111" t="s">
        <v>246</v>
      </c>
    </row>
    <row r="157" customFormat="false" ht="12.75" hidden="false" customHeight="false" outlineLevel="0" collapsed="false">
      <c r="A157" s="162" t="s">
        <v>457</v>
      </c>
      <c r="B157" s="172" t="s">
        <v>668</v>
      </c>
      <c r="C157" s="172" t="s">
        <v>760</v>
      </c>
      <c r="D157" s="172"/>
      <c r="E157" s="106" t="n">
        <v>16</v>
      </c>
      <c r="F157" s="173" t="n">
        <v>46</v>
      </c>
      <c r="S157" s="167" t="n">
        <v>806.7112739</v>
      </c>
      <c r="T157" s="111" t="s">
        <v>246</v>
      </c>
      <c r="Y157" s="167" t="n">
        <v>438.69</v>
      </c>
      <c r="Z157" s="111" t="s">
        <v>246</v>
      </c>
      <c r="AA157" s="167" t="n">
        <v>42089.92</v>
      </c>
      <c r="AB157" s="111" t="s">
        <v>246</v>
      </c>
      <c r="AC157" s="164" t="n">
        <v>18.17</v>
      </c>
      <c r="AD157" s="111" t="s">
        <v>246</v>
      </c>
      <c r="AG157" s="167" t="n">
        <v>4.316682375</v>
      </c>
      <c r="AH157" s="111" t="s">
        <v>246</v>
      </c>
      <c r="AM157" s="167"/>
      <c r="BS157" s="167" t="n">
        <v>44.4</v>
      </c>
      <c r="BT157" s="111" t="s">
        <v>246</v>
      </c>
      <c r="BU157" s="164" t="n">
        <v>24.14</v>
      </c>
      <c r="BV157" s="111" t="s">
        <v>246</v>
      </c>
    </row>
    <row r="158" customFormat="false" ht="12.75" hidden="false" customHeight="false" outlineLevel="0" collapsed="false">
      <c r="A158" s="162" t="s">
        <v>457</v>
      </c>
      <c r="B158" s="172" t="s">
        <v>665</v>
      </c>
      <c r="C158" s="172" t="s">
        <v>761</v>
      </c>
      <c r="D158" s="172"/>
      <c r="E158" s="106" t="n">
        <v>16</v>
      </c>
      <c r="F158" s="173" t="n">
        <v>21</v>
      </c>
      <c r="S158" s="167" t="n">
        <v>1263.338997</v>
      </c>
      <c r="T158" s="111" t="s">
        <v>246</v>
      </c>
      <c r="Y158" s="167" t="n">
        <v>644.25</v>
      </c>
      <c r="Z158" s="111" t="s">
        <v>246</v>
      </c>
      <c r="AA158" s="167" t="n">
        <v>58450.34</v>
      </c>
      <c r="AB158" s="111" t="s">
        <v>246</v>
      </c>
      <c r="AC158" s="164" t="n">
        <v>27.57</v>
      </c>
      <c r="AD158" s="111" t="s">
        <v>246</v>
      </c>
      <c r="AG158" s="167" t="n">
        <v>4.716786818</v>
      </c>
      <c r="AH158" s="111" t="s">
        <v>246</v>
      </c>
      <c r="AM158" s="167"/>
      <c r="BS158" s="167" t="n">
        <v>45.82</v>
      </c>
      <c r="BT158" s="111" t="s">
        <v>246</v>
      </c>
      <c r="BU158" s="164" t="n">
        <v>23.37</v>
      </c>
      <c r="BV158" s="111" t="s">
        <v>246</v>
      </c>
    </row>
    <row r="159" customFormat="false" ht="12.75" hidden="false" customHeight="false" outlineLevel="0" collapsed="false">
      <c r="A159" s="162" t="s">
        <v>457</v>
      </c>
      <c r="B159" s="172" t="s">
        <v>668</v>
      </c>
      <c r="C159" s="172" t="s">
        <v>761</v>
      </c>
      <c r="D159" s="172"/>
      <c r="E159" s="106" t="n">
        <v>21</v>
      </c>
      <c r="F159" s="173" t="n">
        <v>10</v>
      </c>
      <c r="S159" s="167" t="n">
        <v>874.8556915</v>
      </c>
      <c r="T159" s="111" t="s">
        <v>246</v>
      </c>
      <c r="Y159" s="167" t="n">
        <v>468.31</v>
      </c>
      <c r="Z159" s="111" t="s">
        <v>246</v>
      </c>
      <c r="AA159" s="167" t="n">
        <v>42546.66</v>
      </c>
      <c r="AB159" s="111" t="s">
        <v>246</v>
      </c>
      <c r="AC159" s="164" t="n">
        <v>19.43</v>
      </c>
      <c r="AD159" s="111" t="s">
        <v>246</v>
      </c>
      <c r="AG159" s="167" t="n">
        <v>4.565853659</v>
      </c>
      <c r="AH159" s="111" t="s">
        <v>246</v>
      </c>
      <c r="AM159" s="167"/>
      <c r="BS159" s="167" t="n">
        <v>45.03</v>
      </c>
      <c r="BT159" s="111" t="s">
        <v>246</v>
      </c>
      <c r="BU159" s="164" t="n">
        <v>24.11</v>
      </c>
      <c r="BV159" s="111" t="s">
        <v>246</v>
      </c>
    </row>
    <row r="160" customFormat="false" ht="12.75" hidden="false" customHeight="false" outlineLevel="0" collapsed="false">
      <c r="A160" s="162" t="s">
        <v>457</v>
      </c>
      <c r="B160" s="172" t="s">
        <v>665</v>
      </c>
      <c r="C160" s="172" t="s">
        <v>762</v>
      </c>
      <c r="D160" s="172"/>
      <c r="E160" s="106" t="n">
        <v>2</v>
      </c>
      <c r="F160" s="173" t="n">
        <v>23</v>
      </c>
      <c r="S160" s="167" t="n">
        <v>1007.874512</v>
      </c>
      <c r="T160" s="111" t="s">
        <v>246</v>
      </c>
      <c r="Y160" s="167" t="n">
        <v>524.89</v>
      </c>
      <c r="Z160" s="111" t="s">
        <v>246</v>
      </c>
      <c r="AA160" s="167" t="n">
        <v>50868.15</v>
      </c>
      <c r="AB160" s="111" t="s">
        <v>246</v>
      </c>
      <c r="AC160" s="164" t="n">
        <v>22.24</v>
      </c>
      <c r="AD160" s="111" t="s">
        <v>246</v>
      </c>
      <c r="AG160" s="167" t="n">
        <v>4.372659176</v>
      </c>
      <c r="AH160" s="111" t="s">
        <v>246</v>
      </c>
      <c r="AM160" s="167"/>
      <c r="BS160" s="167" t="n">
        <v>45.31</v>
      </c>
      <c r="BT160" s="111" t="s">
        <v>246</v>
      </c>
      <c r="BU160" s="164" t="n">
        <v>23.6</v>
      </c>
      <c r="BV160" s="111" t="s">
        <v>246</v>
      </c>
    </row>
    <row r="161" customFormat="false" ht="12.75" hidden="false" customHeight="false" outlineLevel="0" collapsed="false">
      <c r="A161" s="162" t="s">
        <v>457</v>
      </c>
      <c r="B161" s="172" t="s">
        <v>668</v>
      </c>
      <c r="C161" s="172" t="s">
        <v>762</v>
      </c>
      <c r="D161" s="172"/>
      <c r="E161" s="106" t="n">
        <v>3</v>
      </c>
      <c r="F161" s="173" t="n">
        <v>59</v>
      </c>
      <c r="S161" s="167" t="n">
        <v>920.9082555</v>
      </c>
      <c r="T161" s="111" t="s">
        <v>246</v>
      </c>
      <c r="Y161" s="167" t="n">
        <v>503.76</v>
      </c>
      <c r="Z161" s="111" t="s">
        <v>246</v>
      </c>
      <c r="AA161" s="167" t="n">
        <v>47489.62</v>
      </c>
      <c r="AB161" s="111" t="s">
        <v>246</v>
      </c>
      <c r="AC161" s="164" t="n">
        <v>20.89</v>
      </c>
      <c r="AD161" s="111" t="s">
        <v>246</v>
      </c>
      <c r="AG161" s="167" t="n">
        <v>4.398496241</v>
      </c>
      <c r="AH161" s="111" t="s">
        <v>246</v>
      </c>
      <c r="AM161" s="167"/>
      <c r="BS161" s="167" t="n">
        <v>44.09</v>
      </c>
      <c r="BT161" s="111" t="s">
        <v>246</v>
      </c>
      <c r="BU161" s="164" t="n">
        <v>24.12</v>
      </c>
      <c r="BV161" s="111" t="s">
        <v>246</v>
      </c>
    </row>
    <row r="162" customFormat="false" ht="12.75" hidden="false" customHeight="false" outlineLevel="0" collapsed="false">
      <c r="A162" s="162" t="s">
        <v>459</v>
      </c>
      <c r="B162" s="172" t="s">
        <v>665</v>
      </c>
      <c r="C162" s="172" t="s">
        <v>758</v>
      </c>
      <c r="D162" s="172"/>
      <c r="E162" s="106" t="n">
        <v>5</v>
      </c>
      <c r="F162" s="173" t="n">
        <v>16</v>
      </c>
      <c r="S162" s="167" t="n">
        <v>1501.4184</v>
      </c>
      <c r="T162" s="111" t="s">
        <v>246</v>
      </c>
      <c r="Y162" s="167" t="n">
        <v>661.82</v>
      </c>
      <c r="Z162" s="111" t="s">
        <v>246</v>
      </c>
      <c r="AA162" s="167" t="n">
        <v>70927.8</v>
      </c>
      <c r="AB162" s="111" t="s">
        <v>246</v>
      </c>
      <c r="AC162" s="164" t="n">
        <v>31.22</v>
      </c>
      <c r="AD162" s="111" t="s">
        <v>246</v>
      </c>
      <c r="AG162" s="167" t="n">
        <v>4.402332362</v>
      </c>
      <c r="AH162" s="111" t="s">
        <v>246</v>
      </c>
      <c r="AM162" s="167"/>
      <c r="BS162" s="167" t="n">
        <v>48.08</v>
      </c>
      <c r="BT162" s="111" t="s">
        <v>246</v>
      </c>
      <c r="BU162" s="164" t="n">
        <v>21.2</v>
      </c>
      <c r="BV162" s="111" t="s">
        <v>246</v>
      </c>
    </row>
    <row r="163" customFormat="false" ht="12.75" hidden="false" customHeight="false" outlineLevel="0" collapsed="false">
      <c r="A163" s="162" t="s">
        <v>459</v>
      </c>
      <c r="B163" s="172" t="s">
        <v>668</v>
      </c>
      <c r="C163" s="172" t="s">
        <v>758</v>
      </c>
      <c r="D163" s="172"/>
      <c r="E163" s="106" t="n">
        <v>12</v>
      </c>
      <c r="F163" s="173" t="n">
        <v>18</v>
      </c>
      <c r="S163" s="167" t="n">
        <v>1434.24707</v>
      </c>
      <c r="T163" s="111" t="s">
        <v>246</v>
      </c>
      <c r="Y163" s="167" t="n">
        <v>670.78</v>
      </c>
      <c r="Z163" s="111" t="s">
        <v>246</v>
      </c>
      <c r="AA163" s="167" t="n">
        <v>72027.76</v>
      </c>
      <c r="AB163" s="111" t="s">
        <v>246</v>
      </c>
      <c r="AC163" s="164" t="n">
        <v>30.69</v>
      </c>
      <c r="AD163" s="111" t="s">
        <v>246</v>
      </c>
      <c r="AG163" s="167" t="n">
        <v>4.260465116</v>
      </c>
      <c r="AH163" s="111" t="s">
        <v>246</v>
      </c>
      <c r="AM163" s="167"/>
      <c r="BS163" s="167" t="n">
        <v>46.74</v>
      </c>
      <c r="BT163" s="111" t="s">
        <v>246</v>
      </c>
      <c r="BU163" s="164" t="n">
        <v>21.86</v>
      </c>
      <c r="BV163" s="111" t="s">
        <v>246</v>
      </c>
    </row>
    <row r="164" customFormat="false" ht="12.75" hidden="false" customHeight="false" outlineLevel="0" collapsed="false">
      <c r="A164" s="162" t="s">
        <v>459</v>
      </c>
      <c r="B164" s="172" t="s">
        <v>665</v>
      </c>
      <c r="C164" s="172" t="s">
        <v>760</v>
      </c>
      <c r="D164" s="172"/>
      <c r="E164" s="106" t="n">
        <v>12</v>
      </c>
      <c r="F164" s="173" t="n">
        <v>33</v>
      </c>
      <c r="S164" s="167" t="n">
        <v>1471.648667</v>
      </c>
      <c r="T164" s="111" t="s">
        <v>246</v>
      </c>
      <c r="Y164" s="167" t="n">
        <v>642.71</v>
      </c>
      <c r="Z164" s="111" t="s">
        <v>246</v>
      </c>
      <c r="AA164" s="167" t="n">
        <v>66163.97</v>
      </c>
      <c r="AB164" s="111" t="s">
        <v>246</v>
      </c>
      <c r="AC164" s="164" t="n">
        <v>30.68</v>
      </c>
      <c r="AD164" s="111" t="s">
        <v>246</v>
      </c>
      <c r="AG164" s="167" t="n">
        <v>4.637096774</v>
      </c>
      <c r="AH164" s="111" t="s">
        <v>246</v>
      </c>
      <c r="AM164" s="167"/>
      <c r="BS164" s="167" t="n">
        <v>47.97</v>
      </c>
      <c r="BT164" s="111" t="s">
        <v>246</v>
      </c>
      <c r="BU164" s="164" t="n">
        <v>20.95</v>
      </c>
      <c r="BV164" s="111" t="s">
        <v>246</v>
      </c>
    </row>
    <row r="165" customFormat="false" ht="12.75" hidden="false" customHeight="false" outlineLevel="0" collapsed="false">
      <c r="A165" s="162" t="s">
        <v>459</v>
      </c>
      <c r="B165" s="172" t="s">
        <v>668</v>
      </c>
      <c r="C165" s="172" t="s">
        <v>760</v>
      </c>
      <c r="D165" s="172"/>
      <c r="E165" s="106" t="n">
        <v>15</v>
      </c>
      <c r="F165" s="173" t="n">
        <v>38</v>
      </c>
      <c r="S165" s="167" t="n">
        <v>942.5159398</v>
      </c>
      <c r="T165" s="111" t="s">
        <v>246</v>
      </c>
      <c r="Y165" s="167" t="n">
        <v>460.64</v>
      </c>
      <c r="Z165" s="111" t="s">
        <v>246</v>
      </c>
      <c r="AA165" s="167" t="n">
        <v>47414.32</v>
      </c>
      <c r="AB165" s="111" t="s">
        <v>246</v>
      </c>
      <c r="AC165" s="164" t="n">
        <v>20.33</v>
      </c>
      <c r="AD165" s="111" t="s">
        <v>246</v>
      </c>
      <c r="AG165" s="167" t="n">
        <v>4.287305122</v>
      </c>
      <c r="AH165" s="111" t="s">
        <v>246</v>
      </c>
      <c r="AM165" s="167"/>
      <c r="BS165" s="167" t="n">
        <v>46.37</v>
      </c>
      <c r="BT165" s="111" t="s">
        <v>246</v>
      </c>
      <c r="BU165" s="164" t="n">
        <v>22.66</v>
      </c>
      <c r="BV165" s="111" t="s">
        <v>246</v>
      </c>
    </row>
    <row r="166" customFormat="false" ht="12.75" hidden="false" customHeight="false" outlineLevel="0" collapsed="false">
      <c r="A166" s="162" t="s">
        <v>459</v>
      </c>
      <c r="B166" s="172" t="s">
        <v>665</v>
      </c>
      <c r="C166" s="172" t="s">
        <v>761</v>
      </c>
      <c r="D166" s="172"/>
      <c r="E166" s="106" t="n">
        <v>14</v>
      </c>
      <c r="F166" s="173" t="n">
        <v>10</v>
      </c>
      <c r="S166" s="167" t="n">
        <v>1441.060197</v>
      </c>
      <c r="T166" s="111" t="s">
        <v>246</v>
      </c>
      <c r="Y166" s="167" t="n">
        <v>637.24</v>
      </c>
      <c r="Z166" s="111" t="s">
        <v>246</v>
      </c>
      <c r="AA166" s="167" t="n">
        <v>76511.62</v>
      </c>
      <c r="AB166" s="111" t="s">
        <v>246</v>
      </c>
      <c r="AC166" s="164" t="n">
        <v>30.21</v>
      </c>
      <c r="AD166" s="111" t="s">
        <v>246</v>
      </c>
      <c r="AG166" s="167" t="n">
        <v>3.948497854</v>
      </c>
      <c r="AH166" s="111" t="s">
        <v>246</v>
      </c>
      <c r="AM166" s="167"/>
      <c r="BS166" s="167" t="n">
        <v>47.7</v>
      </c>
      <c r="BT166" s="111" t="s">
        <v>246</v>
      </c>
      <c r="BU166" s="164" t="n">
        <v>21.09</v>
      </c>
      <c r="BV166" s="111" t="s">
        <v>246</v>
      </c>
    </row>
    <row r="167" customFormat="false" ht="12.75" hidden="false" customHeight="false" outlineLevel="0" collapsed="false">
      <c r="A167" s="162" t="s">
        <v>459</v>
      </c>
      <c r="B167" s="172" t="s">
        <v>668</v>
      </c>
      <c r="C167" s="172" t="s">
        <v>761</v>
      </c>
      <c r="D167" s="172"/>
      <c r="E167" s="106" t="n">
        <v>20</v>
      </c>
      <c r="F167" s="173" t="n">
        <v>5</v>
      </c>
      <c r="S167" s="167" t="n">
        <v>1413.77373</v>
      </c>
      <c r="T167" s="111" t="s">
        <v>246</v>
      </c>
      <c r="Y167" s="167" t="n">
        <v>677.49</v>
      </c>
      <c r="Z167" s="111" t="s">
        <v>246</v>
      </c>
      <c r="AA167" s="167" t="n">
        <v>73342.72</v>
      </c>
      <c r="AB167" s="111" t="s">
        <v>246</v>
      </c>
      <c r="AC167" s="164" t="n">
        <v>30.38</v>
      </c>
      <c r="AD167" s="111" t="s">
        <v>246</v>
      </c>
      <c r="AG167" s="167" t="n">
        <v>4.142222222</v>
      </c>
      <c r="AH167" s="111" t="s">
        <v>246</v>
      </c>
      <c r="AM167" s="167"/>
      <c r="BS167" s="167" t="n">
        <v>46.54</v>
      </c>
      <c r="BT167" s="111" t="s">
        <v>246</v>
      </c>
      <c r="BU167" s="164" t="n">
        <v>22.3</v>
      </c>
      <c r="BV167" s="111" t="s">
        <v>246</v>
      </c>
    </row>
    <row r="168" customFormat="false" ht="12.75" hidden="false" customHeight="false" outlineLevel="0" collapsed="false">
      <c r="A168" s="162" t="s">
        <v>459</v>
      </c>
      <c r="B168" s="172" t="s">
        <v>665</v>
      </c>
      <c r="C168" s="172" t="s">
        <v>762</v>
      </c>
      <c r="D168" s="172"/>
      <c r="E168" s="106" t="n">
        <v>2</v>
      </c>
      <c r="F168" s="173" t="n">
        <v>18</v>
      </c>
      <c r="S168" s="167" t="n">
        <v>1184.572895</v>
      </c>
      <c r="T168" s="111" t="s">
        <v>246</v>
      </c>
      <c r="Y168" s="167" t="n">
        <v>537.75</v>
      </c>
      <c r="Z168" s="111" t="s">
        <v>246</v>
      </c>
      <c r="AA168" s="167" t="n">
        <v>49236.39</v>
      </c>
      <c r="AB168" s="111" t="s">
        <v>246</v>
      </c>
      <c r="AC168" s="164" t="n">
        <v>25.32</v>
      </c>
      <c r="AD168" s="111" t="s">
        <v>246</v>
      </c>
      <c r="AG168" s="167" t="n">
        <v>5.142857143</v>
      </c>
      <c r="AH168" s="111" t="s">
        <v>246</v>
      </c>
      <c r="AM168" s="167"/>
      <c r="BS168" s="167" t="n">
        <v>46.78</v>
      </c>
      <c r="BT168" s="111" t="s">
        <v>246</v>
      </c>
      <c r="BU168" s="164" t="n">
        <v>21.24</v>
      </c>
      <c r="BV168" s="111" t="s">
        <v>246</v>
      </c>
    </row>
    <row r="169" customFormat="false" ht="12.75" hidden="false" customHeight="false" outlineLevel="0" collapsed="false">
      <c r="A169" s="162" t="s">
        <v>459</v>
      </c>
      <c r="B169" s="172" t="s">
        <v>668</v>
      </c>
      <c r="C169" s="172" t="s">
        <v>762</v>
      </c>
      <c r="D169" s="172"/>
      <c r="E169" s="106" t="n">
        <v>4</v>
      </c>
      <c r="F169" s="173" t="n">
        <v>57</v>
      </c>
      <c r="S169" s="167" t="n">
        <v>1416.246599</v>
      </c>
      <c r="T169" s="111" t="s">
        <v>246</v>
      </c>
      <c r="Y169" s="167" t="n">
        <v>729.58</v>
      </c>
      <c r="Z169" s="111" t="s">
        <v>246</v>
      </c>
      <c r="AA169" s="167" t="n">
        <v>74971.78</v>
      </c>
      <c r="AB169" s="111" t="s">
        <v>246</v>
      </c>
      <c r="AC169" s="164" t="n">
        <v>31.41</v>
      </c>
      <c r="AD169" s="111" t="s">
        <v>246</v>
      </c>
      <c r="AG169" s="167" t="n">
        <v>4.189189189</v>
      </c>
      <c r="AH169" s="111" t="s">
        <v>246</v>
      </c>
      <c r="AM169" s="167"/>
      <c r="BS169" s="167" t="n">
        <v>45.09</v>
      </c>
      <c r="BT169" s="111" t="s">
        <v>246</v>
      </c>
      <c r="BU169" s="164" t="n">
        <v>23.23</v>
      </c>
      <c r="BV169" s="111" t="s">
        <v>246</v>
      </c>
    </row>
    <row r="170" customFormat="false" ht="12.75" hidden="false" customHeight="false" outlineLevel="0" collapsed="false">
      <c r="A170" s="162" t="s">
        <v>461</v>
      </c>
      <c r="B170" s="172" t="s">
        <v>665</v>
      </c>
      <c r="C170" s="172" t="s">
        <v>758</v>
      </c>
      <c r="D170" s="172"/>
      <c r="E170" s="106" t="n">
        <v>5</v>
      </c>
      <c r="F170" s="173" t="n">
        <v>30</v>
      </c>
      <c r="S170" s="167" t="n">
        <v>1581.669429</v>
      </c>
      <c r="T170" s="111" t="s">
        <v>246</v>
      </c>
      <c r="Y170" s="167" t="n">
        <v>583.28</v>
      </c>
      <c r="Z170" s="111" t="s">
        <v>246</v>
      </c>
      <c r="AA170" s="167" t="n">
        <v>62706.96</v>
      </c>
      <c r="AB170" s="111" t="s">
        <v>246</v>
      </c>
      <c r="AC170" s="164" t="n">
        <v>30.43</v>
      </c>
      <c r="AD170" s="111" t="s">
        <v>246</v>
      </c>
      <c r="AG170" s="167" t="n">
        <v>4.852631579</v>
      </c>
      <c r="AH170" s="111" t="s">
        <v>246</v>
      </c>
      <c r="AM170" s="167"/>
      <c r="BS170" s="167" t="n">
        <v>51.98</v>
      </c>
      <c r="BT170" s="111" t="s">
        <v>246</v>
      </c>
      <c r="BU170" s="164" t="n">
        <v>19.17</v>
      </c>
      <c r="BV170" s="111" t="s">
        <v>246</v>
      </c>
    </row>
    <row r="171" customFormat="false" ht="12.75" hidden="false" customHeight="false" outlineLevel="0" collapsed="false">
      <c r="A171" s="162" t="s">
        <v>461</v>
      </c>
      <c r="B171" s="172" t="s">
        <v>668</v>
      </c>
      <c r="C171" s="172" t="s">
        <v>758</v>
      </c>
      <c r="D171" s="172"/>
      <c r="E171" s="106" t="n">
        <v>10</v>
      </c>
      <c r="F171" s="173" t="n">
        <v>6</v>
      </c>
      <c r="S171" s="167" t="n">
        <v>1763.211202</v>
      </c>
      <c r="T171" s="111" t="s">
        <v>246</v>
      </c>
      <c r="Y171" s="167" t="n">
        <v>753.5</v>
      </c>
      <c r="Z171" s="111" t="s">
        <v>246</v>
      </c>
      <c r="AA171" s="167" t="n">
        <v>77137.66</v>
      </c>
      <c r="AB171" s="111" t="s">
        <v>246</v>
      </c>
      <c r="AC171" s="164" t="n">
        <v>35.51</v>
      </c>
      <c r="AD171" s="111" t="s">
        <v>246</v>
      </c>
      <c r="AG171" s="167" t="n">
        <v>4.603960396</v>
      </c>
      <c r="AH171" s="111" t="s">
        <v>246</v>
      </c>
      <c r="AM171" s="167"/>
      <c r="BS171" s="167" t="n">
        <v>49.65</v>
      </c>
      <c r="BT171" s="111" t="s">
        <v>246</v>
      </c>
      <c r="BU171" s="164" t="n">
        <v>21.22</v>
      </c>
      <c r="BV171" s="111" t="s">
        <v>246</v>
      </c>
    </row>
    <row r="172" customFormat="false" ht="12.75" hidden="false" customHeight="false" outlineLevel="0" collapsed="false">
      <c r="A172" s="162" t="s">
        <v>461</v>
      </c>
      <c r="B172" s="172" t="s">
        <v>665</v>
      </c>
      <c r="C172" s="172" t="s">
        <v>760</v>
      </c>
      <c r="D172" s="172"/>
      <c r="E172" s="106" t="n">
        <v>10</v>
      </c>
      <c r="F172" s="173" t="n">
        <v>61</v>
      </c>
      <c r="S172" s="167" t="n">
        <v>1742.819792</v>
      </c>
      <c r="T172" s="111" t="s">
        <v>246</v>
      </c>
      <c r="Y172" s="167" t="n">
        <v>636.05</v>
      </c>
      <c r="Z172" s="111" t="s">
        <v>246</v>
      </c>
      <c r="AA172" s="167" t="n">
        <v>71367.35</v>
      </c>
      <c r="AB172" s="111" t="s">
        <v>246</v>
      </c>
      <c r="AC172" s="164" t="n">
        <v>33.69</v>
      </c>
      <c r="AD172" s="111" t="s">
        <v>246</v>
      </c>
      <c r="AG172" s="167" t="n">
        <v>4.720558882</v>
      </c>
      <c r="AH172" s="111" t="s">
        <v>246</v>
      </c>
      <c r="AM172" s="167"/>
      <c r="BS172" s="167" t="n">
        <v>51.73</v>
      </c>
      <c r="BT172" s="111" t="s">
        <v>246</v>
      </c>
      <c r="BU172" s="164" t="n">
        <v>18.88</v>
      </c>
      <c r="BV172" s="111" t="s">
        <v>246</v>
      </c>
    </row>
    <row r="173" customFormat="false" ht="12.75" hidden="false" customHeight="false" outlineLevel="0" collapsed="false">
      <c r="A173" s="162" t="s">
        <v>461</v>
      </c>
      <c r="B173" s="172" t="s">
        <v>668</v>
      </c>
      <c r="C173" s="172" t="s">
        <v>760</v>
      </c>
      <c r="D173" s="172"/>
      <c r="E173" s="106" t="n">
        <v>15</v>
      </c>
      <c r="F173" s="173" t="n">
        <v>49</v>
      </c>
      <c r="S173" s="167" t="n">
        <v>1533.011311</v>
      </c>
      <c r="T173" s="111" t="s">
        <v>246</v>
      </c>
      <c r="Y173" s="167" t="n">
        <v>636.39</v>
      </c>
      <c r="Z173" s="111" t="s">
        <v>246</v>
      </c>
      <c r="AA173" s="167" t="n">
        <v>64464.39</v>
      </c>
      <c r="AB173" s="111" t="s">
        <v>246</v>
      </c>
      <c r="AC173" s="164" t="n">
        <v>30.42</v>
      </c>
      <c r="AD173" s="111" t="s">
        <v>246</v>
      </c>
      <c r="AG173" s="167" t="n">
        <v>4.7185261</v>
      </c>
      <c r="AH173" s="111" t="s">
        <v>246</v>
      </c>
      <c r="AM173" s="167"/>
      <c r="BS173" s="167" t="n">
        <v>50.4</v>
      </c>
      <c r="BT173" s="111" t="s">
        <v>246</v>
      </c>
      <c r="BU173" s="164" t="n">
        <v>20.92</v>
      </c>
      <c r="BV173" s="111" t="s">
        <v>246</v>
      </c>
    </row>
    <row r="174" customFormat="false" ht="12.75" hidden="false" customHeight="false" outlineLevel="0" collapsed="false">
      <c r="A174" s="162" t="s">
        <v>461</v>
      </c>
      <c r="B174" s="172" t="s">
        <v>665</v>
      </c>
      <c r="C174" s="172" t="s">
        <v>761</v>
      </c>
      <c r="D174" s="172"/>
      <c r="E174" s="106" t="n">
        <v>14</v>
      </c>
      <c r="F174" s="173" t="n">
        <v>26</v>
      </c>
      <c r="S174" s="167" t="n">
        <v>1588.588167</v>
      </c>
      <c r="T174" s="111" t="s">
        <v>246</v>
      </c>
      <c r="Y174" s="167" t="n">
        <v>632.55</v>
      </c>
      <c r="Z174" s="111" t="s">
        <v>246</v>
      </c>
      <c r="AA174" s="167" t="n">
        <v>68061.74</v>
      </c>
      <c r="AB174" s="111" t="s">
        <v>246</v>
      </c>
      <c r="AC174" s="164" t="n">
        <v>31.24</v>
      </c>
      <c r="AD174" s="111" t="s">
        <v>246</v>
      </c>
      <c r="AG174" s="167" t="n">
        <v>4.590325765</v>
      </c>
      <c r="AH174" s="111" t="s">
        <v>246</v>
      </c>
      <c r="AM174" s="167"/>
      <c r="BS174" s="167" t="n">
        <v>50.85</v>
      </c>
      <c r="BT174" s="111" t="s">
        <v>246</v>
      </c>
      <c r="BU174" s="164" t="n">
        <v>20.25</v>
      </c>
      <c r="BV174" s="111" t="s">
        <v>246</v>
      </c>
    </row>
    <row r="175" customFormat="false" ht="12.75" hidden="false" customHeight="false" outlineLevel="0" collapsed="false">
      <c r="A175" s="162" t="s">
        <v>461</v>
      </c>
      <c r="B175" s="172" t="s">
        <v>668</v>
      </c>
      <c r="C175" s="172" t="s">
        <v>761</v>
      </c>
      <c r="D175" s="172"/>
      <c r="E175" s="106" t="n">
        <v>18</v>
      </c>
      <c r="F175" s="173" t="n">
        <v>22</v>
      </c>
      <c r="S175" s="167" t="n">
        <v>1699.115059</v>
      </c>
      <c r="T175" s="111" t="s">
        <v>246</v>
      </c>
      <c r="Y175" s="167" t="n">
        <v>706.03</v>
      </c>
      <c r="Z175" s="111" t="s">
        <v>246</v>
      </c>
      <c r="AA175" s="167" t="n">
        <v>72849.92</v>
      </c>
      <c r="AB175" s="111" t="s">
        <v>246</v>
      </c>
      <c r="AC175" s="164" t="n">
        <v>33.97</v>
      </c>
      <c r="AD175" s="111" t="s">
        <v>246</v>
      </c>
      <c r="AG175" s="167" t="n">
        <v>4.663316583</v>
      </c>
      <c r="AH175" s="111" t="s">
        <v>246</v>
      </c>
      <c r="AM175" s="167"/>
      <c r="BS175" s="167" t="n">
        <v>50.01</v>
      </c>
      <c r="BT175" s="111" t="s">
        <v>246</v>
      </c>
      <c r="BU175" s="164" t="n">
        <v>20.78</v>
      </c>
      <c r="BV175" s="111" t="s">
        <v>246</v>
      </c>
    </row>
    <row r="176" customFormat="false" ht="12.75" hidden="false" customHeight="false" outlineLevel="0" collapsed="false">
      <c r="A176" s="162" t="s">
        <v>461</v>
      </c>
      <c r="B176" s="172" t="s">
        <v>665</v>
      </c>
      <c r="C176" s="172" t="s">
        <v>762</v>
      </c>
      <c r="D176" s="172"/>
      <c r="E176" s="106" t="n">
        <v>4</v>
      </c>
      <c r="F176" s="173" t="n">
        <v>3</v>
      </c>
      <c r="S176" s="167" t="n">
        <v>1524.814739</v>
      </c>
      <c r="T176" s="111" t="s">
        <v>246</v>
      </c>
      <c r="Y176" s="167" t="n">
        <v>612.26</v>
      </c>
      <c r="Z176" s="111" t="s">
        <v>246</v>
      </c>
      <c r="AA176" s="167" t="n">
        <v>65917.22</v>
      </c>
      <c r="AB176" s="111" t="s">
        <v>246</v>
      </c>
      <c r="AC176" s="164" t="n">
        <v>30.43</v>
      </c>
      <c r="AD176" s="111" t="s">
        <v>246</v>
      </c>
      <c r="AG176" s="167" t="n">
        <v>4.616141732</v>
      </c>
      <c r="AH176" s="111" t="s">
        <v>246</v>
      </c>
      <c r="AM176" s="167"/>
      <c r="BS176" s="167" t="n">
        <v>50.11</v>
      </c>
      <c r="BT176" s="111" t="s">
        <v>246</v>
      </c>
      <c r="BU176" s="164" t="n">
        <v>20.12</v>
      </c>
      <c r="BV176" s="111" t="s">
        <v>246</v>
      </c>
    </row>
    <row r="177" customFormat="false" ht="12.75" hidden="false" customHeight="false" outlineLevel="0" collapsed="false">
      <c r="A177" s="162" t="s">
        <v>461</v>
      </c>
      <c r="B177" s="172" t="s">
        <v>668</v>
      </c>
      <c r="C177" s="172" t="s">
        <v>762</v>
      </c>
      <c r="D177" s="172"/>
      <c r="E177" s="106" t="n">
        <v>18</v>
      </c>
      <c r="F177" s="173" t="n">
        <v>23</v>
      </c>
      <c r="S177" s="167" t="n">
        <v>1389.104454</v>
      </c>
      <c r="T177" s="111" t="s">
        <v>246</v>
      </c>
      <c r="Y177" s="167" t="n">
        <v>602.14</v>
      </c>
      <c r="Z177" s="111" t="s">
        <v>246</v>
      </c>
      <c r="AA177" s="167" t="n">
        <v>64303.69</v>
      </c>
      <c r="AB177" s="111" t="s">
        <v>246</v>
      </c>
      <c r="AC177" s="164" t="n">
        <v>28.63</v>
      </c>
      <c r="AD177" s="111" t="s">
        <v>246</v>
      </c>
      <c r="AG177" s="167" t="n">
        <v>4.452830189</v>
      </c>
      <c r="AH177" s="111" t="s">
        <v>246</v>
      </c>
      <c r="AM177" s="167"/>
      <c r="BS177" s="167" t="n">
        <v>48.51</v>
      </c>
      <c r="BT177" s="111" t="s">
        <v>246</v>
      </c>
      <c r="BU177" s="164" t="n">
        <v>21.03</v>
      </c>
      <c r="BV177" s="111" t="s">
        <v>246</v>
      </c>
    </row>
    <row r="178" customFormat="false" ht="12.75" hidden="false" customHeight="false" outlineLevel="0" collapsed="false">
      <c r="A178" s="162" t="s">
        <v>463</v>
      </c>
      <c r="B178" s="172" t="s">
        <v>665</v>
      </c>
      <c r="C178" s="172" t="s">
        <v>758</v>
      </c>
      <c r="D178" s="172"/>
      <c r="E178" s="106" t="n">
        <v>2</v>
      </c>
      <c r="F178" s="173" t="n">
        <v>33</v>
      </c>
      <c r="S178" s="167" t="n">
        <v>1500.0074</v>
      </c>
      <c r="T178" s="111" t="s">
        <v>246</v>
      </c>
      <c r="Y178" s="167" t="n">
        <v>611.01</v>
      </c>
      <c r="Z178" s="111" t="s">
        <v>246</v>
      </c>
      <c r="AA178" s="167" t="n">
        <v>64680.39</v>
      </c>
      <c r="AB178" s="111" t="s">
        <v>246</v>
      </c>
      <c r="AC178" s="164" t="n">
        <v>30.62</v>
      </c>
      <c r="AD178" s="111" t="s">
        <v>246</v>
      </c>
      <c r="AG178" s="167" t="n">
        <v>4.734098019</v>
      </c>
      <c r="AH178" s="111" t="s">
        <v>246</v>
      </c>
      <c r="AM178" s="167"/>
      <c r="BS178" s="167" t="n">
        <v>48.99</v>
      </c>
      <c r="BT178" s="111" t="s">
        <v>246</v>
      </c>
      <c r="BU178" s="164" t="n">
        <v>19.95</v>
      </c>
      <c r="BV178" s="111" t="s">
        <v>246</v>
      </c>
    </row>
    <row r="179" customFormat="false" ht="12.75" hidden="false" customHeight="false" outlineLevel="0" collapsed="false">
      <c r="A179" s="162" t="s">
        <v>463</v>
      </c>
      <c r="B179" s="172" t="s">
        <v>668</v>
      </c>
      <c r="C179" s="172" t="s">
        <v>758</v>
      </c>
      <c r="D179" s="172"/>
      <c r="E179" s="106" t="n">
        <v>2</v>
      </c>
      <c r="F179" s="173" t="n">
        <v>35</v>
      </c>
      <c r="S179" s="167" t="n">
        <v>1630.786732</v>
      </c>
      <c r="T179" s="111" t="s">
        <v>246</v>
      </c>
      <c r="Y179" s="167" t="n">
        <v>689.7</v>
      </c>
      <c r="Z179" s="111" t="s">
        <v>246</v>
      </c>
      <c r="AA179" s="167" t="n">
        <v>71194.46</v>
      </c>
      <c r="AB179" s="111" t="s">
        <v>246</v>
      </c>
      <c r="AC179" s="164" t="n">
        <v>33.93</v>
      </c>
      <c r="AD179" s="111" t="s">
        <v>246</v>
      </c>
      <c r="AG179" s="167" t="n">
        <v>4.76635514</v>
      </c>
      <c r="AH179" s="111" t="s">
        <v>246</v>
      </c>
      <c r="AM179" s="167"/>
      <c r="BS179" s="167" t="n">
        <v>48.06</v>
      </c>
      <c r="BT179" s="111" t="s">
        <v>246</v>
      </c>
      <c r="BU179" s="164" t="n">
        <v>20.32</v>
      </c>
      <c r="BV179" s="111" t="s">
        <v>246</v>
      </c>
    </row>
    <row r="180" customFormat="false" ht="12.75" hidden="false" customHeight="false" outlineLevel="0" collapsed="false">
      <c r="A180" s="162" t="s">
        <v>463</v>
      </c>
      <c r="B180" s="172" t="s">
        <v>665</v>
      </c>
      <c r="C180" s="172" t="s">
        <v>760</v>
      </c>
      <c r="D180" s="172"/>
      <c r="E180" s="106" t="n">
        <v>5</v>
      </c>
      <c r="F180" s="173" t="n">
        <v>63</v>
      </c>
      <c r="S180" s="167" t="n">
        <v>1543.048952</v>
      </c>
      <c r="T180" s="111" t="s">
        <v>246</v>
      </c>
      <c r="Y180" s="167" t="n">
        <v>629.65</v>
      </c>
      <c r="Z180" s="111" t="s">
        <v>246</v>
      </c>
      <c r="AA180" s="167" t="n">
        <v>67119.04</v>
      </c>
      <c r="AB180" s="111" t="s">
        <v>246</v>
      </c>
      <c r="AC180" s="164" t="n">
        <v>31.48</v>
      </c>
      <c r="AD180" s="111" t="s">
        <v>246</v>
      </c>
      <c r="AG180" s="167" t="n">
        <v>4.690721649</v>
      </c>
      <c r="AH180" s="111" t="s">
        <v>246</v>
      </c>
      <c r="AM180" s="167"/>
      <c r="BS180" s="167" t="n">
        <v>49.01</v>
      </c>
      <c r="BT180" s="111" t="s">
        <v>246</v>
      </c>
      <c r="BU180" s="164" t="n">
        <v>20</v>
      </c>
      <c r="BV180" s="111" t="s">
        <v>246</v>
      </c>
    </row>
    <row r="181" customFormat="false" ht="12.75" hidden="false" customHeight="false" outlineLevel="0" collapsed="false">
      <c r="A181" s="162" t="s">
        <v>463</v>
      </c>
      <c r="B181" s="172" t="s">
        <v>668</v>
      </c>
      <c r="C181" s="172" t="s">
        <v>760</v>
      </c>
      <c r="D181" s="172"/>
      <c r="E181" s="106" t="n">
        <v>7</v>
      </c>
      <c r="F181" s="173" t="n">
        <v>24</v>
      </c>
      <c r="S181" s="167" t="n">
        <v>1132.856186</v>
      </c>
      <c r="T181" s="111" t="s">
        <v>246</v>
      </c>
      <c r="Y181" s="167" t="n">
        <v>538.41</v>
      </c>
      <c r="Z181" s="111" t="s">
        <v>246</v>
      </c>
      <c r="AA181" s="167" t="n">
        <v>51215.38</v>
      </c>
      <c r="AB181" s="111" t="s">
        <v>246</v>
      </c>
      <c r="AC181" s="164" t="n">
        <v>24.22</v>
      </c>
      <c r="AD181" s="111" t="s">
        <v>246</v>
      </c>
      <c r="AG181" s="167" t="n">
        <v>4.728205128</v>
      </c>
      <c r="AH181" s="111" t="s">
        <v>246</v>
      </c>
      <c r="AM181" s="167"/>
      <c r="BS181" s="167" t="n">
        <v>46.78</v>
      </c>
      <c r="BT181" s="111" t="s">
        <v>246</v>
      </c>
      <c r="BU181" s="164" t="n">
        <v>22.23</v>
      </c>
      <c r="BV181" s="111" t="s">
        <v>246</v>
      </c>
    </row>
    <row r="182" customFormat="false" ht="12.75" hidden="false" customHeight="false" outlineLevel="0" collapsed="false">
      <c r="A182" s="162" t="s">
        <v>463</v>
      </c>
      <c r="B182" s="172" t="s">
        <v>665</v>
      </c>
      <c r="C182" s="172" t="s">
        <v>761</v>
      </c>
      <c r="D182" s="172"/>
      <c r="E182" s="106" t="n">
        <v>10</v>
      </c>
      <c r="F182" s="173" t="n">
        <v>14</v>
      </c>
      <c r="S182" s="167" t="n">
        <v>1750.473856</v>
      </c>
      <c r="T182" s="111" t="s">
        <v>246</v>
      </c>
      <c r="Y182" s="167" t="n">
        <v>812.57</v>
      </c>
      <c r="Z182" s="111" t="s">
        <v>246</v>
      </c>
      <c r="AA182" s="167" t="n">
        <v>80934.63</v>
      </c>
      <c r="AB182" s="111" t="s">
        <v>246</v>
      </c>
      <c r="AC182" s="164" t="n">
        <v>37.59</v>
      </c>
      <c r="AD182" s="111" t="s">
        <v>246</v>
      </c>
      <c r="AG182" s="167" t="n">
        <v>4.644308943</v>
      </c>
      <c r="AH182" s="111" t="s">
        <v>246</v>
      </c>
      <c r="AM182" s="167"/>
      <c r="BS182" s="167" t="n">
        <v>46.57</v>
      </c>
      <c r="BT182" s="111" t="s">
        <v>246</v>
      </c>
      <c r="BU182" s="164" t="n">
        <v>21.62</v>
      </c>
      <c r="BV182" s="111" t="s">
        <v>246</v>
      </c>
    </row>
    <row r="183" customFormat="false" ht="12.75" hidden="false" customHeight="false" outlineLevel="0" collapsed="false">
      <c r="A183" s="162" t="s">
        <v>463</v>
      </c>
      <c r="B183" s="172" t="s">
        <v>668</v>
      </c>
      <c r="C183" s="172" t="s">
        <v>761</v>
      </c>
      <c r="D183" s="172"/>
      <c r="E183" s="106" t="n">
        <v>10</v>
      </c>
      <c r="F183" s="173" t="n">
        <v>40</v>
      </c>
      <c r="S183" s="167" t="n">
        <v>1673.315933</v>
      </c>
      <c r="T183" s="111" t="s">
        <v>246</v>
      </c>
      <c r="Y183" s="167" t="n">
        <v>778.12</v>
      </c>
      <c r="Z183" s="111" t="s">
        <v>246</v>
      </c>
      <c r="AA183" s="167" t="n">
        <v>75966.37</v>
      </c>
      <c r="AB183" s="111" t="s">
        <v>246</v>
      </c>
      <c r="AC183" s="164" t="n">
        <v>35.75</v>
      </c>
      <c r="AD183" s="111" t="s">
        <v>246</v>
      </c>
      <c r="AG183" s="167" t="n">
        <v>4.706477733</v>
      </c>
      <c r="AH183" s="111" t="s">
        <v>246</v>
      </c>
      <c r="AM183" s="167"/>
      <c r="BS183" s="167" t="n">
        <v>46.8</v>
      </c>
      <c r="BT183" s="111" t="s">
        <v>246</v>
      </c>
      <c r="BU183" s="164" t="n">
        <v>21.76</v>
      </c>
      <c r="BV183" s="111" t="s">
        <v>246</v>
      </c>
    </row>
    <row r="184" customFormat="false" ht="12.75" hidden="false" customHeight="false" outlineLevel="0" collapsed="false">
      <c r="A184" s="162" t="s">
        <v>463</v>
      </c>
      <c r="B184" s="172" t="s">
        <v>665</v>
      </c>
      <c r="C184" s="172" t="s">
        <v>762</v>
      </c>
      <c r="D184" s="172"/>
      <c r="E184" s="106" t="n">
        <v>15</v>
      </c>
      <c r="F184" s="173" t="n">
        <v>59</v>
      </c>
      <c r="S184" s="167" t="n">
        <v>1358.402113</v>
      </c>
      <c r="T184" s="111" t="s">
        <v>246</v>
      </c>
      <c r="Y184" s="167" t="n">
        <v>576.08</v>
      </c>
      <c r="Z184" s="111" t="s">
        <v>246</v>
      </c>
      <c r="AA184" s="167" t="n">
        <v>52679.46</v>
      </c>
      <c r="AB184" s="111" t="s">
        <v>246</v>
      </c>
      <c r="AC184" s="164" t="n">
        <v>28.06</v>
      </c>
      <c r="AD184" s="111" t="s">
        <v>246</v>
      </c>
      <c r="AG184" s="167" t="n">
        <v>5.326460481</v>
      </c>
      <c r="AH184" s="111" t="s">
        <v>246</v>
      </c>
      <c r="AM184" s="167"/>
      <c r="BS184" s="167" t="n">
        <v>48.41</v>
      </c>
      <c r="BT184" s="111" t="s">
        <v>246</v>
      </c>
      <c r="BU184" s="164" t="n">
        <v>20.53</v>
      </c>
      <c r="BV184" s="111" t="s">
        <v>246</v>
      </c>
    </row>
    <row r="185" customFormat="false" ht="12.75" hidden="false" customHeight="false" outlineLevel="0" collapsed="false">
      <c r="A185" s="162" t="s">
        <v>463</v>
      </c>
      <c r="B185" s="172" t="s">
        <v>668</v>
      </c>
      <c r="C185" s="172" t="s">
        <v>762</v>
      </c>
      <c r="D185" s="172"/>
      <c r="E185" s="106" t="n">
        <v>15</v>
      </c>
      <c r="F185" s="173" t="n">
        <v>1</v>
      </c>
      <c r="S185" s="167" t="n">
        <v>994.5574081</v>
      </c>
      <c r="T185" s="111" t="s">
        <v>246</v>
      </c>
      <c r="Y185" s="167" t="n">
        <v>527.49</v>
      </c>
      <c r="Z185" s="111" t="s">
        <v>246</v>
      </c>
      <c r="AA185" s="167" t="n">
        <v>45325.68</v>
      </c>
      <c r="AB185" s="111" t="s">
        <v>246</v>
      </c>
      <c r="AC185" s="164" t="n">
        <v>22.28</v>
      </c>
      <c r="AD185" s="111" t="s">
        <v>246</v>
      </c>
      <c r="AG185" s="167" t="n">
        <v>4.915254237</v>
      </c>
      <c r="AH185" s="111" t="s">
        <v>246</v>
      </c>
      <c r="AM185" s="167"/>
      <c r="BS185" s="167" t="n">
        <v>44.64</v>
      </c>
      <c r="BT185" s="111" t="s">
        <v>246</v>
      </c>
      <c r="BU185" s="164" t="n">
        <v>23.68</v>
      </c>
      <c r="BV185" s="111" t="s">
        <v>246</v>
      </c>
    </row>
    <row r="186" customFormat="false" ht="12.75" hidden="false" customHeight="false" outlineLevel="0" collapsed="false">
      <c r="A186" s="162" t="s">
        <v>465</v>
      </c>
      <c r="B186" s="172" t="s">
        <v>665</v>
      </c>
      <c r="C186" s="172" t="s">
        <v>758</v>
      </c>
      <c r="D186" s="172"/>
      <c r="E186" s="106" t="n">
        <v>4</v>
      </c>
      <c r="F186" s="173" t="n">
        <v>32</v>
      </c>
      <c r="S186" s="167" t="n">
        <v>1615.029903</v>
      </c>
      <c r="T186" s="111" t="s">
        <v>246</v>
      </c>
      <c r="Y186" s="167" t="n">
        <v>732.84</v>
      </c>
      <c r="Z186" s="111" t="s">
        <v>246</v>
      </c>
      <c r="AA186" s="167" t="n">
        <v>78289.5</v>
      </c>
      <c r="AB186" s="111" t="s">
        <v>246</v>
      </c>
      <c r="AC186" s="164" t="n">
        <v>33.83</v>
      </c>
      <c r="AD186" s="111" t="s">
        <v>246</v>
      </c>
      <c r="AG186" s="167" t="n">
        <v>4.321223709</v>
      </c>
      <c r="AH186" s="111" t="s">
        <v>246</v>
      </c>
      <c r="AM186" s="167"/>
      <c r="BS186" s="167" t="n">
        <v>47.74</v>
      </c>
      <c r="BT186" s="111" t="s">
        <v>246</v>
      </c>
      <c r="BU186" s="164" t="n">
        <v>21.66</v>
      </c>
      <c r="BV186" s="111" t="s">
        <v>246</v>
      </c>
    </row>
    <row r="187" customFormat="false" ht="12.75" hidden="false" customHeight="false" outlineLevel="0" collapsed="false">
      <c r="A187" s="162" t="s">
        <v>465</v>
      </c>
      <c r="B187" s="172" t="s">
        <v>668</v>
      </c>
      <c r="C187" s="172" t="s">
        <v>758</v>
      </c>
      <c r="D187" s="172"/>
      <c r="E187" s="106" t="n">
        <v>2</v>
      </c>
      <c r="F187" s="173" t="n">
        <v>62</v>
      </c>
      <c r="S187" s="167" t="n">
        <v>1643.24431</v>
      </c>
      <c r="T187" s="111" t="s">
        <v>246</v>
      </c>
      <c r="Y187" s="167" t="n">
        <v>749.82</v>
      </c>
      <c r="Z187" s="111" t="s">
        <v>246</v>
      </c>
      <c r="AA187" s="167" t="n">
        <v>74880.81</v>
      </c>
      <c r="AB187" s="111" t="s">
        <v>246</v>
      </c>
      <c r="AC187" s="164" t="n">
        <v>34.35</v>
      </c>
      <c r="AD187" s="111" t="s">
        <v>246</v>
      </c>
      <c r="AG187" s="167" t="n">
        <v>4.587155963</v>
      </c>
      <c r="AH187" s="111" t="s">
        <v>246</v>
      </c>
      <c r="AM187" s="167"/>
      <c r="BS187" s="167" t="n">
        <v>47.84</v>
      </c>
      <c r="BT187" s="111" t="s">
        <v>246</v>
      </c>
      <c r="BU187" s="164" t="n">
        <v>21.83</v>
      </c>
      <c r="BV187" s="111" t="s">
        <v>246</v>
      </c>
    </row>
    <row r="188" customFormat="false" ht="12.75" hidden="false" customHeight="false" outlineLevel="0" collapsed="false">
      <c r="A188" s="162" t="s">
        <v>465</v>
      </c>
      <c r="B188" s="172" t="s">
        <v>665</v>
      </c>
      <c r="C188" s="172" t="s">
        <v>760</v>
      </c>
      <c r="D188" s="172"/>
      <c r="E188" s="106" t="n">
        <v>5</v>
      </c>
      <c r="F188" s="173" t="n">
        <v>50</v>
      </c>
      <c r="S188" s="167" t="n">
        <v>1269.728623</v>
      </c>
      <c r="T188" s="111" t="s">
        <v>246</v>
      </c>
      <c r="Y188" s="167" t="n">
        <v>562.23</v>
      </c>
      <c r="Z188" s="111" t="s">
        <v>246</v>
      </c>
      <c r="AA188" s="167" t="n">
        <v>60064.45</v>
      </c>
      <c r="AB188" s="111" t="s">
        <v>246</v>
      </c>
      <c r="AC188" s="164" t="n">
        <v>26.3</v>
      </c>
      <c r="AD188" s="111" t="s">
        <v>246</v>
      </c>
      <c r="AG188" s="167" t="n">
        <v>4.378585086</v>
      </c>
      <c r="AH188" s="111" t="s">
        <v>246</v>
      </c>
      <c r="AM188" s="167"/>
      <c r="BS188" s="167" t="n">
        <v>48.28</v>
      </c>
      <c r="BT188" s="111" t="s">
        <v>246</v>
      </c>
      <c r="BU188" s="164" t="n">
        <v>21.38</v>
      </c>
      <c r="BV188" s="111" t="s">
        <v>246</v>
      </c>
    </row>
    <row r="189" customFormat="false" ht="12.75" hidden="false" customHeight="false" outlineLevel="0" collapsed="false">
      <c r="A189" s="162" t="s">
        <v>465</v>
      </c>
      <c r="B189" s="172" t="s">
        <v>668</v>
      </c>
      <c r="C189" s="172" t="s">
        <v>760</v>
      </c>
      <c r="D189" s="172"/>
      <c r="E189" s="106" t="n">
        <v>7</v>
      </c>
      <c r="F189" s="173" t="n">
        <v>60</v>
      </c>
      <c r="S189" s="167" t="n">
        <v>1076.038989</v>
      </c>
      <c r="T189" s="111" t="s">
        <v>246</v>
      </c>
      <c r="Y189" s="167" t="n">
        <v>523.38</v>
      </c>
      <c r="Z189" s="111" t="s">
        <v>246</v>
      </c>
      <c r="AA189" s="167" t="n">
        <v>50661.05</v>
      </c>
      <c r="AB189" s="111" t="s">
        <v>246</v>
      </c>
      <c r="AC189" s="164" t="n">
        <v>22.93</v>
      </c>
      <c r="AD189" s="111" t="s">
        <v>246</v>
      </c>
      <c r="AG189" s="167" t="n">
        <v>4.525904203</v>
      </c>
      <c r="AH189" s="111" t="s">
        <v>246</v>
      </c>
      <c r="AM189" s="167"/>
      <c r="BS189" s="167" t="n">
        <v>46.93</v>
      </c>
      <c r="BT189" s="111" t="s">
        <v>246</v>
      </c>
      <c r="BU189" s="164" t="n">
        <v>22.83</v>
      </c>
      <c r="BV189" s="111" t="s">
        <v>246</v>
      </c>
    </row>
    <row r="190" customFormat="false" ht="12.75" hidden="false" customHeight="false" outlineLevel="0" collapsed="false">
      <c r="A190" s="162" t="s">
        <v>465</v>
      </c>
      <c r="B190" s="172" t="s">
        <v>665</v>
      </c>
      <c r="C190" s="172" t="s">
        <v>761</v>
      </c>
      <c r="D190" s="172"/>
      <c r="E190" s="106" t="n">
        <v>5</v>
      </c>
      <c r="F190" s="173" t="n">
        <v>9</v>
      </c>
      <c r="S190" s="167" t="n">
        <v>1518.207624</v>
      </c>
      <c r="T190" s="111" t="s">
        <v>246</v>
      </c>
      <c r="Y190" s="167" t="n">
        <v>715.43</v>
      </c>
      <c r="Z190" s="111" t="s">
        <v>246</v>
      </c>
      <c r="AA190" s="167" t="n">
        <v>70996.17</v>
      </c>
      <c r="AB190" s="111" t="s">
        <v>246</v>
      </c>
      <c r="AC190" s="164" t="n">
        <v>32.14</v>
      </c>
      <c r="AD190" s="111" t="s">
        <v>246</v>
      </c>
      <c r="AG190" s="167" t="n">
        <v>4.527559055</v>
      </c>
      <c r="AH190" s="111" t="s">
        <v>246</v>
      </c>
      <c r="AM190" s="167"/>
      <c r="BS190" s="167" t="n">
        <v>47.23</v>
      </c>
      <c r="BT190" s="111" t="s">
        <v>246</v>
      </c>
      <c r="BU190" s="164" t="n">
        <v>22.26</v>
      </c>
      <c r="BV190" s="111" t="s">
        <v>246</v>
      </c>
    </row>
    <row r="191" customFormat="false" ht="12.75" hidden="false" customHeight="false" outlineLevel="0" collapsed="false">
      <c r="A191" s="162" t="s">
        <v>465</v>
      </c>
      <c r="B191" s="172" t="s">
        <v>668</v>
      </c>
      <c r="C191" s="172" t="s">
        <v>761</v>
      </c>
      <c r="D191" s="172"/>
      <c r="E191" s="106" t="n">
        <v>10</v>
      </c>
      <c r="F191" s="173" t="n">
        <v>18</v>
      </c>
      <c r="S191" s="167" t="n">
        <v>1334.670726</v>
      </c>
      <c r="T191" s="111" t="s">
        <v>246</v>
      </c>
      <c r="Y191" s="167" t="n">
        <v>667.57</v>
      </c>
      <c r="Z191" s="111" t="s">
        <v>246</v>
      </c>
      <c r="AA191" s="167" t="n">
        <v>65659.19</v>
      </c>
      <c r="AB191" s="111" t="s">
        <v>246</v>
      </c>
      <c r="AC191" s="164" t="n">
        <v>28.85</v>
      </c>
      <c r="AD191" s="111" t="s">
        <v>246</v>
      </c>
      <c r="AG191" s="167" t="n">
        <v>4.393505253</v>
      </c>
      <c r="AH191" s="111" t="s">
        <v>246</v>
      </c>
      <c r="AM191" s="167"/>
      <c r="BS191" s="167" t="n">
        <v>46.27</v>
      </c>
      <c r="BT191" s="111" t="s">
        <v>246</v>
      </c>
      <c r="BU191" s="164" t="n">
        <v>23.14</v>
      </c>
      <c r="BV191" s="111" t="s">
        <v>246</v>
      </c>
    </row>
    <row r="192" customFormat="false" ht="12.75" hidden="false" customHeight="false" outlineLevel="0" collapsed="false">
      <c r="A192" s="162" t="s">
        <v>465</v>
      </c>
      <c r="B192" s="172" t="s">
        <v>665</v>
      </c>
      <c r="C192" s="172" t="s">
        <v>762</v>
      </c>
      <c r="D192" s="172"/>
      <c r="E192" s="106" t="n">
        <v>10</v>
      </c>
      <c r="F192" s="173" t="n">
        <v>55</v>
      </c>
      <c r="S192" s="167" t="n">
        <v>1410.286113</v>
      </c>
      <c r="T192" s="111" t="s">
        <v>246</v>
      </c>
      <c r="Y192" s="167" t="n">
        <v>646.98</v>
      </c>
      <c r="Z192" s="111" t="s">
        <v>246</v>
      </c>
      <c r="AA192" s="167" t="n">
        <v>60356.51</v>
      </c>
      <c r="AB192" s="111" t="s">
        <v>246</v>
      </c>
      <c r="AC192" s="164" t="n">
        <v>30.02</v>
      </c>
      <c r="AD192" s="111" t="s">
        <v>246</v>
      </c>
      <c r="AG192" s="167" t="n">
        <v>4.973600845</v>
      </c>
      <c r="AH192" s="111" t="s">
        <v>246</v>
      </c>
      <c r="AM192" s="167"/>
      <c r="BS192" s="167" t="n">
        <v>46.98</v>
      </c>
      <c r="BT192" s="111" t="s">
        <v>246</v>
      </c>
      <c r="BU192" s="164" t="n">
        <v>21.55</v>
      </c>
      <c r="BV192" s="111" t="s">
        <v>246</v>
      </c>
    </row>
    <row r="193" customFormat="false" ht="12.75" hidden="false" customHeight="false" outlineLevel="0" collapsed="false">
      <c r="A193" s="162" t="s">
        <v>465</v>
      </c>
      <c r="B193" s="172" t="s">
        <v>668</v>
      </c>
      <c r="C193" s="172" t="s">
        <v>762</v>
      </c>
      <c r="D193" s="172"/>
      <c r="E193" s="106" t="n">
        <v>13</v>
      </c>
      <c r="F193" s="173" t="n">
        <v>43</v>
      </c>
      <c r="S193" s="167" t="n">
        <v>1249.111125</v>
      </c>
      <c r="T193" s="111" t="s">
        <v>246</v>
      </c>
      <c r="Y193" s="167" t="n">
        <v>585.79</v>
      </c>
      <c r="Z193" s="111" t="s">
        <v>246</v>
      </c>
      <c r="AA193" s="167" t="n">
        <v>57593.39</v>
      </c>
      <c r="AB193" s="111" t="s">
        <v>246</v>
      </c>
      <c r="AC193" s="164" t="n">
        <v>26.74</v>
      </c>
      <c r="AD193" s="111" t="s">
        <v>246</v>
      </c>
      <c r="AG193" s="167" t="n">
        <v>4.642147117</v>
      </c>
      <c r="AH193" s="111" t="s">
        <v>246</v>
      </c>
      <c r="AM193" s="167"/>
      <c r="BS193" s="167" t="n">
        <v>46.72</v>
      </c>
      <c r="BT193" s="111" t="s">
        <v>246</v>
      </c>
      <c r="BU193" s="164" t="n">
        <v>21.91</v>
      </c>
      <c r="BV193" s="111" t="s">
        <v>246</v>
      </c>
    </row>
    <row r="194" customFormat="false" ht="12.75" hidden="false" customHeight="false" outlineLevel="0" collapsed="false">
      <c r="A194" s="162" t="s">
        <v>467</v>
      </c>
      <c r="B194" s="172" t="s">
        <v>665</v>
      </c>
      <c r="C194" s="172" t="s">
        <v>758</v>
      </c>
      <c r="D194" s="172"/>
      <c r="E194" s="106" t="n">
        <v>20</v>
      </c>
      <c r="F194" s="173" t="n">
        <v>23</v>
      </c>
      <c r="S194" s="167" t="n">
        <v>1558.023902</v>
      </c>
      <c r="T194" s="111" t="s">
        <v>246</v>
      </c>
      <c r="Y194" s="167" t="n">
        <v>716.68</v>
      </c>
      <c r="Z194" s="111" t="s">
        <v>246</v>
      </c>
      <c r="AA194" s="167" t="n">
        <v>72261.22</v>
      </c>
      <c r="AB194" s="111" t="s">
        <v>246</v>
      </c>
      <c r="AC194" s="164" t="n">
        <v>32.65</v>
      </c>
      <c r="AD194" s="111" t="s">
        <v>246</v>
      </c>
      <c r="AG194" s="167" t="n">
        <v>4.5183714</v>
      </c>
      <c r="AH194" s="111" t="s">
        <v>246</v>
      </c>
      <c r="AM194" s="167"/>
      <c r="BS194" s="167" t="n">
        <v>47.72</v>
      </c>
      <c r="BT194" s="111" t="s">
        <v>246</v>
      </c>
      <c r="BU194" s="164" t="n">
        <v>21.95</v>
      </c>
      <c r="BV194" s="111" t="s">
        <v>246</v>
      </c>
    </row>
    <row r="195" customFormat="false" ht="12.75" hidden="false" customHeight="false" outlineLevel="0" collapsed="false">
      <c r="A195" s="162" t="s">
        <v>467</v>
      </c>
      <c r="B195" s="172" t="s">
        <v>668</v>
      </c>
      <c r="C195" s="172" t="s">
        <v>758</v>
      </c>
      <c r="D195" s="172"/>
      <c r="E195" s="106" t="n">
        <v>3</v>
      </c>
      <c r="F195" s="173" t="n">
        <v>13</v>
      </c>
      <c r="S195" s="167" t="n">
        <v>1388.399456</v>
      </c>
      <c r="T195" s="111" t="s">
        <v>246</v>
      </c>
      <c r="Y195" s="167" t="n">
        <v>661.4</v>
      </c>
      <c r="Z195" s="111" t="s">
        <v>246</v>
      </c>
      <c r="AA195" s="167" t="n">
        <v>67596.46</v>
      </c>
      <c r="AB195" s="111" t="s">
        <v>246</v>
      </c>
      <c r="AC195" s="164" t="n">
        <v>29.22</v>
      </c>
      <c r="AD195" s="111" t="s">
        <v>246</v>
      </c>
      <c r="AG195" s="167" t="n">
        <v>4.322274882</v>
      </c>
      <c r="AH195" s="111" t="s">
        <v>246</v>
      </c>
      <c r="AM195" s="167"/>
      <c r="BS195" s="167" t="n">
        <v>47.52</v>
      </c>
      <c r="BT195" s="111" t="s">
        <v>246</v>
      </c>
      <c r="BU195" s="164" t="n">
        <v>22.64</v>
      </c>
      <c r="BV195" s="111" t="s">
        <v>246</v>
      </c>
    </row>
    <row r="196" customFormat="false" ht="12.75" hidden="false" customHeight="false" outlineLevel="0" collapsed="false">
      <c r="A196" s="162" t="s">
        <v>467</v>
      </c>
      <c r="B196" s="172" t="s">
        <v>665</v>
      </c>
      <c r="C196" s="172" t="s">
        <v>760</v>
      </c>
      <c r="D196" s="172"/>
      <c r="E196" s="106" t="n">
        <v>2</v>
      </c>
      <c r="F196" s="173" t="n">
        <v>64</v>
      </c>
      <c r="S196" s="167" t="n">
        <v>1289.333878</v>
      </c>
      <c r="T196" s="111" t="s">
        <v>246</v>
      </c>
      <c r="Y196" s="167" t="n">
        <v>559.09</v>
      </c>
      <c r="Z196" s="111" t="s">
        <v>246</v>
      </c>
      <c r="AA196" s="167" t="n">
        <v>56640.89</v>
      </c>
      <c r="AB196" s="111" t="s">
        <v>246</v>
      </c>
      <c r="AC196" s="164" t="n">
        <v>26.34</v>
      </c>
      <c r="AD196" s="111" t="s">
        <v>246</v>
      </c>
      <c r="AG196" s="167" t="n">
        <v>4.650698603</v>
      </c>
      <c r="AH196" s="111" t="s">
        <v>246</v>
      </c>
      <c r="AM196" s="167"/>
      <c r="BS196" s="167" t="n">
        <v>48.95</v>
      </c>
      <c r="BT196" s="111" t="s">
        <v>246</v>
      </c>
      <c r="BU196" s="164" t="n">
        <v>21.22</v>
      </c>
      <c r="BV196" s="111" t="s">
        <v>246</v>
      </c>
    </row>
    <row r="197" customFormat="false" ht="12.75" hidden="false" customHeight="false" outlineLevel="0" collapsed="false">
      <c r="A197" s="162" t="s">
        <v>467</v>
      </c>
      <c r="B197" s="172" t="s">
        <v>668</v>
      </c>
      <c r="C197" s="172" t="s">
        <v>760</v>
      </c>
      <c r="D197" s="172"/>
      <c r="E197" s="106" t="n">
        <v>5</v>
      </c>
      <c r="F197" s="173" t="n">
        <v>35</v>
      </c>
      <c r="S197" s="167" t="n">
        <v>1279.178992</v>
      </c>
      <c r="T197" s="111" t="s">
        <v>246</v>
      </c>
      <c r="Y197" s="167" t="n">
        <v>641.31</v>
      </c>
      <c r="Z197" s="111" t="s">
        <v>246</v>
      </c>
      <c r="AA197" s="167" t="n">
        <v>71258.78</v>
      </c>
      <c r="AB197" s="111" t="s">
        <v>246</v>
      </c>
      <c r="AC197" s="164" t="n">
        <v>27.7</v>
      </c>
      <c r="AD197" s="111" t="s">
        <v>246</v>
      </c>
      <c r="AG197" s="167" t="n">
        <v>3.887015177</v>
      </c>
      <c r="AH197" s="111" t="s">
        <v>246</v>
      </c>
      <c r="AM197" s="167"/>
      <c r="BS197" s="167" t="n">
        <v>46.18</v>
      </c>
      <c r="BT197" s="111" t="s">
        <v>246</v>
      </c>
      <c r="BU197" s="164" t="n">
        <v>23.15</v>
      </c>
      <c r="BV197" s="111" t="s">
        <v>246</v>
      </c>
    </row>
    <row r="198" customFormat="false" ht="12.75" hidden="false" customHeight="false" outlineLevel="0" collapsed="false">
      <c r="A198" s="162" t="s">
        <v>467</v>
      </c>
      <c r="B198" s="172" t="s">
        <v>665</v>
      </c>
      <c r="C198" s="172" t="s">
        <v>761</v>
      </c>
      <c r="D198" s="172"/>
      <c r="E198" s="106" t="n">
        <v>6</v>
      </c>
      <c r="F198" s="173" t="n">
        <v>31</v>
      </c>
      <c r="S198" s="167" t="n">
        <v>1241.354007</v>
      </c>
      <c r="T198" s="111" t="s">
        <v>246</v>
      </c>
      <c r="Y198" s="167" t="n">
        <v>615.93</v>
      </c>
      <c r="Z198" s="111" t="s">
        <v>246</v>
      </c>
      <c r="AA198" s="167" t="n">
        <v>65817.65</v>
      </c>
      <c r="AB198" s="111" t="s">
        <v>246</v>
      </c>
      <c r="AC198" s="164" t="n">
        <v>26.6</v>
      </c>
      <c r="AD198" s="111" t="s">
        <v>246</v>
      </c>
      <c r="AG198" s="167" t="n">
        <v>4.041811847</v>
      </c>
      <c r="AH198" s="111" t="s">
        <v>246</v>
      </c>
      <c r="AM198" s="167"/>
      <c r="BS198" s="167" t="n">
        <v>46.66</v>
      </c>
      <c r="BT198" s="111" t="s">
        <v>246</v>
      </c>
      <c r="BU198" s="164" t="n">
        <v>23.15</v>
      </c>
      <c r="BV198" s="111" t="s">
        <v>246</v>
      </c>
    </row>
    <row r="199" customFormat="false" ht="12.75" hidden="false" customHeight="false" outlineLevel="0" collapsed="false">
      <c r="A199" s="162" t="s">
        <v>467</v>
      </c>
      <c r="B199" s="172" t="s">
        <v>668</v>
      </c>
      <c r="C199" s="172" t="s">
        <v>761</v>
      </c>
      <c r="D199" s="172"/>
      <c r="E199" s="106" t="n">
        <v>8</v>
      </c>
      <c r="F199" s="173" t="n">
        <v>10</v>
      </c>
      <c r="S199" s="167" t="n">
        <v>1187.799942</v>
      </c>
      <c r="T199" s="111" t="s">
        <v>246</v>
      </c>
      <c r="Y199" s="167" t="n">
        <v>628.64</v>
      </c>
      <c r="Z199" s="111" t="s">
        <v>246</v>
      </c>
      <c r="AA199" s="167" t="n">
        <v>57927.45</v>
      </c>
      <c r="AB199" s="111" t="s">
        <v>246</v>
      </c>
      <c r="AC199" s="164" t="n">
        <v>25.94</v>
      </c>
      <c r="AD199" s="111" t="s">
        <v>246</v>
      </c>
      <c r="AG199" s="167" t="n">
        <v>4.477756286</v>
      </c>
      <c r="AH199" s="111" t="s">
        <v>246</v>
      </c>
      <c r="AM199" s="167"/>
      <c r="BS199" s="167" t="n">
        <v>45.79</v>
      </c>
      <c r="BT199" s="111" t="s">
        <v>246</v>
      </c>
      <c r="BU199" s="164" t="n">
        <v>24.24</v>
      </c>
      <c r="BV199" s="111" t="s">
        <v>246</v>
      </c>
    </row>
    <row r="200" customFormat="false" ht="12.75" hidden="false" customHeight="false" outlineLevel="0" collapsed="false">
      <c r="A200" s="162" t="s">
        <v>467</v>
      </c>
      <c r="B200" s="172" t="s">
        <v>665</v>
      </c>
      <c r="C200" s="172" t="s">
        <v>762</v>
      </c>
      <c r="D200" s="172"/>
      <c r="E200" s="106" t="n">
        <v>9</v>
      </c>
      <c r="F200" s="173" t="n">
        <v>20</v>
      </c>
      <c r="S200" s="167" t="n">
        <v>1055.15789</v>
      </c>
      <c r="T200" s="111" t="s">
        <v>246</v>
      </c>
      <c r="Y200" s="167" t="n">
        <v>500.64</v>
      </c>
      <c r="Z200" s="111" t="s">
        <v>246</v>
      </c>
      <c r="AA200" s="167" t="n">
        <v>45963.16</v>
      </c>
      <c r="AB200" s="111" t="s">
        <v>246</v>
      </c>
      <c r="AC200" s="164" t="n">
        <v>22.4</v>
      </c>
      <c r="AD200" s="111" t="s">
        <v>246</v>
      </c>
      <c r="AG200" s="167" t="n">
        <v>4.873684211</v>
      </c>
      <c r="AH200" s="111" t="s">
        <v>246</v>
      </c>
      <c r="AM200" s="167"/>
      <c r="BS200" s="167" t="n">
        <v>47.1</v>
      </c>
      <c r="BT200" s="111" t="s">
        <v>246</v>
      </c>
      <c r="BU200" s="164" t="n">
        <v>22.35</v>
      </c>
      <c r="BV200" s="111" t="s">
        <v>246</v>
      </c>
    </row>
    <row r="201" customFormat="false" ht="12.75" hidden="false" customHeight="false" outlineLevel="0" collapsed="false">
      <c r="A201" s="162" t="s">
        <v>467</v>
      </c>
      <c r="B201" s="172" t="s">
        <v>668</v>
      </c>
      <c r="C201" s="172" t="s">
        <v>762</v>
      </c>
      <c r="D201" s="172"/>
      <c r="E201" s="106" t="n">
        <v>12</v>
      </c>
      <c r="F201" s="173" t="n">
        <v>38</v>
      </c>
      <c r="S201" s="167" t="n">
        <v>911.3907847</v>
      </c>
      <c r="T201" s="111" t="s">
        <v>246</v>
      </c>
      <c r="Y201" s="167" t="n">
        <v>495.71</v>
      </c>
      <c r="Z201" s="111" t="s">
        <v>246</v>
      </c>
      <c r="AA201" s="167" t="n">
        <v>48082.84</v>
      </c>
      <c r="AB201" s="111" t="s">
        <v>246</v>
      </c>
      <c r="AC201" s="164" t="n">
        <v>20.28</v>
      </c>
      <c r="AD201" s="111" t="s">
        <v>246</v>
      </c>
      <c r="AG201" s="167" t="n">
        <v>4.21719457</v>
      </c>
      <c r="AH201" s="111" t="s">
        <v>246</v>
      </c>
      <c r="AM201" s="167"/>
      <c r="BS201" s="167" t="n">
        <v>44.95</v>
      </c>
      <c r="BT201" s="111" t="s">
        <v>246</v>
      </c>
      <c r="BU201" s="164" t="n">
        <v>24.45</v>
      </c>
      <c r="BV201" s="111" t="s">
        <v>246</v>
      </c>
    </row>
    <row r="202" customFormat="false" ht="12.75" hidden="false" customHeight="false" outlineLevel="0" collapsed="false">
      <c r="A202" s="162" t="s">
        <v>469</v>
      </c>
      <c r="B202" s="172" t="s">
        <v>665</v>
      </c>
      <c r="C202" s="172" t="s">
        <v>758</v>
      </c>
      <c r="D202" s="172"/>
      <c r="E202" s="106" t="n">
        <v>14</v>
      </c>
      <c r="F202" s="173" t="n">
        <v>22</v>
      </c>
      <c r="S202" s="167" t="n">
        <v>1384.696961</v>
      </c>
      <c r="T202" s="111" t="s">
        <v>246</v>
      </c>
      <c r="Y202" s="167" t="n">
        <v>628.9</v>
      </c>
      <c r="Z202" s="111" t="s">
        <v>246</v>
      </c>
      <c r="AA202" s="167" t="n">
        <v>67086.7</v>
      </c>
      <c r="AB202" s="111" t="s">
        <v>246</v>
      </c>
      <c r="AC202" s="164" t="n">
        <v>29.41</v>
      </c>
      <c r="AD202" s="111" t="s">
        <v>246</v>
      </c>
      <c r="AG202" s="167" t="n">
        <v>4.383954155</v>
      </c>
      <c r="AH202" s="111" t="s">
        <v>246</v>
      </c>
      <c r="AM202" s="167"/>
      <c r="BS202" s="167" t="n">
        <v>47.08</v>
      </c>
      <c r="BT202" s="111" t="s">
        <v>246</v>
      </c>
      <c r="BU202" s="164" t="n">
        <v>21.38</v>
      </c>
      <c r="BV202" s="111" t="s">
        <v>246</v>
      </c>
    </row>
    <row r="203" customFormat="false" ht="12.75" hidden="false" customHeight="false" outlineLevel="0" collapsed="false">
      <c r="A203" s="162" t="s">
        <v>469</v>
      </c>
      <c r="B203" s="172" t="s">
        <v>668</v>
      </c>
      <c r="C203" s="172" t="s">
        <v>758</v>
      </c>
      <c r="D203" s="172"/>
      <c r="E203" s="106" t="s">
        <v>759</v>
      </c>
      <c r="F203" s="173" t="s">
        <v>759</v>
      </c>
      <c r="S203" s="167" t="n">
        <v>1664.412553</v>
      </c>
      <c r="T203" s="111" t="s">
        <v>246</v>
      </c>
      <c r="Y203" s="167" t="n">
        <v>697.84</v>
      </c>
      <c r="Z203" s="111" t="s">
        <v>246</v>
      </c>
      <c r="AA203" s="167" t="n">
        <v>73424.52</v>
      </c>
      <c r="AB203" s="111" t="s">
        <v>246</v>
      </c>
      <c r="AC203" s="164" t="n">
        <v>34.22</v>
      </c>
      <c r="AD203" s="111" t="s">
        <v>246</v>
      </c>
      <c r="AG203" s="167" t="n">
        <v>4.659898477</v>
      </c>
      <c r="AH203" s="111" t="s">
        <v>246</v>
      </c>
      <c r="AM203" s="167"/>
      <c r="BS203" s="167" t="n">
        <v>48.65</v>
      </c>
      <c r="BT203" s="111" t="s">
        <v>246</v>
      </c>
      <c r="BU203" s="164" t="n">
        <v>20.4</v>
      </c>
      <c r="BV203" s="111" t="s">
        <v>246</v>
      </c>
    </row>
    <row r="204" customFormat="false" ht="12.75" hidden="false" customHeight="false" outlineLevel="0" collapsed="false">
      <c r="A204" s="162" t="s">
        <v>469</v>
      </c>
      <c r="B204" s="172" t="s">
        <v>665</v>
      </c>
      <c r="C204" s="172" t="s">
        <v>760</v>
      </c>
      <c r="D204" s="172"/>
      <c r="E204" s="106" t="s">
        <v>759</v>
      </c>
      <c r="F204" s="173" t="s">
        <v>759</v>
      </c>
      <c r="S204" s="167" t="n">
        <v>1330.875526</v>
      </c>
      <c r="T204" s="111" t="s">
        <v>246</v>
      </c>
      <c r="Y204" s="167" t="n">
        <v>566.22</v>
      </c>
      <c r="Z204" s="111" t="s">
        <v>246</v>
      </c>
      <c r="AA204" s="167" t="n">
        <v>57043.02</v>
      </c>
      <c r="AB204" s="111" t="s">
        <v>246</v>
      </c>
      <c r="AC204" s="164" t="n">
        <v>27.62</v>
      </c>
      <c r="AD204" s="111" t="s">
        <v>246</v>
      </c>
      <c r="AG204" s="167" t="n">
        <v>4.842767296</v>
      </c>
      <c r="AH204" s="111" t="s">
        <v>246</v>
      </c>
      <c r="AM204" s="167"/>
      <c r="BS204" s="167" t="n">
        <v>48.18</v>
      </c>
      <c r="BT204" s="111" t="s">
        <v>246</v>
      </c>
      <c r="BU204" s="164" t="n">
        <v>20.5</v>
      </c>
      <c r="BV204" s="111" t="s">
        <v>246</v>
      </c>
    </row>
    <row r="205" customFormat="false" ht="12.75" hidden="false" customHeight="false" outlineLevel="0" collapsed="false">
      <c r="A205" s="162" t="s">
        <v>469</v>
      </c>
      <c r="B205" s="172" t="s">
        <v>668</v>
      </c>
      <c r="C205" s="172" t="s">
        <v>760</v>
      </c>
      <c r="D205" s="172"/>
      <c r="E205" s="106" t="n">
        <v>5</v>
      </c>
      <c r="F205" s="173" t="n">
        <v>5</v>
      </c>
      <c r="S205" s="167" t="n">
        <v>1783.676208</v>
      </c>
      <c r="T205" s="111" t="s">
        <v>246</v>
      </c>
      <c r="Y205" s="167" t="n">
        <v>759.42</v>
      </c>
      <c r="Z205" s="111" t="s">
        <v>246</v>
      </c>
      <c r="AA205" s="167" t="n">
        <v>80121.26</v>
      </c>
      <c r="AB205" s="111" t="s">
        <v>246</v>
      </c>
      <c r="AC205" s="164" t="n">
        <v>36.74</v>
      </c>
      <c r="AD205" s="111" t="s">
        <v>246</v>
      </c>
      <c r="AG205" s="167" t="n">
        <v>4.585798817</v>
      </c>
      <c r="AH205" s="111" t="s">
        <v>246</v>
      </c>
      <c r="AM205" s="167"/>
      <c r="BS205" s="167" t="n">
        <v>48.55</v>
      </c>
      <c r="BT205" s="111" t="s">
        <v>246</v>
      </c>
      <c r="BU205" s="164" t="n">
        <v>20.67</v>
      </c>
      <c r="BV205" s="111" t="s">
        <v>246</v>
      </c>
    </row>
    <row r="206" customFormat="false" ht="12.75" hidden="false" customHeight="false" outlineLevel="0" collapsed="false">
      <c r="A206" s="162" t="s">
        <v>469</v>
      </c>
      <c r="B206" s="172" t="s">
        <v>665</v>
      </c>
      <c r="C206" s="172" t="s">
        <v>761</v>
      </c>
      <c r="D206" s="172"/>
      <c r="E206" s="106" t="n">
        <v>5</v>
      </c>
      <c r="F206" s="173" t="n">
        <v>18</v>
      </c>
      <c r="S206" s="167" t="n">
        <v>1484.176002</v>
      </c>
      <c r="T206" s="111" t="s">
        <v>246</v>
      </c>
      <c r="Y206" s="167" t="n">
        <v>671.91</v>
      </c>
      <c r="Z206" s="111" t="s">
        <v>246</v>
      </c>
      <c r="AA206" s="167" t="n">
        <v>65324.7</v>
      </c>
      <c r="AB206" s="111" t="s">
        <v>246</v>
      </c>
      <c r="AC206" s="164" t="n">
        <v>31.18</v>
      </c>
      <c r="AD206" s="111" t="s">
        <v>246</v>
      </c>
      <c r="AG206" s="167" t="n">
        <v>4.773195876</v>
      </c>
      <c r="AH206" s="111" t="s">
        <v>246</v>
      </c>
      <c r="AM206" s="167"/>
      <c r="BS206" s="167" t="n">
        <v>47.6</v>
      </c>
      <c r="BT206" s="111" t="s">
        <v>246</v>
      </c>
      <c r="BU206" s="164" t="n">
        <v>21.55</v>
      </c>
      <c r="BV206" s="111" t="s">
        <v>246</v>
      </c>
    </row>
    <row r="207" customFormat="false" ht="12.75" hidden="false" customHeight="false" outlineLevel="0" collapsed="false">
      <c r="A207" s="162" t="s">
        <v>469</v>
      </c>
      <c r="B207" s="172" t="s">
        <v>668</v>
      </c>
      <c r="C207" s="172" t="s">
        <v>761</v>
      </c>
      <c r="D207" s="172"/>
      <c r="E207" s="106" t="n">
        <v>12</v>
      </c>
      <c r="F207" s="173" t="n">
        <v>3</v>
      </c>
      <c r="S207" s="167" t="n">
        <v>1701.309141</v>
      </c>
      <c r="T207" s="111" t="s">
        <v>246</v>
      </c>
      <c r="Y207" s="167" t="n">
        <v>766.08</v>
      </c>
      <c r="Z207" s="111" t="s">
        <v>246</v>
      </c>
      <c r="AA207" s="167" t="n">
        <v>73421.45</v>
      </c>
      <c r="AB207" s="111" t="s">
        <v>246</v>
      </c>
      <c r="AC207" s="164" t="n">
        <v>35.38</v>
      </c>
      <c r="AD207" s="111" t="s">
        <v>246</v>
      </c>
      <c r="AG207" s="167" t="n">
        <v>4.81827622</v>
      </c>
      <c r="AH207" s="111" t="s">
        <v>246</v>
      </c>
      <c r="AM207" s="167"/>
      <c r="BS207" s="167" t="n">
        <v>48.09</v>
      </c>
      <c r="BT207" s="111" t="s">
        <v>246</v>
      </c>
      <c r="BU207" s="164" t="n">
        <v>21.65</v>
      </c>
      <c r="BV207" s="111" t="s">
        <v>246</v>
      </c>
    </row>
    <row r="208" customFormat="false" ht="12.75" hidden="false" customHeight="false" outlineLevel="0" collapsed="false">
      <c r="A208" s="162" t="s">
        <v>469</v>
      </c>
      <c r="B208" s="172" t="s">
        <v>665</v>
      </c>
      <c r="C208" s="172" t="s">
        <v>762</v>
      </c>
      <c r="D208" s="172"/>
      <c r="E208" s="106" t="n">
        <v>15</v>
      </c>
      <c r="F208" s="173" t="n">
        <v>58</v>
      </c>
      <c r="S208" s="167" t="n">
        <v>1327.160799</v>
      </c>
      <c r="T208" s="111" t="s">
        <v>246</v>
      </c>
      <c r="Y208" s="167" t="n">
        <v>606.55</v>
      </c>
      <c r="Z208" s="111" t="s">
        <v>246</v>
      </c>
      <c r="AA208" s="167" t="n">
        <v>60777.98</v>
      </c>
      <c r="AB208" s="111" t="s">
        <v>246</v>
      </c>
      <c r="AC208" s="164" t="n">
        <v>28.2</v>
      </c>
      <c r="AD208" s="111" t="s">
        <v>246</v>
      </c>
      <c r="AG208" s="167" t="n">
        <v>4.639684107</v>
      </c>
      <c r="AH208" s="111" t="s">
        <v>246</v>
      </c>
      <c r="AM208" s="167"/>
      <c r="BS208" s="167" t="n">
        <v>47.06</v>
      </c>
      <c r="BT208" s="111" t="s">
        <v>246</v>
      </c>
      <c r="BU208" s="164" t="n">
        <v>21.51</v>
      </c>
      <c r="BV208" s="111" t="s">
        <v>246</v>
      </c>
    </row>
    <row r="209" customFormat="false" ht="12.75" hidden="false" customHeight="false" outlineLevel="0" collapsed="false">
      <c r="A209" s="162" t="s">
        <v>469</v>
      </c>
      <c r="B209" s="172" t="s">
        <v>668</v>
      </c>
      <c r="C209" s="172" t="s">
        <v>762</v>
      </c>
      <c r="D209" s="172"/>
      <c r="E209" s="106" t="n">
        <v>4</v>
      </c>
      <c r="F209" s="173" t="n">
        <v>15</v>
      </c>
      <c r="S209" s="167" t="n">
        <v>1757.648938</v>
      </c>
      <c r="T209" s="111" t="s">
        <v>246</v>
      </c>
      <c r="Y209" s="167" t="n">
        <v>805.16</v>
      </c>
      <c r="Z209" s="111" t="s">
        <v>246</v>
      </c>
      <c r="AA209" s="167" t="n">
        <v>80240.58</v>
      </c>
      <c r="AB209" s="111" t="s">
        <v>246</v>
      </c>
      <c r="AC209" s="164" t="n">
        <v>37.29</v>
      </c>
      <c r="AD209" s="111" t="s">
        <v>246</v>
      </c>
      <c r="AG209" s="167" t="n">
        <v>4.647467726</v>
      </c>
      <c r="AH209" s="111" t="s">
        <v>246</v>
      </c>
      <c r="AM209" s="167"/>
      <c r="BS209" s="167" t="n">
        <v>47.13</v>
      </c>
      <c r="BT209" s="111" t="s">
        <v>246</v>
      </c>
      <c r="BU209" s="164" t="n">
        <v>21.59</v>
      </c>
      <c r="BV209" s="111" t="s">
        <v>246</v>
      </c>
    </row>
    <row r="210" customFormat="false" ht="12.75" hidden="false" customHeight="false" outlineLevel="0" collapsed="false">
      <c r="A210" s="162" t="s">
        <v>471</v>
      </c>
      <c r="B210" s="172" t="s">
        <v>665</v>
      </c>
      <c r="C210" s="172" t="s">
        <v>758</v>
      </c>
      <c r="D210" s="172"/>
      <c r="E210" s="106" t="n">
        <v>2</v>
      </c>
      <c r="F210" s="173" t="n">
        <v>30</v>
      </c>
      <c r="S210" s="167" t="n">
        <v>1428.73067</v>
      </c>
      <c r="T210" s="111" t="s">
        <v>246</v>
      </c>
      <c r="Y210" s="167" t="n">
        <v>578.38</v>
      </c>
      <c r="Z210" s="111" t="s">
        <v>246</v>
      </c>
      <c r="AA210" s="167" t="n">
        <v>53935.93</v>
      </c>
      <c r="AB210" s="111" t="s">
        <v>246</v>
      </c>
      <c r="AC210" s="164" t="n">
        <v>29.21</v>
      </c>
      <c r="AD210" s="111" t="s">
        <v>246</v>
      </c>
      <c r="AG210" s="167" t="n">
        <v>5.416164053</v>
      </c>
      <c r="AH210" s="111" t="s">
        <v>246</v>
      </c>
      <c r="AM210" s="167"/>
      <c r="BS210" s="167" t="n">
        <v>48.91</v>
      </c>
      <c r="BT210" s="111" t="s">
        <v>246</v>
      </c>
      <c r="BU210" s="164" t="n">
        <v>19.8</v>
      </c>
      <c r="BV210" s="111" t="s">
        <v>246</v>
      </c>
    </row>
    <row r="211" customFormat="false" ht="12.75" hidden="false" customHeight="false" outlineLevel="0" collapsed="false">
      <c r="A211" s="162" t="s">
        <v>471</v>
      </c>
      <c r="B211" s="172" t="s">
        <v>668</v>
      </c>
      <c r="C211" s="172" t="s">
        <v>758</v>
      </c>
      <c r="D211" s="172"/>
      <c r="E211" s="106" t="n">
        <v>5</v>
      </c>
      <c r="F211" s="173" t="n">
        <v>57</v>
      </c>
      <c r="S211" s="167" t="n">
        <v>1553.970877</v>
      </c>
      <c r="T211" s="111" t="s">
        <v>246</v>
      </c>
      <c r="Y211" s="167" t="n">
        <v>714.47</v>
      </c>
      <c r="Z211" s="111" t="s">
        <v>246</v>
      </c>
      <c r="AA211" s="167" t="n">
        <v>61475.34</v>
      </c>
      <c r="AB211" s="111" t="s">
        <v>246</v>
      </c>
      <c r="AC211" s="164" t="n">
        <v>33.01</v>
      </c>
      <c r="AD211" s="111" t="s">
        <v>246</v>
      </c>
      <c r="AG211" s="167" t="n">
        <v>5.369284877</v>
      </c>
      <c r="AH211" s="111" t="s">
        <v>246</v>
      </c>
      <c r="AM211" s="167"/>
      <c r="BS211" s="167" t="n">
        <v>47.08</v>
      </c>
      <c r="BT211" s="111" t="s">
        <v>246</v>
      </c>
      <c r="BU211" s="164" t="n">
        <v>21.65</v>
      </c>
      <c r="BV211" s="111" t="s">
        <v>246</v>
      </c>
    </row>
    <row r="212" customFormat="false" ht="12.75" hidden="false" customHeight="false" outlineLevel="0" collapsed="false">
      <c r="A212" s="162" t="s">
        <v>471</v>
      </c>
      <c r="B212" s="172" t="s">
        <v>665</v>
      </c>
      <c r="C212" s="172" t="s">
        <v>760</v>
      </c>
      <c r="D212" s="172"/>
      <c r="E212" s="106" t="n">
        <v>5</v>
      </c>
      <c r="F212" s="173" t="n">
        <v>4</v>
      </c>
      <c r="S212" s="167" t="n">
        <v>1507.271051</v>
      </c>
      <c r="T212" s="111" t="s">
        <v>246</v>
      </c>
      <c r="Y212" s="167" t="n">
        <v>584.35</v>
      </c>
      <c r="Z212" s="111" t="s">
        <v>246</v>
      </c>
      <c r="AA212" s="167" t="n">
        <v>56456.3</v>
      </c>
      <c r="AB212" s="111" t="s">
        <v>246</v>
      </c>
      <c r="AC212" s="164" t="n">
        <v>30.25</v>
      </c>
      <c r="AD212" s="111" t="s">
        <v>246</v>
      </c>
      <c r="AG212" s="167" t="n">
        <v>5.357561547</v>
      </c>
      <c r="AH212" s="111" t="s">
        <v>246</v>
      </c>
      <c r="AM212" s="167"/>
      <c r="BS212" s="167" t="n">
        <v>49.83</v>
      </c>
      <c r="BT212" s="111" t="s">
        <v>246</v>
      </c>
      <c r="BU212" s="164" t="n">
        <v>19.32</v>
      </c>
      <c r="BV212" s="111" t="s">
        <v>246</v>
      </c>
    </row>
    <row r="213" customFormat="false" ht="12.75" hidden="false" customHeight="false" outlineLevel="0" collapsed="false">
      <c r="A213" s="162" t="s">
        <v>471</v>
      </c>
      <c r="B213" s="172" t="s">
        <v>668</v>
      </c>
      <c r="C213" s="172" t="s">
        <v>760</v>
      </c>
      <c r="D213" s="172"/>
      <c r="E213" s="106" t="n">
        <v>11</v>
      </c>
      <c r="F213" s="173" t="n">
        <v>25</v>
      </c>
      <c r="S213" s="167" t="n">
        <v>1217.210437</v>
      </c>
      <c r="T213" s="111" t="s">
        <v>246</v>
      </c>
      <c r="Y213" s="167" t="n">
        <v>578.05</v>
      </c>
      <c r="Z213" s="111" t="s">
        <v>246</v>
      </c>
      <c r="AA213" s="167" t="n">
        <v>48007.98</v>
      </c>
      <c r="AB213" s="111" t="s">
        <v>246</v>
      </c>
      <c r="AC213" s="164" t="n">
        <v>26.19</v>
      </c>
      <c r="AD213" s="111" t="s">
        <v>246</v>
      </c>
      <c r="AG213" s="167" t="n">
        <v>5.454545455</v>
      </c>
      <c r="AH213" s="111" t="s">
        <v>246</v>
      </c>
      <c r="AM213" s="167"/>
      <c r="BS213" s="167" t="n">
        <v>46.48</v>
      </c>
      <c r="BT213" s="111" t="s">
        <v>246</v>
      </c>
      <c r="BU213" s="164" t="n">
        <v>22.07</v>
      </c>
      <c r="BV213" s="111" t="s">
        <v>246</v>
      </c>
    </row>
    <row r="214" customFormat="false" ht="12.75" hidden="false" customHeight="false" outlineLevel="0" collapsed="false">
      <c r="A214" s="162" t="s">
        <v>471</v>
      </c>
      <c r="B214" s="172" t="s">
        <v>665</v>
      </c>
      <c r="C214" s="172" t="s">
        <v>761</v>
      </c>
      <c r="D214" s="172"/>
      <c r="E214" s="106" t="n">
        <v>12</v>
      </c>
      <c r="F214" s="173" t="n">
        <v>5</v>
      </c>
      <c r="S214" s="167" t="n">
        <v>1545.931338</v>
      </c>
      <c r="T214" s="111" t="s">
        <v>246</v>
      </c>
      <c r="Y214" s="167" t="n">
        <v>638.47</v>
      </c>
      <c r="Z214" s="111" t="s">
        <v>246</v>
      </c>
      <c r="AA214" s="167" t="n">
        <v>64951.71</v>
      </c>
      <c r="AB214" s="111" t="s">
        <v>246</v>
      </c>
      <c r="AC214" s="164" t="n">
        <v>31.76</v>
      </c>
      <c r="AD214" s="111" t="s">
        <v>246</v>
      </c>
      <c r="AG214" s="167" t="n">
        <v>4.889123548</v>
      </c>
      <c r="AH214" s="111" t="s">
        <v>246</v>
      </c>
      <c r="AM214" s="167"/>
      <c r="BS214" s="167" t="n">
        <v>48.68</v>
      </c>
      <c r="BT214" s="111" t="s">
        <v>246</v>
      </c>
      <c r="BU214" s="164" t="n">
        <v>20.11</v>
      </c>
      <c r="BV214" s="111" t="s">
        <v>246</v>
      </c>
    </row>
    <row r="215" customFormat="false" ht="12.75" hidden="false" customHeight="false" outlineLevel="0" collapsed="false">
      <c r="A215" s="162" t="s">
        <v>471</v>
      </c>
      <c r="B215" s="172" t="s">
        <v>668</v>
      </c>
      <c r="C215" s="172" t="s">
        <v>761</v>
      </c>
      <c r="D215" s="172"/>
      <c r="E215" s="106" t="n">
        <v>10</v>
      </c>
      <c r="F215" s="173" t="n">
        <v>51</v>
      </c>
      <c r="S215" s="167" t="n">
        <v>1452.812871</v>
      </c>
      <c r="T215" s="111" t="s">
        <v>246</v>
      </c>
      <c r="Y215" s="167" t="n">
        <v>664.59</v>
      </c>
      <c r="Z215" s="111" t="s">
        <v>246</v>
      </c>
      <c r="AA215" s="167" t="n">
        <v>59485.9</v>
      </c>
      <c r="AB215" s="111" t="s">
        <v>246</v>
      </c>
      <c r="AC215" s="164" t="n">
        <v>30.71</v>
      </c>
      <c r="AD215" s="111" t="s">
        <v>246</v>
      </c>
      <c r="AG215" s="167" t="n">
        <v>5.16237402</v>
      </c>
      <c r="AH215" s="111" t="s">
        <v>246</v>
      </c>
      <c r="AM215" s="167"/>
      <c r="BS215" s="167" t="n">
        <v>47.31</v>
      </c>
      <c r="BT215" s="111" t="s">
        <v>246</v>
      </c>
      <c r="BU215" s="164" t="n">
        <v>21.64</v>
      </c>
      <c r="BV215" s="111" t="s">
        <v>246</v>
      </c>
    </row>
    <row r="216" customFormat="false" ht="12.75" hidden="false" customHeight="false" outlineLevel="0" collapsed="false">
      <c r="A216" s="162" t="s">
        <v>471</v>
      </c>
      <c r="B216" s="172" t="s">
        <v>665</v>
      </c>
      <c r="C216" s="172" t="s">
        <v>762</v>
      </c>
      <c r="D216" s="172"/>
      <c r="E216" s="106" t="n">
        <v>15</v>
      </c>
      <c r="F216" s="173" t="n">
        <v>37</v>
      </c>
      <c r="S216" s="167" t="n">
        <v>1345.03143</v>
      </c>
      <c r="T216" s="111" t="s">
        <v>246</v>
      </c>
      <c r="Y216" s="167" t="n">
        <v>556.85</v>
      </c>
      <c r="Z216" s="111" t="s">
        <v>246</v>
      </c>
      <c r="AA216" s="167" t="n">
        <v>60615.15</v>
      </c>
      <c r="AB216" s="111" t="s">
        <v>246</v>
      </c>
      <c r="AC216" s="164" t="n">
        <v>27.79</v>
      </c>
      <c r="AD216" s="111" t="s">
        <v>246</v>
      </c>
      <c r="AG216" s="167" t="n">
        <v>4.58455523</v>
      </c>
      <c r="AH216" s="111" t="s">
        <v>246</v>
      </c>
      <c r="AM216" s="167"/>
      <c r="BS216" s="167" t="n">
        <v>48.4</v>
      </c>
      <c r="BT216" s="111" t="s">
        <v>246</v>
      </c>
      <c r="BU216" s="164" t="n">
        <v>20.04</v>
      </c>
      <c r="BV216" s="111" t="s">
        <v>246</v>
      </c>
    </row>
    <row r="217" customFormat="false" ht="12.75" hidden="false" customHeight="false" outlineLevel="0" collapsed="false">
      <c r="A217" s="162" t="s">
        <v>471</v>
      </c>
      <c r="B217" s="172" t="s">
        <v>668</v>
      </c>
      <c r="C217" s="172" t="s">
        <v>762</v>
      </c>
      <c r="D217" s="172"/>
      <c r="E217" s="106" t="n">
        <v>14</v>
      </c>
      <c r="F217" s="173" t="n">
        <v>27</v>
      </c>
      <c r="S217" s="167" t="n">
        <v>1296.53846</v>
      </c>
      <c r="T217" s="111" t="s">
        <v>246</v>
      </c>
      <c r="Y217" s="167" t="n">
        <v>606.01</v>
      </c>
      <c r="Z217" s="111" t="s">
        <v>246</v>
      </c>
      <c r="AA217" s="167" t="n">
        <v>53476.44</v>
      </c>
      <c r="AB217" s="111" t="s">
        <v>246</v>
      </c>
      <c r="AC217" s="164" t="n">
        <v>28.17</v>
      </c>
      <c r="AD217" s="111" t="s">
        <v>246</v>
      </c>
      <c r="AG217" s="167" t="n">
        <v>5.268456376</v>
      </c>
      <c r="AH217" s="111" t="s">
        <v>246</v>
      </c>
      <c r="AM217" s="167"/>
      <c r="BS217" s="167" t="n">
        <v>46.02</v>
      </c>
      <c r="BT217" s="111" t="s">
        <v>246</v>
      </c>
      <c r="BU217" s="164" t="n">
        <v>21.51</v>
      </c>
      <c r="BV217" s="111" t="s">
        <v>246</v>
      </c>
    </row>
    <row r="218" customFormat="false" ht="12.75" hidden="false" customHeight="false" outlineLevel="0" collapsed="false">
      <c r="A218" s="162" t="s">
        <v>473</v>
      </c>
      <c r="B218" s="172" t="s">
        <v>665</v>
      </c>
      <c r="C218" s="172" t="s">
        <v>758</v>
      </c>
      <c r="D218" s="172"/>
      <c r="E218" s="106" t="n">
        <v>1</v>
      </c>
      <c r="F218" s="173" t="n">
        <v>14</v>
      </c>
      <c r="S218" s="167" t="n">
        <v>1609.669558</v>
      </c>
      <c r="T218" s="111" t="s">
        <v>246</v>
      </c>
      <c r="Y218" s="167" t="n">
        <v>648.58</v>
      </c>
      <c r="Z218" s="111" t="s">
        <v>246</v>
      </c>
      <c r="AA218" s="167" t="n">
        <v>68374.64</v>
      </c>
      <c r="AB218" s="111" t="s">
        <v>246</v>
      </c>
      <c r="AC218" s="164" t="n">
        <v>32.94</v>
      </c>
      <c r="AD218" s="111" t="s">
        <v>246</v>
      </c>
      <c r="AG218" s="167" t="n">
        <v>4.817898023</v>
      </c>
      <c r="AH218" s="111" t="s">
        <v>246</v>
      </c>
      <c r="AM218" s="167"/>
      <c r="BS218" s="167" t="n">
        <v>48.86</v>
      </c>
      <c r="BT218" s="111" t="s">
        <v>246</v>
      </c>
      <c r="BU218" s="164" t="n">
        <v>19.69</v>
      </c>
      <c r="BV218" s="111" t="s">
        <v>246</v>
      </c>
    </row>
    <row r="219" customFormat="false" ht="12.75" hidden="false" customHeight="false" outlineLevel="0" collapsed="false">
      <c r="A219" s="162" t="s">
        <v>473</v>
      </c>
      <c r="B219" s="172" t="s">
        <v>668</v>
      </c>
      <c r="C219" s="172" t="s">
        <v>758</v>
      </c>
      <c r="D219" s="172"/>
      <c r="E219" s="106" t="n">
        <v>4</v>
      </c>
      <c r="F219" s="173" t="n">
        <v>36</v>
      </c>
      <c r="S219" s="167" t="n">
        <v>1590.395408</v>
      </c>
      <c r="T219" s="111" t="s">
        <v>246</v>
      </c>
      <c r="Y219" s="167" t="n">
        <v>684.87</v>
      </c>
      <c r="Z219" s="111" t="s">
        <v>246</v>
      </c>
      <c r="AA219" s="167" t="n">
        <v>65435.14</v>
      </c>
      <c r="AB219" s="111" t="s">
        <v>246</v>
      </c>
      <c r="AC219" s="164" t="n">
        <v>32.72</v>
      </c>
      <c r="AD219" s="111" t="s">
        <v>246</v>
      </c>
      <c r="AG219" s="167" t="n">
        <v>5</v>
      </c>
      <c r="AH219" s="111" t="s">
        <v>246</v>
      </c>
      <c r="AM219" s="167"/>
      <c r="BS219" s="167" t="n">
        <v>48.61</v>
      </c>
      <c r="BT219" s="111" t="s">
        <v>246</v>
      </c>
      <c r="BU219" s="164" t="n">
        <v>20.93</v>
      </c>
      <c r="BV219" s="111" t="s">
        <v>246</v>
      </c>
    </row>
    <row r="220" customFormat="false" ht="12.75" hidden="false" customHeight="false" outlineLevel="0" collapsed="false">
      <c r="A220" s="162" t="s">
        <v>473</v>
      </c>
      <c r="B220" s="172" t="s">
        <v>665</v>
      </c>
      <c r="C220" s="172" t="s">
        <v>760</v>
      </c>
      <c r="D220" s="172"/>
      <c r="E220" s="106" t="n">
        <v>5</v>
      </c>
      <c r="F220" s="173" t="n">
        <v>62</v>
      </c>
      <c r="S220" s="167" t="n">
        <v>1700.658708</v>
      </c>
      <c r="T220" s="111" t="s">
        <v>246</v>
      </c>
      <c r="Y220" s="167" t="n">
        <v>684.71</v>
      </c>
      <c r="Z220" s="111" t="s">
        <v>246</v>
      </c>
      <c r="AA220" s="167" t="n">
        <v>71964.59</v>
      </c>
      <c r="AB220" s="111" t="s">
        <v>246</v>
      </c>
      <c r="AC220" s="164" t="n">
        <v>34.42</v>
      </c>
      <c r="AD220" s="111" t="s">
        <v>246</v>
      </c>
      <c r="AG220" s="167" t="n">
        <v>4.783057851</v>
      </c>
      <c r="AH220" s="111" t="s">
        <v>246</v>
      </c>
      <c r="AM220" s="167"/>
      <c r="BS220" s="167" t="n">
        <v>49.41</v>
      </c>
      <c r="BT220" s="111" t="s">
        <v>246</v>
      </c>
      <c r="BU220" s="164" t="n">
        <v>19.89</v>
      </c>
      <c r="BV220" s="111" t="s">
        <v>246</v>
      </c>
    </row>
    <row r="221" customFormat="false" ht="12.75" hidden="false" customHeight="false" outlineLevel="0" collapsed="false">
      <c r="A221" s="162" t="s">
        <v>473</v>
      </c>
      <c r="B221" s="172" t="s">
        <v>668</v>
      </c>
      <c r="C221" s="172" t="s">
        <v>760</v>
      </c>
      <c r="D221" s="172"/>
      <c r="E221" s="106" t="n">
        <v>11</v>
      </c>
      <c r="F221" s="173" t="n">
        <v>2</v>
      </c>
      <c r="S221" s="167" t="n">
        <v>1144.413557</v>
      </c>
      <c r="T221" s="111" t="s">
        <v>246</v>
      </c>
      <c r="Y221" s="167" t="n">
        <v>515.86</v>
      </c>
      <c r="Z221" s="111" t="s">
        <v>246</v>
      </c>
      <c r="AA221" s="167" t="n">
        <v>46830.36</v>
      </c>
      <c r="AB221" s="111" t="s">
        <v>246</v>
      </c>
      <c r="AC221" s="164" t="n">
        <v>24.05</v>
      </c>
      <c r="AD221" s="111" t="s">
        <v>246</v>
      </c>
      <c r="AG221" s="167" t="n">
        <v>5.135135135</v>
      </c>
      <c r="AH221" s="111" t="s">
        <v>246</v>
      </c>
      <c r="AM221" s="167"/>
      <c r="BS221" s="167" t="n">
        <v>47.59</v>
      </c>
      <c r="BT221" s="111" t="s">
        <v>246</v>
      </c>
      <c r="BU221" s="164" t="n">
        <v>21.45</v>
      </c>
      <c r="BV221" s="111" t="s">
        <v>246</v>
      </c>
    </row>
    <row r="222" customFormat="false" ht="12.75" hidden="false" customHeight="false" outlineLevel="0" collapsed="false">
      <c r="A222" s="162" t="s">
        <v>473</v>
      </c>
      <c r="B222" s="172" t="s">
        <v>665</v>
      </c>
      <c r="C222" s="172" t="s">
        <v>761</v>
      </c>
      <c r="D222" s="172"/>
      <c r="E222" s="106" t="n">
        <v>10</v>
      </c>
      <c r="F222" s="173" t="n">
        <v>64</v>
      </c>
      <c r="S222" s="167" t="n">
        <v>1812.479903</v>
      </c>
      <c r="T222" s="111" t="s">
        <v>246</v>
      </c>
      <c r="Y222" s="167" t="n">
        <v>747.86</v>
      </c>
      <c r="Z222" s="111" t="s">
        <v>246</v>
      </c>
      <c r="AA222" s="167" t="n">
        <v>73755.89</v>
      </c>
      <c r="AB222" s="111" t="s">
        <v>246</v>
      </c>
      <c r="AC222" s="164" t="n">
        <v>37.12</v>
      </c>
      <c r="AD222" s="111" t="s">
        <v>246</v>
      </c>
      <c r="AG222" s="167" t="n">
        <v>5.032679739</v>
      </c>
      <c r="AH222" s="111" t="s">
        <v>246</v>
      </c>
      <c r="AM222" s="167"/>
      <c r="BS222" s="167" t="n">
        <v>48.83</v>
      </c>
      <c r="BT222" s="111" t="s">
        <v>246</v>
      </c>
      <c r="BU222" s="164" t="n">
        <v>20.15</v>
      </c>
      <c r="BV222" s="111" t="s">
        <v>246</v>
      </c>
    </row>
    <row r="223" customFormat="false" ht="12.75" hidden="false" customHeight="false" outlineLevel="0" collapsed="false">
      <c r="A223" s="162" t="s">
        <v>473</v>
      </c>
      <c r="B223" s="172" t="s">
        <v>668</v>
      </c>
      <c r="C223" s="172" t="s">
        <v>761</v>
      </c>
      <c r="D223" s="172"/>
      <c r="E223" s="106" t="n">
        <v>12</v>
      </c>
      <c r="F223" s="173" t="n">
        <v>60</v>
      </c>
      <c r="S223" s="167" t="n">
        <v>1682.691877</v>
      </c>
      <c r="T223" s="111" t="s">
        <v>246</v>
      </c>
      <c r="Y223" s="167" t="n">
        <v>736.2</v>
      </c>
      <c r="Z223" s="111" t="s">
        <v>246</v>
      </c>
      <c r="AA223" s="167" t="n">
        <v>72929.95</v>
      </c>
      <c r="AB223" s="111" t="s">
        <v>246</v>
      </c>
      <c r="AC223" s="164" t="n">
        <v>35.18</v>
      </c>
      <c r="AD223" s="111" t="s">
        <v>246</v>
      </c>
      <c r="AG223" s="167" t="n">
        <v>4.824016563</v>
      </c>
      <c r="AH223" s="111" t="s">
        <v>246</v>
      </c>
      <c r="AM223" s="167"/>
      <c r="BS223" s="167" t="n">
        <v>47.83</v>
      </c>
      <c r="BT223" s="111" t="s">
        <v>246</v>
      </c>
      <c r="BU223" s="164" t="n">
        <v>20.93</v>
      </c>
      <c r="BV223" s="111" t="s">
        <v>246</v>
      </c>
    </row>
    <row r="224" customFormat="false" ht="12.75" hidden="false" customHeight="false" outlineLevel="0" collapsed="false">
      <c r="A224" s="162" t="s">
        <v>473</v>
      </c>
      <c r="B224" s="172" t="s">
        <v>665</v>
      </c>
      <c r="C224" s="172" t="s">
        <v>762</v>
      </c>
      <c r="D224" s="172"/>
      <c r="E224" s="106" t="n">
        <v>16</v>
      </c>
      <c r="F224" s="173" t="n">
        <v>40</v>
      </c>
      <c r="S224" s="167" t="n">
        <v>1652.18078</v>
      </c>
      <c r="T224" s="111" t="s">
        <v>246</v>
      </c>
      <c r="Y224" s="167" t="n">
        <v>705.55</v>
      </c>
      <c r="Z224" s="111" t="s">
        <v>246</v>
      </c>
      <c r="AA224" s="167" t="n">
        <v>72208.45</v>
      </c>
      <c r="AB224" s="111" t="s">
        <v>246</v>
      </c>
      <c r="AC224" s="164" t="n">
        <v>34.4</v>
      </c>
      <c r="AD224" s="111" t="s">
        <v>246</v>
      </c>
      <c r="AG224" s="167" t="n">
        <v>4.764292879</v>
      </c>
      <c r="AH224" s="111" t="s">
        <v>246</v>
      </c>
      <c r="AM224" s="167"/>
      <c r="BS224" s="167" t="n">
        <v>48.03</v>
      </c>
      <c r="BT224" s="111" t="s">
        <v>246</v>
      </c>
      <c r="BU224" s="164" t="n">
        <v>20.51</v>
      </c>
      <c r="BV224" s="111" t="s">
        <v>246</v>
      </c>
    </row>
    <row r="225" customFormat="false" ht="12.75" hidden="false" customHeight="false" outlineLevel="0" collapsed="false">
      <c r="A225" s="162" t="s">
        <v>473</v>
      </c>
      <c r="B225" s="172" t="s">
        <v>668</v>
      </c>
      <c r="C225" s="172" t="s">
        <v>762</v>
      </c>
      <c r="D225" s="172"/>
      <c r="E225" s="106" t="n">
        <v>15</v>
      </c>
      <c r="F225" s="173" t="n">
        <v>12</v>
      </c>
      <c r="S225" s="167" t="n">
        <v>1411.012496</v>
      </c>
      <c r="T225" s="111" t="s">
        <v>246</v>
      </c>
      <c r="Y225" s="167" t="n">
        <v>655.84</v>
      </c>
      <c r="Z225" s="111" t="s">
        <v>246</v>
      </c>
      <c r="AA225" s="167" t="n">
        <v>66112.4</v>
      </c>
      <c r="AB225" s="111" t="s">
        <v>246</v>
      </c>
      <c r="AC225" s="164" t="n">
        <v>29.92</v>
      </c>
      <c r="AD225" s="111" t="s">
        <v>246</v>
      </c>
      <c r="AG225" s="167" t="n">
        <v>4.526112186</v>
      </c>
      <c r="AH225" s="111" t="s">
        <v>246</v>
      </c>
      <c r="AM225" s="167"/>
      <c r="BS225" s="167" t="n">
        <v>47.15</v>
      </c>
      <c r="BT225" s="111" t="s">
        <v>246</v>
      </c>
      <c r="BU225" s="164" t="n">
        <v>21.92</v>
      </c>
      <c r="BV225" s="111" t="s">
        <v>246</v>
      </c>
    </row>
    <row r="226" customFormat="false" ht="12.75" hidden="false" customHeight="false" outlineLevel="0" collapsed="false">
      <c r="A226" s="162" t="s">
        <v>475</v>
      </c>
      <c r="B226" s="172" t="s">
        <v>665</v>
      </c>
      <c r="C226" s="172" t="s">
        <v>758</v>
      </c>
      <c r="D226" s="172"/>
      <c r="E226" s="106" t="n">
        <v>1</v>
      </c>
      <c r="F226" s="173" t="n">
        <v>10</v>
      </c>
      <c r="S226" s="167" t="n">
        <v>1590.066693</v>
      </c>
      <c r="T226" s="111" t="s">
        <v>246</v>
      </c>
      <c r="Y226" s="167" t="n">
        <v>647.94</v>
      </c>
      <c r="Z226" s="111" t="s">
        <v>246</v>
      </c>
      <c r="AA226" s="167" t="n">
        <v>67661.27</v>
      </c>
      <c r="AB226" s="111" t="s">
        <v>246</v>
      </c>
      <c r="AC226" s="164" t="n">
        <v>32.31</v>
      </c>
      <c r="AD226" s="111" t="s">
        <v>246</v>
      </c>
      <c r="AG226" s="167" t="n">
        <v>4.77486911</v>
      </c>
      <c r="AH226" s="111" t="s">
        <v>246</v>
      </c>
      <c r="AM226" s="167"/>
      <c r="BS226" s="167" t="n">
        <v>49.22</v>
      </c>
      <c r="BT226" s="111" t="s">
        <v>246</v>
      </c>
      <c r="BU226" s="164" t="n">
        <v>20.06</v>
      </c>
      <c r="BV226" s="111" t="s">
        <v>246</v>
      </c>
    </row>
    <row r="227" customFormat="false" ht="12.75" hidden="false" customHeight="false" outlineLevel="0" collapsed="false">
      <c r="A227" s="162" t="s">
        <v>475</v>
      </c>
      <c r="B227" s="172" t="s">
        <v>668</v>
      </c>
      <c r="C227" s="172" t="s">
        <v>758</v>
      </c>
      <c r="D227" s="172"/>
      <c r="E227" s="106" t="n">
        <v>4</v>
      </c>
      <c r="F227" s="173" t="n">
        <v>48</v>
      </c>
      <c r="S227" s="167" t="n">
        <v>1954.496453</v>
      </c>
      <c r="T227" s="111" t="s">
        <v>246</v>
      </c>
      <c r="Y227" s="167" t="n">
        <v>860.39</v>
      </c>
      <c r="Z227" s="111" t="s">
        <v>246</v>
      </c>
      <c r="AA227" s="167" t="n">
        <v>86949.6</v>
      </c>
      <c r="AB227" s="111" t="s">
        <v>246</v>
      </c>
      <c r="AC227" s="164" t="n">
        <v>40.83</v>
      </c>
      <c r="AD227" s="111" t="s">
        <v>246</v>
      </c>
      <c r="AG227" s="167" t="n">
        <v>4.696189495</v>
      </c>
      <c r="AH227" s="111" t="s">
        <v>246</v>
      </c>
      <c r="AM227" s="167"/>
      <c r="BS227" s="167" t="n">
        <v>47.87</v>
      </c>
      <c r="BT227" s="111" t="s">
        <v>246</v>
      </c>
      <c r="BU227" s="164" t="n">
        <v>21.07</v>
      </c>
      <c r="BV227" s="111" t="s">
        <v>246</v>
      </c>
    </row>
    <row r="228" customFormat="false" ht="12.75" hidden="false" customHeight="false" outlineLevel="0" collapsed="false">
      <c r="A228" s="162" t="s">
        <v>475</v>
      </c>
      <c r="B228" s="172" t="s">
        <v>665</v>
      </c>
      <c r="C228" s="172" t="s">
        <v>760</v>
      </c>
      <c r="D228" s="172"/>
      <c r="E228" s="106" t="n">
        <v>7</v>
      </c>
      <c r="F228" s="173" t="n">
        <v>40</v>
      </c>
      <c r="S228" s="167" t="n">
        <v>1676.606935</v>
      </c>
      <c r="T228" s="111" t="s">
        <v>246</v>
      </c>
      <c r="Y228" s="167" t="n">
        <v>645.84</v>
      </c>
      <c r="Z228" s="111" t="s">
        <v>246</v>
      </c>
      <c r="AA228" s="167" t="n">
        <v>74357.45</v>
      </c>
      <c r="AB228" s="111" t="s">
        <v>246</v>
      </c>
      <c r="AC228" s="164" t="n">
        <v>33.62</v>
      </c>
      <c r="AD228" s="111" t="s">
        <v>246</v>
      </c>
      <c r="AG228" s="167" t="n">
        <v>4.521224087</v>
      </c>
      <c r="AH228" s="111" t="s">
        <v>246</v>
      </c>
      <c r="AM228" s="167"/>
      <c r="BS228" s="167" t="n">
        <v>49.87</v>
      </c>
      <c r="BT228" s="111" t="s">
        <v>246</v>
      </c>
      <c r="BU228" s="164" t="n">
        <v>19.21</v>
      </c>
      <c r="BV228" s="111" t="s">
        <v>246</v>
      </c>
    </row>
    <row r="229" customFormat="false" ht="12.75" hidden="false" customHeight="false" outlineLevel="0" collapsed="false">
      <c r="A229" s="162" t="s">
        <v>475</v>
      </c>
      <c r="B229" s="172" t="s">
        <v>668</v>
      </c>
      <c r="C229" s="172" t="s">
        <v>760</v>
      </c>
      <c r="D229" s="172"/>
      <c r="E229" s="106" t="n">
        <v>11</v>
      </c>
      <c r="F229" s="173" t="n">
        <v>1</v>
      </c>
      <c r="S229" s="167" t="n">
        <v>1538.021478</v>
      </c>
      <c r="T229" s="111" t="s">
        <v>246</v>
      </c>
      <c r="Y229" s="167" t="n">
        <v>717.79</v>
      </c>
      <c r="Z229" s="111" t="s">
        <v>246</v>
      </c>
      <c r="AA229" s="167" t="n">
        <v>72335.65</v>
      </c>
      <c r="AB229" s="111" t="s">
        <v>246</v>
      </c>
      <c r="AC229" s="164" t="n">
        <v>32.68</v>
      </c>
      <c r="AD229" s="111" t="s">
        <v>246</v>
      </c>
      <c r="AG229" s="167" t="n">
        <v>4.518013632</v>
      </c>
      <c r="AH229" s="111" t="s">
        <v>246</v>
      </c>
      <c r="AM229" s="167"/>
      <c r="BS229" s="167" t="n">
        <v>47.06</v>
      </c>
      <c r="BT229" s="111" t="s">
        <v>246</v>
      </c>
      <c r="BU229" s="164" t="n">
        <v>21.96</v>
      </c>
      <c r="BV229" s="111" t="s">
        <v>246</v>
      </c>
    </row>
    <row r="230" customFormat="false" ht="12.75" hidden="false" customHeight="false" outlineLevel="0" collapsed="false">
      <c r="A230" s="162" t="s">
        <v>475</v>
      </c>
      <c r="B230" s="172" t="s">
        <v>665</v>
      </c>
      <c r="C230" s="172" t="s">
        <v>761</v>
      </c>
      <c r="D230" s="172"/>
      <c r="E230" s="106" t="n">
        <v>12</v>
      </c>
      <c r="F230" s="173" t="n">
        <v>49</v>
      </c>
      <c r="S230" s="167" t="n">
        <v>1779.667871</v>
      </c>
      <c r="T230" s="111" t="s">
        <v>246</v>
      </c>
      <c r="Y230" s="167" t="n">
        <v>771.06</v>
      </c>
      <c r="Z230" s="111" t="s">
        <v>246</v>
      </c>
      <c r="AA230" s="167" t="n">
        <v>84443.42</v>
      </c>
      <c r="AB230" s="111" t="s">
        <v>246</v>
      </c>
      <c r="AC230" s="164" t="n">
        <v>37.33</v>
      </c>
      <c r="AD230" s="111" t="s">
        <v>246</v>
      </c>
      <c r="AG230" s="167" t="n">
        <v>4.421252372</v>
      </c>
      <c r="AH230" s="111" t="s">
        <v>246</v>
      </c>
      <c r="AM230" s="167"/>
      <c r="BS230" s="167" t="n">
        <v>47.67</v>
      </c>
      <c r="BT230" s="111" t="s">
        <v>246</v>
      </c>
      <c r="BU230" s="164" t="n">
        <v>20.65</v>
      </c>
      <c r="BV230" s="111" t="s">
        <v>246</v>
      </c>
    </row>
    <row r="231" customFormat="false" ht="12.75" hidden="false" customHeight="false" outlineLevel="0" collapsed="false">
      <c r="A231" s="162" t="s">
        <v>475</v>
      </c>
      <c r="B231" s="172" t="s">
        <v>668</v>
      </c>
      <c r="C231" s="172" t="s">
        <v>761</v>
      </c>
      <c r="D231" s="172"/>
      <c r="E231" s="106" t="n">
        <v>13</v>
      </c>
      <c r="F231" s="173" t="n">
        <v>53</v>
      </c>
      <c r="S231" s="167" t="n">
        <v>1880.896613</v>
      </c>
      <c r="T231" s="111" t="s">
        <v>246</v>
      </c>
      <c r="Y231" s="167" t="n">
        <v>835.47</v>
      </c>
      <c r="Z231" s="111" t="s">
        <v>246</v>
      </c>
      <c r="AA231" s="167" t="n">
        <v>82013.03</v>
      </c>
      <c r="AB231" s="111" t="s">
        <v>246</v>
      </c>
      <c r="AC231" s="164" t="n">
        <v>39.59</v>
      </c>
      <c r="AD231" s="111" t="s">
        <v>246</v>
      </c>
      <c r="AG231" s="167" t="n">
        <v>4.826862539</v>
      </c>
      <c r="AH231" s="111" t="s">
        <v>246</v>
      </c>
      <c r="AM231" s="167"/>
      <c r="BS231" s="167" t="n">
        <v>47.51</v>
      </c>
      <c r="BT231" s="111" t="s">
        <v>246</v>
      </c>
      <c r="BU231" s="164" t="n">
        <v>21.1</v>
      </c>
      <c r="BV231" s="111" t="s">
        <v>246</v>
      </c>
    </row>
    <row r="232" customFormat="false" ht="12.75" hidden="false" customHeight="false" outlineLevel="0" collapsed="false">
      <c r="A232" s="162" t="s">
        <v>475</v>
      </c>
      <c r="B232" s="172" t="s">
        <v>665</v>
      </c>
      <c r="C232" s="172" t="s">
        <v>762</v>
      </c>
      <c r="D232" s="172"/>
      <c r="E232" s="106" t="n">
        <v>15</v>
      </c>
      <c r="F232" s="173" t="n">
        <v>43</v>
      </c>
      <c r="S232" s="167" t="n">
        <v>1742.522124</v>
      </c>
      <c r="T232" s="111" t="s">
        <v>246</v>
      </c>
      <c r="Y232" s="167" t="n">
        <v>745.71</v>
      </c>
      <c r="Z232" s="111" t="s">
        <v>246</v>
      </c>
      <c r="AA232" s="167" t="n">
        <v>79713.98</v>
      </c>
      <c r="AB232" s="111" t="s">
        <v>246</v>
      </c>
      <c r="AC232" s="164" t="n">
        <v>36.34</v>
      </c>
      <c r="AD232" s="111" t="s">
        <v>246</v>
      </c>
      <c r="AG232" s="167" t="n">
        <v>4.558680892</v>
      </c>
      <c r="AH232" s="111" t="s">
        <v>246</v>
      </c>
      <c r="AM232" s="167"/>
      <c r="BS232" s="167" t="n">
        <v>47.95</v>
      </c>
      <c r="BT232" s="111" t="s">
        <v>246</v>
      </c>
      <c r="BU232" s="164" t="n">
        <v>20.52</v>
      </c>
      <c r="BV232" s="111" t="s">
        <v>246</v>
      </c>
    </row>
    <row r="233" customFormat="false" ht="12.75" hidden="false" customHeight="false" outlineLevel="0" collapsed="false">
      <c r="A233" s="162" t="s">
        <v>475</v>
      </c>
      <c r="B233" s="172" t="s">
        <v>668</v>
      </c>
      <c r="C233" s="172" t="s">
        <v>762</v>
      </c>
      <c r="D233" s="172"/>
      <c r="E233" s="106" t="n">
        <v>15</v>
      </c>
      <c r="F233" s="173" t="n">
        <v>32</v>
      </c>
      <c r="S233" s="167" t="n">
        <v>1233.791737</v>
      </c>
      <c r="T233" s="111" t="s">
        <v>246</v>
      </c>
      <c r="Y233" s="167" t="n">
        <v>617.48</v>
      </c>
      <c r="Z233" s="111" t="s">
        <v>246</v>
      </c>
      <c r="AA233" s="167" t="n">
        <v>62048.24</v>
      </c>
      <c r="AB233" s="111" t="s">
        <v>246</v>
      </c>
      <c r="AC233" s="164" t="n">
        <v>27.27</v>
      </c>
      <c r="AD233" s="111" t="s">
        <v>246</v>
      </c>
      <c r="AG233" s="167" t="n">
        <v>4.394366197</v>
      </c>
      <c r="AH233" s="111" t="s">
        <v>246</v>
      </c>
      <c r="AM233" s="167"/>
      <c r="BS233" s="167" t="n">
        <v>45.25</v>
      </c>
      <c r="BT233" s="111" t="s">
        <v>246</v>
      </c>
      <c r="BU233" s="164" t="n">
        <v>22.65</v>
      </c>
      <c r="BV233" s="111" t="s">
        <v>246</v>
      </c>
    </row>
    <row r="234" customFormat="false" ht="12.75" hidden="false" customHeight="false" outlineLevel="0" collapsed="false">
      <c r="A234" s="162" t="s">
        <v>477</v>
      </c>
      <c r="B234" s="172" t="s">
        <v>665</v>
      </c>
      <c r="C234" s="172" t="s">
        <v>758</v>
      </c>
      <c r="D234" s="172"/>
      <c r="E234" s="106" t="n">
        <v>19</v>
      </c>
      <c r="F234" s="173" t="n">
        <v>1</v>
      </c>
      <c r="S234" s="167" t="n">
        <v>1765.797367</v>
      </c>
      <c r="T234" s="111" t="s">
        <v>246</v>
      </c>
      <c r="Y234" s="167" t="n">
        <v>776.08</v>
      </c>
      <c r="Z234" s="111" t="s">
        <v>246</v>
      </c>
      <c r="AA234" s="167" t="n">
        <v>74887.33</v>
      </c>
      <c r="AB234" s="111" t="s">
        <v>246</v>
      </c>
      <c r="AC234" s="164" t="n">
        <v>36.76</v>
      </c>
      <c r="AD234" s="111" t="s">
        <v>246</v>
      </c>
      <c r="AG234" s="167" t="n">
        <v>4.908306365</v>
      </c>
      <c r="AH234" s="111" t="s">
        <v>246</v>
      </c>
      <c r="AM234" s="167"/>
      <c r="BS234" s="167" t="n">
        <v>48.04</v>
      </c>
      <c r="BT234" s="111" t="s">
        <v>246</v>
      </c>
      <c r="BU234" s="164" t="n">
        <v>21.11</v>
      </c>
      <c r="BV234" s="111" t="s">
        <v>246</v>
      </c>
    </row>
    <row r="235" customFormat="false" ht="12.75" hidden="false" customHeight="false" outlineLevel="0" collapsed="false">
      <c r="A235" s="162" t="s">
        <v>477</v>
      </c>
      <c r="B235" s="172" t="s">
        <v>668</v>
      </c>
      <c r="C235" s="172" t="s">
        <v>758</v>
      </c>
      <c r="D235" s="172"/>
      <c r="E235" s="106" t="n">
        <v>3</v>
      </c>
      <c r="F235" s="173" t="n">
        <v>27</v>
      </c>
      <c r="S235" s="167" t="n">
        <v>2040.151824</v>
      </c>
      <c r="T235" s="111" t="s">
        <v>246</v>
      </c>
      <c r="Y235" s="167" t="n">
        <v>883.41</v>
      </c>
      <c r="Z235" s="111" t="s">
        <v>246</v>
      </c>
      <c r="AA235" s="167" t="n">
        <v>86299.02</v>
      </c>
      <c r="AB235" s="111" t="s">
        <v>246</v>
      </c>
      <c r="AC235" s="164" t="n">
        <v>42.05</v>
      </c>
      <c r="AD235" s="111" t="s">
        <v>246</v>
      </c>
      <c r="AG235" s="167" t="n">
        <v>4.872340426</v>
      </c>
      <c r="AH235" s="111" t="s">
        <v>246</v>
      </c>
      <c r="AM235" s="167"/>
      <c r="BS235" s="167" t="n">
        <v>48.52</v>
      </c>
      <c r="BT235" s="111" t="s">
        <v>246</v>
      </c>
      <c r="BU235" s="164" t="n">
        <v>21.01</v>
      </c>
      <c r="BV235" s="111" t="s">
        <v>246</v>
      </c>
    </row>
    <row r="236" customFormat="false" ht="12.75" hidden="false" customHeight="false" outlineLevel="0" collapsed="false">
      <c r="A236" s="162" t="s">
        <v>477</v>
      </c>
      <c r="B236" s="172" t="s">
        <v>665</v>
      </c>
      <c r="C236" s="172" t="s">
        <v>760</v>
      </c>
      <c r="D236" s="172"/>
      <c r="E236" s="106" t="n">
        <v>3</v>
      </c>
      <c r="F236" s="173" t="n">
        <v>33</v>
      </c>
      <c r="S236" s="167" t="n">
        <v>1794.346739</v>
      </c>
      <c r="T236" s="111" t="s">
        <v>246</v>
      </c>
      <c r="Y236" s="167" t="n">
        <v>721.2</v>
      </c>
      <c r="Z236" s="111" t="s">
        <v>246</v>
      </c>
      <c r="AA236" s="167" t="n">
        <v>70388.5</v>
      </c>
      <c r="AB236" s="111" t="s">
        <v>246</v>
      </c>
      <c r="AC236" s="164" t="n">
        <v>36.43</v>
      </c>
      <c r="AD236" s="111" t="s">
        <v>246</v>
      </c>
      <c r="AG236" s="167" t="n">
        <v>5.175141243</v>
      </c>
      <c r="AH236" s="111" t="s">
        <v>246</v>
      </c>
      <c r="AM236" s="167"/>
      <c r="BS236" s="167" t="n">
        <v>49.26</v>
      </c>
      <c r="BT236" s="111" t="s">
        <v>246</v>
      </c>
      <c r="BU236" s="164" t="n">
        <v>19.8</v>
      </c>
      <c r="BV236" s="111" t="s">
        <v>246</v>
      </c>
    </row>
    <row r="237" customFormat="false" ht="12.75" hidden="false" customHeight="false" outlineLevel="0" collapsed="false">
      <c r="A237" s="162" t="s">
        <v>477</v>
      </c>
      <c r="B237" s="172" t="s">
        <v>668</v>
      </c>
      <c r="C237" s="172" t="s">
        <v>760</v>
      </c>
      <c r="D237" s="172"/>
      <c r="E237" s="106" t="n">
        <v>7</v>
      </c>
      <c r="F237" s="173" t="n">
        <v>57</v>
      </c>
      <c r="S237" s="167" t="n">
        <v>1343.748851</v>
      </c>
      <c r="T237" s="111" t="s">
        <v>246</v>
      </c>
      <c r="Y237" s="167" t="n">
        <v>653.13</v>
      </c>
      <c r="Z237" s="111" t="s">
        <v>246</v>
      </c>
      <c r="AA237" s="167" t="n">
        <v>61084.2</v>
      </c>
      <c r="AB237" s="111" t="s">
        <v>246</v>
      </c>
      <c r="AC237" s="164" t="n">
        <v>29.21</v>
      </c>
      <c r="AD237" s="111" t="s">
        <v>246</v>
      </c>
      <c r="AG237" s="167" t="n">
        <v>4.782608696</v>
      </c>
      <c r="AH237" s="111" t="s">
        <v>246</v>
      </c>
      <c r="AM237" s="167"/>
      <c r="BS237" s="167" t="n">
        <v>46</v>
      </c>
      <c r="BT237" s="111" t="s">
        <v>246</v>
      </c>
      <c r="BU237" s="164" t="n">
        <v>22.36</v>
      </c>
      <c r="BV237" s="111" t="s">
        <v>246</v>
      </c>
    </row>
    <row r="238" customFormat="false" ht="12.75" hidden="false" customHeight="false" outlineLevel="0" collapsed="false">
      <c r="A238" s="162" t="s">
        <v>477</v>
      </c>
      <c r="B238" s="172" t="s">
        <v>665</v>
      </c>
      <c r="C238" s="172" t="s">
        <v>761</v>
      </c>
      <c r="D238" s="172"/>
      <c r="E238" s="106" t="n">
        <v>10</v>
      </c>
      <c r="F238" s="173" t="n">
        <v>22</v>
      </c>
      <c r="S238" s="167" t="n">
        <v>1989.744523</v>
      </c>
      <c r="T238" s="111" t="s">
        <v>246</v>
      </c>
      <c r="Y238" s="167" t="n">
        <v>843.69</v>
      </c>
      <c r="Z238" s="111" t="s">
        <v>246</v>
      </c>
      <c r="AA238" s="167" t="n">
        <v>87226.89</v>
      </c>
      <c r="AB238" s="111" t="s">
        <v>246</v>
      </c>
      <c r="AC238" s="164" t="n">
        <v>41.59</v>
      </c>
      <c r="AD238" s="111" t="s">
        <v>246</v>
      </c>
      <c r="AG238" s="167" t="n">
        <v>4.768280124</v>
      </c>
      <c r="AH238" s="111" t="s">
        <v>246</v>
      </c>
      <c r="AM238" s="167"/>
      <c r="BS238" s="167" t="n">
        <v>47.84</v>
      </c>
      <c r="BT238" s="111" t="s">
        <v>246</v>
      </c>
      <c r="BU238" s="164" t="n">
        <v>20.28</v>
      </c>
      <c r="BV238" s="111" t="s">
        <v>246</v>
      </c>
    </row>
    <row r="239" customFormat="false" ht="12.75" hidden="false" customHeight="false" outlineLevel="0" collapsed="false">
      <c r="A239" s="162" t="s">
        <v>477</v>
      </c>
      <c r="B239" s="172" t="s">
        <v>668</v>
      </c>
      <c r="C239" s="172" t="s">
        <v>761</v>
      </c>
      <c r="D239" s="172"/>
      <c r="E239" s="106" t="n">
        <v>10</v>
      </c>
      <c r="F239" s="173" t="n">
        <v>37</v>
      </c>
      <c r="S239" s="167" t="n">
        <v>1711.07606</v>
      </c>
      <c r="T239" s="111" t="s">
        <v>246</v>
      </c>
      <c r="Y239" s="167" t="n">
        <v>765.27</v>
      </c>
      <c r="Z239" s="111" t="s">
        <v>246</v>
      </c>
      <c r="AA239" s="167" t="n">
        <v>71569.61</v>
      </c>
      <c r="AB239" s="111" t="s">
        <v>246</v>
      </c>
      <c r="AC239" s="164" t="n">
        <v>35.9</v>
      </c>
      <c r="AD239" s="111" t="s">
        <v>246</v>
      </c>
      <c r="AG239" s="167" t="n">
        <v>5.016146394</v>
      </c>
      <c r="AH239" s="111" t="s">
        <v>246</v>
      </c>
      <c r="AM239" s="167"/>
      <c r="BS239" s="167" t="n">
        <v>47.66</v>
      </c>
      <c r="BT239" s="111" t="s">
        <v>246</v>
      </c>
      <c r="BU239" s="164" t="n">
        <v>21.32</v>
      </c>
      <c r="BV239" s="111" t="s">
        <v>246</v>
      </c>
    </row>
    <row r="240" customFormat="false" ht="12.75" hidden="false" customHeight="false" outlineLevel="0" collapsed="false">
      <c r="A240" s="162" t="s">
        <v>477</v>
      </c>
      <c r="B240" s="172" t="s">
        <v>665</v>
      </c>
      <c r="C240" s="172" t="s">
        <v>762</v>
      </c>
      <c r="D240" s="172"/>
      <c r="E240" s="106" t="n">
        <v>13</v>
      </c>
      <c r="F240" s="173" t="n">
        <v>46</v>
      </c>
      <c r="S240" s="167" t="n">
        <v>1796.354046</v>
      </c>
      <c r="T240" s="111" t="s">
        <v>246</v>
      </c>
      <c r="Y240" s="167" t="n">
        <v>778.95</v>
      </c>
      <c r="Z240" s="111" t="s">
        <v>246</v>
      </c>
      <c r="AA240" s="167" t="n">
        <v>86966.66</v>
      </c>
      <c r="AB240" s="111" t="s">
        <v>246</v>
      </c>
      <c r="AC240" s="164" t="n">
        <v>37.74</v>
      </c>
      <c r="AD240" s="111" t="s">
        <v>246</v>
      </c>
      <c r="AG240" s="167" t="n">
        <v>4.340148699</v>
      </c>
      <c r="AH240" s="111" t="s">
        <v>246</v>
      </c>
      <c r="AM240" s="167"/>
      <c r="BS240" s="167" t="n">
        <v>47.59</v>
      </c>
      <c r="BT240" s="111" t="s">
        <v>246</v>
      </c>
      <c r="BU240" s="164" t="n">
        <v>20.64</v>
      </c>
      <c r="BV240" s="111" t="s">
        <v>246</v>
      </c>
    </row>
    <row r="241" customFormat="false" ht="12.75" hidden="false" customHeight="false" outlineLevel="0" collapsed="false">
      <c r="A241" s="162" t="s">
        <v>477</v>
      </c>
      <c r="B241" s="172" t="s">
        <v>668</v>
      </c>
      <c r="C241" s="172" t="s">
        <v>762</v>
      </c>
      <c r="D241" s="172"/>
      <c r="E241" s="106" t="n">
        <v>14</v>
      </c>
      <c r="F241" s="173" t="n">
        <v>6</v>
      </c>
      <c r="S241" s="167" t="n">
        <v>1760.854842</v>
      </c>
      <c r="T241" s="111" t="s">
        <v>246</v>
      </c>
      <c r="Y241" s="167" t="n">
        <v>841.11</v>
      </c>
      <c r="Z241" s="111" t="s">
        <v>246</v>
      </c>
      <c r="AA241" s="167" t="n">
        <v>84370.73</v>
      </c>
      <c r="AB241" s="111" t="s">
        <v>246</v>
      </c>
      <c r="AC241" s="164" t="n">
        <v>38.01</v>
      </c>
      <c r="AD241" s="111" t="s">
        <v>246</v>
      </c>
      <c r="AG241" s="167" t="n">
        <v>4.505283381</v>
      </c>
      <c r="AH241" s="111" t="s">
        <v>246</v>
      </c>
      <c r="AM241" s="167"/>
      <c r="BS241" s="167" t="n">
        <v>46.32</v>
      </c>
      <c r="BT241" s="111" t="s">
        <v>246</v>
      </c>
      <c r="BU241" s="164" t="n">
        <v>22.13</v>
      </c>
      <c r="BV241" s="111" t="s">
        <v>246</v>
      </c>
    </row>
    <row r="242" customFormat="false" ht="12.75" hidden="false" customHeight="false" outlineLevel="0" collapsed="false">
      <c r="A242" s="162" t="s">
        <v>479</v>
      </c>
      <c r="B242" s="172" t="s">
        <v>665</v>
      </c>
      <c r="C242" s="172" t="s">
        <v>758</v>
      </c>
      <c r="D242" s="172"/>
      <c r="E242" s="106" t="n">
        <v>20</v>
      </c>
      <c r="F242" s="173" t="n">
        <v>17</v>
      </c>
      <c r="S242" s="167" t="n">
        <v>1295.816019</v>
      </c>
      <c r="T242" s="111" t="s">
        <v>246</v>
      </c>
      <c r="Y242" s="167" t="n">
        <v>578.23</v>
      </c>
      <c r="Z242" s="111" t="s">
        <v>246</v>
      </c>
      <c r="AA242" s="167" t="n">
        <v>57032.22</v>
      </c>
      <c r="AB242" s="111" t="s">
        <v>246</v>
      </c>
      <c r="AC242" s="164" t="n">
        <v>27.16</v>
      </c>
      <c r="AD242" s="111" t="s">
        <v>246</v>
      </c>
      <c r="AG242" s="167" t="n">
        <v>4.761904762</v>
      </c>
      <c r="AH242" s="111" t="s">
        <v>246</v>
      </c>
      <c r="AM242" s="167"/>
      <c r="BS242" s="167" t="n">
        <v>47.71</v>
      </c>
      <c r="BT242" s="111" t="s">
        <v>246</v>
      </c>
      <c r="BU242" s="164" t="n">
        <v>21.29</v>
      </c>
      <c r="BV242" s="111" t="s">
        <v>246</v>
      </c>
    </row>
    <row r="243" customFormat="false" ht="12.75" hidden="false" customHeight="false" outlineLevel="0" collapsed="false">
      <c r="A243" s="162" t="s">
        <v>479</v>
      </c>
      <c r="B243" s="172" t="s">
        <v>668</v>
      </c>
      <c r="C243" s="172" t="s">
        <v>758</v>
      </c>
      <c r="D243" s="172"/>
      <c r="E243" s="106" t="n">
        <v>1</v>
      </c>
      <c r="F243" s="173" t="n">
        <v>32</v>
      </c>
      <c r="S243" s="167" t="n">
        <v>1421.266265</v>
      </c>
      <c r="T243" s="111" t="s">
        <v>246</v>
      </c>
      <c r="Y243" s="167" t="n">
        <v>635.27</v>
      </c>
      <c r="Z243" s="111" t="s">
        <v>246</v>
      </c>
      <c r="AA243" s="167" t="n">
        <v>62454.82</v>
      </c>
      <c r="AB243" s="111" t="s">
        <v>246</v>
      </c>
      <c r="AC243" s="164" t="n">
        <v>29.82</v>
      </c>
      <c r="AD243" s="111" t="s">
        <v>246</v>
      </c>
      <c r="AG243" s="167" t="n">
        <v>4.775339603</v>
      </c>
      <c r="AH243" s="111" t="s">
        <v>246</v>
      </c>
      <c r="AM243" s="167"/>
      <c r="BS243" s="167" t="n">
        <v>47.65</v>
      </c>
      <c r="BT243" s="111" t="s">
        <v>246</v>
      </c>
      <c r="BU243" s="164" t="n">
        <v>21.3</v>
      </c>
      <c r="BV243" s="111" t="s">
        <v>246</v>
      </c>
    </row>
    <row r="244" customFormat="false" ht="12.75" hidden="false" customHeight="false" outlineLevel="0" collapsed="false">
      <c r="A244" s="162" t="s">
        <v>479</v>
      </c>
      <c r="B244" s="172" t="s">
        <v>665</v>
      </c>
      <c r="C244" s="172" t="s">
        <v>760</v>
      </c>
      <c r="D244" s="172"/>
      <c r="E244" s="106" t="n">
        <v>4</v>
      </c>
      <c r="F244" s="173" t="n">
        <v>42</v>
      </c>
      <c r="S244" s="167" t="n">
        <v>1349.594968</v>
      </c>
      <c r="T244" s="111" t="s">
        <v>246</v>
      </c>
      <c r="Y244" s="167" t="n">
        <v>558.26</v>
      </c>
      <c r="Z244" s="111" t="s">
        <v>246</v>
      </c>
      <c r="AA244" s="167" t="n">
        <v>57029.23</v>
      </c>
      <c r="AB244" s="111" t="s">
        <v>246</v>
      </c>
      <c r="AC244" s="164" t="n">
        <v>27.9</v>
      </c>
      <c r="AD244" s="111" t="s">
        <v>246</v>
      </c>
      <c r="AG244" s="167" t="n">
        <v>4.892747702</v>
      </c>
      <c r="AH244" s="111" t="s">
        <v>246</v>
      </c>
      <c r="AM244" s="167"/>
      <c r="BS244" s="167" t="n">
        <v>48.37</v>
      </c>
      <c r="BT244" s="111" t="s">
        <v>246</v>
      </c>
      <c r="BU244" s="164" t="n">
        <v>20.01</v>
      </c>
      <c r="BV244" s="111" t="s">
        <v>246</v>
      </c>
    </row>
    <row r="245" customFormat="false" ht="12.75" hidden="false" customHeight="false" outlineLevel="0" collapsed="false">
      <c r="A245" s="162" t="s">
        <v>479</v>
      </c>
      <c r="B245" s="172" t="s">
        <v>668</v>
      </c>
      <c r="C245" s="172" t="s">
        <v>760</v>
      </c>
      <c r="D245" s="172"/>
      <c r="E245" s="106" t="n">
        <v>7</v>
      </c>
      <c r="F245" s="173" t="n">
        <v>52</v>
      </c>
      <c r="S245" s="167" t="n">
        <v>1125.805899</v>
      </c>
      <c r="T245" s="111" t="s">
        <v>246</v>
      </c>
      <c r="Y245" s="167" t="n">
        <v>515.61</v>
      </c>
      <c r="Z245" s="111" t="s">
        <v>246</v>
      </c>
      <c r="AA245" s="167" t="n">
        <v>47891.5</v>
      </c>
      <c r="AB245" s="111" t="s">
        <v>246</v>
      </c>
      <c r="AC245" s="164" t="n">
        <v>23.79</v>
      </c>
      <c r="AD245" s="111" t="s">
        <v>246</v>
      </c>
      <c r="AG245" s="167" t="n">
        <v>4.967248908</v>
      </c>
      <c r="AH245" s="111" t="s">
        <v>246</v>
      </c>
      <c r="AM245" s="167"/>
      <c r="BS245" s="167" t="n">
        <v>47.32</v>
      </c>
      <c r="BT245" s="111" t="s">
        <v>246</v>
      </c>
      <c r="BU245" s="164" t="n">
        <v>21.67</v>
      </c>
      <c r="BV245" s="111" t="s">
        <v>246</v>
      </c>
    </row>
    <row r="246" customFormat="false" ht="12.75" hidden="false" customHeight="false" outlineLevel="0" collapsed="false">
      <c r="A246" s="162" t="s">
        <v>479</v>
      </c>
      <c r="B246" s="172" t="s">
        <v>665</v>
      </c>
      <c r="C246" s="172" t="s">
        <v>761</v>
      </c>
      <c r="D246" s="172"/>
      <c r="E246" s="106" t="n">
        <v>6</v>
      </c>
      <c r="F246" s="173" t="n">
        <v>8</v>
      </c>
      <c r="S246" s="167" t="n">
        <v>1291.675194</v>
      </c>
      <c r="T246" s="111" t="s">
        <v>246</v>
      </c>
      <c r="Y246" s="167" t="n">
        <v>569.69</v>
      </c>
      <c r="Z246" s="111" t="s">
        <v>246</v>
      </c>
      <c r="AA246" s="167" t="n">
        <v>65337.87</v>
      </c>
      <c r="AB246" s="111" t="s">
        <v>246</v>
      </c>
      <c r="AC246" s="164" t="n">
        <v>27.21</v>
      </c>
      <c r="AD246" s="111" t="s">
        <v>246</v>
      </c>
      <c r="AG246" s="167" t="n">
        <v>4.165170557</v>
      </c>
      <c r="AH246" s="111" t="s">
        <v>246</v>
      </c>
      <c r="AM246" s="167"/>
      <c r="BS246" s="167" t="n">
        <v>47.46</v>
      </c>
      <c r="BT246" s="111" t="s">
        <v>246</v>
      </c>
      <c r="BU246" s="164" t="n">
        <v>20.93</v>
      </c>
      <c r="BV246" s="111" t="s">
        <v>246</v>
      </c>
    </row>
    <row r="247" customFormat="false" ht="12.75" hidden="false" customHeight="false" outlineLevel="0" collapsed="false">
      <c r="A247" s="162" t="s">
        <v>479</v>
      </c>
      <c r="B247" s="172" t="s">
        <v>668</v>
      </c>
      <c r="C247" s="172" t="s">
        <v>761</v>
      </c>
      <c r="D247" s="172"/>
      <c r="E247" s="106" t="n">
        <v>9</v>
      </c>
      <c r="F247" s="173" t="n">
        <v>54</v>
      </c>
      <c r="S247" s="167" t="n">
        <v>1171.242078</v>
      </c>
      <c r="T247" s="111" t="s">
        <v>246</v>
      </c>
      <c r="Y247" s="167" t="n">
        <v>533.42</v>
      </c>
      <c r="Z247" s="111" t="s">
        <v>246</v>
      </c>
      <c r="AA247" s="167" t="n">
        <v>52368.04</v>
      </c>
      <c r="AB247" s="111" t="s">
        <v>246</v>
      </c>
      <c r="AC247" s="164" t="n">
        <v>24.64</v>
      </c>
      <c r="AD247" s="111" t="s">
        <v>246</v>
      </c>
      <c r="AG247" s="167" t="n">
        <v>4.705284553</v>
      </c>
      <c r="AH247" s="111" t="s">
        <v>246</v>
      </c>
      <c r="AM247" s="167"/>
      <c r="BS247" s="167" t="n">
        <v>47.53</v>
      </c>
      <c r="BT247" s="111" t="s">
        <v>246</v>
      </c>
      <c r="BU247" s="164" t="n">
        <v>21.65</v>
      </c>
      <c r="BV247" s="111" t="s">
        <v>246</v>
      </c>
    </row>
    <row r="248" customFormat="false" ht="12.75" hidden="false" customHeight="false" outlineLevel="0" collapsed="false">
      <c r="A248" s="162" t="s">
        <v>479</v>
      </c>
      <c r="B248" s="172" t="s">
        <v>665</v>
      </c>
      <c r="C248" s="172" t="s">
        <v>762</v>
      </c>
      <c r="D248" s="172"/>
      <c r="E248" s="106" t="n">
        <v>15</v>
      </c>
      <c r="F248" s="173" t="n">
        <v>62</v>
      </c>
      <c r="S248" s="167" t="n">
        <v>1378.206776</v>
      </c>
      <c r="T248" s="111" t="s">
        <v>246</v>
      </c>
      <c r="Y248" s="167" t="n">
        <v>602.67</v>
      </c>
      <c r="Z248" s="111" t="s">
        <v>246</v>
      </c>
      <c r="AA248" s="167" t="n">
        <v>58250.85</v>
      </c>
      <c r="AB248" s="111" t="s">
        <v>246</v>
      </c>
      <c r="AC248" s="164" t="n">
        <v>28.85</v>
      </c>
      <c r="AD248" s="111" t="s">
        <v>246</v>
      </c>
      <c r="AG248" s="167" t="n">
        <v>4.952279958</v>
      </c>
      <c r="AH248" s="111" t="s">
        <v>246</v>
      </c>
      <c r="AM248" s="167"/>
      <c r="BS248" s="167" t="n">
        <v>47.78</v>
      </c>
      <c r="BT248" s="111" t="s">
        <v>246</v>
      </c>
      <c r="BU248" s="164" t="n">
        <v>20.89</v>
      </c>
      <c r="BV248" s="111" t="s">
        <v>246</v>
      </c>
    </row>
    <row r="249" customFormat="false" ht="12.75" hidden="false" customHeight="false" outlineLevel="0" collapsed="false">
      <c r="A249" s="162" t="s">
        <v>479</v>
      </c>
      <c r="B249" s="172" t="s">
        <v>668</v>
      </c>
      <c r="C249" s="172" t="s">
        <v>762</v>
      </c>
      <c r="D249" s="172"/>
      <c r="E249" s="106" t="n">
        <v>15</v>
      </c>
      <c r="F249" s="173" t="n">
        <v>27</v>
      </c>
      <c r="S249" s="167" t="n">
        <v>1001.318476</v>
      </c>
      <c r="T249" s="111" t="s">
        <v>246</v>
      </c>
      <c r="Y249" s="167" t="n">
        <v>527.01</v>
      </c>
      <c r="Z249" s="111" t="s">
        <v>246</v>
      </c>
      <c r="AA249" s="167" t="n">
        <v>50352.16</v>
      </c>
      <c r="AB249" s="111" t="s">
        <v>246</v>
      </c>
      <c r="AC249" s="164" t="n">
        <v>22.58</v>
      </c>
      <c r="AD249" s="111" t="s">
        <v>246</v>
      </c>
      <c r="AG249" s="167" t="n">
        <v>4.484088717</v>
      </c>
      <c r="AH249" s="111" t="s">
        <v>246</v>
      </c>
      <c r="AM249" s="167"/>
      <c r="BS249" s="167" t="n">
        <v>44.35</v>
      </c>
      <c r="BT249" s="111" t="s">
        <v>246</v>
      </c>
      <c r="BU249" s="164" t="n">
        <v>23.34</v>
      </c>
      <c r="BV249" s="111" t="s">
        <v>246</v>
      </c>
    </row>
    <row r="250" customFormat="false" ht="12.75" hidden="false" customHeight="false" outlineLevel="0" collapsed="false">
      <c r="A250" s="162" t="s">
        <v>481</v>
      </c>
      <c r="B250" s="172" t="s">
        <v>665</v>
      </c>
      <c r="C250" s="172" t="s">
        <v>758</v>
      </c>
      <c r="D250" s="172"/>
      <c r="E250" s="106" t="n">
        <v>4</v>
      </c>
      <c r="F250" s="173" t="n">
        <v>30</v>
      </c>
      <c r="S250" s="167" t="n">
        <v>901.6620936</v>
      </c>
      <c r="T250" s="111" t="s">
        <v>246</v>
      </c>
      <c r="Y250" s="167" t="n">
        <v>448.68</v>
      </c>
      <c r="Z250" s="111" t="s">
        <v>246</v>
      </c>
      <c r="AA250" s="167" t="n">
        <v>39437.91</v>
      </c>
      <c r="AB250" s="111" t="s">
        <v>246</v>
      </c>
      <c r="AC250" s="164" t="n">
        <v>19.59</v>
      </c>
      <c r="AD250" s="111" t="s">
        <v>246</v>
      </c>
      <c r="AG250" s="167" t="n">
        <v>4.967032967</v>
      </c>
      <c r="AH250" s="111" t="s">
        <v>246</v>
      </c>
      <c r="AM250" s="167"/>
      <c r="BS250" s="167" t="n">
        <v>46.03</v>
      </c>
      <c r="BT250" s="111" t="s">
        <v>246</v>
      </c>
      <c r="BU250" s="164" t="n">
        <v>22.9</v>
      </c>
      <c r="BV250" s="111" t="s">
        <v>246</v>
      </c>
    </row>
    <row r="251" customFormat="false" ht="12.75" hidden="false" customHeight="false" outlineLevel="0" collapsed="false">
      <c r="A251" s="162" t="s">
        <v>481</v>
      </c>
      <c r="B251" s="172" t="s">
        <v>668</v>
      </c>
      <c r="C251" s="172" t="s">
        <v>758</v>
      </c>
      <c r="D251" s="172"/>
      <c r="E251" s="106" t="n">
        <v>1</v>
      </c>
      <c r="F251" s="173" t="n">
        <v>47</v>
      </c>
      <c r="S251" s="167" t="n">
        <v>1035.902807</v>
      </c>
      <c r="T251" s="111" t="s">
        <v>246</v>
      </c>
      <c r="Y251" s="167" t="n">
        <v>513.61</v>
      </c>
      <c r="Z251" s="111" t="s">
        <v>246</v>
      </c>
      <c r="AA251" s="167" t="n">
        <v>45763.97</v>
      </c>
      <c r="AB251" s="111" t="s">
        <v>246</v>
      </c>
      <c r="AC251" s="164" t="n">
        <v>22.61</v>
      </c>
      <c r="AD251" s="111" t="s">
        <v>246</v>
      </c>
      <c r="AG251" s="167" t="n">
        <v>4.940411701</v>
      </c>
      <c r="AH251" s="111" t="s">
        <v>246</v>
      </c>
      <c r="AM251" s="167"/>
      <c r="BS251" s="167" t="n">
        <v>45.82</v>
      </c>
      <c r="BT251" s="111" t="s">
        <v>246</v>
      </c>
      <c r="BU251" s="164" t="n">
        <v>22.72</v>
      </c>
      <c r="BV251" s="111" t="s">
        <v>246</v>
      </c>
    </row>
    <row r="252" customFormat="false" ht="12.75" hidden="false" customHeight="false" outlineLevel="0" collapsed="false">
      <c r="A252" s="162" t="s">
        <v>481</v>
      </c>
      <c r="B252" s="172" t="s">
        <v>665</v>
      </c>
      <c r="C252" s="172" t="s">
        <v>760</v>
      </c>
      <c r="D252" s="172"/>
      <c r="E252" s="106" t="n">
        <v>5</v>
      </c>
      <c r="F252" s="173" t="n">
        <v>36</v>
      </c>
      <c r="S252" s="167" t="n">
        <v>884.647302</v>
      </c>
      <c r="T252" s="111" t="s">
        <v>246</v>
      </c>
      <c r="Y252" s="167" t="n">
        <v>425.21</v>
      </c>
      <c r="Z252" s="111" t="s">
        <v>246</v>
      </c>
      <c r="AA252" s="167" t="n">
        <v>39092.79</v>
      </c>
      <c r="AB252" s="111" t="s">
        <v>246</v>
      </c>
      <c r="AC252" s="164" t="n">
        <v>19.15</v>
      </c>
      <c r="AD252" s="111" t="s">
        <v>246</v>
      </c>
      <c r="AG252" s="167" t="n">
        <v>4.898828541</v>
      </c>
      <c r="AH252" s="111" t="s">
        <v>246</v>
      </c>
      <c r="AM252" s="167"/>
      <c r="BS252" s="167" t="n">
        <v>46.19</v>
      </c>
      <c r="BT252" s="111" t="s">
        <v>246</v>
      </c>
      <c r="BU252" s="164" t="n">
        <v>22.2</v>
      </c>
      <c r="BV252" s="111" t="s">
        <v>246</v>
      </c>
    </row>
    <row r="253" customFormat="false" ht="12.75" hidden="false" customHeight="false" outlineLevel="0" collapsed="false">
      <c r="A253" s="162" t="s">
        <v>481</v>
      </c>
      <c r="B253" s="172" t="s">
        <v>668</v>
      </c>
      <c r="C253" s="172" t="s">
        <v>760</v>
      </c>
      <c r="D253" s="172"/>
      <c r="E253" s="106" t="n">
        <v>6</v>
      </c>
      <c r="F253" s="173" t="n">
        <v>12</v>
      </c>
      <c r="S253" s="167" t="n">
        <v>1053.00172</v>
      </c>
      <c r="T253" s="111" t="s">
        <v>246</v>
      </c>
      <c r="Y253" s="167" t="n">
        <v>560.56</v>
      </c>
      <c r="Z253" s="111" t="s">
        <v>246</v>
      </c>
      <c r="AA253" s="167" t="n">
        <v>48468.04</v>
      </c>
      <c r="AB253" s="111" t="s">
        <v>246</v>
      </c>
      <c r="AC253" s="164" t="n">
        <v>23.68</v>
      </c>
      <c r="AD253" s="111" t="s">
        <v>246</v>
      </c>
      <c r="AG253" s="167" t="n">
        <v>4.885892116</v>
      </c>
      <c r="AH253" s="111" t="s">
        <v>246</v>
      </c>
      <c r="AM253" s="167"/>
      <c r="BS253" s="167" t="n">
        <v>44.47</v>
      </c>
      <c r="BT253" s="111" t="s">
        <v>246</v>
      </c>
      <c r="BU253" s="164" t="n">
        <v>23.67</v>
      </c>
      <c r="BV253" s="111" t="s">
        <v>246</v>
      </c>
    </row>
    <row r="254" customFormat="false" ht="12.75" hidden="false" customHeight="false" outlineLevel="0" collapsed="false">
      <c r="A254" s="162" t="s">
        <v>481</v>
      </c>
      <c r="B254" s="172" t="s">
        <v>665</v>
      </c>
      <c r="C254" s="172" t="s">
        <v>761</v>
      </c>
      <c r="D254" s="172"/>
      <c r="E254" s="106" t="n">
        <v>9</v>
      </c>
      <c r="F254" s="173" t="n">
        <v>17</v>
      </c>
      <c r="S254" s="167" t="n">
        <v>804.7875557</v>
      </c>
      <c r="T254" s="111" t="s">
        <v>246</v>
      </c>
      <c r="Y254" s="167" t="n">
        <v>381.41</v>
      </c>
      <c r="Z254" s="111" t="s">
        <v>246</v>
      </c>
      <c r="AA254" s="167" t="n">
        <v>35788.9</v>
      </c>
      <c r="AB254" s="111" t="s">
        <v>246</v>
      </c>
      <c r="AC254" s="164" t="n">
        <v>17.34</v>
      </c>
      <c r="AD254" s="111" t="s">
        <v>246</v>
      </c>
      <c r="AG254" s="167" t="n">
        <v>4.84375</v>
      </c>
      <c r="AH254" s="111" t="s">
        <v>246</v>
      </c>
      <c r="AM254" s="167"/>
      <c r="BS254" s="167" t="n">
        <v>46.42</v>
      </c>
      <c r="BT254" s="111" t="s">
        <v>246</v>
      </c>
      <c r="BU254" s="164" t="n">
        <v>22</v>
      </c>
      <c r="BV254" s="111" t="s">
        <v>246</v>
      </c>
    </row>
    <row r="255" customFormat="false" ht="12.75" hidden="false" customHeight="false" outlineLevel="0" collapsed="false">
      <c r="A255" s="162" t="s">
        <v>481</v>
      </c>
      <c r="B255" s="172" t="s">
        <v>668</v>
      </c>
      <c r="C255" s="172" t="s">
        <v>761</v>
      </c>
      <c r="D255" s="172"/>
      <c r="E255" s="106" t="n">
        <v>9</v>
      </c>
      <c r="F255" s="173" t="n">
        <v>37</v>
      </c>
      <c r="S255" s="167" t="n">
        <v>724.5547159</v>
      </c>
      <c r="T255" s="111" t="s">
        <v>246</v>
      </c>
      <c r="Y255" s="167" t="n">
        <v>383.95</v>
      </c>
      <c r="Z255" s="111" t="s">
        <v>246</v>
      </c>
      <c r="AA255" s="167" t="n">
        <v>34175.22</v>
      </c>
      <c r="AB255" s="111" t="s">
        <v>246</v>
      </c>
      <c r="AC255" s="164" t="n">
        <v>16.13</v>
      </c>
      <c r="AD255" s="111" t="s">
        <v>246</v>
      </c>
      <c r="AG255" s="167" t="n">
        <v>4.720496894</v>
      </c>
      <c r="AH255" s="111" t="s">
        <v>246</v>
      </c>
      <c r="AM255" s="167"/>
      <c r="BS255" s="167" t="n">
        <v>44.91</v>
      </c>
      <c r="BT255" s="111" t="s">
        <v>246</v>
      </c>
      <c r="BU255" s="164" t="n">
        <v>23.8</v>
      </c>
      <c r="BV255" s="111" t="s">
        <v>246</v>
      </c>
    </row>
    <row r="256" customFormat="false" ht="12.75" hidden="false" customHeight="false" outlineLevel="0" collapsed="false">
      <c r="A256" s="162" t="s">
        <v>481</v>
      </c>
      <c r="B256" s="172" t="s">
        <v>665</v>
      </c>
      <c r="C256" s="172" t="s">
        <v>762</v>
      </c>
      <c r="D256" s="172"/>
      <c r="E256" s="106" t="n">
        <v>14</v>
      </c>
      <c r="F256" s="173" t="n">
        <v>23</v>
      </c>
      <c r="S256" s="167" t="n">
        <v>921.8626981</v>
      </c>
      <c r="T256" s="111" t="s">
        <v>246</v>
      </c>
      <c r="Y256" s="167" t="n">
        <v>470.45</v>
      </c>
      <c r="Z256" s="111" t="s">
        <v>246</v>
      </c>
      <c r="AA256" s="167" t="n">
        <v>49104.41</v>
      </c>
      <c r="AB256" s="111" t="s">
        <v>246</v>
      </c>
      <c r="AC256" s="164" t="n">
        <v>20.4</v>
      </c>
      <c r="AD256" s="111" t="s">
        <v>246</v>
      </c>
      <c r="AG256" s="167" t="n">
        <v>4.15480427</v>
      </c>
      <c r="AH256" s="111" t="s">
        <v>246</v>
      </c>
      <c r="AM256" s="167"/>
      <c r="BS256" s="167" t="n">
        <v>45.19</v>
      </c>
      <c r="BT256" s="111" t="s">
        <v>246</v>
      </c>
      <c r="BU256" s="164" t="n">
        <v>23.06</v>
      </c>
      <c r="BV256" s="111" t="s">
        <v>246</v>
      </c>
    </row>
    <row r="257" customFormat="false" ht="12.75" hidden="false" customHeight="false" outlineLevel="0" collapsed="false">
      <c r="A257" s="162" t="s">
        <v>481</v>
      </c>
      <c r="B257" s="172" t="s">
        <v>668</v>
      </c>
      <c r="C257" s="172" t="s">
        <v>762</v>
      </c>
      <c r="D257" s="172"/>
      <c r="E257" s="106" t="n">
        <v>20</v>
      </c>
      <c r="F257" s="173" t="n">
        <v>12</v>
      </c>
      <c r="S257" s="167" t="s">
        <v>759</v>
      </c>
      <c r="T257" s="111" t="s">
        <v>246</v>
      </c>
      <c r="Y257" s="167" t="s">
        <v>759</v>
      </c>
      <c r="Z257" s="111" t="s">
        <v>246</v>
      </c>
      <c r="AA257" s="167" t="s">
        <v>759</v>
      </c>
      <c r="AB257" s="111" t="s">
        <v>246</v>
      </c>
      <c r="AC257" s="164" t="s">
        <v>759</v>
      </c>
      <c r="AD257" s="111" t="s">
        <v>246</v>
      </c>
      <c r="AG257" s="167" t="s">
        <v>759</v>
      </c>
      <c r="AH257" s="111" t="s">
        <v>246</v>
      </c>
      <c r="AM257" s="167"/>
      <c r="BS257" s="167" t="s">
        <v>759</v>
      </c>
      <c r="BT257" s="111" t="s">
        <v>246</v>
      </c>
      <c r="BU257" s="164" t="s">
        <v>759</v>
      </c>
      <c r="BV257" s="111" t="s">
        <v>246</v>
      </c>
    </row>
    <row r="258" customFormat="false" ht="12.75" hidden="false" customHeight="false" outlineLevel="0" collapsed="false">
      <c r="A258" s="162" t="s">
        <v>483</v>
      </c>
      <c r="B258" s="172" t="s">
        <v>665</v>
      </c>
      <c r="C258" s="172" t="s">
        <v>758</v>
      </c>
      <c r="D258" s="172"/>
      <c r="E258" s="106" t="n">
        <v>6</v>
      </c>
      <c r="F258" s="173" t="n">
        <v>38</v>
      </c>
      <c r="S258" s="167" t="n">
        <v>1633.58031</v>
      </c>
      <c r="T258" s="111" t="s">
        <v>246</v>
      </c>
      <c r="Y258" s="167" t="n">
        <v>645.33</v>
      </c>
      <c r="Z258" s="111" t="s">
        <v>246</v>
      </c>
      <c r="AA258" s="167" t="n">
        <v>71723.51</v>
      </c>
      <c r="AB258" s="111" t="s">
        <v>246</v>
      </c>
      <c r="AC258" s="164" t="n">
        <v>32.38</v>
      </c>
      <c r="AD258" s="111" t="s">
        <v>246</v>
      </c>
      <c r="AG258" s="167" t="n">
        <v>4.514229637</v>
      </c>
      <c r="AH258" s="111" t="s">
        <v>246</v>
      </c>
      <c r="AM258" s="167"/>
      <c r="BS258" s="167" t="n">
        <v>50.45</v>
      </c>
      <c r="BT258" s="111" t="s">
        <v>246</v>
      </c>
      <c r="BU258" s="164" t="n">
        <v>19.93</v>
      </c>
      <c r="BV258" s="111" t="s">
        <v>246</v>
      </c>
    </row>
    <row r="259" customFormat="false" ht="12.75" hidden="false" customHeight="false" outlineLevel="0" collapsed="false">
      <c r="A259" s="162" t="s">
        <v>483</v>
      </c>
      <c r="B259" s="172" t="s">
        <v>668</v>
      </c>
      <c r="C259" s="172" t="s">
        <v>758</v>
      </c>
      <c r="D259" s="172"/>
      <c r="E259" s="106" t="n">
        <v>8</v>
      </c>
      <c r="F259" s="173" t="n">
        <v>20</v>
      </c>
      <c r="S259" s="167" t="n">
        <v>1631.761653</v>
      </c>
      <c r="T259" s="111" t="s">
        <v>246</v>
      </c>
      <c r="Y259" s="167" t="n">
        <v>698.71</v>
      </c>
      <c r="Z259" s="111" t="s">
        <v>246</v>
      </c>
      <c r="AA259" s="167" t="n">
        <v>72592.66</v>
      </c>
      <c r="AB259" s="111" t="s">
        <v>246</v>
      </c>
      <c r="AC259" s="164" t="n">
        <v>32.92</v>
      </c>
      <c r="AD259" s="111" t="s">
        <v>246</v>
      </c>
      <c r="AG259" s="167" t="n">
        <v>4.534769833</v>
      </c>
      <c r="AH259" s="111" t="s">
        <v>246</v>
      </c>
      <c r="AM259" s="167"/>
      <c r="BS259" s="167" t="n">
        <v>49.57</v>
      </c>
      <c r="BT259" s="111" t="s">
        <v>246</v>
      </c>
      <c r="BU259" s="164" t="n">
        <v>21.23</v>
      </c>
      <c r="BV259" s="111" t="s">
        <v>246</v>
      </c>
    </row>
    <row r="260" customFormat="false" ht="12.75" hidden="false" customHeight="false" outlineLevel="0" collapsed="false">
      <c r="A260" s="162" t="s">
        <v>483</v>
      </c>
      <c r="B260" s="172" t="s">
        <v>665</v>
      </c>
      <c r="C260" s="172" t="s">
        <v>760</v>
      </c>
      <c r="D260" s="172"/>
      <c r="E260" s="106" t="n">
        <v>10</v>
      </c>
      <c r="F260" s="173" t="n">
        <v>25</v>
      </c>
      <c r="S260" s="167" t="n">
        <v>1638.883937</v>
      </c>
      <c r="T260" s="111" t="s">
        <v>246</v>
      </c>
      <c r="Y260" s="167" t="n">
        <v>725.99</v>
      </c>
      <c r="Z260" s="111" t="s">
        <v>246</v>
      </c>
      <c r="AA260" s="167" t="n">
        <v>71301.97</v>
      </c>
      <c r="AB260" s="111" t="s">
        <v>246</v>
      </c>
      <c r="AC260" s="164" t="n">
        <v>33.61</v>
      </c>
      <c r="AD260" s="111" t="s">
        <v>246</v>
      </c>
      <c r="AG260" s="167" t="n">
        <v>4.714285714</v>
      </c>
      <c r="AH260" s="111" t="s">
        <v>246</v>
      </c>
      <c r="AM260" s="167"/>
      <c r="BS260" s="167" t="n">
        <v>48.76</v>
      </c>
      <c r="BT260" s="111" t="s">
        <v>246</v>
      </c>
      <c r="BU260" s="164" t="n">
        <v>21.6</v>
      </c>
      <c r="BV260" s="111" t="s">
        <v>246</v>
      </c>
    </row>
    <row r="261" customFormat="false" ht="12.75" hidden="false" customHeight="false" outlineLevel="0" collapsed="false">
      <c r="A261" s="162" t="s">
        <v>483</v>
      </c>
      <c r="B261" s="172" t="s">
        <v>668</v>
      </c>
      <c r="C261" s="172" t="s">
        <v>760</v>
      </c>
      <c r="D261" s="172"/>
      <c r="E261" s="106" t="n">
        <v>10</v>
      </c>
      <c r="F261" s="173" t="n">
        <v>57</v>
      </c>
      <c r="S261" s="167" t="n">
        <v>1561.828884</v>
      </c>
      <c r="T261" s="111" t="s">
        <v>246</v>
      </c>
      <c r="Y261" s="167" t="n">
        <v>698.92</v>
      </c>
      <c r="Z261" s="111" t="s">
        <v>246</v>
      </c>
      <c r="AA261" s="167" t="n">
        <v>68877.98</v>
      </c>
      <c r="AB261" s="111" t="s">
        <v>246</v>
      </c>
      <c r="AC261" s="164" t="n">
        <v>32.03</v>
      </c>
      <c r="AD261" s="111" t="s">
        <v>246</v>
      </c>
      <c r="AG261" s="167" t="n">
        <v>4.650455927</v>
      </c>
      <c r="AH261" s="111" t="s">
        <v>246</v>
      </c>
      <c r="AM261" s="167"/>
      <c r="BS261" s="167" t="n">
        <v>48.76</v>
      </c>
      <c r="BT261" s="111" t="s">
        <v>246</v>
      </c>
      <c r="BU261" s="164" t="n">
        <v>21.82</v>
      </c>
      <c r="BV261" s="111" t="s">
        <v>246</v>
      </c>
    </row>
    <row r="262" customFormat="false" ht="12.75" hidden="false" customHeight="false" outlineLevel="0" collapsed="false">
      <c r="A262" s="162" t="s">
        <v>483</v>
      </c>
      <c r="B262" s="172" t="s">
        <v>665</v>
      </c>
      <c r="C262" s="172" t="s">
        <v>761</v>
      </c>
      <c r="D262" s="172"/>
      <c r="E262" s="106" t="n">
        <v>14</v>
      </c>
      <c r="F262" s="173" t="n">
        <v>47</v>
      </c>
      <c r="S262" s="167" t="n">
        <v>1592.731661</v>
      </c>
      <c r="T262" s="111" t="s">
        <v>246</v>
      </c>
      <c r="Y262" s="167" t="n">
        <v>683.88</v>
      </c>
      <c r="Z262" s="111" t="s">
        <v>246</v>
      </c>
      <c r="AA262" s="167" t="n">
        <v>68337.61</v>
      </c>
      <c r="AB262" s="111" t="s">
        <v>246</v>
      </c>
      <c r="AC262" s="164" t="n">
        <v>32.53</v>
      </c>
      <c r="AD262" s="111" t="s">
        <v>246</v>
      </c>
      <c r="AG262" s="167" t="n">
        <v>4.760448522</v>
      </c>
      <c r="AH262" s="111" t="s">
        <v>246</v>
      </c>
      <c r="AM262" s="167"/>
      <c r="BS262" s="167" t="n">
        <v>48.96</v>
      </c>
      <c r="BT262" s="111" t="s">
        <v>246</v>
      </c>
      <c r="BU262" s="164" t="n">
        <v>21.02</v>
      </c>
      <c r="BV262" s="111" t="s">
        <v>246</v>
      </c>
    </row>
    <row r="263" customFormat="false" ht="12.75" hidden="false" customHeight="false" outlineLevel="0" collapsed="false">
      <c r="A263" s="162" t="s">
        <v>483</v>
      </c>
      <c r="B263" s="172" t="s">
        <v>668</v>
      </c>
      <c r="C263" s="172" t="s">
        <v>761</v>
      </c>
      <c r="D263" s="172"/>
      <c r="E263" s="106" t="n">
        <v>15</v>
      </c>
      <c r="F263" s="173" t="n">
        <v>7</v>
      </c>
      <c r="S263" s="167" t="n">
        <v>1930.093325</v>
      </c>
      <c r="T263" s="111" t="s">
        <v>246</v>
      </c>
      <c r="Y263" s="167" t="n">
        <v>893.92</v>
      </c>
      <c r="Z263" s="111" t="s">
        <v>246</v>
      </c>
      <c r="AA263" s="167" t="n">
        <v>87657.61</v>
      </c>
      <c r="AB263" s="111" t="s">
        <v>246</v>
      </c>
      <c r="AC263" s="164" t="n">
        <v>40.06</v>
      </c>
      <c r="AD263" s="111" t="s">
        <v>246</v>
      </c>
      <c r="AG263" s="167" t="n">
        <v>4.570582428</v>
      </c>
      <c r="AH263" s="111" t="s">
        <v>246</v>
      </c>
      <c r="AM263" s="167"/>
      <c r="BS263" s="167" t="n">
        <v>48.17</v>
      </c>
      <c r="BT263" s="111" t="s">
        <v>246</v>
      </c>
      <c r="BU263" s="164" t="n">
        <v>22.31</v>
      </c>
      <c r="BV263" s="111" t="s">
        <v>246</v>
      </c>
    </row>
    <row r="264" customFormat="false" ht="12.75" hidden="false" customHeight="false" outlineLevel="0" collapsed="false">
      <c r="A264" s="162" t="s">
        <v>483</v>
      </c>
      <c r="B264" s="172" t="s">
        <v>665</v>
      </c>
      <c r="C264" s="172" t="s">
        <v>762</v>
      </c>
      <c r="D264" s="172"/>
      <c r="E264" s="106" t="n">
        <v>18</v>
      </c>
      <c r="F264" s="173" t="n">
        <v>13</v>
      </c>
      <c r="S264" s="167" t="n">
        <v>1472.278533</v>
      </c>
      <c r="T264" s="111" t="s">
        <v>246</v>
      </c>
      <c r="Y264" s="167" t="n">
        <v>621.49</v>
      </c>
      <c r="Z264" s="111" t="s">
        <v>246</v>
      </c>
      <c r="AA264" s="167" t="n">
        <v>66514.64</v>
      </c>
      <c r="AB264" s="111" t="s">
        <v>246</v>
      </c>
      <c r="AC264" s="164" t="n">
        <v>29.72</v>
      </c>
      <c r="AD264" s="111" t="s">
        <v>246</v>
      </c>
      <c r="AG264" s="167" t="n">
        <v>4.468899522</v>
      </c>
      <c r="AH264" s="111" t="s">
        <v>246</v>
      </c>
      <c r="AM264" s="167"/>
      <c r="BS264" s="167" t="n">
        <v>49.53</v>
      </c>
      <c r="BT264" s="111" t="s">
        <v>246</v>
      </c>
      <c r="BU264" s="164" t="n">
        <v>20.91</v>
      </c>
      <c r="BV264" s="111" t="s">
        <v>246</v>
      </c>
    </row>
    <row r="265" customFormat="false" ht="12.75" hidden="false" customHeight="false" outlineLevel="0" collapsed="false">
      <c r="A265" s="162" t="s">
        <v>483</v>
      </c>
      <c r="B265" s="172" t="s">
        <v>668</v>
      </c>
      <c r="C265" s="172" t="s">
        <v>762</v>
      </c>
      <c r="D265" s="172"/>
      <c r="E265" s="106" t="n">
        <v>3</v>
      </c>
      <c r="F265" s="173" t="n">
        <v>61</v>
      </c>
      <c r="S265" s="167" t="n">
        <v>1435.803996</v>
      </c>
      <c r="T265" s="111" t="s">
        <v>246</v>
      </c>
      <c r="Y265" s="167" t="n">
        <v>701.62</v>
      </c>
      <c r="Z265" s="111" t="s">
        <v>246</v>
      </c>
      <c r="AA265" s="167" t="n">
        <v>67939.3</v>
      </c>
      <c r="AB265" s="111" t="s">
        <v>246</v>
      </c>
      <c r="AC265" s="164" t="n">
        <v>30.57</v>
      </c>
      <c r="AD265" s="111" t="s">
        <v>246</v>
      </c>
      <c r="AG265" s="167" t="n">
        <v>4.499523356</v>
      </c>
      <c r="AH265" s="111" t="s">
        <v>246</v>
      </c>
      <c r="AM265" s="167"/>
      <c r="BS265" s="167" t="n">
        <v>46.97</v>
      </c>
      <c r="BT265" s="111" t="s">
        <v>246</v>
      </c>
      <c r="BU265" s="164" t="n">
        <v>22.95</v>
      </c>
      <c r="BV265" s="111" t="s">
        <v>246</v>
      </c>
    </row>
    <row r="266" customFormat="false" ht="12.75" hidden="false" customHeight="false" outlineLevel="0" collapsed="false">
      <c r="A266" s="162" t="s">
        <v>485</v>
      </c>
      <c r="B266" s="172" t="s">
        <v>665</v>
      </c>
      <c r="C266" s="172" t="s">
        <v>758</v>
      </c>
      <c r="D266" s="172"/>
      <c r="E266" s="106" t="n">
        <v>5</v>
      </c>
      <c r="F266" s="173" t="n">
        <v>27</v>
      </c>
      <c r="S266" s="167" t="n">
        <v>1409.079472</v>
      </c>
      <c r="T266" s="111" t="s">
        <v>246</v>
      </c>
      <c r="Y266" s="167" t="n">
        <v>624.56</v>
      </c>
      <c r="Z266" s="111" t="s">
        <v>246</v>
      </c>
      <c r="AA266" s="167" t="n">
        <v>56848.8</v>
      </c>
      <c r="AB266" s="111" t="s">
        <v>246</v>
      </c>
      <c r="AC266" s="164" t="n">
        <v>29.4</v>
      </c>
      <c r="AD266" s="111" t="s">
        <v>246</v>
      </c>
      <c r="AG266" s="167" t="n">
        <v>5.170842825</v>
      </c>
      <c r="AH266" s="111" t="s">
        <v>246</v>
      </c>
      <c r="AM266" s="167"/>
      <c r="BS266" s="167" t="n">
        <v>47.94</v>
      </c>
      <c r="BT266" s="111" t="s">
        <v>246</v>
      </c>
      <c r="BU266" s="164" t="n">
        <v>21.25</v>
      </c>
      <c r="BV266" s="111" t="s">
        <v>246</v>
      </c>
    </row>
    <row r="267" customFormat="false" ht="12.75" hidden="false" customHeight="false" outlineLevel="0" collapsed="false">
      <c r="A267" s="162" t="s">
        <v>485</v>
      </c>
      <c r="B267" s="172" t="s">
        <v>668</v>
      </c>
      <c r="C267" s="172" t="s">
        <v>758</v>
      </c>
      <c r="D267" s="172"/>
      <c r="E267" s="106" t="n">
        <v>12</v>
      </c>
      <c r="F267" s="173" t="n">
        <v>19</v>
      </c>
      <c r="S267" s="167" t="s">
        <v>759</v>
      </c>
      <c r="T267" s="111" t="s">
        <v>246</v>
      </c>
      <c r="Y267" s="167" t="s">
        <v>759</v>
      </c>
      <c r="Z267" s="111" t="s">
        <v>246</v>
      </c>
      <c r="AA267" s="167" t="s">
        <v>759</v>
      </c>
      <c r="AB267" s="111" t="s">
        <v>246</v>
      </c>
      <c r="AC267" s="164" t="s">
        <v>759</v>
      </c>
      <c r="AD267" s="111" t="s">
        <v>246</v>
      </c>
      <c r="AG267" s="167" t="s">
        <v>759</v>
      </c>
      <c r="AH267" s="111" t="s">
        <v>246</v>
      </c>
      <c r="AM267" s="167"/>
      <c r="BS267" s="167" t="s">
        <v>759</v>
      </c>
      <c r="BT267" s="111" t="s">
        <v>246</v>
      </c>
      <c r="BU267" s="164" t="s">
        <v>759</v>
      </c>
      <c r="BV267" s="111" t="s">
        <v>246</v>
      </c>
    </row>
    <row r="268" customFormat="false" ht="12.75" hidden="false" customHeight="false" outlineLevel="0" collapsed="false">
      <c r="A268" s="162" t="s">
        <v>485</v>
      </c>
      <c r="B268" s="172" t="s">
        <v>665</v>
      </c>
      <c r="C268" s="172" t="s">
        <v>760</v>
      </c>
      <c r="D268" s="172"/>
      <c r="E268" s="106" t="n">
        <v>9</v>
      </c>
      <c r="F268" s="173" t="n">
        <v>40</v>
      </c>
      <c r="S268" s="167" t="n">
        <v>1474.268016</v>
      </c>
      <c r="T268" s="111" t="s">
        <v>246</v>
      </c>
      <c r="Y268" s="167" t="n">
        <v>735.89</v>
      </c>
      <c r="Z268" s="111" t="s">
        <v>246</v>
      </c>
      <c r="AA268" s="167" t="n">
        <v>63499.86</v>
      </c>
      <c r="AB268" s="111" t="s">
        <v>246</v>
      </c>
      <c r="AC268" s="164" t="n">
        <v>32.38</v>
      </c>
      <c r="AD268" s="111" t="s">
        <v>246</v>
      </c>
      <c r="AG268" s="167" t="n">
        <v>5.099337748</v>
      </c>
      <c r="AH268" s="111" t="s">
        <v>246</v>
      </c>
      <c r="AM268" s="167"/>
      <c r="BS268" s="167" t="n">
        <v>45.53</v>
      </c>
      <c r="BT268" s="111" t="s">
        <v>246</v>
      </c>
      <c r="BU268" s="164" t="n">
        <v>22.73</v>
      </c>
      <c r="BV268" s="111" t="s">
        <v>246</v>
      </c>
    </row>
    <row r="269" customFormat="false" ht="12.75" hidden="false" customHeight="false" outlineLevel="0" collapsed="false">
      <c r="A269" s="162" t="s">
        <v>485</v>
      </c>
      <c r="B269" s="172" t="s">
        <v>668</v>
      </c>
      <c r="C269" s="172" t="s">
        <v>760</v>
      </c>
      <c r="D269" s="172"/>
      <c r="E269" s="106" t="n">
        <v>14</v>
      </c>
      <c r="F269" s="173" t="n">
        <v>57</v>
      </c>
      <c r="S269" s="167" t="n">
        <v>1084.476925</v>
      </c>
      <c r="T269" s="111" t="s">
        <v>246</v>
      </c>
      <c r="Y269" s="167" t="n">
        <v>499.28</v>
      </c>
      <c r="Z269" s="111" t="s">
        <v>246</v>
      </c>
      <c r="AA269" s="167" t="n">
        <v>45820.93</v>
      </c>
      <c r="AB269" s="111" t="s">
        <v>246</v>
      </c>
      <c r="AC269" s="164" t="n">
        <v>23.21</v>
      </c>
      <c r="AD269" s="111" t="s">
        <v>246</v>
      </c>
      <c r="AG269" s="167" t="n">
        <v>5.065502183</v>
      </c>
      <c r="AH269" s="111" t="s">
        <v>246</v>
      </c>
      <c r="AM269" s="167"/>
      <c r="BS269" s="167" t="n">
        <v>46.72</v>
      </c>
      <c r="BT269" s="111" t="s">
        <v>246</v>
      </c>
      <c r="BU269" s="164" t="n">
        <v>21.51</v>
      </c>
      <c r="BV269" s="111" t="s">
        <v>246</v>
      </c>
    </row>
    <row r="270" customFormat="false" ht="12.75" hidden="false" customHeight="false" outlineLevel="0" collapsed="false">
      <c r="A270" s="162" t="s">
        <v>485</v>
      </c>
      <c r="B270" s="172" t="s">
        <v>665</v>
      </c>
      <c r="C270" s="172" t="s">
        <v>761</v>
      </c>
      <c r="D270" s="172"/>
      <c r="E270" s="106" t="n">
        <v>15</v>
      </c>
      <c r="F270" s="173" t="n">
        <v>8</v>
      </c>
      <c r="S270" s="167" t="n">
        <v>1211.308041</v>
      </c>
      <c r="T270" s="111" t="s">
        <v>246</v>
      </c>
      <c r="Y270" s="167" t="n">
        <v>572.96</v>
      </c>
      <c r="Z270" s="111" t="s">
        <v>246</v>
      </c>
      <c r="AA270" s="167" t="n">
        <v>49383.78</v>
      </c>
      <c r="AB270" s="111" t="s">
        <v>246</v>
      </c>
      <c r="AC270" s="164" t="n">
        <v>25.87</v>
      </c>
      <c r="AD270" s="111" t="s">
        <v>246</v>
      </c>
      <c r="AG270" s="167" t="n">
        <v>5.237556561</v>
      </c>
      <c r="AH270" s="111" t="s">
        <v>246</v>
      </c>
      <c r="AM270" s="167"/>
      <c r="BS270" s="167" t="n">
        <v>46.83</v>
      </c>
      <c r="BT270" s="111" t="s">
        <v>246</v>
      </c>
      <c r="BU270" s="164" t="n">
        <v>22.15</v>
      </c>
      <c r="BV270" s="111" t="s">
        <v>246</v>
      </c>
    </row>
    <row r="271" customFormat="false" ht="12.75" hidden="false" customHeight="false" outlineLevel="0" collapsed="false">
      <c r="A271" s="162" t="s">
        <v>485</v>
      </c>
      <c r="B271" s="172" t="s">
        <v>668</v>
      </c>
      <c r="C271" s="172" t="s">
        <v>761</v>
      </c>
      <c r="D271" s="172"/>
      <c r="E271" s="106" t="n">
        <v>21</v>
      </c>
      <c r="F271" s="173" t="n">
        <v>1</v>
      </c>
      <c r="S271" s="167" t="n">
        <v>1305.591187</v>
      </c>
      <c r="T271" s="111" t="s">
        <v>246</v>
      </c>
      <c r="Y271" s="167" t="n">
        <v>635.29</v>
      </c>
      <c r="Z271" s="111" t="s">
        <v>246</v>
      </c>
      <c r="AA271" s="167" t="n">
        <v>55458.6</v>
      </c>
      <c r="AB271" s="111" t="s">
        <v>246</v>
      </c>
      <c r="AC271" s="164" t="n">
        <v>28.36</v>
      </c>
      <c r="AD271" s="111" t="s">
        <v>246</v>
      </c>
      <c r="AG271" s="167" t="n">
        <v>5.114503817</v>
      </c>
      <c r="AH271" s="111" t="s">
        <v>246</v>
      </c>
      <c r="AM271" s="167"/>
      <c r="BS271" s="167" t="n">
        <v>46.03</v>
      </c>
      <c r="BT271" s="111" t="s">
        <v>246</v>
      </c>
      <c r="BU271" s="164" t="n">
        <v>22.4</v>
      </c>
      <c r="BV271" s="111" t="s">
        <v>246</v>
      </c>
    </row>
    <row r="272" customFormat="false" ht="12.75" hidden="false" customHeight="false" outlineLevel="0" collapsed="false">
      <c r="A272" s="162" t="s">
        <v>485</v>
      </c>
      <c r="B272" s="172" t="s">
        <v>665</v>
      </c>
      <c r="C272" s="172" t="s">
        <v>762</v>
      </c>
      <c r="D272" s="172"/>
      <c r="E272" s="106" t="n">
        <v>21</v>
      </c>
      <c r="F272" s="173" t="n">
        <v>25</v>
      </c>
      <c r="S272" s="167" t="n">
        <v>1303.095073</v>
      </c>
      <c r="T272" s="111" t="s">
        <v>246</v>
      </c>
      <c r="Y272" s="167" t="n">
        <v>572.66</v>
      </c>
      <c r="Z272" s="111" t="s">
        <v>246</v>
      </c>
      <c r="AA272" s="167" t="n">
        <v>61626.87</v>
      </c>
      <c r="AB272" s="111" t="s">
        <v>246</v>
      </c>
      <c r="AC272" s="164" t="n">
        <v>27.23</v>
      </c>
      <c r="AD272" s="111" t="s">
        <v>246</v>
      </c>
      <c r="AG272" s="167" t="n">
        <v>4.418386492</v>
      </c>
      <c r="AH272" s="111" t="s">
        <v>246</v>
      </c>
      <c r="AM272" s="167"/>
      <c r="BS272" s="167" t="n">
        <v>47.86</v>
      </c>
      <c r="BT272" s="111" t="s">
        <v>246</v>
      </c>
      <c r="BU272" s="164" t="n">
        <v>21.03</v>
      </c>
      <c r="BV272" s="111" t="s">
        <v>246</v>
      </c>
    </row>
    <row r="273" customFormat="false" ht="12.75" hidden="false" customHeight="false" outlineLevel="0" collapsed="false">
      <c r="A273" s="162" t="s">
        <v>485</v>
      </c>
      <c r="B273" s="172" t="s">
        <v>668</v>
      </c>
      <c r="C273" s="172" t="s">
        <v>762</v>
      </c>
      <c r="D273" s="172"/>
      <c r="E273" s="106" t="n">
        <v>3</v>
      </c>
      <c r="F273" s="173" t="n">
        <v>10</v>
      </c>
      <c r="S273" s="167" t="n">
        <v>1121.121386</v>
      </c>
      <c r="T273" s="111" t="s">
        <v>246</v>
      </c>
      <c r="Y273" s="167" t="n">
        <v>558.47</v>
      </c>
      <c r="Z273" s="111" t="s">
        <v>246</v>
      </c>
      <c r="AA273" s="167" t="n">
        <v>51527.85</v>
      </c>
      <c r="AB273" s="111" t="s">
        <v>246</v>
      </c>
      <c r="AC273" s="164" t="n">
        <v>24.73</v>
      </c>
      <c r="AD273" s="111" t="s">
        <v>246</v>
      </c>
      <c r="AG273" s="167" t="n">
        <v>4.7995889</v>
      </c>
      <c r="AH273" s="111" t="s">
        <v>246</v>
      </c>
      <c r="AM273" s="167"/>
      <c r="BS273" s="167" t="n">
        <v>45.33</v>
      </c>
      <c r="BT273" s="111" t="s">
        <v>246</v>
      </c>
      <c r="BU273" s="164" t="n">
        <v>22.58</v>
      </c>
      <c r="BV273" s="111" t="s">
        <v>246</v>
      </c>
    </row>
    <row r="274" customFormat="false" ht="12.75" hidden="false" customHeight="false" outlineLevel="0" collapsed="false">
      <c r="A274" s="162" t="s">
        <v>487</v>
      </c>
      <c r="B274" s="172" t="s">
        <v>665</v>
      </c>
      <c r="C274" s="172" t="s">
        <v>758</v>
      </c>
      <c r="D274" s="172"/>
      <c r="E274" s="106" t="n">
        <v>7</v>
      </c>
      <c r="F274" s="173" t="n">
        <v>46</v>
      </c>
      <c r="S274" s="167" t="n">
        <v>1432.893032</v>
      </c>
      <c r="T274" s="111" t="s">
        <v>246</v>
      </c>
      <c r="Y274" s="167" t="n">
        <v>693.76</v>
      </c>
      <c r="Z274" s="111" t="s">
        <v>246</v>
      </c>
      <c r="AA274" s="167" t="n">
        <v>64153.05</v>
      </c>
      <c r="AB274" s="111" t="s">
        <v>246</v>
      </c>
      <c r="AC274" s="164" t="n">
        <v>30.76</v>
      </c>
      <c r="AD274" s="111" t="s">
        <v>246</v>
      </c>
      <c r="AG274" s="167" t="n">
        <v>4.794086589</v>
      </c>
      <c r="AH274" s="111" t="s">
        <v>246</v>
      </c>
      <c r="AM274" s="167"/>
      <c r="BS274" s="167" t="n">
        <v>46.59</v>
      </c>
      <c r="BT274" s="111" t="s">
        <v>246</v>
      </c>
      <c r="BU274" s="164" t="n">
        <v>22.56</v>
      </c>
      <c r="BV274" s="111" t="s">
        <v>246</v>
      </c>
    </row>
    <row r="275" customFormat="false" ht="12.75" hidden="false" customHeight="false" outlineLevel="0" collapsed="false">
      <c r="A275" s="162" t="s">
        <v>487</v>
      </c>
      <c r="B275" s="172" t="s">
        <v>668</v>
      </c>
      <c r="C275" s="172" t="s">
        <v>758</v>
      </c>
      <c r="D275" s="172"/>
      <c r="E275" s="106" t="n">
        <v>7</v>
      </c>
      <c r="F275" s="173" t="n">
        <v>22</v>
      </c>
      <c r="S275" s="167" t="n">
        <v>1687.182857</v>
      </c>
      <c r="T275" s="111" t="s">
        <v>246</v>
      </c>
      <c r="Y275" s="167" t="n">
        <v>763.14</v>
      </c>
      <c r="Z275" s="111" t="s">
        <v>246</v>
      </c>
      <c r="AA275" s="167" t="n">
        <v>74280</v>
      </c>
      <c r="AB275" s="111" t="s">
        <v>246</v>
      </c>
      <c r="AC275" s="164" t="n">
        <v>35.66</v>
      </c>
      <c r="AD275" s="111" t="s">
        <v>246</v>
      </c>
      <c r="AG275" s="167" t="n">
        <v>4.80125523</v>
      </c>
      <c r="AH275" s="111" t="s">
        <v>246</v>
      </c>
      <c r="AM275" s="167"/>
      <c r="BS275" s="167" t="n">
        <v>47.31</v>
      </c>
      <c r="BT275" s="111" t="s">
        <v>246</v>
      </c>
      <c r="BU275" s="164" t="n">
        <v>21.4</v>
      </c>
      <c r="BV275" s="111" t="s">
        <v>246</v>
      </c>
    </row>
    <row r="276" customFormat="false" ht="12.75" hidden="false" customHeight="false" outlineLevel="0" collapsed="false">
      <c r="A276" s="162" t="s">
        <v>487</v>
      </c>
      <c r="B276" s="172" t="s">
        <v>665</v>
      </c>
      <c r="C276" s="172" t="s">
        <v>760</v>
      </c>
      <c r="D276" s="172"/>
      <c r="E276" s="106" t="n">
        <v>12</v>
      </c>
      <c r="F276" s="173" t="n">
        <v>32</v>
      </c>
      <c r="S276" s="167" t="n">
        <v>1677.61609</v>
      </c>
      <c r="T276" s="111" t="s">
        <v>246</v>
      </c>
      <c r="Y276" s="167" t="n">
        <v>772.26</v>
      </c>
      <c r="Z276" s="111" t="s">
        <v>246</v>
      </c>
      <c r="AA276" s="167" t="n">
        <v>75483.32</v>
      </c>
      <c r="AB276" s="111" t="s">
        <v>246</v>
      </c>
      <c r="AC276" s="164" t="n">
        <v>35.68</v>
      </c>
      <c r="AD276" s="111" t="s">
        <v>246</v>
      </c>
      <c r="AG276" s="167" t="n">
        <v>4.727085479</v>
      </c>
      <c r="AH276" s="111" t="s">
        <v>246</v>
      </c>
      <c r="AM276" s="167"/>
      <c r="BS276" s="167" t="n">
        <v>47.02</v>
      </c>
      <c r="BT276" s="111" t="s">
        <v>246</v>
      </c>
      <c r="BU276" s="164" t="n">
        <v>21.64</v>
      </c>
      <c r="BV276" s="111" t="s">
        <v>246</v>
      </c>
    </row>
    <row r="277" customFormat="false" ht="12.75" hidden="false" customHeight="false" outlineLevel="0" collapsed="false">
      <c r="A277" s="162" t="s">
        <v>487</v>
      </c>
      <c r="B277" s="172" t="s">
        <v>668</v>
      </c>
      <c r="C277" s="172" t="s">
        <v>760</v>
      </c>
      <c r="D277" s="172"/>
      <c r="E277" s="106" t="n">
        <v>11</v>
      </c>
      <c r="F277" s="173" t="n">
        <v>38</v>
      </c>
      <c r="S277" s="167" t="n">
        <v>1599.914017</v>
      </c>
      <c r="T277" s="111" t="s">
        <v>246</v>
      </c>
      <c r="Y277" s="167" t="n">
        <v>736.1</v>
      </c>
      <c r="Z277" s="111" t="s">
        <v>246</v>
      </c>
      <c r="AA277" s="167" t="n">
        <v>70061.2</v>
      </c>
      <c r="AB277" s="111" t="s">
        <v>246</v>
      </c>
      <c r="AC277" s="164" t="n">
        <v>33.98</v>
      </c>
      <c r="AD277" s="111" t="s">
        <v>246</v>
      </c>
      <c r="AG277" s="167" t="n">
        <v>4.849428868</v>
      </c>
      <c r="AH277" s="111" t="s">
        <v>246</v>
      </c>
      <c r="AM277" s="167"/>
      <c r="BS277" s="167" t="n">
        <v>47.09</v>
      </c>
      <c r="BT277" s="111" t="s">
        <v>246</v>
      </c>
      <c r="BU277" s="164" t="n">
        <v>21.67</v>
      </c>
      <c r="BV277" s="111" t="s">
        <v>246</v>
      </c>
    </row>
    <row r="278" customFormat="false" ht="12.75" hidden="false" customHeight="false" outlineLevel="0" collapsed="false">
      <c r="A278" s="162" t="s">
        <v>487</v>
      </c>
      <c r="B278" s="172" t="s">
        <v>665</v>
      </c>
      <c r="C278" s="172" t="s">
        <v>761</v>
      </c>
      <c r="D278" s="172"/>
      <c r="E278" s="106" t="n">
        <v>15</v>
      </c>
      <c r="F278" s="173" t="n">
        <v>42</v>
      </c>
      <c r="S278" s="167" t="n">
        <v>1572.35147</v>
      </c>
      <c r="T278" s="111" t="s">
        <v>246</v>
      </c>
      <c r="Y278" s="167" t="n">
        <v>749.79</v>
      </c>
      <c r="Z278" s="111" t="s">
        <v>246</v>
      </c>
      <c r="AA278" s="167" t="n">
        <v>68090.88</v>
      </c>
      <c r="AB278" s="111" t="s">
        <v>246</v>
      </c>
      <c r="AC278" s="164" t="n">
        <v>33.57</v>
      </c>
      <c r="AD278" s="111" t="s">
        <v>246</v>
      </c>
      <c r="AG278" s="167" t="n">
        <v>4.930182599</v>
      </c>
      <c r="AH278" s="111" t="s">
        <v>246</v>
      </c>
      <c r="AM278" s="167"/>
      <c r="BS278" s="167" t="n">
        <v>46.84</v>
      </c>
      <c r="BT278" s="111" t="s">
        <v>246</v>
      </c>
      <c r="BU278" s="164" t="n">
        <v>22.34</v>
      </c>
      <c r="BV278" s="111" t="s">
        <v>246</v>
      </c>
    </row>
    <row r="279" customFormat="false" ht="12.75" hidden="false" customHeight="false" outlineLevel="0" collapsed="false">
      <c r="A279" s="162" t="s">
        <v>487</v>
      </c>
      <c r="B279" s="172" t="s">
        <v>668</v>
      </c>
      <c r="C279" s="172" t="s">
        <v>761</v>
      </c>
      <c r="D279" s="172"/>
      <c r="E279" s="106" t="n">
        <v>13</v>
      </c>
      <c r="F279" s="173" t="n">
        <v>2</v>
      </c>
      <c r="S279" s="167" t="n">
        <v>1504.342562</v>
      </c>
      <c r="T279" s="111" t="s">
        <v>246</v>
      </c>
      <c r="Y279" s="167" t="n">
        <v>729.68</v>
      </c>
      <c r="Z279" s="111" t="s">
        <v>246</v>
      </c>
      <c r="AA279" s="167" t="n">
        <v>65713.37</v>
      </c>
      <c r="AB279" s="111" t="s">
        <v>246</v>
      </c>
      <c r="AC279" s="164" t="n">
        <v>32.37</v>
      </c>
      <c r="AD279" s="111" t="s">
        <v>246</v>
      </c>
      <c r="AG279" s="167" t="n">
        <v>4.925213675</v>
      </c>
      <c r="AH279" s="111" t="s">
        <v>246</v>
      </c>
      <c r="AM279" s="167"/>
      <c r="BS279" s="167" t="n">
        <v>46.48</v>
      </c>
      <c r="BT279" s="111" t="s">
        <v>246</v>
      </c>
      <c r="BU279" s="164" t="n">
        <v>22.55</v>
      </c>
      <c r="BV279" s="111" t="s">
        <v>246</v>
      </c>
    </row>
    <row r="280" customFormat="false" ht="12.75" hidden="false" customHeight="false" outlineLevel="0" collapsed="false">
      <c r="A280" s="162" t="s">
        <v>487</v>
      </c>
      <c r="B280" s="172" t="s">
        <v>665</v>
      </c>
      <c r="C280" s="172" t="s">
        <v>762</v>
      </c>
      <c r="D280" s="172"/>
      <c r="E280" s="106" t="n">
        <v>19</v>
      </c>
      <c r="F280" s="173" t="n">
        <v>5</v>
      </c>
      <c r="S280" s="167" t="n">
        <v>1631.357607</v>
      </c>
      <c r="T280" s="111" t="s">
        <v>246</v>
      </c>
      <c r="Y280" s="167" t="n">
        <v>729.35</v>
      </c>
      <c r="Z280" s="111" t="s">
        <v>246</v>
      </c>
      <c r="AA280" s="167" t="n">
        <v>61383.2</v>
      </c>
      <c r="AB280" s="111" t="s">
        <v>246</v>
      </c>
      <c r="AC280" s="164" t="n">
        <v>34.16</v>
      </c>
      <c r="AD280" s="111" t="s">
        <v>246</v>
      </c>
      <c r="AG280" s="167" t="n">
        <v>5.564803805</v>
      </c>
      <c r="AH280" s="111" t="s">
        <v>246</v>
      </c>
      <c r="AM280" s="167"/>
      <c r="BS280" s="167" t="n">
        <v>47.76</v>
      </c>
      <c r="BT280" s="111" t="s">
        <v>246</v>
      </c>
      <c r="BU280" s="164" t="n">
        <v>21.35</v>
      </c>
      <c r="BV280" s="111" t="s">
        <v>246</v>
      </c>
    </row>
    <row r="281" customFormat="false" ht="12.75" hidden="false" customHeight="false" outlineLevel="0" collapsed="false">
      <c r="A281" s="162" t="s">
        <v>487</v>
      </c>
      <c r="B281" s="172" t="s">
        <v>668</v>
      </c>
      <c r="C281" s="172" t="s">
        <v>762</v>
      </c>
      <c r="D281" s="172"/>
      <c r="E281" s="106" t="n">
        <v>1</v>
      </c>
      <c r="F281" s="173" t="n">
        <v>30</v>
      </c>
      <c r="S281" s="167" t="n">
        <v>1191.940834</v>
      </c>
      <c r="T281" s="111" t="s">
        <v>246</v>
      </c>
      <c r="Y281" s="167" t="n">
        <v>661.58</v>
      </c>
      <c r="Z281" s="111" t="s">
        <v>246</v>
      </c>
      <c r="AA281" s="167" t="n">
        <v>63107</v>
      </c>
      <c r="AB281" s="111" t="s">
        <v>246</v>
      </c>
      <c r="AC281" s="164" t="n">
        <v>26.82</v>
      </c>
      <c r="AD281" s="111" t="s">
        <v>246</v>
      </c>
      <c r="AG281" s="167" t="n">
        <v>4.250457038</v>
      </c>
      <c r="AH281" s="111" t="s">
        <v>246</v>
      </c>
      <c r="AM281" s="167"/>
      <c r="BS281" s="167" t="n">
        <v>44.44</v>
      </c>
      <c r="BT281" s="111" t="s">
        <v>246</v>
      </c>
      <c r="BU281" s="164" t="n">
        <v>24.66</v>
      </c>
      <c r="BV281" s="111" t="s">
        <v>246</v>
      </c>
    </row>
    <row r="282" customFormat="false" ht="12.75" hidden="false" customHeight="false" outlineLevel="0" collapsed="false">
      <c r="A282" s="162" t="s">
        <v>489</v>
      </c>
      <c r="B282" s="172" t="s">
        <v>665</v>
      </c>
      <c r="C282" s="172" t="s">
        <v>758</v>
      </c>
      <c r="D282" s="172"/>
      <c r="E282" s="106" t="n">
        <v>6</v>
      </c>
      <c r="F282" s="173" t="n">
        <v>64</v>
      </c>
      <c r="S282" s="167" t="n">
        <v>1413.223234</v>
      </c>
      <c r="T282" s="111" t="s">
        <v>246</v>
      </c>
      <c r="Y282" s="167" t="n">
        <v>637.68</v>
      </c>
      <c r="Z282" s="111" t="s">
        <v>246</v>
      </c>
      <c r="AA282" s="167" t="n">
        <v>63145.71</v>
      </c>
      <c r="AB282" s="111" t="s">
        <v>246</v>
      </c>
      <c r="AC282" s="164" t="n">
        <v>29.48</v>
      </c>
      <c r="AD282" s="111" t="s">
        <v>246</v>
      </c>
      <c r="AG282" s="167" t="n">
        <v>4.668705403</v>
      </c>
      <c r="AH282" s="111" t="s">
        <v>246</v>
      </c>
      <c r="AM282" s="167"/>
      <c r="BS282" s="167" t="n">
        <v>47.94</v>
      </c>
      <c r="BT282" s="111" t="s">
        <v>246</v>
      </c>
      <c r="BU282" s="164" t="n">
        <v>21.63</v>
      </c>
      <c r="BV282" s="111" t="s">
        <v>246</v>
      </c>
    </row>
    <row r="283" customFormat="false" ht="12.75" hidden="false" customHeight="false" outlineLevel="0" collapsed="false">
      <c r="A283" s="162" t="s">
        <v>489</v>
      </c>
      <c r="B283" s="172" t="s">
        <v>668</v>
      </c>
      <c r="C283" s="172" t="s">
        <v>758</v>
      </c>
      <c r="D283" s="172"/>
      <c r="E283" s="106" t="n">
        <v>7</v>
      </c>
      <c r="F283" s="173" t="n">
        <v>9</v>
      </c>
      <c r="S283" s="167" t="n">
        <v>1543.658601</v>
      </c>
      <c r="T283" s="111" t="s">
        <v>246</v>
      </c>
      <c r="Y283" s="167" t="n">
        <v>708.58</v>
      </c>
      <c r="Z283" s="111" t="s">
        <v>246</v>
      </c>
      <c r="AA283" s="167" t="n">
        <v>65517.34</v>
      </c>
      <c r="AB283" s="111" t="s">
        <v>246</v>
      </c>
      <c r="AC283" s="164" t="n">
        <v>32.69</v>
      </c>
      <c r="AD283" s="111" t="s">
        <v>246</v>
      </c>
      <c r="AG283" s="167" t="n">
        <v>4.989082969</v>
      </c>
      <c r="AH283" s="111" t="s">
        <v>246</v>
      </c>
      <c r="AM283" s="167"/>
      <c r="BS283" s="167" t="n">
        <v>47.23</v>
      </c>
      <c r="BT283" s="111" t="s">
        <v>246</v>
      </c>
      <c r="BU283" s="164" t="n">
        <v>21.68</v>
      </c>
      <c r="BV283" s="111" t="s">
        <v>246</v>
      </c>
    </row>
    <row r="284" customFormat="false" ht="12.75" hidden="false" customHeight="false" outlineLevel="0" collapsed="false">
      <c r="A284" s="162" t="s">
        <v>489</v>
      </c>
      <c r="B284" s="172" t="s">
        <v>665</v>
      </c>
      <c r="C284" s="172" t="s">
        <v>760</v>
      </c>
      <c r="D284" s="172"/>
      <c r="E284" s="106" t="n">
        <v>12</v>
      </c>
      <c r="F284" s="173" t="n">
        <v>23</v>
      </c>
      <c r="S284" s="167" t="n">
        <v>1490.454957</v>
      </c>
      <c r="T284" s="111" t="s">
        <v>246</v>
      </c>
      <c r="Y284" s="167" t="n">
        <v>632.16</v>
      </c>
      <c r="Z284" s="111" t="s">
        <v>246</v>
      </c>
      <c r="AA284" s="167" t="n">
        <v>66721.84</v>
      </c>
      <c r="AB284" s="111" t="s">
        <v>246</v>
      </c>
      <c r="AC284" s="164" t="n">
        <v>30.74</v>
      </c>
      <c r="AD284" s="111" t="s">
        <v>246</v>
      </c>
      <c r="AG284" s="167" t="n">
        <v>4.60774578</v>
      </c>
      <c r="AH284" s="111" t="s">
        <v>246</v>
      </c>
      <c r="AM284" s="167"/>
      <c r="BS284" s="167" t="n">
        <v>48.48</v>
      </c>
      <c r="BT284" s="111" t="s">
        <v>246</v>
      </c>
      <c r="BU284" s="164" t="n">
        <v>20.56</v>
      </c>
      <c r="BV284" s="111" t="s">
        <v>246</v>
      </c>
    </row>
    <row r="285" customFormat="false" ht="12.75" hidden="false" customHeight="false" outlineLevel="0" collapsed="false">
      <c r="A285" s="162" t="s">
        <v>489</v>
      </c>
      <c r="B285" s="172" t="s">
        <v>668</v>
      </c>
      <c r="C285" s="172" t="s">
        <v>760</v>
      </c>
      <c r="D285" s="172"/>
      <c r="E285" s="106" t="n">
        <v>9</v>
      </c>
      <c r="F285" s="173" t="n">
        <v>38</v>
      </c>
      <c r="S285" s="167" t="n">
        <v>1041.586865</v>
      </c>
      <c r="T285" s="111" t="s">
        <v>246</v>
      </c>
      <c r="Y285" s="167" t="n">
        <v>517</v>
      </c>
      <c r="Z285" s="111" t="s">
        <v>246</v>
      </c>
      <c r="AA285" s="167" t="n">
        <v>45123.38</v>
      </c>
      <c r="AB285" s="111" t="s">
        <v>246</v>
      </c>
      <c r="AC285" s="164" t="n">
        <v>22.91</v>
      </c>
      <c r="AD285" s="111" t="s">
        <v>246</v>
      </c>
      <c r="AG285" s="167" t="n">
        <v>5.076586433</v>
      </c>
      <c r="AH285" s="111" t="s">
        <v>246</v>
      </c>
      <c r="AM285" s="167"/>
      <c r="BS285" s="167" t="n">
        <v>45.47</v>
      </c>
      <c r="BT285" s="111" t="s">
        <v>246</v>
      </c>
      <c r="BU285" s="164" t="n">
        <v>22.57</v>
      </c>
      <c r="BV285" s="111" t="s">
        <v>246</v>
      </c>
    </row>
    <row r="286" customFormat="false" ht="12.75" hidden="false" customHeight="false" outlineLevel="0" collapsed="false">
      <c r="A286" s="162" t="s">
        <v>489</v>
      </c>
      <c r="B286" s="172" t="s">
        <v>665</v>
      </c>
      <c r="C286" s="172" t="s">
        <v>761</v>
      </c>
      <c r="D286" s="172"/>
      <c r="E286" s="106" t="n">
        <v>13</v>
      </c>
      <c r="F286" s="173" t="n">
        <v>36</v>
      </c>
      <c r="S286" s="167" t="n">
        <v>1841.063252</v>
      </c>
      <c r="T286" s="111" t="s">
        <v>246</v>
      </c>
      <c r="Y286" s="167" t="n">
        <v>811.23</v>
      </c>
      <c r="Z286" s="111" t="s">
        <v>246</v>
      </c>
      <c r="AA286" s="167" t="n">
        <v>81543.19</v>
      </c>
      <c r="AB286" s="111" t="s">
        <v>246</v>
      </c>
      <c r="AC286" s="164" t="n">
        <v>38.58</v>
      </c>
      <c r="AD286" s="111" t="s">
        <v>246</v>
      </c>
      <c r="AG286" s="167" t="n">
        <v>4.731404959</v>
      </c>
      <c r="AH286" s="111" t="s">
        <v>246</v>
      </c>
      <c r="AM286" s="167"/>
      <c r="BS286" s="167" t="n">
        <v>47.72</v>
      </c>
      <c r="BT286" s="111" t="s">
        <v>246</v>
      </c>
      <c r="BU286" s="164" t="n">
        <v>21.03</v>
      </c>
      <c r="BV286" s="111" t="s">
        <v>246</v>
      </c>
    </row>
    <row r="287" customFormat="false" ht="12.75" hidden="false" customHeight="false" outlineLevel="0" collapsed="false">
      <c r="A287" s="162" t="s">
        <v>489</v>
      </c>
      <c r="B287" s="172" t="s">
        <v>668</v>
      </c>
      <c r="C287" s="172" t="s">
        <v>761</v>
      </c>
      <c r="D287" s="172"/>
      <c r="E287" s="106" t="n">
        <v>14</v>
      </c>
      <c r="F287" s="173" t="n">
        <v>19</v>
      </c>
      <c r="S287" s="167" t="n">
        <v>1480.798385</v>
      </c>
      <c r="T287" s="111" t="s">
        <v>246</v>
      </c>
      <c r="Y287" s="167" t="n">
        <v>653.34</v>
      </c>
      <c r="Z287" s="111" t="s">
        <v>246</v>
      </c>
      <c r="AA287" s="167" t="n">
        <v>63820.56</v>
      </c>
      <c r="AB287" s="111" t="s">
        <v>246</v>
      </c>
      <c r="AC287" s="164" t="n">
        <v>31.31</v>
      </c>
      <c r="AD287" s="111" t="s">
        <v>246</v>
      </c>
      <c r="AG287" s="167" t="n">
        <v>4.905263158</v>
      </c>
      <c r="AH287" s="111" t="s">
        <v>246</v>
      </c>
      <c r="AM287" s="167"/>
      <c r="BS287" s="167" t="n">
        <v>47.3</v>
      </c>
      <c r="BT287" s="111" t="s">
        <v>246</v>
      </c>
      <c r="BU287" s="164" t="n">
        <v>20.87</v>
      </c>
      <c r="BV287" s="111" t="s">
        <v>246</v>
      </c>
    </row>
    <row r="288" customFormat="false" ht="12.75" hidden="false" customHeight="false" outlineLevel="0" collapsed="false">
      <c r="A288" s="162" t="s">
        <v>489</v>
      </c>
      <c r="B288" s="172" t="s">
        <v>665</v>
      </c>
      <c r="C288" s="172" t="s">
        <v>762</v>
      </c>
      <c r="D288" s="172"/>
      <c r="E288" s="106" t="n">
        <v>18</v>
      </c>
      <c r="F288" s="173" t="n">
        <v>4</v>
      </c>
      <c r="S288" s="167" t="n">
        <v>1767.573201</v>
      </c>
      <c r="T288" s="111" t="s">
        <v>246</v>
      </c>
      <c r="Y288" s="167" t="n">
        <v>756.94</v>
      </c>
      <c r="Z288" s="111" t="s">
        <v>246</v>
      </c>
      <c r="AA288" s="167" t="n">
        <v>81743.46</v>
      </c>
      <c r="AB288" s="111" t="s">
        <v>246</v>
      </c>
      <c r="AC288" s="164" t="n">
        <v>36.69</v>
      </c>
      <c r="AD288" s="111" t="s">
        <v>246</v>
      </c>
      <c r="AG288" s="167" t="n">
        <v>4.488038278</v>
      </c>
      <c r="AH288" s="111" t="s">
        <v>246</v>
      </c>
      <c r="AM288" s="167"/>
      <c r="BS288" s="167" t="n">
        <v>48.18</v>
      </c>
      <c r="BT288" s="111" t="s">
        <v>246</v>
      </c>
      <c r="BU288" s="164" t="n">
        <v>20.63</v>
      </c>
      <c r="BV288" s="111" t="s">
        <v>246</v>
      </c>
    </row>
    <row r="289" customFormat="false" ht="12.75" hidden="false" customHeight="false" outlineLevel="0" collapsed="false">
      <c r="A289" s="162" t="s">
        <v>489</v>
      </c>
      <c r="B289" s="172" t="s">
        <v>668</v>
      </c>
      <c r="C289" s="172" t="s">
        <v>762</v>
      </c>
      <c r="D289" s="172"/>
      <c r="E289" s="106" t="n">
        <v>4</v>
      </c>
      <c r="F289" s="173" t="n">
        <v>24</v>
      </c>
      <c r="S289" s="167" t="n">
        <v>1517.007344</v>
      </c>
      <c r="T289" s="111" t="s">
        <v>246</v>
      </c>
      <c r="Y289" s="167" t="n">
        <v>699.91</v>
      </c>
      <c r="Z289" s="111" t="s">
        <v>246</v>
      </c>
      <c r="AA289" s="167" t="n">
        <v>64169.76</v>
      </c>
      <c r="AB289" s="111" t="s">
        <v>246</v>
      </c>
      <c r="AC289" s="164" t="n">
        <v>32.26</v>
      </c>
      <c r="AD289" s="111" t="s">
        <v>246</v>
      </c>
      <c r="AG289" s="167" t="n">
        <v>5.026852846</v>
      </c>
      <c r="AH289" s="111" t="s">
        <v>246</v>
      </c>
      <c r="AM289" s="167"/>
      <c r="BS289" s="167" t="n">
        <v>47.03</v>
      </c>
      <c r="BT289" s="111" t="s">
        <v>246</v>
      </c>
      <c r="BU289" s="164" t="n">
        <v>21.7</v>
      </c>
      <c r="BV289" s="111" t="s">
        <v>246</v>
      </c>
    </row>
    <row r="290" customFormat="false" ht="12.75" hidden="false" customHeight="false" outlineLevel="0" collapsed="false">
      <c r="A290" s="162" t="s">
        <v>491</v>
      </c>
      <c r="B290" s="172" t="s">
        <v>665</v>
      </c>
      <c r="C290" s="172" t="s">
        <v>758</v>
      </c>
      <c r="D290" s="172"/>
      <c r="E290" s="106" t="n">
        <v>8</v>
      </c>
      <c r="F290" s="173" t="n">
        <v>43</v>
      </c>
      <c r="S290" s="167" t="n">
        <v>1659.297377</v>
      </c>
      <c r="T290" s="111" t="s">
        <v>246</v>
      </c>
      <c r="Y290" s="167" t="n">
        <v>659.66</v>
      </c>
      <c r="Z290" s="111" t="s">
        <v>246</v>
      </c>
      <c r="AA290" s="167" t="n">
        <v>68007.58</v>
      </c>
      <c r="AB290" s="111" t="s">
        <v>246</v>
      </c>
      <c r="AC290" s="164" t="n">
        <v>33.6</v>
      </c>
      <c r="AD290" s="111" t="s">
        <v>246</v>
      </c>
      <c r="AG290" s="167" t="n">
        <v>4.940668824</v>
      </c>
      <c r="AH290" s="111" t="s">
        <v>246</v>
      </c>
      <c r="AM290" s="167"/>
      <c r="BS290" s="167" t="n">
        <v>49.38</v>
      </c>
      <c r="BT290" s="111" t="s">
        <v>246</v>
      </c>
      <c r="BU290" s="164" t="n">
        <v>19.63</v>
      </c>
      <c r="BV290" s="111" t="s">
        <v>246</v>
      </c>
    </row>
    <row r="291" customFormat="false" ht="12.75" hidden="false" customHeight="false" outlineLevel="0" collapsed="false">
      <c r="A291" s="162" t="s">
        <v>491</v>
      </c>
      <c r="B291" s="172" t="s">
        <v>668</v>
      </c>
      <c r="C291" s="172" t="s">
        <v>758</v>
      </c>
      <c r="D291" s="172"/>
      <c r="E291" s="106" t="n">
        <v>8</v>
      </c>
      <c r="F291" s="173" t="n">
        <v>9</v>
      </c>
      <c r="S291" s="167" t="n">
        <v>1920.713036</v>
      </c>
      <c r="T291" s="111" t="s">
        <v>246</v>
      </c>
      <c r="Y291" s="167" t="n">
        <v>724.42</v>
      </c>
      <c r="Z291" s="111" t="s">
        <v>246</v>
      </c>
      <c r="AA291" s="167" t="n">
        <v>76566.1</v>
      </c>
      <c r="AB291" s="111" t="s">
        <v>246</v>
      </c>
      <c r="AC291" s="164" t="n">
        <v>38.2</v>
      </c>
      <c r="AD291" s="111" t="s">
        <v>246</v>
      </c>
      <c r="AG291" s="167" t="n">
        <v>4.99</v>
      </c>
      <c r="AH291" s="111" t="s">
        <v>246</v>
      </c>
      <c r="AM291" s="167"/>
      <c r="BS291" s="167" t="n">
        <v>50.28</v>
      </c>
      <c r="BT291" s="111" t="s">
        <v>246</v>
      </c>
      <c r="BU291" s="164" t="n">
        <v>18.96</v>
      </c>
      <c r="BV291" s="111" t="s">
        <v>246</v>
      </c>
    </row>
    <row r="292" customFormat="false" ht="12.75" hidden="false" customHeight="false" outlineLevel="0" collapsed="false">
      <c r="A292" s="162" t="s">
        <v>491</v>
      </c>
      <c r="B292" s="172" t="s">
        <v>665</v>
      </c>
      <c r="C292" s="172" t="s">
        <v>760</v>
      </c>
      <c r="D292" s="172"/>
      <c r="E292" s="106" t="n">
        <v>9</v>
      </c>
      <c r="F292" s="173" t="n">
        <v>3</v>
      </c>
      <c r="S292" s="167" t="n">
        <v>1643.380858</v>
      </c>
      <c r="T292" s="111" t="s">
        <v>246</v>
      </c>
      <c r="Y292" s="167" t="n">
        <v>661.07</v>
      </c>
      <c r="Z292" s="111" t="s">
        <v>246</v>
      </c>
      <c r="AA292" s="167" t="n">
        <v>66812.75</v>
      </c>
      <c r="AB292" s="111" t="s">
        <v>246</v>
      </c>
      <c r="AC292" s="164" t="n">
        <v>33.19</v>
      </c>
      <c r="AD292" s="111" t="s">
        <v>246</v>
      </c>
      <c r="AG292" s="167" t="n">
        <v>4.967948718</v>
      </c>
      <c r="AH292" s="111" t="s">
        <v>246</v>
      </c>
      <c r="AM292" s="167"/>
      <c r="BS292" s="167" t="n">
        <v>49.51</v>
      </c>
      <c r="BT292" s="111" t="s">
        <v>246</v>
      </c>
      <c r="BU292" s="164" t="n">
        <v>19.92</v>
      </c>
      <c r="BV292" s="111" t="s">
        <v>246</v>
      </c>
    </row>
    <row r="293" customFormat="false" ht="12.75" hidden="false" customHeight="false" outlineLevel="0" collapsed="false">
      <c r="A293" s="162" t="s">
        <v>491</v>
      </c>
      <c r="B293" s="172" t="s">
        <v>668</v>
      </c>
      <c r="C293" s="172" t="s">
        <v>760</v>
      </c>
      <c r="D293" s="172"/>
      <c r="E293" s="106" t="n">
        <v>11</v>
      </c>
      <c r="F293" s="173" t="n">
        <v>53</v>
      </c>
      <c r="S293" s="167" t="n">
        <v>1813.288514</v>
      </c>
      <c r="T293" s="111" t="s">
        <v>246</v>
      </c>
      <c r="Y293" s="167" t="n">
        <v>755.09</v>
      </c>
      <c r="Z293" s="111" t="s">
        <v>246</v>
      </c>
      <c r="AA293" s="167" t="n">
        <v>70471.59</v>
      </c>
      <c r="AB293" s="111" t="s">
        <v>246</v>
      </c>
      <c r="AC293" s="164" t="n">
        <v>37.25</v>
      </c>
      <c r="AD293" s="111" t="s">
        <v>246</v>
      </c>
      <c r="AG293" s="167" t="n">
        <v>5.29</v>
      </c>
      <c r="AH293" s="111" t="s">
        <v>246</v>
      </c>
      <c r="AM293" s="167"/>
      <c r="BS293" s="167" t="n">
        <v>48.68</v>
      </c>
      <c r="BT293" s="111" t="s">
        <v>246</v>
      </c>
      <c r="BU293" s="164" t="n">
        <v>20.27</v>
      </c>
      <c r="BV293" s="111" t="s">
        <v>246</v>
      </c>
    </row>
    <row r="294" customFormat="false" ht="12.75" hidden="false" customHeight="false" outlineLevel="0" collapsed="false">
      <c r="A294" s="162" t="s">
        <v>491</v>
      </c>
      <c r="B294" s="172" t="s">
        <v>665</v>
      </c>
      <c r="C294" s="172" t="s">
        <v>761</v>
      </c>
      <c r="D294" s="172"/>
      <c r="E294" s="106" t="n">
        <v>14</v>
      </c>
      <c r="F294" s="173" t="n">
        <v>51</v>
      </c>
      <c r="S294" s="167" t="n">
        <v>1854.432878</v>
      </c>
      <c r="T294" s="111" t="s">
        <v>246</v>
      </c>
      <c r="Y294" s="167" t="n">
        <v>792.43</v>
      </c>
      <c r="Z294" s="111" t="s">
        <v>246</v>
      </c>
      <c r="AA294" s="167" t="n">
        <v>75362.93</v>
      </c>
      <c r="AB294" s="111" t="s">
        <v>246</v>
      </c>
      <c r="AC294" s="164" t="n">
        <v>38.05</v>
      </c>
      <c r="AD294" s="111" t="s">
        <v>246</v>
      </c>
      <c r="AG294" s="167" t="n">
        <v>5.04950495</v>
      </c>
      <c r="AH294" s="111" t="s">
        <v>246</v>
      </c>
      <c r="AM294" s="167"/>
      <c r="BS294" s="167" t="n">
        <v>48.73</v>
      </c>
      <c r="BT294" s="111" t="s">
        <v>246</v>
      </c>
      <c r="BU294" s="164" t="n">
        <v>20.82</v>
      </c>
      <c r="BV294" s="111" t="s">
        <v>246</v>
      </c>
    </row>
    <row r="295" customFormat="false" ht="12.75" hidden="false" customHeight="false" outlineLevel="0" collapsed="false">
      <c r="A295" s="162" t="s">
        <v>491</v>
      </c>
      <c r="B295" s="172" t="s">
        <v>668</v>
      </c>
      <c r="C295" s="172" t="s">
        <v>761</v>
      </c>
      <c r="D295" s="172"/>
      <c r="E295" s="106" t="n">
        <v>13</v>
      </c>
      <c r="F295" s="173" t="n">
        <v>14</v>
      </c>
      <c r="S295" s="167" t="n">
        <v>1406.930529</v>
      </c>
      <c r="T295" s="111" t="s">
        <v>246</v>
      </c>
      <c r="Y295" s="167" t="n">
        <v>625.82</v>
      </c>
      <c r="Z295" s="111" t="s">
        <v>246</v>
      </c>
      <c r="AA295" s="167" t="n">
        <v>56411.15</v>
      </c>
      <c r="AB295" s="111" t="s">
        <v>246</v>
      </c>
      <c r="AC295" s="164" t="n">
        <v>29.58</v>
      </c>
      <c r="AD295" s="111" t="s">
        <v>246</v>
      </c>
      <c r="AG295" s="167" t="n">
        <v>5.24</v>
      </c>
      <c r="AH295" s="111" t="s">
        <v>246</v>
      </c>
      <c r="AM295" s="167"/>
      <c r="BS295" s="167" t="n">
        <v>47.56</v>
      </c>
      <c r="BT295" s="111" t="s">
        <v>246</v>
      </c>
      <c r="BU295" s="164" t="n">
        <v>21.16</v>
      </c>
      <c r="BV295" s="111" t="s">
        <v>246</v>
      </c>
    </row>
    <row r="296" customFormat="false" ht="12.75" hidden="false" customHeight="false" outlineLevel="0" collapsed="false">
      <c r="A296" s="162" t="s">
        <v>491</v>
      </c>
      <c r="B296" s="172" t="s">
        <v>665</v>
      </c>
      <c r="C296" s="172" t="s">
        <v>762</v>
      </c>
      <c r="D296" s="172"/>
      <c r="E296" s="106" t="n">
        <v>19</v>
      </c>
      <c r="F296" s="173" t="n">
        <v>17</v>
      </c>
      <c r="S296" s="167" t="n">
        <v>1527.25867</v>
      </c>
      <c r="T296" s="111" t="s">
        <v>246</v>
      </c>
      <c r="Y296" s="167" t="n">
        <v>599.76</v>
      </c>
      <c r="Z296" s="111" t="s">
        <v>246</v>
      </c>
      <c r="AA296" s="167" t="n">
        <v>64051.36</v>
      </c>
      <c r="AB296" s="111" t="s">
        <v>246</v>
      </c>
      <c r="AC296" s="164" t="n">
        <v>30.85</v>
      </c>
      <c r="AD296" s="111" t="s">
        <v>246</v>
      </c>
      <c r="AG296" s="167" t="n">
        <v>4.816700611</v>
      </c>
      <c r="AH296" s="111" t="s">
        <v>246</v>
      </c>
      <c r="AM296" s="167"/>
      <c r="BS296" s="167" t="n">
        <v>49.5</v>
      </c>
      <c r="BT296" s="111" t="s">
        <v>246</v>
      </c>
      <c r="BU296" s="164" t="n">
        <v>19.44</v>
      </c>
      <c r="BV296" s="111" t="s">
        <v>246</v>
      </c>
    </row>
    <row r="297" customFormat="false" ht="12.75" hidden="false" customHeight="false" outlineLevel="0" collapsed="false">
      <c r="A297" s="162" t="s">
        <v>491</v>
      </c>
      <c r="B297" s="172" t="s">
        <v>668</v>
      </c>
      <c r="C297" s="172" t="s">
        <v>762</v>
      </c>
      <c r="D297" s="172"/>
      <c r="E297" s="106" t="n">
        <v>4</v>
      </c>
      <c r="F297" s="173" t="n">
        <v>2</v>
      </c>
      <c r="S297" s="167" t="n">
        <v>1450.438445</v>
      </c>
      <c r="T297" s="111" t="s">
        <v>246</v>
      </c>
      <c r="Y297" s="167" t="n">
        <v>682.69</v>
      </c>
      <c r="Z297" s="111" t="s">
        <v>246</v>
      </c>
      <c r="AA297" s="167" t="n">
        <v>64975.9</v>
      </c>
      <c r="AB297" s="111" t="s">
        <v>246</v>
      </c>
      <c r="AC297" s="164" t="n">
        <v>31.26</v>
      </c>
      <c r="AD297" s="111" t="s">
        <v>246</v>
      </c>
      <c r="AG297" s="167" t="n">
        <v>4.81</v>
      </c>
      <c r="AH297" s="111" t="s">
        <v>246</v>
      </c>
      <c r="AM297" s="167"/>
      <c r="BS297" s="167" t="n">
        <v>46.4</v>
      </c>
      <c r="BT297" s="111" t="s">
        <v>246</v>
      </c>
      <c r="BU297" s="164" t="n">
        <v>21.84</v>
      </c>
      <c r="BV297" s="111" t="s">
        <v>246</v>
      </c>
    </row>
    <row r="298" customFormat="false" ht="12.75" hidden="false" customHeight="false" outlineLevel="0" collapsed="false">
      <c r="A298" s="162" t="s">
        <v>493</v>
      </c>
      <c r="B298" s="172" t="s">
        <v>665</v>
      </c>
      <c r="C298" s="172" t="s">
        <v>758</v>
      </c>
      <c r="D298" s="172"/>
      <c r="E298" s="106" t="n">
        <v>6</v>
      </c>
      <c r="F298" s="173" t="n">
        <v>9</v>
      </c>
      <c r="S298" s="167" t="n">
        <v>1464.879416</v>
      </c>
      <c r="T298" s="111" t="s">
        <v>246</v>
      </c>
      <c r="Y298" s="167" t="n">
        <v>601.13</v>
      </c>
      <c r="Z298" s="111" t="s">
        <v>246</v>
      </c>
      <c r="AA298" s="167" t="n">
        <v>62531.61</v>
      </c>
      <c r="AB298" s="111" t="s">
        <v>246</v>
      </c>
      <c r="AC298" s="164" t="n">
        <v>29.76</v>
      </c>
      <c r="AD298" s="111" t="s">
        <v>246</v>
      </c>
      <c r="AG298" s="167" t="n">
        <v>4.76</v>
      </c>
      <c r="AH298" s="111" t="s">
        <v>246</v>
      </c>
      <c r="AM298" s="167"/>
      <c r="BS298" s="167" t="n">
        <v>49.22</v>
      </c>
      <c r="BT298" s="111" t="s">
        <v>246</v>
      </c>
      <c r="BU298" s="164" t="n">
        <v>20.2</v>
      </c>
      <c r="BV298" s="111" t="s">
        <v>246</v>
      </c>
    </row>
    <row r="299" customFormat="false" ht="12.75" hidden="false" customHeight="false" outlineLevel="0" collapsed="false">
      <c r="A299" s="162" t="s">
        <v>493</v>
      </c>
      <c r="B299" s="172" t="s">
        <v>668</v>
      </c>
      <c r="C299" s="172" t="s">
        <v>758</v>
      </c>
      <c r="D299" s="172"/>
      <c r="E299" s="106" t="n">
        <v>10</v>
      </c>
      <c r="F299" s="173" t="n">
        <v>5</v>
      </c>
      <c r="S299" s="167" t="n">
        <v>1474.342447</v>
      </c>
      <c r="T299" s="111" t="s">
        <v>246</v>
      </c>
      <c r="Y299" s="167" t="n">
        <v>603.85</v>
      </c>
      <c r="Z299" s="111" t="s">
        <v>246</v>
      </c>
      <c r="AA299" s="167" t="n">
        <v>62482.83</v>
      </c>
      <c r="AB299" s="111" t="s">
        <v>246</v>
      </c>
      <c r="AC299" s="164" t="n">
        <v>29.97</v>
      </c>
      <c r="AD299" s="111" t="s">
        <v>246</v>
      </c>
      <c r="AG299" s="167" t="n">
        <v>4.8</v>
      </c>
      <c r="AH299" s="111" t="s">
        <v>246</v>
      </c>
      <c r="AM299" s="167"/>
      <c r="BS299" s="167" t="n">
        <v>49.19</v>
      </c>
      <c r="BT299" s="111" t="s">
        <v>246</v>
      </c>
      <c r="BU299" s="164" t="n">
        <v>20.15</v>
      </c>
      <c r="BV299" s="111" t="s">
        <v>246</v>
      </c>
    </row>
    <row r="300" customFormat="false" ht="12.75" hidden="false" customHeight="false" outlineLevel="0" collapsed="false">
      <c r="A300" s="162" t="s">
        <v>493</v>
      </c>
      <c r="B300" s="172" t="s">
        <v>665</v>
      </c>
      <c r="C300" s="172" t="s">
        <v>760</v>
      </c>
      <c r="D300" s="172"/>
      <c r="E300" s="106" t="n">
        <v>10</v>
      </c>
      <c r="F300" s="173" t="n">
        <v>46</v>
      </c>
      <c r="S300" s="167" t="n">
        <v>1621.183981</v>
      </c>
      <c r="T300" s="111" t="s">
        <v>246</v>
      </c>
      <c r="Y300" s="167" t="n">
        <v>637.13</v>
      </c>
      <c r="Z300" s="111" t="s">
        <v>246</v>
      </c>
      <c r="AA300" s="167" t="n">
        <v>65820.62</v>
      </c>
      <c r="AB300" s="111" t="s">
        <v>246</v>
      </c>
      <c r="AC300" s="164" t="n">
        <v>32.59</v>
      </c>
      <c r="AD300" s="111" t="s">
        <v>246</v>
      </c>
      <c r="AG300" s="167" t="n">
        <v>4.95</v>
      </c>
      <c r="AH300" s="111" t="s">
        <v>246</v>
      </c>
      <c r="AM300" s="167"/>
      <c r="BS300" s="167" t="n">
        <v>49.74</v>
      </c>
      <c r="BT300" s="111" t="s">
        <v>246</v>
      </c>
      <c r="BU300" s="164" t="n">
        <v>19.55</v>
      </c>
      <c r="BV300" s="111" t="s">
        <v>246</v>
      </c>
    </row>
    <row r="301" customFormat="false" ht="12.75" hidden="false" customHeight="false" outlineLevel="0" collapsed="false">
      <c r="A301" s="162" t="s">
        <v>493</v>
      </c>
      <c r="B301" s="172" t="s">
        <v>668</v>
      </c>
      <c r="C301" s="172" t="s">
        <v>760</v>
      </c>
      <c r="D301" s="172"/>
      <c r="E301" s="106" t="n">
        <v>14</v>
      </c>
      <c r="F301" s="173" t="n">
        <v>41</v>
      </c>
      <c r="S301" s="167" t="n">
        <v>1352.094938</v>
      </c>
      <c r="T301" s="111" t="s">
        <v>246</v>
      </c>
      <c r="Y301" s="167" t="n">
        <v>611.59</v>
      </c>
      <c r="Z301" s="111" t="s">
        <v>246</v>
      </c>
      <c r="AA301" s="167" t="n">
        <v>63098.41</v>
      </c>
      <c r="AB301" s="111" t="s">
        <v>246</v>
      </c>
      <c r="AC301" s="164" t="n">
        <v>28.44</v>
      </c>
      <c r="AD301" s="111" t="s">
        <v>246</v>
      </c>
      <c r="AG301" s="167" t="n">
        <v>4.51</v>
      </c>
      <c r="AH301" s="111" t="s">
        <v>246</v>
      </c>
      <c r="AM301" s="167"/>
      <c r="BS301" s="167" t="n">
        <v>47.54</v>
      </c>
      <c r="BT301" s="111" t="s">
        <v>246</v>
      </c>
      <c r="BU301" s="164" t="n">
        <v>21.5</v>
      </c>
      <c r="BV301" s="111" t="s">
        <v>246</v>
      </c>
    </row>
    <row r="302" customFormat="false" ht="12.75" hidden="false" customHeight="false" outlineLevel="0" collapsed="false">
      <c r="A302" s="162" t="s">
        <v>493</v>
      </c>
      <c r="B302" s="172" t="s">
        <v>665</v>
      </c>
      <c r="C302" s="172" t="s">
        <v>761</v>
      </c>
      <c r="D302" s="172"/>
      <c r="E302" s="106" t="n">
        <v>16</v>
      </c>
      <c r="F302" s="173" t="n">
        <v>29</v>
      </c>
      <c r="S302" s="167" t="n">
        <v>1725.047858</v>
      </c>
      <c r="T302" s="111" t="s">
        <v>246</v>
      </c>
      <c r="Y302" s="167" t="n">
        <v>701.02</v>
      </c>
      <c r="Z302" s="111" t="s">
        <v>246</v>
      </c>
      <c r="AA302" s="167" t="n">
        <v>71635.43</v>
      </c>
      <c r="AB302" s="111" t="s">
        <v>246</v>
      </c>
      <c r="AC302" s="164" t="n">
        <v>34.95</v>
      </c>
      <c r="AD302" s="111" t="s">
        <v>246</v>
      </c>
      <c r="AG302" s="167" t="n">
        <v>4.88</v>
      </c>
      <c r="AH302" s="111" t="s">
        <v>246</v>
      </c>
      <c r="AM302" s="167"/>
      <c r="BS302" s="167" t="n">
        <v>49.36</v>
      </c>
      <c r="BT302" s="111" t="s">
        <v>246</v>
      </c>
      <c r="BU302" s="164" t="n">
        <v>20.06</v>
      </c>
      <c r="BV302" s="111" t="s">
        <v>246</v>
      </c>
    </row>
    <row r="303" customFormat="false" ht="12.75" hidden="false" customHeight="false" outlineLevel="0" collapsed="false">
      <c r="A303" s="162" t="s">
        <v>493</v>
      </c>
      <c r="B303" s="172" t="s">
        <v>668</v>
      </c>
      <c r="C303" s="172" t="s">
        <v>761</v>
      </c>
      <c r="D303" s="172"/>
      <c r="E303" s="106" t="n">
        <v>18</v>
      </c>
      <c r="F303" s="173" t="n">
        <v>5</v>
      </c>
      <c r="S303" s="167" t="n">
        <v>1575.280683</v>
      </c>
      <c r="T303" s="111" t="s">
        <v>246</v>
      </c>
      <c r="Y303" s="167" t="n">
        <v>691.77</v>
      </c>
      <c r="Z303" s="111" t="s">
        <v>246</v>
      </c>
      <c r="AA303" s="167" t="n">
        <v>68757.66</v>
      </c>
      <c r="AB303" s="111" t="s">
        <v>246</v>
      </c>
      <c r="AC303" s="164" t="n">
        <v>32.69</v>
      </c>
      <c r="AD303" s="111" t="s">
        <v>246</v>
      </c>
      <c r="AG303" s="167" t="n">
        <v>4.75</v>
      </c>
      <c r="AH303" s="111" t="s">
        <v>246</v>
      </c>
      <c r="AM303" s="167"/>
      <c r="BS303" s="167" t="n">
        <v>48.19</v>
      </c>
      <c r="BT303" s="111" t="s">
        <v>246</v>
      </c>
      <c r="BU303" s="164" t="n">
        <v>21.16</v>
      </c>
      <c r="BV303" s="111" t="s">
        <v>246</v>
      </c>
    </row>
    <row r="304" customFormat="false" ht="12.75" hidden="false" customHeight="false" outlineLevel="0" collapsed="false">
      <c r="A304" s="162" t="s">
        <v>493</v>
      </c>
      <c r="B304" s="172" t="s">
        <v>665</v>
      </c>
      <c r="C304" s="172" t="s">
        <v>762</v>
      </c>
      <c r="D304" s="172"/>
      <c r="E304" s="106" t="n">
        <v>2</v>
      </c>
      <c r="F304" s="173" t="n">
        <v>7</v>
      </c>
      <c r="S304" s="167" t="n">
        <v>1349.212468</v>
      </c>
      <c r="T304" s="111" t="s">
        <v>246</v>
      </c>
      <c r="Y304" s="167" t="n">
        <v>552.17</v>
      </c>
      <c r="Z304" s="111" t="s">
        <v>246</v>
      </c>
      <c r="AA304" s="167" t="n">
        <v>54734.79</v>
      </c>
      <c r="AB304" s="111" t="s">
        <v>246</v>
      </c>
      <c r="AC304" s="164" t="n">
        <v>27.69</v>
      </c>
      <c r="AD304" s="111" t="s">
        <v>246</v>
      </c>
      <c r="AG304" s="167" t="n">
        <v>5.06</v>
      </c>
      <c r="AH304" s="111" t="s">
        <v>246</v>
      </c>
      <c r="AM304" s="167"/>
      <c r="BS304" s="167" t="n">
        <v>48.72</v>
      </c>
      <c r="BT304" s="111" t="s">
        <v>246</v>
      </c>
      <c r="BU304" s="164" t="n">
        <v>19.94</v>
      </c>
      <c r="BV304" s="111" t="s">
        <v>246</v>
      </c>
    </row>
    <row r="305" customFormat="false" ht="12.75" hidden="false" customHeight="false" outlineLevel="0" collapsed="false">
      <c r="A305" s="162" t="s">
        <v>493</v>
      </c>
      <c r="B305" s="172" t="s">
        <v>668</v>
      </c>
      <c r="C305" s="172" t="s">
        <v>762</v>
      </c>
      <c r="D305" s="172"/>
      <c r="E305" s="106" t="n">
        <v>1</v>
      </c>
      <c r="F305" s="173" t="n">
        <v>36</v>
      </c>
      <c r="S305" s="167" t="n">
        <v>1681.568819</v>
      </c>
      <c r="T305" s="111" t="s">
        <v>246</v>
      </c>
      <c r="Y305" s="167" t="n">
        <v>745.39</v>
      </c>
      <c r="Z305" s="111" t="s">
        <v>246</v>
      </c>
      <c r="AA305" s="167" t="n">
        <v>78060.28</v>
      </c>
      <c r="AB305" s="111" t="s">
        <v>246</v>
      </c>
      <c r="AC305" s="164" t="n">
        <v>35.04</v>
      </c>
      <c r="AD305" s="111" t="s">
        <v>246</v>
      </c>
      <c r="AG305" s="167" t="n">
        <v>4.49</v>
      </c>
      <c r="AH305" s="111" t="s">
        <v>246</v>
      </c>
      <c r="AM305" s="167"/>
      <c r="BS305" s="167" t="n">
        <v>47.99</v>
      </c>
      <c r="BT305" s="111" t="s">
        <v>246</v>
      </c>
      <c r="BU305" s="164" t="n">
        <v>21.27</v>
      </c>
      <c r="BV305" s="111" t="s">
        <v>246</v>
      </c>
    </row>
    <row r="306" customFormat="false" ht="12.75" hidden="false" customHeight="false" outlineLevel="0" collapsed="false">
      <c r="A306" s="162" t="s">
        <v>495</v>
      </c>
      <c r="B306" s="172" t="s">
        <v>665</v>
      </c>
      <c r="C306" s="172" t="s">
        <v>758</v>
      </c>
      <c r="D306" s="172"/>
      <c r="E306" s="106" t="n">
        <v>5</v>
      </c>
      <c r="F306" s="173" t="n">
        <v>28</v>
      </c>
      <c r="S306" s="167" t="n">
        <v>1913.205372</v>
      </c>
      <c r="T306" s="111" t="s">
        <v>246</v>
      </c>
      <c r="Y306" s="167" t="n">
        <v>793.85</v>
      </c>
      <c r="Z306" s="111" t="s">
        <v>246</v>
      </c>
      <c r="AA306" s="167" t="n">
        <v>88349.97</v>
      </c>
      <c r="AB306" s="111" t="s">
        <v>246</v>
      </c>
      <c r="AC306" s="164" t="n">
        <v>38.56</v>
      </c>
      <c r="AD306" s="111" t="s">
        <v>246</v>
      </c>
      <c r="AG306" s="167" t="n">
        <v>4.36</v>
      </c>
      <c r="AH306" s="111" t="s">
        <v>246</v>
      </c>
      <c r="AM306" s="167"/>
      <c r="BS306" s="167" t="n">
        <v>49.61</v>
      </c>
      <c r="BT306" s="111" t="s">
        <v>246</v>
      </c>
      <c r="BU306" s="164" t="n">
        <v>20.59</v>
      </c>
      <c r="BV306" s="111" t="s">
        <v>246</v>
      </c>
    </row>
    <row r="307" customFormat="false" ht="12.75" hidden="false" customHeight="false" outlineLevel="0" collapsed="false">
      <c r="A307" s="162" t="s">
        <v>495</v>
      </c>
      <c r="B307" s="172" t="s">
        <v>668</v>
      </c>
      <c r="C307" s="172" t="s">
        <v>758</v>
      </c>
      <c r="D307" s="172"/>
      <c r="E307" s="106" t="n">
        <v>11</v>
      </c>
      <c r="F307" s="173" t="n">
        <v>6</v>
      </c>
      <c r="S307" s="167" t="s">
        <v>759</v>
      </c>
      <c r="T307" s="111" t="s">
        <v>246</v>
      </c>
      <c r="Y307" s="167" t="s">
        <v>759</v>
      </c>
      <c r="Z307" s="111" t="s">
        <v>246</v>
      </c>
      <c r="AA307" s="167" t="s">
        <v>759</v>
      </c>
      <c r="AB307" s="111" t="s">
        <v>246</v>
      </c>
      <c r="AC307" s="164" t="s">
        <v>759</v>
      </c>
      <c r="AD307" s="111" t="s">
        <v>246</v>
      </c>
      <c r="AG307" s="167" t="s">
        <v>759</v>
      </c>
      <c r="AH307" s="111" t="s">
        <v>246</v>
      </c>
      <c r="AM307" s="167"/>
      <c r="BS307" s="167" t="s">
        <v>759</v>
      </c>
      <c r="BT307" s="111" t="s">
        <v>246</v>
      </c>
      <c r="BU307" s="164" t="s">
        <v>759</v>
      </c>
      <c r="BV307" s="111" t="s">
        <v>246</v>
      </c>
    </row>
    <row r="308" customFormat="false" ht="12.75" hidden="false" customHeight="false" outlineLevel="0" collapsed="false">
      <c r="A308" s="162" t="s">
        <v>495</v>
      </c>
      <c r="B308" s="172" t="s">
        <v>665</v>
      </c>
      <c r="C308" s="172" t="s">
        <v>760</v>
      </c>
      <c r="D308" s="172"/>
      <c r="E308" s="106" t="n">
        <v>9</v>
      </c>
      <c r="F308" s="173" t="n">
        <v>47</v>
      </c>
      <c r="S308" s="167" t="n">
        <v>1593.232822</v>
      </c>
      <c r="T308" s="111" t="s">
        <v>246</v>
      </c>
      <c r="Y308" s="167" t="n">
        <v>683.34</v>
      </c>
      <c r="Z308" s="111" t="s">
        <v>246</v>
      </c>
      <c r="AA308" s="167" t="n">
        <v>69439.16</v>
      </c>
      <c r="AB308" s="111" t="s">
        <v>246</v>
      </c>
      <c r="AC308" s="164" t="n">
        <v>32.59</v>
      </c>
      <c r="AD308" s="111" t="s">
        <v>246</v>
      </c>
      <c r="AG308" s="167" t="n">
        <v>4.69</v>
      </c>
      <c r="AH308" s="111" t="s">
        <v>246</v>
      </c>
      <c r="AM308" s="167"/>
      <c r="BS308" s="167" t="n">
        <v>48.89</v>
      </c>
      <c r="BT308" s="111" t="s">
        <v>246</v>
      </c>
      <c r="BU308" s="164" t="n">
        <v>20.97</v>
      </c>
      <c r="BV308" s="111" t="s">
        <v>246</v>
      </c>
    </row>
    <row r="309" customFormat="false" ht="12.75" hidden="false" customHeight="false" outlineLevel="0" collapsed="false">
      <c r="A309" s="162" t="s">
        <v>495</v>
      </c>
      <c r="B309" s="172" t="s">
        <v>668</v>
      </c>
      <c r="C309" s="172" t="s">
        <v>760</v>
      </c>
      <c r="D309" s="172"/>
      <c r="E309" s="106" t="n">
        <v>16</v>
      </c>
      <c r="F309" s="173" t="n">
        <v>41</v>
      </c>
      <c r="S309" s="167" t="n">
        <v>1572.453213</v>
      </c>
      <c r="T309" s="111" t="s">
        <v>246</v>
      </c>
      <c r="Y309" s="167" t="n">
        <v>717.21</v>
      </c>
      <c r="Z309" s="111" t="s">
        <v>246</v>
      </c>
      <c r="AA309" s="167" t="n">
        <v>75871.62</v>
      </c>
      <c r="AB309" s="111" t="s">
        <v>246</v>
      </c>
      <c r="AC309" s="164" t="n">
        <v>33.01</v>
      </c>
      <c r="AD309" s="111" t="s">
        <v>246</v>
      </c>
      <c r="AG309" s="167" t="n">
        <v>4.35</v>
      </c>
      <c r="AH309" s="111" t="s">
        <v>246</v>
      </c>
      <c r="AM309" s="167"/>
      <c r="BS309" s="167" t="n">
        <v>47.64</v>
      </c>
      <c r="BT309" s="111" t="s">
        <v>246</v>
      </c>
      <c r="BU309" s="164" t="n">
        <v>21.73</v>
      </c>
      <c r="BV309" s="111" t="s">
        <v>246</v>
      </c>
    </row>
    <row r="310" customFormat="false" ht="12.75" hidden="false" customHeight="false" outlineLevel="0" collapsed="false">
      <c r="A310" s="162" t="s">
        <v>495</v>
      </c>
      <c r="B310" s="172" t="s">
        <v>665</v>
      </c>
      <c r="C310" s="172" t="s">
        <v>761</v>
      </c>
      <c r="D310" s="172"/>
      <c r="E310" s="106" t="n">
        <v>15</v>
      </c>
      <c r="F310" s="173" t="n">
        <v>18</v>
      </c>
      <c r="S310" s="167" t="n">
        <v>1641.204249</v>
      </c>
      <c r="T310" s="111" t="s">
        <v>246</v>
      </c>
      <c r="Y310" s="167" t="n">
        <v>757.41</v>
      </c>
      <c r="Z310" s="111" t="s">
        <v>246</v>
      </c>
      <c r="AA310" s="167" t="n">
        <v>73564.29</v>
      </c>
      <c r="AB310" s="111" t="s">
        <v>246</v>
      </c>
      <c r="AC310" s="164" t="n">
        <v>34.1</v>
      </c>
      <c r="AD310" s="111" t="s">
        <v>246</v>
      </c>
      <c r="AG310" s="167" t="n">
        <v>4.64</v>
      </c>
      <c r="AH310" s="111" t="s">
        <v>246</v>
      </c>
      <c r="AM310" s="167"/>
      <c r="BS310" s="167" t="n">
        <v>48.13</v>
      </c>
      <c r="BT310" s="111" t="s">
        <v>246</v>
      </c>
      <c r="BU310" s="164" t="n">
        <v>22.21</v>
      </c>
      <c r="BV310" s="111" t="s">
        <v>246</v>
      </c>
    </row>
    <row r="311" customFormat="false" ht="12.75" hidden="false" customHeight="false" outlineLevel="0" collapsed="false">
      <c r="A311" s="162" t="s">
        <v>495</v>
      </c>
      <c r="B311" s="172" t="s">
        <v>668</v>
      </c>
      <c r="C311" s="172" t="s">
        <v>761</v>
      </c>
      <c r="D311" s="172"/>
      <c r="E311" s="106" t="n">
        <v>17</v>
      </c>
      <c r="F311" s="173" t="n">
        <v>5</v>
      </c>
      <c r="S311" s="167" t="n">
        <v>1418.35948</v>
      </c>
      <c r="T311" s="111" t="s">
        <v>246</v>
      </c>
      <c r="Y311" s="167" t="n">
        <v>709.61</v>
      </c>
      <c r="Z311" s="111" t="s">
        <v>246</v>
      </c>
      <c r="AA311" s="167" t="n">
        <v>74373.99</v>
      </c>
      <c r="AB311" s="111" t="s">
        <v>246</v>
      </c>
      <c r="AC311" s="164" t="n">
        <v>30.41</v>
      </c>
      <c r="AD311" s="111" t="s">
        <v>246</v>
      </c>
      <c r="AG311" s="167" t="n">
        <v>4.09</v>
      </c>
      <c r="AH311" s="111" t="s">
        <v>246</v>
      </c>
      <c r="AM311" s="167"/>
      <c r="BS311" s="167" t="n">
        <v>46.64</v>
      </c>
      <c r="BT311" s="111" t="s">
        <v>246</v>
      </c>
      <c r="BU311" s="164" t="n">
        <v>23.33</v>
      </c>
      <c r="BV311" s="111" t="s">
        <v>246</v>
      </c>
    </row>
    <row r="312" customFormat="false" ht="12.75" hidden="false" customHeight="false" outlineLevel="0" collapsed="false">
      <c r="A312" s="162" t="s">
        <v>495</v>
      </c>
      <c r="B312" s="172" t="s">
        <v>665</v>
      </c>
      <c r="C312" s="172" t="s">
        <v>762</v>
      </c>
      <c r="D312" s="172"/>
      <c r="E312" s="106" t="n">
        <v>2</v>
      </c>
      <c r="F312" s="173" t="n">
        <v>5</v>
      </c>
      <c r="S312" s="167" t="n">
        <v>1618.44587</v>
      </c>
      <c r="T312" s="111" t="s">
        <v>246</v>
      </c>
      <c r="Y312" s="167" t="n">
        <v>755.83</v>
      </c>
      <c r="Z312" s="111" t="s">
        <v>246</v>
      </c>
      <c r="AA312" s="167" t="n">
        <v>70800.56</v>
      </c>
      <c r="AB312" s="111" t="s">
        <v>246</v>
      </c>
      <c r="AC312" s="164" t="n">
        <v>34.08</v>
      </c>
      <c r="AD312" s="111" t="s">
        <v>246</v>
      </c>
      <c r="AG312" s="167" t="n">
        <v>4.81</v>
      </c>
      <c r="AH312" s="111" t="s">
        <v>246</v>
      </c>
      <c r="AM312" s="167"/>
      <c r="BS312" s="167" t="n">
        <v>47.5</v>
      </c>
      <c r="BT312" s="111" t="s">
        <v>246</v>
      </c>
      <c r="BU312" s="164" t="n">
        <v>22.18</v>
      </c>
      <c r="BV312" s="111" t="s">
        <v>246</v>
      </c>
    </row>
    <row r="313" customFormat="false" ht="12.75" hidden="false" customHeight="false" outlineLevel="0" collapsed="false">
      <c r="A313" s="162" t="s">
        <v>495</v>
      </c>
      <c r="B313" s="172" t="s">
        <v>668</v>
      </c>
      <c r="C313" s="172" t="s">
        <v>762</v>
      </c>
      <c r="D313" s="172"/>
      <c r="E313" s="106" t="n">
        <v>2</v>
      </c>
      <c r="F313" s="173" t="n">
        <v>47</v>
      </c>
      <c r="S313" s="167" t="n">
        <v>1465.292786</v>
      </c>
      <c r="T313" s="111" t="s">
        <v>246</v>
      </c>
      <c r="Y313" s="167" t="n">
        <v>758.85</v>
      </c>
      <c r="Z313" s="111" t="s">
        <v>246</v>
      </c>
      <c r="AA313" s="167" t="n">
        <v>77206.08</v>
      </c>
      <c r="AB313" s="111" t="s">
        <v>246</v>
      </c>
      <c r="AC313" s="164" t="n">
        <v>32.26</v>
      </c>
      <c r="AD313" s="111" t="s">
        <v>246</v>
      </c>
      <c r="AG313" s="167" t="n">
        <v>4.18</v>
      </c>
      <c r="AH313" s="111" t="s">
        <v>246</v>
      </c>
      <c r="AM313" s="167"/>
      <c r="BS313" s="167" t="n">
        <v>45.42</v>
      </c>
      <c r="BT313" s="111" t="s">
        <v>246</v>
      </c>
      <c r="BU313" s="164" t="n">
        <v>23.52</v>
      </c>
      <c r="BV313" s="111" t="s">
        <v>246</v>
      </c>
    </row>
    <row r="314" customFormat="false" ht="12.75" hidden="false" customHeight="false" outlineLevel="0" collapsed="false">
      <c r="A314" s="162" t="s">
        <v>497</v>
      </c>
      <c r="B314" s="172" t="s">
        <v>665</v>
      </c>
      <c r="C314" s="172" t="s">
        <v>758</v>
      </c>
      <c r="D314" s="172"/>
      <c r="E314" s="106" t="n">
        <v>5</v>
      </c>
      <c r="F314" s="173" t="n">
        <v>10</v>
      </c>
      <c r="S314" s="167" t="n">
        <v>1653.497118</v>
      </c>
      <c r="T314" s="111" t="s">
        <v>246</v>
      </c>
      <c r="Y314" s="167" t="n">
        <v>746.55</v>
      </c>
      <c r="Z314" s="111" t="s">
        <v>246</v>
      </c>
      <c r="AA314" s="167" t="n">
        <v>71382.2</v>
      </c>
      <c r="AB314" s="111" t="s">
        <v>246</v>
      </c>
      <c r="AC314" s="164" t="n">
        <v>34.96</v>
      </c>
      <c r="AD314" s="111" t="s">
        <v>246</v>
      </c>
      <c r="AG314" s="167" t="n">
        <v>4.9</v>
      </c>
      <c r="AH314" s="111" t="s">
        <v>246</v>
      </c>
      <c r="AM314" s="167"/>
      <c r="BS314" s="167" t="n">
        <v>47.29</v>
      </c>
      <c r="BT314" s="111" t="s">
        <v>246</v>
      </c>
      <c r="BU314" s="164" t="n">
        <v>21.35</v>
      </c>
      <c r="BV314" s="111" t="s">
        <v>246</v>
      </c>
    </row>
    <row r="315" customFormat="false" ht="12.75" hidden="false" customHeight="false" outlineLevel="0" collapsed="false">
      <c r="A315" s="162" t="s">
        <v>497</v>
      </c>
      <c r="B315" s="172" t="s">
        <v>668</v>
      </c>
      <c r="C315" s="172" t="s">
        <v>758</v>
      </c>
      <c r="D315" s="172"/>
      <c r="E315" s="106" t="n">
        <v>11</v>
      </c>
      <c r="F315" s="173" t="n">
        <v>18</v>
      </c>
      <c r="S315" s="167" t="n">
        <v>1602.540412</v>
      </c>
      <c r="T315" s="111" t="s">
        <v>246</v>
      </c>
      <c r="Y315" s="167" t="n">
        <v>730.61</v>
      </c>
      <c r="Z315" s="111" t="s">
        <v>246</v>
      </c>
      <c r="AA315" s="167" t="n">
        <v>72074.78</v>
      </c>
      <c r="AB315" s="111" t="s">
        <v>246</v>
      </c>
      <c r="AC315" s="164" t="n">
        <v>34.22</v>
      </c>
      <c r="AD315" s="111" t="s">
        <v>246</v>
      </c>
      <c r="AG315" s="167" t="n">
        <v>4.75</v>
      </c>
      <c r="AH315" s="111" t="s">
        <v>246</v>
      </c>
      <c r="AM315" s="167"/>
      <c r="BS315" s="167" t="n">
        <v>46.83</v>
      </c>
      <c r="BT315" s="111" t="s">
        <v>246</v>
      </c>
      <c r="BU315" s="164" t="n">
        <v>21.35</v>
      </c>
      <c r="BV315" s="111" t="s">
        <v>246</v>
      </c>
    </row>
    <row r="316" customFormat="false" ht="12.75" hidden="false" customHeight="false" outlineLevel="0" collapsed="false">
      <c r="A316" s="162" t="s">
        <v>497</v>
      </c>
      <c r="B316" s="172" t="s">
        <v>665</v>
      </c>
      <c r="C316" s="172" t="s">
        <v>760</v>
      </c>
      <c r="D316" s="172"/>
      <c r="E316" s="106" t="n">
        <v>12</v>
      </c>
      <c r="F316" s="173" t="n">
        <v>40</v>
      </c>
      <c r="S316" s="167" t="n">
        <v>1334.069045</v>
      </c>
      <c r="T316" s="111" t="s">
        <v>246</v>
      </c>
      <c r="Y316" s="167" t="n">
        <v>592.62</v>
      </c>
      <c r="Z316" s="111" t="s">
        <v>246</v>
      </c>
      <c r="AA316" s="167" t="n">
        <v>55503.69</v>
      </c>
      <c r="AB316" s="111" t="s">
        <v>246</v>
      </c>
      <c r="AC316" s="164" t="n">
        <v>28.21</v>
      </c>
      <c r="AD316" s="111" t="s">
        <v>246</v>
      </c>
      <c r="AG316" s="167" t="n">
        <v>5.08</v>
      </c>
      <c r="AH316" s="111" t="s">
        <v>246</v>
      </c>
      <c r="AM316" s="167"/>
      <c r="BS316" s="167" t="n">
        <v>47.29</v>
      </c>
      <c r="BT316" s="111" t="s">
        <v>246</v>
      </c>
      <c r="BU316" s="164" t="n">
        <v>21.01</v>
      </c>
      <c r="BV316" s="111" t="s">
        <v>246</v>
      </c>
    </row>
    <row r="317" customFormat="false" ht="12.75" hidden="false" customHeight="false" outlineLevel="0" collapsed="false">
      <c r="A317" s="162" t="s">
        <v>497</v>
      </c>
      <c r="B317" s="172" t="s">
        <v>668</v>
      </c>
      <c r="C317" s="172" t="s">
        <v>760</v>
      </c>
      <c r="D317" s="172"/>
      <c r="E317" s="106" t="n">
        <v>14</v>
      </c>
      <c r="F317" s="173" t="n">
        <v>36</v>
      </c>
      <c r="S317" s="167" t="n">
        <v>1245.864822</v>
      </c>
      <c r="T317" s="111" t="s">
        <v>246</v>
      </c>
      <c r="Y317" s="167" t="n">
        <v>593.18</v>
      </c>
      <c r="Z317" s="111" t="s">
        <v>246</v>
      </c>
      <c r="AA317" s="167" t="n">
        <v>58860.72</v>
      </c>
      <c r="AB317" s="111" t="s">
        <v>246</v>
      </c>
      <c r="AC317" s="164" t="n">
        <v>26.89</v>
      </c>
      <c r="AD317" s="111" t="s">
        <v>246</v>
      </c>
      <c r="AG317" s="167" t="n">
        <v>4.57</v>
      </c>
      <c r="AH317" s="111" t="s">
        <v>246</v>
      </c>
      <c r="AM317" s="167"/>
      <c r="BS317" s="167" t="n">
        <v>46.33</v>
      </c>
      <c r="BT317" s="111" t="s">
        <v>246</v>
      </c>
      <c r="BU317" s="164" t="n">
        <v>22.06</v>
      </c>
      <c r="BV317" s="111" t="s">
        <v>246</v>
      </c>
    </row>
    <row r="318" customFormat="false" ht="12.75" hidden="false" customHeight="false" outlineLevel="0" collapsed="false">
      <c r="A318" s="162" t="s">
        <v>497</v>
      </c>
      <c r="B318" s="172" t="s">
        <v>665</v>
      </c>
      <c r="C318" s="172" t="s">
        <v>761</v>
      </c>
      <c r="D318" s="172"/>
      <c r="E318" s="106" t="n">
        <v>15</v>
      </c>
      <c r="F318" s="173" t="n">
        <v>15</v>
      </c>
      <c r="S318" s="167" t="n">
        <v>1318.421807</v>
      </c>
      <c r="T318" s="111" t="s">
        <v>246</v>
      </c>
      <c r="Y318" s="167" t="n">
        <v>608.83</v>
      </c>
      <c r="Z318" s="111" t="s">
        <v>246</v>
      </c>
      <c r="AA318" s="167" t="n">
        <v>55265.43</v>
      </c>
      <c r="AB318" s="111" t="s">
        <v>246</v>
      </c>
      <c r="AC318" s="164" t="n">
        <v>28.17</v>
      </c>
      <c r="AD318" s="111" t="s">
        <v>246</v>
      </c>
      <c r="AG318" s="167" t="n">
        <v>5.1</v>
      </c>
      <c r="AH318" s="111" t="s">
        <v>246</v>
      </c>
      <c r="AM318" s="167"/>
      <c r="BS318" s="167" t="n">
        <v>46.79</v>
      </c>
      <c r="BT318" s="111" t="s">
        <v>246</v>
      </c>
      <c r="BU318" s="164" t="n">
        <v>21.61</v>
      </c>
      <c r="BV318" s="111" t="s">
        <v>246</v>
      </c>
    </row>
    <row r="319" customFormat="false" ht="12.75" hidden="false" customHeight="false" outlineLevel="0" collapsed="false">
      <c r="A319" s="162" t="s">
        <v>497</v>
      </c>
      <c r="B319" s="172" t="s">
        <v>668</v>
      </c>
      <c r="C319" s="172" t="s">
        <v>761</v>
      </c>
      <c r="D319" s="172"/>
      <c r="E319" s="106" t="n">
        <v>17</v>
      </c>
      <c r="F319" s="173" t="n">
        <v>27</v>
      </c>
      <c r="S319" s="167" t="n">
        <v>1364.195034</v>
      </c>
      <c r="T319" s="111" t="s">
        <v>246</v>
      </c>
      <c r="Y319" s="167" t="n">
        <v>656.99</v>
      </c>
      <c r="Z319" s="111" t="s">
        <v>246</v>
      </c>
      <c r="AA319" s="167" t="n">
        <v>59080.2</v>
      </c>
      <c r="AB319" s="111" t="s">
        <v>246</v>
      </c>
      <c r="AC319" s="164" t="n">
        <v>29.57</v>
      </c>
      <c r="AD319" s="111" t="s">
        <v>246</v>
      </c>
      <c r="AG319" s="167" t="n">
        <v>5.01</v>
      </c>
      <c r="AH319" s="111" t="s">
        <v>246</v>
      </c>
      <c r="AM319" s="167"/>
      <c r="BS319" s="167" t="n">
        <v>46.13</v>
      </c>
      <c r="BT319" s="111" t="s">
        <v>246</v>
      </c>
      <c r="BU319" s="164" t="n">
        <v>22.22</v>
      </c>
      <c r="BV319" s="111" t="s">
        <v>246</v>
      </c>
    </row>
    <row r="320" customFormat="false" ht="12.75" hidden="false" customHeight="false" outlineLevel="0" collapsed="false">
      <c r="A320" s="162" t="s">
        <v>497</v>
      </c>
      <c r="B320" s="172" t="s">
        <v>665</v>
      </c>
      <c r="C320" s="172" t="s">
        <v>762</v>
      </c>
      <c r="D320" s="172"/>
      <c r="E320" s="106" t="n">
        <v>3</v>
      </c>
      <c r="F320" s="173" t="n">
        <v>22</v>
      </c>
      <c r="S320" s="167" t="n">
        <v>1735.670824</v>
      </c>
      <c r="T320" s="111" t="s">
        <v>246</v>
      </c>
      <c r="Y320" s="167" t="n">
        <v>790.71</v>
      </c>
      <c r="Z320" s="111" t="s">
        <v>246</v>
      </c>
      <c r="AA320" s="167" t="n">
        <v>76589.3</v>
      </c>
      <c r="AB320" s="111" t="s">
        <v>246</v>
      </c>
      <c r="AC320" s="164" t="n">
        <v>36.58</v>
      </c>
      <c r="AD320" s="111" t="s">
        <v>246</v>
      </c>
      <c r="AG320" s="167" t="n">
        <v>4.78</v>
      </c>
      <c r="AH320" s="111" t="s">
        <v>246</v>
      </c>
      <c r="AM320" s="167"/>
      <c r="BS320" s="167" t="n">
        <v>47.45</v>
      </c>
      <c r="BT320" s="111" t="s">
        <v>246</v>
      </c>
      <c r="BU320" s="164" t="n">
        <v>21.61</v>
      </c>
      <c r="BV320" s="111" t="s">
        <v>246</v>
      </c>
    </row>
    <row r="321" customFormat="false" ht="12.75" hidden="false" customHeight="false" outlineLevel="0" collapsed="false">
      <c r="A321" s="162" t="s">
        <v>497</v>
      </c>
      <c r="B321" s="172" t="s">
        <v>668</v>
      </c>
      <c r="C321" s="172" t="s">
        <v>762</v>
      </c>
      <c r="D321" s="172"/>
      <c r="E321" s="106" t="n">
        <v>1</v>
      </c>
      <c r="F321" s="173" t="n">
        <v>52</v>
      </c>
      <c r="S321" s="167" t="n">
        <v>1692.847577</v>
      </c>
      <c r="T321" s="111" t="s">
        <v>246</v>
      </c>
      <c r="Y321" s="167" t="n">
        <v>824.53</v>
      </c>
      <c r="Z321" s="111" t="s">
        <v>246</v>
      </c>
      <c r="AA321" s="167" t="n">
        <v>76768.93</v>
      </c>
      <c r="AB321" s="111" t="s">
        <v>246</v>
      </c>
      <c r="AC321" s="164" t="n">
        <v>37</v>
      </c>
      <c r="AD321" s="111" t="s">
        <v>246</v>
      </c>
      <c r="AG321" s="167" t="n">
        <v>4.82</v>
      </c>
      <c r="AH321" s="111" t="s">
        <v>246</v>
      </c>
      <c r="AM321" s="167"/>
      <c r="BS321" s="167" t="n">
        <v>45.75</v>
      </c>
      <c r="BT321" s="111" t="s">
        <v>246</v>
      </c>
      <c r="BU321" s="164" t="n">
        <v>22.28</v>
      </c>
      <c r="BV321" s="111" t="s">
        <v>246</v>
      </c>
    </row>
    <row r="322" customFormat="false" ht="12.75" hidden="false" customHeight="false" outlineLevel="0" collapsed="false">
      <c r="A322" s="162" t="s">
        <v>499</v>
      </c>
      <c r="B322" s="172" t="s">
        <v>665</v>
      </c>
      <c r="C322" s="172" t="s">
        <v>758</v>
      </c>
      <c r="D322" s="172"/>
      <c r="E322" s="106" t="n">
        <v>8</v>
      </c>
      <c r="F322" s="173" t="n">
        <v>26</v>
      </c>
      <c r="S322" s="167" t="n">
        <v>1467.468171</v>
      </c>
      <c r="T322" s="111" t="s">
        <v>246</v>
      </c>
      <c r="Y322" s="167" t="n">
        <v>643.57</v>
      </c>
      <c r="Z322" s="111" t="s">
        <v>246</v>
      </c>
      <c r="AA322" s="167" t="n">
        <v>61020.51</v>
      </c>
      <c r="AB322" s="111" t="s">
        <v>246</v>
      </c>
      <c r="AC322" s="164" t="n">
        <v>30.12</v>
      </c>
      <c r="AD322" s="111" t="s">
        <v>246</v>
      </c>
      <c r="AG322" s="167" t="n">
        <v>4.94</v>
      </c>
      <c r="AH322" s="111" t="s">
        <v>246</v>
      </c>
      <c r="AM322" s="167"/>
      <c r="BS322" s="167" t="n">
        <v>48.72</v>
      </c>
      <c r="BT322" s="111" t="s">
        <v>246</v>
      </c>
      <c r="BU322" s="164" t="n">
        <v>21.37</v>
      </c>
      <c r="BV322" s="111" t="s">
        <v>246</v>
      </c>
    </row>
    <row r="323" customFormat="false" ht="12.75" hidden="false" customHeight="false" outlineLevel="0" collapsed="false">
      <c r="A323" s="162" t="s">
        <v>499</v>
      </c>
      <c r="B323" s="172" t="s">
        <v>668</v>
      </c>
      <c r="C323" s="172" t="s">
        <v>758</v>
      </c>
      <c r="D323" s="172"/>
      <c r="E323" s="106" t="n">
        <v>9</v>
      </c>
      <c r="F323" s="173" t="n">
        <v>28</v>
      </c>
      <c r="S323" s="167" t="n">
        <v>1747.058949</v>
      </c>
      <c r="T323" s="111" t="s">
        <v>246</v>
      </c>
      <c r="Y323" s="167" t="n">
        <v>815.66</v>
      </c>
      <c r="Z323" s="111" t="s">
        <v>246</v>
      </c>
      <c r="AA323" s="167" t="n">
        <v>72609.39</v>
      </c>
      <c r="AB323" s="111" t="s">
        <v>246</v>
      </c>
      <c r="AC323" s="164" t="n">
        <v>36.87</v>
      </c>
      <c r="AD323" s="111" t="s">
        <v>246</v>
      </c>
      <c r="AG323" s="167" t="n">
        <v>5.08</v>
      </c>
      <c r="AH323" s="111" t="s">
        <v>246</v>
      </c>
      <c r="AM323" s="167"/>
      <c r="BS323" s="167" t="n">
        <v>47.39</v>
      </c>
      <c r="BT323" s="111" t="s">
        <v>246</v>
      </c>
      <c r="BU323" s="164" t="n">
        <v>22.13</v>
      </c>
      <c r="BV323" s="111" t="s">
        <v>246</v>
      </c>
    </row>
    <row r="324" customFormat="false" ht="12.75" hidden="false" customHeight="false" outlineLevel="0" collapsed="false">
      <c r="A324" s="162" t="s">
        <v>499</v>
      </c>
      <c r="B324" s="172" t="s">
        <v>665</v>
      </c>
      <c r="C324" s="172" t="s">
        <v>760</v>
      </c>
      <c r="D324" s="172"/>
      <c r="E324" s="106" t="n">
        <v>9</v>
      </c>
      <c r="F324" s="173" t="n">
        <v>42</v>
      </c>
      <c r="S324" s="167" t="n">
        <v>1554.95752</v>
      </c>
      <c r="T324" s="111" t="s">
        <v>246</v>
      </c>
      <c r="Y324" s="167" t="n">
        <v>668.86</v>
      </c>
      <c r="Z324" s="111" t="s">
        <v>246</v>
      </c>
      <c r="AA324" s="167" t="n">
        <v>64520.48</v>
      </c>
      <c r="AB324" s="111" t="s">
        <v>246</v>
      </c>
      <c r="AC324" s="164" t="n">
        <v>32.09</v>
      </c>
      <c r="AD324" s="111" t="s">
        <v>246</v>
      </c>
      <c r="AG324" s="167" t="n">
        <v>4.97</v>
      </c>
      <c r="AH324" s="111" t="s">
        <v>246</v>
      </c>
      <c r="AM324" s="167"/>
      <c r="BS324" s="167" t="n">
        <v>48.46</v>
      </c>
      <c r="BT324" s="111" t="s">
        <v>246</v>
      </c>
      <c r="BU324" s="164" t="n">
        <v>20.85</v>
      </c>
      <c r="BV324" s="111" t="s">
        <v>246</v>
      </c>
    </row>
    <row r="325" customFormat="false" ht="12.75" hidden="false" customHeight="false" outlineLevel="0" collapsed="false">
      <c r="A325" s="162" t="s">
        <v>499</v>
      </c>
      <c r="B325" s="172" t="s">
        <v>668</v>
      </c>
      <c r="C325" s="172" t="s">
        <v>760</v>
      </c>
      <c r="D325" s="172"/>
      <c r="E325" s="106" t="n">
        <v>13</v>
      </c>
      <c r="F325" s="173" t="n">
        <v>37</v>
      </c>
      <c r="S325" s="167" t="n">
        <v>979.058239</v>
      </c>
      <c r="T325" s="111" t="s">
        <v>246</v>
      </c>
      <c r="Y325" s="167" t="n">
        <v>492.39</v>
      </c>
      <c r="Z325" s="111" t="s">
        <v>246</v>
      </c>
      <c r="AA325" s="167" t="n">
        <v>41826.71</v>
      </c>
      <c r="AB325" s="111" t="s">
        <v>246</v>
      </c>
      <c r="AC325" s="164" t="n">
        <v>21.07</v>
      </c>
      <c r="AD325" s="111" t="s">
        <v>246</v>
      </c>
      <c r="AG325" s="167" t="n">
        <v>5.04</v>
      </c>
      <c r="AH325" s="111" t="s">
        <v>246</v>
      </c>
      <c r="AM325" s="167"/>
      <c r="BS325" s="167" t="n">
        <v>46.46</v>
      </c>
      <c r="BT325" s="111" t="s">
        <v>246</v>
      </c>
      <c r="BU325" s="164" t="n">
        <v>23.37</v>
      </c>
      <c r="BV325" s="111" t="s">
        <v>246</v>
      </c>
    </row>
    <row r="326" customFormat="false" ht="12.75" hidden="false" customHeight="false" outlineLevel="0" collapsed="false">
      <c r="A326" s="162" t="s">
        <v>499</v>
      </c>
      <c r="B326" s="172" t="s">
        <v>665</v>
      </c>
      <c r="C326" s="172" t="s">
        <v>761</v>
      </c>
      <c r="D326" s="172"/>
      <c r="E326" s="106" t="n">
        <v>14</v>
      </c>
      <c r="F326" s="173" t="n">
        <v>31</v>
      </c>
      <c r="S326" s="167" t="n">
        <v>1597.935342</v>
      </c>
      <c r="T326" s="111" t="s">
        <v>246</v>
      </c>
      <c r="Y326" s="167" t="n">
        <v>712.49</v>
      </c>
      <c r="Z326" s="111" t="s">
        <v>246</v>
      </c>
      <c r="AA326" s="167" t="n">
        <v>67953.79</v>
      </c>
      <c r="AB326" s="111" t="s">
        <v>246</v>
      </c>
      <c r="AC326" s="164" t="n">
        <v>33.15</v>
      </c>
      <c r="AD326" s="111" t="s">
        <v>246</v>
      </c>
      <c r="AG326" s="167" t="n">
        <v>4.88</v>
      </c>
      <c r="AH326" s="111" t="s">
        <v>246</v>
      </c>
      <c r="AM326" s="167"/>
      <c r="BS326" s="167" t="n">
        <v>48.2</v>
      </c>
      <c r="BT326" s="111" t="s">
        <v>246</v>
      </c>
      <c r="BU326" s="164" t="n">
        <v>21.49</v>
      </c>
      <c r="BV326" s="111" t="s">
        <v>246</v>
      </c>
    </row>
    <row r="327" customFormat="false" ht="12.75" hidden="false" customHeight="false" outlineLevel="0" collapsed="false">
      <c r="A327" s="162" t="s">
        <v>499</v>
      </c>
      <c r="B327" s="172" t="s">
        <v>668</v>
      </c>
      <c r="C327" s="172" t="s">
        <v>761</v>
      </c>
      <c r="D327" s="172"/>
      <c r="E327" s="106" t="n">
        <v>17</v>
      </c>
      <c r="F327" s="173" t="n">
        <v>6</v>
      </c>
      <c r="S327" s="167" t="n">
        <v>1487.86146</v>
      </c>
      <c r="T327" s="111" t="s">
        <v>246</v>
      </c>
      <c r="Y327" s="167" t="n">
        <v>704.16</v>
      </c>
      <c r="Z327" s="111" t="s">
        <v>246</v>
      </c>
      <c r="AA327" s="167" t="n">
        <v>63997.83</v>
      </c>
      <c r="AB327" s="111" t="s">
        <v>246</v>
      </c>
      <c r="AC327" s="164" t="n">
        <v>31.43</v>
      </c>
      <c r="AD327" s="111" t="s">
        <v>246</v>
      </c>
      <c r="AG327" s="167" t="n">
        <v>4.91</v>
      </c>
      <c r="AH327" s="111" t="s">
        <v>246</v>
      </c>
      <c r="AM327" s="167"/>
      <c r="BS327" s="167" t="n">
        <v>47.35</v>
      </c>
      <c r="BT327" s="111" t="s">
        <v>246</v>
      </c>
      <c r="BU327" s="164" t="n">
        <v>22.41</v>
      </c>
      <c r="BV327" s="111" t="s">
        <v>246</v>
      </c>
    </row>
    <row r="328" customFormat="false" ht="12.75" hidden="false" customHeight="false" outlineLevel="0" collapsed="false">
      <c r="A328" s="162" t="s">
        <v>499</v>
      </c>
      <c r="B328" s="172" t="s">
        <v>665</v>
      </c>
      <c r="C328" s="172" t="s">
        <v>762</v>
      </c>
      <c r="D328" s="172"/>
      <c r="E328" s="106" t="n">
        <v>1</v>
      </c>
      <c r="F328" s="173" t="n">
        <v>9</v>
      </c>
      <c r="S328" s="167" t="n">
        <v>1468.663908</v>
      </c>
      <c r="T328" s="111" t="s">
        <v>246</v>
      </c>
      <c r="Y328" s="167" t="n">
        <v>651.87</v>
      </c>
      <c r="Z328" s="111" t="s">
        <v>246</v>
      </c>
      <c r="AA328" s="167" t="n">
        <v>61515.27</v>
      </c>
      <c r="AB328" s="111" t="s">
        <v>246</v>
      </c>
      <c r="AC328" s="164" t="n">
        <v>30.46</v>
      </c>
      <c r="AD328" s="111" t="s">
        <v>246</v>
      </c>
      <c r="AG328" s="167" t="n">
        <v>4.95</v>
      </c>
      <c r="AH328" s="111" t="s">
        <v>246</v>
      </c>
      <c r="AM328" s="167"/>
      <c r="BS328" s="167" t="n">
        <v>48.21</v>
      </c>
      <c r="BT328" s="111" t="s">
        <v>246</v>
      </c>
      <c r="BU328" s="164" t="n">
        <v>21.4</v>
      </c>
      <c r="BV328" s="111" t="s">
        <v>246</v>
      </c>
    </row>
    <row r="329" customFormat="false" ht="12.75" hidden="false" customHeight="false" outlineLevel="0" collapsed="false">
      <c r="A329" s="162" t="s">
        <v>499</v>
      </c>
      <c r="B329" s="172" t="s">
        <v>668</v>
      </c>
      <c r="C329" s="172" t="s">
        <v>762</v>
      </c>
      <c r="D329" s="172"/>
      <c r="E329" s="106" t="n">
        <v>4</v>
      </c>
      <c r="F329" s="173" t="n">
        <v>64</v>
      </c>
      <c r="S329" s="167" t="n">
        <v>1049.920943</v>
      </c>
      <c r="T329" s="111" t="s">
        <v>246</v>
      </c>
      <c r="Y329" s="167" t="n">
        <v>546.8</v>
      </c>
      <c r="Z329" s="111" t="s">
        <v>246</v>
      </c>
      <c r="AA329" s="167" t="n">
        <v>49068.53</v>
      </c>
      <c r="AB329" s="111" t="s">
        <v>246</v>
      </c>
      <c r="AC329" s="164" t="n">
        <v>22.97</v>
      </c>
      <c r="AD329" s="111" t="s">
        <v>246</v>
      </c>
      <c r="AG329" s="167" t="n">
        <v>4.68</v>
      </c>
      <c r="AH329" s="111" t="s">
        <v>246</v>
      </c>
      <c r="AM329" s="167"/>
      <c r="BS329" s="167" t="n">
        <v>45.71</v>
      </c>
      <c r="BT329" s="111" t="s">
        <v>246</v>
      </c>
      <c r="BU329" s="164" t="n">
        <v>23.81</v>
      </c>
      <c r="BV329" s="111" t="s">
        <v>246</v>
      </c>
    </row>
    <row r="330" customFormat="false" ht="12.75" hidden="false" customHeight="false" outlineLevel="0" collapsed="false">
      <c r="A330" s="162" t="s">
        <v>501</v>
      </c>
      <c r="B330" s="172" t="s">
        <v>665</v>
      </c>
      <c r="C330" s="172" t="s">
        <v>758</v>
      </c>
      <c r="D330" s="172"/>
      <c r="E330" s="106" t="n">
        <v>6</v>
      </c>
      <c r="F330" s="173" t="n">
        <v>2</v>
      </c>
      <c r="S330" s="167" t="n">
        <v>1528.152368</v>
      </c>
      <c r="T330" s="111" t="s">
        <v>246</v>
      </c>
      <c r="Y330" s="167" t="n">
        <v>667.78</v>
      </c>
      <c r="Z330" s="111" t="s">
        <v>246</v>
      </c>
      <c r="AA330" s="167" t="n">
        <v>69535.61</v>
      </c>
      <c r="AB330" s="111" t="s">
        <v>246</v>
      </c>
      <c r="AC330" s="164" t="n">
        <v>31.92</v>
      </c>
      <c r="AD330" s="111" t="s">
        <v>246</v>
      </c>
      <c r="AG330" s="167" t="n">
        <v>4.59</v>
      </c>
      <c r="AH330" s="111" t="s">
        <v>246</v>
      </c>
      <c r="AM330" s="167"/>
      <c r="BS330" s="167" t="n">
        <v>47.88</v>
      </c>
      <c r="BT330" s="111" t="s">
        <v>246</v>
      </c>
      <c r="BU330" s="164" t="n">
        <v>20.92</v>
      </c>
      <c r="BV330" s="111" t="s">
        <v>246</v>
      </c>
    </row>
    <row r="331" customFormat="false" ht="12.75" hidden="false" customHeight="false" outlineLevel="0" collapsed="false">
      <c r="A331" s="162" t="s">
        <v>501</v>
      </c>
      <c r="B331" s="172" t="s">
        <v>668</v>
      </c>
      <c r="C331" s="172" t="s">
        <v>758</v>
      </c>
      <c r="D331" s="172"/>
      <c r="E331" s="106" t="n">
        <v>10</v>
      </c>
      <c r="F331" s="173" t="n">
        <v>13</v>
      </c>
      <c r="S331" s="167" t="n">
        <v>1696.416328</v>
      </c>
      <c r="T331" s="111" t="s">
        <v>246</v>
      </c>
      <c r="Y331" s="167" t="n">
        <v>796.61</v>
      </c>
      <c r="Z331" s="111" t="s">
        <v>246</v>
      </c>
      <c r="AA331" s="167" t="n">
        <v>79406.95</v>
      </c>
      <c r="AB331" s="111" t="s">
        <v>246</v>
      </c>
      <c r="AC331" s="164" t="n">
        <v>35.71</v>
      </c>
      <c r="AD331" s="111" t="s">
        <v>246</v>
      </c>
      <c r="AG331" s="167" t="n">
        <v>4.5</v>
      </c>
      <c r="AH331" s="111" t="s">
        <v>246</v>
      </c>
      <c r="AM331" s="167"/>
      <c r="BS331" s="167" t="n">
        <v>47.51</v>
      </c>
      <c r="BT331" s="111" t="s">
        <v>246</v>
      </c>
      <c r="BU331" s="164" t="n">
        <v>22.31</v>
      </c>
      <c r="BV331" s="111" t="s">
        <v>246</v>
      </c>
    </row>
    <row r="332" customFormat="false" ht="12.75" hidden="false" customHeight="false" outlineLevel="0" collapsed="false">
      <c r="A332" s="162" t="s">
        <v>501</v>
      </c>
      <c r="B332" s="172" t="s">
        <v>665</v>
      </c>
      <c r="C332" s="172" t="s">
        <v>760</v>
      </c>
      <c r="D332" s="172"/>
      <c r="E332" s="106" t="n">
        <v>12</v>
      </c>
      <c r="F332" s="173" t="n">
        <v>34</v>
      </c>
      <c r="S332" s="167" t="n">
        <v>1601.656001</v>
      </c>
      <c r="T332" s="111" t="s">
        <v>246</v>
      </c>
      <c r="Y332" s="167" t="n">
        <v>716.69</v>
      </c>
      <c r="Z332" s="111" t="s">
        <v>246</v>
      </c>
      <c r="AA332" s="167" t="n">
        <v>73731.82</v>
      </c>
      <c r="AB332" s="111" t="s">
        <v>246</v>
      </c>
      <c r="AC332" s="164" t="n">
        <v>33.48</v>
      </c>
      <c r="AD332" s="111" t="s">
        <v>246</v>
      </c>
      <c r="AG332" s="167" t="n">
        <v>4.54</v>
      </c>
      <c r="AH332" s="111" t="s">
        <v>246</v>
      </c>
      <c r="AM332" s="167"/>
      <c r="BS332" s="167" t="n">
        <v>47.84</v>
      </c>
      <c r="BT332" s="111" t="s">
        <v>246</v>
      </c>
      <c r="BU332" s="164" t="n">
        <v>21.41</v>
      </c>
      <c r="BV332" s="111" t="s">
        <v>246</v>
      </c>
    </row>
    <row r="333" customFormat="false" ht="12.75" hidden="false" customHeight="false" outlineLevel="0" collapsed="false">
      <c r="A333" s="162" t="s">
        <v>501</v>
      </c>
      <c r="B333" s="172" t="s">
        <v>668</v>
      </c>
      <c r="C333" s="172" t="s">
        <v>760</v>
      </c>
      <c r="D333" s="172"/>
      <c r="E333" s="106" t="n">
        <v>14</v>
      </c>
      <c r="F333" s="173" t="n">
        <v>56</v>
      </c>
      <c r="S333" s="167" t="n">
        <v>1293.20372</v>
      </c>
      <c r="T333" s="111" t="s">
        <v>246</v>
      </c>
      <c r="Y333" s="167" t="n">
        <v>605.93</v>
      </c>
      <c r="Z333" s="111" t="s">
        <v>246</v>
      </c>
      <c r="AA333" s="167" t="n">
        <v>57428.28</v>
      </c>
      <c r="AB333" s="111" t="s">
        <v>246</v>
      </c>
      <c r="AC333" s="164" t="n">
        <v>27.36</v>
      </c>
      <c r="AD333" s="111" t="s">
        <v>246</v>
      </c>
      <c r="AG333" s="167" t="n">
        <v>4.76</v>
      </c>
      <c r="AH333" s="111" t="s">
        <v>246</v>
      </c>
      <c r="AM333" s="167"/>
      <c r="BS333" s="167" t="n">
        <v>47.26</v>
      </c>
      <c r="BT333" s="111" t="s">
        <v>246</v>
      </c>
      <c r="BU333" s="164" t="n">
        <v>22.14</v>
      </c>
      <c r="BV333" s="111" t="s">
        <v>246</v>
      </c>
    </row>
    <row r="334" customFormat="false" ht="12.75" hidden="false" customHeight="false" outlineLevel="0" collapsed="false">
      <c r="A334" s="162" t="s">
        <v>501</v>
      </c>
      <c r="B334" s="172" t="s">
        <v>665</v>
      </c>
      <c r="C334" s="172" t="s">
        <v>761</v>
      </c>
      <c r="D334" s="172"/>
      <c r="E334" s="106" t="n">
        <v>13</v>
      </c>
      <c r="F334" s="173" t="n">
        <v>21</v>
      </c>
      <c r="S334" s="167" t="n">
        <v>1556.242043</v>
      </c>
      <c r="T334" s="111" t="s">
        <v>246</v>
      </c>
      <c r="Y334" s="167" t="n">
        <v>758.5</v>
      </c>
      <c r="Z334" s="111" t="s">
        <v>246</v>
      </c>
      <c r="AA334" s="167" t="n">
        <v>76428.12</v>
      </c>
      <c r="AB334" s="111" t="s">
        <v>246</v>
      </c>
      <c r="AC334" s="164" t="n">
        <v>33.54</v>
      </c>
      <c r="AD334" s="111" t="s">
        <v>246</v>
      </c>
      <c r="AG334" s="167" t="n">
        <v>4.39</v>
      </c>
      <c r="AH334" s="111" t="s">
        <v>246</v>
      </c>
      <c r="AM334" s="167"/>
      <c r="BS334" s="167" t="n">
        <v>46.4</v>
      </c>
      <c r="BT334" s="111" t="s">
        <v>246</v>
      </c>
      <c r="BU334" s="164" t="n">
        <v>22.62</v>
      </c>
      <c r="BV334" s="111" t="s">
        <v>246</v>
      </c>
    </row>
    <row r="335" customFormat="false" ht="12.75" hidden="false" customHeight="false" outlineLevel="0" collapsed="false">
      <c r="A335" s="162" t="s">
        <v>501</v>
      </c>
      <c r="B335" s="172" t="s">
        <v>668</v>
      </c>
      <c r="C335" s="172" t="s">
        <v>761</v>
      </c>
      <c r="D335" s="172"/>
      <c r="E335" s="106" t="n">
        <v>21</v>
      </c>
      <c r="F335" s="173" t="n">
        <v>18</v>
      </c>
      <c r="S335" s="167" t="n">
        <v>1607.008076</v>
      </c>
      <c r="T335" s="111" t="s">
        <v>246</v>
      </c>
      <c r="Y335" s="167" t="n">
        <v>770.5</v>
      </c>
      <c r="Z335" s="111" t="s">
        <v>246</v>
      </c>
      <c r="AA335" s="167" t="n">
        <v>71592.31</v>
      </c>
      <c r="AB335" s="111" t="s">
        <v>246</v>
      </c>
      <c r="AC335" s="164" t="n">
        <v>33.99</v>
      </c>
      <c r="AD335" s="111" t="s">
        <v>246</v>
      </c>
      <c r="AG335" s="167" t="n">
        <v>4.75</v>
      </c>
      <c r="AH335" s="111" t="s">
        <v>246</v>
      </c>
      <c r="AM335" s="167"/>
      <c r="BS335" s="167" t="n">
        <v>47.27</v>
      </c>
      <c r="BT335" s="111" t="s">
        <v>246</v>
      </c>
      <c r="BU335" s="164" t="n">
        <v>22.67</v>
      </c>
      <c r="BV335" s="111" t="s">
        <v>246</v>
      </c>
    </row>
    <row r="336" customFormat="false" ht="12.75" hidden="false" customHeight="false" outlineLevel="0" collapsed="false">
      <c r="A336" s="162" t="s">
        <v>501</v>
      </c>
      <c r="B336" s="172" t="s">
        <v>665</v>
      </c>
      <c r="C336" s="172" t="s">
        <v>762</v>
      </c>
      <c r="D336" s="172"/>
      <c r="E336" s="106" t="n">
        <v>2</v>
      </c>
      <c r="F336" s="173" t="n">
        <v>12</v>
      </c>
      <c r="S336" s="167" t="n">
        <v>1461.853219</v>
      </c>
      <c r="T336" s="111" t="s">
        <v>246</v>
      </c>
      <c r="Y336" s="167" t="n">
        <v>681.54</v>
      </c>
      <c r="Z336" s="111" t="s">
        <v>246</v>
      </c>
      <c r="AA336" s="167" t="n">
        <v>67547.19</v>
      </c>
      <c r="AB336" s="111" t="s">
        <v>246</v>
      </c>
      <c r="AC336" s="164" t="n">
        <v>31.1</v>
      </c>
      <c r="AD336" s="111" t="s">
        <v>246</v>
      </c>
      <c r="AG336" s="167" t="n">
        <v>4.6</v>
      </c>
      <c r="AH336" s="111" t="s">
        <v>246</v>
      </c>
      <c r="AM336" s="167"/>
      <c r="BS336" s="167" t="n">
        <v>47</v>
      </c>
      <c r="BT336" s="111" t="s">
        <v>246</v>
      </c>
      <c r="BU336" s="164" t="n">
        <v>21.91</v>
      </c>
      <c r="BV336" s="111" t="s">
        <v>246</v>
      </c>
    </row>
    <row r="337" customFormat="false" ht="12.75" hidden="false" customHeight="false" outlineLevel="0" collapsed="false">
      <c r="A337" s="162" t="s">
        <v>501</v>
      </c>
      <c r="B337" s="172" t="s">
        <v>668</v>
      </c>
      <c r="C337" s="172" t="s">
        <v>762</v>
      </c>
      <c r="D337" s="172"/>
      <c r="E337" s="106" t="n">
        <v>2</v>
      </c>
      <c r="F337" s="173" t="n">
        <v>55</v>
      </c>
      <c r="S337" s="167" t="n">
        <v>1577.869593</v>
      </c>
      <c r="T337" s="111" t="s">
        <v>246</v>
      </c>
      <c r="Y337" s="167" t="n">
        <v>790.82</v>
      </c>
      <c r="Z337" s="111" t="s">
        <v>246</v>
      </c>
      <c r="AA337" s="167" t="n">
        <v>73043.42</v>
      </c>
      <c r="AB337" s="111" t="s">
        <v>246</v>
      </c>
      <c r="AC337" s="164" t="n">
        <v>34.22</v>
      </c>
      <c r="AD337" s="111" t="s">
        <v>246</v>
      </c>
      <c r="AG337" s="167" t="n">
        <v>4.68</v>
      </c>
      <c r="AH337" s="111" t="s">
        <v>246</v>
      </c>
      <c r="AM337" s="167"/>
      <c r="BS337" s="167" t="n">
        <v>46.11</v>
      </c>
      <c r="BT337" s="111" t="s">
        <v>246</v>
      </c>
      <c r="BU337" s="164" t="n">
        <v>23.11</v>
      </c>
      <c r="BV337" s="111" t="s">
        <v>246</v>
      </c>
    </row>
    <row r="338" customFormat="false" ht="12.75" hidden="false" customHeight="false" outlineLevel="0" collapsed="false">
      <c r="A338" s="162" t="s">
        <v>503</v>
      </c>
      <c r="B338" s="172" t="s">
        <v>665</v>
      </c>
      <c r="C338" s="172" t="s">
        <v>758</v>
      </c>
      <c r="D338" s="172"/>
      <c r="E338" s="106" t="n">
        <v>6</v>
      </c>
      <c r="F338" s="173" t="n">
        <v>15</v>
      </c>
      <c r="S338" s="167" t="n">
        <v>1329.498703</v>
      </c>
      <c r="T338" s="111" t="s">
        <v>246</v>
      </c>
      <c r="Y338" s="167" t="n">
        <v>570.87</v>
      </c>
      <c r="Z338" s="111" t="s">
        <v>246</v>
      </c>
      <c r="AA338" s="167" t="n">
        <v>53001.07</v>
      </c>
      <c r="AB338" s="111" t="s">
        <v>246</v>
      </c>
      <c r="AC338" s="164" t="n">
        <v>27.21</v>
      </c>
      <c r="AD338" s="111" t="s">
        <v>246</v>
      </c>
      <c r="AG338" s="167" t="n">
        <v>5.13</v>
      </c>
      <c r="AH338" s="111" t="s">
        <v>246</v>
      </c>
      <c r="AM338" s="167"/>
      <c r="BS338" s="167" t="n">
        <v>48.85</v>
      </c>
      <c r="BT338" s="111" t="s">
        <v>246</v>
      </c>
      <c r="BU338" s="164" t="n">
        <v>20.98</v>
      </c>
      <c r="BV338" s="111" t="s">
        <v>246</v>
      </c>
    </row>
    <row r="339" customFormat="false" ht="12.75" hidden="false" customHeight="false" outlineLevel="0" collapsed="false">
      <c r="A339" s="162" t="s">
        <v>503</v>
      </c>
      <c r="B339" s="172" t="s">
        <v>668</v>
      </c>
      <c r="C339" s="172" t="s">
        <v>758</v>
      </c>
      <c r="D339" s="172"/>
      <c r="E339" s="106" t="n">
        <v>10</v>
      </c>
      <c r="F339" s="173" t="n">
        <v>20</v>
      </c>
      <c r="S339" s="167" t="n">
        <v>1245.97894</v>
      </c>
      <c r="T339" s="111" t="s">
        <v>246</v>
      </c>
      <c r="Y339" s="167" t="n">
        <v>588.28</v>
      </c>
      <c r="Z339" s="111" t="s">
        <v>246</v>
      </c>
      <c r="AA339" s="167" t="n">
        <v>49877.79</v>
      </c>
      <c r="AB339" s="111" t="s">
        <v>246</v>
      </c>
      <c r="AC339" s="164" t="n">
        <v>26.27</v>
      </c>
      <c r="AD339" s="111" t="s">
        <v>246</v>
      </c>
      <c r="AG339" s="167" t="n">
        <v>5.27</v>
      </c>
      <c r="AH339" s="111" t="s">
        <v>246</v>
      </c>
      <c r="AM339" s="167"/>
      <c r="BS339" s="167" t="n">
        <v>47.43</v>
      </c>
      <c r="BT339" s="111" t="s">
        <v>246</v>
      </c>
      <c r="BU339" s="164" t="n">
        <v>22.39</v>
      </c>
      <c r="BV339" s="111" t="s">
        <v>246</v>
      </c>
    </row>
    <row r="340" customFormat="false" ht="12.75" hidden="false" customHeight="false" outlineLevel="0" collapsed="false">
      <c r="A340" s="162" t="s">
        <v>503</v>
      </c>
      <c r="B340" s="172" t="s">
        <v>665</v>
      </c>
      <c r="C340" s="172" t="s">
        <v>760</v>
      </c>
      <c r="D340" s="172"/>
      <c r="E340" s="106" t="n">
        <v>12</v>
      </c>
      <c r="F340" s="173" t="n">
        <v>43</v>
      </c>
      <c r="S340" s="167" t="n">
        <v>1353.577304</v>
      </c>
      <c r="T340" s="111" t="s">
        <v>246</v>
      </c>
      <c r="Y340" s="167" t="n">
        <v>587.5</v>
      </c>
      <c r="Z340" s="111" t="s">
        <v>246</v>
      </c>
      <c r="AA340" s="167" t="n">
        <v>54554.98</v>
      </c>
      <c r="AB340" s="111" t="s">
        <v>246</v>
      </c>
      <c r="AC340" s="164" t="n">
        <v>27.79</v>
      </c>
      <c r="AD340" s="111" t="s">
        <v>246</v>
      </c>
      <c r="AG340" s="167" t="n">
        <v>5.09</v>
      </c>
      <c r="AH340" s="111" t="s">
        <v>246</v>
      </c>
      <c r="AM340" s="167"/>
      <c r="BS340" s="167" t="n">
        <v>48.71</v>
      </c>
      <c r="BT340" s="111" t="s">
        <v>246</v>
      </c>
      <c r="BU340" s="164" t="n">
        <v>21.14</v>
      </c>
      <c r="BV340" s="111" t="s">
        <v>246</v>
      </c>
    </row>
    <row r="341" customFormat="false" ht="12.75" hidden="false" customHeight="false" outlineLevel="0" collapsed="false">
      <c r="A341" s="162" t="s">
        <v>503</v>
      </c>
      <c r="B341" s="172" t="s">
        <v>668</v>
      </c>
      <c r="C341" s="172" t="s">
        <v>760</v>
      </c>
      <c r="D341" s="172"/>
      <c r="E341" s="106" t="n">
        <v>15</v>
      </c>
      <c r="F341" s="173" t="n">
        <v>35</v>
      </c>
      <c r="S341" s="167" t="n">
        <v>1057.863608</v>
      </c>
      <c r="T341" s="111" t="s">
        <v>246</v>
      </c>
      <c r="Y341" s="167" t="n">
        <v>517.7</v>
      </c>
      <c r="Z341" s="111" t="s">
        <v>246</v>
      </c>
      <c r="AA341" s="167" t="n">
        <v>42328.53</v>
      </c>
      <c r="AB341" s="111" t="s">
        <v>246</v>
      </c>
      <c r="AC341" s="164" t="n">
        <v>22.57</v>
      </c>
      <c r="AD341" s="111" t="s">
        <v>246</v>
      </c>
      <c r="AG341" s="167" t="n">
        <v>5.33</v>
      </c>
      <c r="AH341" s="111" t="s">
        <v>246</v>
      </c>
      <c r="AM341" s="167"/>
      <c r="BS341" s="167" t="n">
        <v>46.87</v>
      </c>
      <c r="BT341" s="111" t="s">
        <v>246</v>
      </c>
      <c r="BU341" s="164" t="n">
        <v>22.94</v>
      </c>
      <c r="BV341" s="111" t="s">
        <v>246</v>
      </c>
    </row>
    <row r="342" customFormat="false" ht="12.75" hidden="false" customHeight="false" outlineLevel="0" collapsed="false">
      <c r="A342" s="162" t="s">
        <v>503</v>
      </c>
      <c r="B342" s="172" t="s">
        <v>665</v>
      </c>
      <c r="C342" s="172" t="s">
        <v>761</v>
      </c>
      <c r="D342" s="172"/>
      <c r="E342" s="106" t="n">
        <v>14</v>
      </c>
      <c r="F342" s="173" t="n">
        <v>21</v>
      </c>
      <c r="S342" s="167" t="n">
        <v>1169.962828</v>
      </c>
      <c r="T342" s="111" t="s">
        <v>246</v>
      </c>
      <c r="Y342" s="167" t="n">
        <v>521.91</v>
      </c>
      <c r="Z342" s="111" t="s">
        <v>246</v>
      </c>
      <c r="AA342" s="167" t="n">
        <v>46795.48</v>
      </c>
      <c r="AB342" s="111" t="s">
        <v>246</v>
      </c>
      <c r="AC342" s="164" t="n">
        <v>24.12</v>
      </c>
      <c r="AD342" s="111" t="s">
        <v>246</v>
      </c>
      <c r="AG342" s="167" t="n">
        <v>5.15</v>
      </c>
      <c r="AH342" s="111" t="s">
        <v>246</v>
      </c>
      <c r="AM342" s="167"/>
      <c r="BS342" s="167" t="n">
        <v>48.51</v>
      </c>
      <c r="BT342" s="111" t="s">
        <v>246</v>
      </c>
      <c r="BU342" s="164" t="n">
        <v>21.64</v>
      </c>
      <c r="BV342" s="111" t="s">
        <v>246</v>
      </c>
    </row>
    <row r="343" customFormat="false" ht="12.75" hidden="false" customHeight="false" outlineLevel="0" collapsed="false">
      <c r="A343" s="162" t="s">
        <v>503</v>
      </c>
      <c r="B343" s="172" t="s">
        <v>668</v>
      </c>
      <c r="C343" s="172" t="s">
        <v>761</v>
      </c>
      <c r="D343" s="172"/>
      <c r="E343" s="106" t="n">
        <v>20</v>
      </c>
      <c r="F343" s="173" t="n">
        <v>11</v>
      </c>
      <c r="S343" s="167" t="n">
        <v>1299.056124</v>
      </c>
      <c r="T343" s="111" t="s">
        <v>246</v>
      </c>
      <c r="Y343" s="167" t="n">
        <v>592.9</v>
      </c>
      <c r="Z343" s="111" t="s">
        <v>246</v>
      </c>
      <c r="AA343" s="167" t="n">
        <v>51953.9</v>
      </c>
      <c r="AB343" s="111" t="s">
        <v>246</v>
      </c>
      <c r="AC343" s="164" t="n">
        <v>26.97</v>
      </c>
      <c r="AD343" s="111" t="s">
        <v>246</v>
      </c>
      <c r="AG343" s="167" t="n">
        <v>5.19</v>
      </c>
      <c r="AH343" s="111" t="s">
        <v>246</v>
      </c>
      <c r="AM343" s="167"/>
      <c r="BS343" s="167" t="n">
        <v>48.16</v>
      </c>
      <c r="BT343" s="111" t="s">
        <v>246</v>
      </c>
      <c r="BU343" s="164" t="n">
        <v>21.98</v>
      </c>
      <c r="BV343" s="111" t="s">
        <v>246</v>
      </c>
    </row>
    <row r="344" customFormat="false" ht="12.75" hidden="false" customHeight="false" outlineLevel="0" collapsed="false">
      <c r="A344" s="162" t="s">
        <v>503</v>
      </c>
      <c r="B344" s="172" t="s">
        <v>665</v>
      </c>
      <c r="C344" s="172" t="s">
        <v>762</v>
      </c>
      <c r="D344" s="172"/>
      <c r="E344" s="106" t="n">
        <v>3</v>
      </c>
      <c r="F344" s="173" t="n">
        <v>24</v>
      </c>
      <c r="S344" s="167" t="n">
        <v>1103.285908</v>
      </c>
      <c r="T344" s="111" t="s">
        <v>246</v>
      </c>
      <c r="Y344" s="167" t="n">
        <v>530.17</v>
      </c>
      <c r="Z344" s="111" t="s">
        <v>246</v>
      </c>
      <c r="AA344" s="167" t="n">
        <v>45735.95</v>
      </c>
      <c r="AB344" s="111" t="s">
        <v>246</v>
      </c>
      <c r="AC344" s="164" t="n">
        <v>23.7</v>
      </c>
      <c r="AD344" s="111" t="s">
        <v>246</v>
      </c>
      <c r="AG344" s="167" t="n">
        <v>5.18</v>
      </c>
      <c r="AH344" s="111" t="s">
        <v>246</v>
      </c>
      <c r="AM344" s="167"/>
      <c r="BS344" s="167" t="n">
        <v>46.54</v>
      </c>
      <c r="BT344" s="111" t="s">
        <v>246</v>
      </c>
      <c r="BU344" s="164" t="n">
        <v>22.37</v>
      </c>
      <c r="BV344" s="111" t="s">
        <v>246</v>
      </c>
    </row>
    <row r="345" customFormat="false" ht="12.75" hidden="false" customHeight="false" outlineLevel="0" collapsed="false">
      <c r="A345" s="162" t="s">
        <v>503</v>
      </c>
      <c r="B345" s="172" t="s">
        <v>668</v>
      </c>
      <c r="C345" s="172" t="s">
        <v>762</v>
      </c>
      <c r="D345" s="172"/>
      <c r="E345" s="106" t="n">
        <v>4</v>
      </c>
      <c r="F345" s="173" t="n">
        <v>54</v>
      </c>
      <c r="S345" s="167" t="n">
        <v>1086.03468</v>
      </c>
      <c r="T345" s="111" t="s">
        <v>246</v>
      </c>
      <c r="Y345" s="167" t="n">
        <v>522.28</v>
      </c>
      <c r="Z345" s="111" t="s">
        <v>246</v>
      </c>
      <c r="AA345" s="167" t="n">
        <v>46899.01</v>
      </c>
      <c r="AB345" s="111" t="s">
        <v>246</v>
      </c>
      <c r="AC345" s="164" t="n">
        <v>23.1</v>
      </c>
      <c r="AD345" s="111" t="s">
        <v>246</v>
      </c>
      <c r="AG345" s="167" t="n">
        <v>4.93</v>
      </c>
      <c r="AH345" s="111" t="s">
        <v>246</v>
      </c>
      <c r="AM345" s="167"/>
      <c r="BS345" s="167" t="n">
        <v>47.01</v>
      </c>
      <c r="BT345" s="111" t="s">
        <v>246</v>
      </c>
      <c r="BU345" s="164" t="n">
        <v>22.6</v>
      </c>
      <c r="BV345" s="111" t="s">
        <v>246</v>
      </c>
    </row>
    <row r="346" customFormat="false" ht="12.75" hidden="false" customHeight="false" outlineLevel="0" collapsed="false">
      <c r="A346" s="162" t="s">
        <v>505</v>
      </c>
      <c r="B346" s="172" t="s">
        <v>665</v>
      </c>
      <c r="C346" s="172" t="s">
        <v>758</v>
      </c>
      <c r="D346" s="172"/>
      <c r="E346" s="106" t="n">
        <v>7</v>
      </c>
      <c r="F346" s="173" t="n">
        <v>17</v>
      </c>
      <c r="S346" s="167" t="n">
        <v>1284.725482</v>
      </c>
      <c r="T346" s="111" t="s">
        <v>246</v>
      </c>
      <c r="Y346" s="167" t="n">
        <v>538.35</v>
      </c>
      <c r="Z346" s="111" t="s">
        <v>246</v>
      </c>
      <c r="AA346" s="167" t="n">
        <v>55225.89</v>
      </c>
      <c r="AB346" s="111" t="s">
        <v>246</v>
      </c>
      <c r="AC346" s="164" t="n">
        <v>26.34</v>
      </c>
      <c r="AD346" s="111" t="s">
        <v>246</v>
      </c>
      <c r="AG346" s="167" t="n">
        <v>4.77</v>
      </c>
      <c r="AH346" s="111" t="s">
        <v>246</v>
      </c>
      <c r="AM346" s="167"/>
      <c r="BS346" s="167" t="n">
        <v>48.78</v>
      </c>
      <c r="BT346" s="111" t="s">
        <v>246</v>
      </c>
      <c r="BU346" s="164" t="n">
        <v>20.44</v>
      </c>
      <c r="BV346" s="111" t="s">
        <v>246</v>
      </c>
    </row>
    <row r="347" customFormat="false" ht="12.75" hidden="false" customHeight="false" outlineLevel="0" collapsed="false">
      <c r="A347" s="162" t="s">
        <v>505</v>
      </c>
      <c r="B347" s="172" t="s">
        <v>668</v>
      </c>
      <c r="C347" s="172" t="s">
        <v>758</v>
      </c>
      <c r="D347" s="172"/>
      <c r="E347" s="106" t="n">
        <v>11</v>
      </c>
      <c r="F347" s="173" t="n">
        <v>29</v>
      </c>
      <c r="S347" s="167" t="n">
        <v>1643.774407</v>
      </c>
      <c r="T347" s="111" t="s">
        <v>246</v>
      </c>
      <c r="Y347" s="167" t="n">
        <v>721.36</v>
      </c>
      <c r="Z347" s="111" t="s">
        <v>246</v>
      </c>
      <c r="AA347" s="167" t="n">
        <v>71097.42</v>
      </c>
      <c r="AB347" s="111" t="s">
        <v>246</v>
      </c>
      <c r="AC347" s="164" t="n">
        <v>33.91</v>
      </c>
      <c r="AD347" s="111" t="s">
        <v>246</v>
      </c>
      <c r="AG347" s="167" t="n">
        <v>4.77</v>
      </c>
      <c r="AH347" s="111" t="s">
        <v>246</v>
      </c>
      <c r="AM347" s="167"/>
      <c r="BS347" s="167" t="n">
        <v>48.48</v>
      </c>
      <c r="BT347" s="111" t="s">
        <v>246</v>
      </c>
      <c r="BU347" s="164" t="n">
        <v>21.27</v>
      </c>
      <c r="BV347" s="111" t="s">
        <v>246</v>
      </c>
    </row>
    <row r="348" customFormat="false" ht="12.75" hidden="false" customHeight="false" outlineLevel="0" collapsed="false">
      <c r="A348" s="162" t="s">
        <v>505</v>
      </c>
      <c r="B348" s="172" t="s">
        <v>665</v>
      </c>
      <c r="C348" s="172" t="s">
        <v>760</v>
      </c>
      <c r="D348" s="172"/>
      <c r="E348" s="106" t="n">
        <v>9</v>
      </c>
      <c r="F348" s="173" t="n">
        <v>57</v>
      </c>
      <c r="S348" s="167" t="n">
        <v>1339.620105</v>
      </c>
      <c r="T348" s="111" t="s">
        <v>246</v>
      </c>
      <c r="Y348" s="167" t="n">
        <v>580.18</v>
      </c>
      <c r="Z348" s="111" t="s">
        <v>246</v>
      </c>
      <c r="AA348" s="167" t="n">
        <v>59310.83</v>
      </c>
      <c r="AB348" s="111" t="s">
        <v>246</v>
      </c>
      <c r="AC348" s="164" t="n">
        <v>28</v>
      </c>
      <c r="AD348" s="111" t="s">
        <v>246</v>
      </c>
      <c r="AG348" s="167" t="n">
        <v>4.72</v>
      </c>
      <c r="AH348" s="111" t="s">
        <v>246</v>
      </c>
      <c r="AM348" s="167"/>
      <c r="BS348" s="167" t="n">
        <v>47.84</v>
      </c>
      <c r="BT348" s="111" t="s">
        <v>246</v>
      </c>
      <c r="BU348" s="164" t="n">
        <v>20.72</v>
      </c>
      <c r="BV348" s="111" t="s">
        <v>246</v>
      </c>
    </row>
    <row r="349" customFormat="false" ht="12.75" hidden="false" customHeight="false" outlineLevel="0" collapsed="false">
      <c r="A349" s="162" t="s">
        <v>505</v>
      </c>
      <c r="B349" s="172" t="s">
        <v>668</v>
      </c>
      <c r="C349" s="172" t="s">
        <v>760</v>
      </c>
      <c r="D349" s="172"/>
      <c r="E349" s="106" t="n">
        <v>14</v>
      </c>
      <c r="F349" s="173" t="n">
        <v>46</v>
      </c>
      <c r="S349" s="167" t="n">
        <v>1362.228772</v>
      </c>
      <c r="T349" s="111" t="s">
        <v>246</v>
      </c>
      <c r="Y349" s="167" t="n">
        <v>647.71</v>
      </c>
      <c r="Z349" s="111" t="s">
        <v>246</v>
      </c>
      <c r="AA349" s="167" t="n">
        <v>58628.55</v>
      </c>
      <c r="AB349" s="111" t="s">
        <v>246</v>
      </c>
      <c r="AC349" s="164" t="n">
        <v>29.31</v>
      </c>
      <c r="AD349" s="111" t="s">
        <v>246</v>
      </c>
      <c r="AG349" s="167" t="n">
        <v>5</v>
      </c>
      <c r="AH349" s="111" t="s">
        <v>246</v>
      </c>
      <c r="AM349" s="167"/>
      <c r="BS349" s="167" t="n">
        <v>46.47</v>
      </c>
      <c r="BT349" s="111" t="s">
        <v>246</v>
      </c>
      <c r="BU349" s="164" t="n">
        <v>22.1</v>
      </c>
      <c r="BV349" s="111" t="s">
        <v>246</v>
      </c>
    </row>
    <row r="350" customFormat="false" ht="12.75" hidden="false" customHeight="false" outlineLevel="0" collapsed="false">
      <c r="A350" s="162" t="s">
        <v>505</v>
      </c>
      <c r="B350" s="172" t="s">
        <v>665</v>
      </c>
      <c r="C350" s="172" t="s">
        <v>761</v>
      </c>
      <c r="D350" s="172"/>
      <c r="E350" s="106" t="n">
        <v>13</v>
      </c>
      <c r="F350" s="173" t="n">
        <v>10</v>
      </c>
      <c r="S350" s="167" t="n">
        <v>1212.634829</v>
      </c>
      <c r="T350" s="111" t="s">
        <v>246</v>
      </c>
      <c r="Y350" s="167" t="n">
        <v>581.9</v>
      </c>
      <c r="Z350" s="111" t="s">
        <v>246</v>
      </c>
      <c r="AA350" s="167" t="n">
        <v>55681.28</v>
      </c>
      <c r="AB350" s="111" t="s">
        <v>246</v>
      </c>
      <c r="AC350" s="164" t="n">
        <v>26.41</v>
      </c>
      <c r="AD350" s="111" t="s">
        <v>246</v>
      </c>
      <c r="AG350" s="167" t="n">
        <v>4.74</v>
      </c>
      <c r="AH350" s="111" t="s">
        <v>246</v>
      </c>
      <c r="AM350" s="167"/>
      <c r="BS350" s="167" t="n">
        <v>45.91</v>
      </c>
      <c r="BT350" s="111" t="s">
        <v>246</v>
      </c>
      <c r="BU350" s="164" t="n">
        <v>22.03</v>
      </c>
      <c r="BV350" s="111" t="s">
        <v>246</v>
      </c>
    </row>
    <row r="351" customFormat="false" ht="12.75" hidden="false" customHeight="false" outlineLevel="0" collapsed="false">
      <c r="A351" s="162" t="s">
        <v>505</v>
      </c>
      <c r="B351" s="172" t="s">
        <v>668</v>
      </c>
      <c r="C351" s="172" t="s">
        <v>761</v>
      </c>
      <c r="D351" s="172"/>
      <c r="E351" s="106" t="n">
        <v>18</v>
      </c>
      <c r="F351" s="173" t="n">
        <v>24</v>
      </c>
      <c r="S351" s="167" t="n">
        <v>1221.29689</v>
      </c>
      <c r="T351" s="111" t="s">
        <v>246</v>
      </c>
      <c r="Y351" s="167" t="n">
        <v>599.1</v>
      </c>
      <c r="Z351" s="111" t="s">
        <v>246</v>
      </c>
      <c r="AA351" s="167" t="n">
        <v>53376.59</v>
      </c>
      <c r="AB351" s="111" t="s">
        <v>246</v>
      </c>
      <c r="AC351" s="164" t="n">
        <v>26.6</v>
      </c>
      <c r="AD351" s="111" t="s">
        <v>246</v>
      </c>
      <c r="AG351" s="167" t="n">
        <v>4.98</v>
      </c>
      <c r="AH351" s="111" t="s">
        <v>246</v>
      </c>
      <c r="AM351" s="167"/>
      <c r="BS351" s="167" t="n">
        <v>45.91</v>
      </c>
      <c r="BT351" s="111" t="s">
        <v>246</v>
      </c>
      <c r="BU351" s="164" t="n">
        <v>22.52</v>
      </c>
      <c r="BV351" s="111" t="s">
        <v>246</v>
      </c>
    </row>
    <row r="352" customFormat="false" ht="12.75" hidden="false" customHeight="false" outlineLevel="0" collapsed="false">
      <c r="A352" s="162" t="s">
        <v>505</v>
      </c>
      <c r="B352" s="172" t="s">
        <v>665</v>
      </c>
      <c r="C352" s="172" t="s">
        <v>762</v>
      </c>
      <c r="D352" s="172"/>
      <c r="E352" s="106" t="n">
        <v>2</v>
      </c>
      <c r="F352" s="173" t="n">
        <v>27</v>
      </c>
      <c r="S352" s="167" t="n">
        <v>1282.757617</v>
      </c>
      <c r="T352" s="111" t="s">
        <v>246</v>
      </c>
      <c r="Y352" s="167" t="n">
        <v>563.86</v>
      </c>
      <c r="Z352" s="111" t="s">
        <v>246</v>
      </c>
      <c r="AA352" s="167" t="n">
        <v>58089.55</v>
      </c>
      <c r="AB352" s="111" t="s">
        <v>246</v>
      </c>
      <c r="AC352" s="164" t="n">
        <v>27.03</v>
      </c>
      <c r="AD352" s="111" t="s">
        <v>246</v>
      </c>
      <c r="AG352" s="167" t="n">
        <v>4.65</v>
      </c>
      <c r="AH352" s="111" t="s">
        <v>246</v>
      </c>
      <c r="AM352" s="167"/>
      <c r="BS352" s="167" t="n">
        <v>47.45</v>
      </c>
      <c r="BT352" s="111" t="s">
        <v>246</v>
      </c>
      <c r="BU352" s="164" t="n">
        <v>20.86</v>
      </c>
      <c r="BV352" s="111" t="s">
        <v>246</v>
      </c>
    </row>
    <row r="353" customFormat="false" ht="12.75" hidden="false" customHeight="false" outlineLevel="0" collapsed="false">
      <c r="A353" s="162" t="s">
        <v>505</v>
      </c>
      <c r="B353" s="172" t="s">
        <v>668</v>
      </c>
      <c r="C353" s="172" t="s">
        <v>762</v>
      </c>
      <c r="D353" s="172"/>
      <c r="E353" s="106" t="n">
        <v>2</v>
      </c>
      <c r="F353" s="173" t="n">
        <v>42</v>
      </c>
      <c r="S353" s="167" t="n">
        <v>1383.143596</v>
      </c>
      <c r="T353" s="111" t="s">
        <v>246</v>
      </c>
      <c r="Y353" s="167" t="n">
        <v>679.64</v>
      </c>
      <c r="Z353" s="111" t="s">
        <v>246</v>
      </c>
      <c r="AA353" s="167" t="n">
        <v>66526.15</v>
      </c>
      <c r="AB353" s="111" t="s">
        <v>246</v>
      </c>
      <c r="AC353" s="164" t="n">
        <v>30.02</v>
      </c>
      <c r="AD353" s="111" t="s">
        <v>246</v>
      </c>
      <c r="AG353" s="167" t="n">
        <v>4.51</v>
      </c>
      <c r="AH353" s="111" t="s">
        <v>246</v>
      </c>
      <c r="AM353" s="167"/>
      <c r="BS353" s="167" t="n">
        <v>46.07</v>
      </c>
      <c r="BT353" s="111" t="s">
        <v>246</v>
      </c>
      <c r="BU353" s="164" t="n">
        <v>22.64</v>
      </c>
      <c r="BV353" s="111" t="s">
        <v>246</v>
      </c>
    </row>
    <row r="354" customFormat="false" ht="12.75" hidden="false" customHeight="false" outlineLevel="0" collapsed="false">
      <c r="A354" s="162" t="s">
        <v>507</v>
      </c>
      <c r="B354" s="172" t="s">
        <v>665</v>
      </c>
      <c r="C354" s="172" t="s">
        <v>758</v>
      </c>
      <c r="D354" s="172"/>
      <c r="E354" s="106" t="n">
        <v>8</v>
      </c>
      <c r="F354" s="173" t="n">
        <v>4</v>
      </c>
      <c r="S354" s="167" t="n">
        <v>1487.179199</v>
      </c>
      <c r="T354" s="111" t="s">
        <v>246</v>
      </c>
      <c r="Y354" s="167" t="n">
        <v>641.43</v>
      </c>
      <c r="Z354" s="111" t="s">
        <v>246</v>
      </c>
      <c r="AA354" s="167" t="n">
        <v>57694.76</v>
      </c>
      <c r="AB354" s="111" t="s">
        <v>246</v>
      </c>
      <c r="AC354" s="164" t="n">
        <v>30.81</v>
      </c>
      <c r="AD354" s="111" t="s">
        <v>246</v>
      </c>
      <c r="AG354" s="167" t="n">
        <v>5.34</v>
      </c>
      <c r="AH354" s="111" t="s">
        <v>246</v>
      </c>
      <c r="AM354" s="167"/>
      <c r="BS354" s="167" t="n">
        <v>48.27</v>
      </c>
      <c r="BT354" s="111" t="s">
        <v>246</v>
      </c>
      <c r="BU354" s="164" t="n">
        <v>20.82</v>
      </c>
      <c r="BV354" s="111" t="s">
        <v>246</v>
      </c>
    </row>
    <row r="355" customFormat="false" ht="12.75" hidden="false" customHeight="false" outlineLevel="0" collapsed="false">
      <c r="A355" s="162" t="s">
        <v>507</v>
      </c>
      <c r="B355" s="172" t="s">
        <v>668</v>
      </c>
      <c r="C355" s="172" t="s">
        <v>758</v>
      </c>
      <c r="D355" s="172"/>
      <c r="E355" s="106" t="n">
        <v>9</v>
      </c>
      <c r="F355" s="173" t="n">
        <v>31</v>
      </c>
      <c r="S355" s="167" t="n">
        <v>1727.342575</v>
      </c>
      <c r="T355" s="111" t="s">
        <v>246</v>
      </c>
      <c r="Y355" s="167" t="n">
        <v>783.41</v>
      </c>
      <c r="Z355" s="111" t="s">
        <v>246</v>
      </c>
      <c r="AA355" s="167" t="n">
        <v>71213.58</v>
      </c>
      <c r="AB355" s="111" t="s">
        <v>246</v>
      </c>
      <c r="AC355" s="164" t="n">
        <v>36.24</v>
      </c>
      <c r="AD355" s="111" t="s">
        <v>246</v>
      </c>
      <c r="AG355" s="167" t="n">
        <v>5.09</v>
      </c>
      <c r="AH355" s="111" t="s">
        <v>246</v>
      </c>
      <c r="AM355" s="167"/>
      <c r="BS355" s="167" t="n">
        <v>47.66</v>
      </c>
      <c r="BT355" s="111" t="s">
        <v>246</v>
      </c>
      <c r="BU355" s="164" t="n">
        <v>21.61</v>
      </c>
      <c r="BV355" s="111" t="s">
        <v>246</v>
      </c>
    </row>
    <row r="356" customFormat="false" ht="12.75" hidden="false" customHeight="false" outlineLevel="0" collapsed="false">
      <c r="A356" s="162" t="s">
        <v>507</v>
      </c>
      <c r="B356" s="172" t="s">
        <v>665</v>
      </c>
      <c r="C356" s="172" t="s">
        <v>760</v>
      </c>
      <c r="D356" s="172"/>
      <c r="E356" s="106" t="n">
        <v>11</v>
      </c>
      <c r="F356" s="173" t="n">
        <v>48</v>
      </c>
      <c r="S356" s="167" t="n">
        <v>1590.401232</v>
      </c>
      <c r="T356" s="111" t="s">
        <v>246</v>
      </c>
      <c r="Y356" s="167" t="n">
        <v>722.14</v>
      </c>
      <c r="Z356" s="111" t="s">
        <v>246</v>
      </c>
      <c r="AA356" s="167" t="n">
        <v>66327.15</v>
      </c>
      <c r="AB356" s="111" t="s">
        <v>246</v>
      </c>
      <c r="AC356" s="164" t="n">
        <v>33.24</v>
      </c>
      <c r="AD356" s="111" t="s">
        <v>246</v>
      </c>
      <c r="AG356" s="167" t="n">
        <v>5.01</v>
      </c>
      <c r="AH356" s="111" t="s">
        <v>246</v>
      </c>
      <c r="AM356" s="167"/>
      <c r="BS356" s="167" t="n">
        <v>47.85</v>
      </c>
      <c r="BT356" s="111" t="s">
        <v>246</v>
      </c>
      <c r="BU356" s="164" t="n">
        <v>21.73</v>
      </c>
      <c r="BV356" s="111" t="s">
        <v>246</v>
      </c>
    </row>
    <row r="357" customFormat="false" ht="12.75" hidden="false" customHeight="false" outlineLevel="0" collapsed="false">
      <c r="A357" s="162" t="s">
        <v>507</v>
      </c>
      <c r="B357" s="172" t="s">
        <v>668</v>
      </c>
      <c r="C357" s="172" t="s">
        <v>760</v>
      </c>
      <c r="D357" s="172"/>
      <c r="E357" s="106" t="n">
        <v>16</v>
      </c>
      <c r="F357" s="173" t="n">
        <v>49</v>
      </c>
      <c r="S357" s="167" t="n">
        <v>1265.783074</v>
      </c>
      <c r="T357" s="111" t="s">
        <v>246</v>
      </c>
      <c r="Y357" s="167" t="n">
        <v>602.82</v>
      </c>
      <c r="Z357" s="111" t="s">
        <v>246</v>
      </c>
      <c r="AA357" s="167" t="n">
        <v>50941.76</v>
      </c>
      <c r="AB357" s="111" t="s">
        <v>246</v>
      </c>
      <c r="AC357" s="164" t="n">
        <v>26.95</v>
      </c>
      <c r="AD357" s="111" t="s">
        <v>246</v>
      </c>
      <c r="AG357" s="167" t="n">
        <v>5.29</v>
      </c>
      <c r="AH357" s="111" t="s">
        <v>246</v>
      </c>
      <c r="AM357" s="167"/>
      <c r="BS357" s="167" t="n">
        <v>46.96</v>
      </c>
      <c r="BT357" s="111" t="s">
        <v>246</v>
      </c>
      <c r="BU357" s="164" t="n">
        <v>22.37</v>
      </c>
      <c r="BV357" s="111" t="s">
        <v>246</v>
      </c>
    </row>
    <row r="358" customFormat="false" ht="12.75" hidden="false" customHeight="false" outlineLevel="0" collapsed="false">
      <c r="A358" s="162" t="s">
        <v>507</v>
      </c>
      <c r="B358" s="172" t="s">
        <v>665</v>
      </c>
      <c r="C358" s="172" t="s">
        <v>761</v>
      </c>
      <c r="D358" s="172"/>
      <c r="E358" s="106" t="n">
        <v>16</v>
      </c>
      <c r="F358" s="173" t="n">
        <v>5</v>
      </c>
      <c r="S358" s="167" t="n">
        <v>1826.575293</v>
      </c>
      <c r="T358" s="111" t="s">
        <v>246</v>
      </c>
      <c r="Y358" s="167" t="n">
        <v>777.09</v>
      </c>
      <c r="Z358" s="111" t="s">
        <v>246</v>
      </c>
      <c r="AA358" s="167" t="n">
        <v>75168.31</v>
      </c>
      <c r="AB358" s="111" t="s">
        <v>246</v>
      </c>
      <c r="AC358" s="164" t="n">
        <v>37.54</v>
      </c>
      <c r="AD358" s="111" t="s">
        <v>246</v>
      </c>
      <c r="AG358" s="167" t="n">
        <v>4.99</v>
      </c>
      <c r="AH358" s="111" t="s">
        <v>246</v>
      </c>
      <c r="AM358" s="167"/>
      <c r="BS358" s="167" t="n">
        <v>48.65</v>
      </c>
      <c r="BT358" s="111" t="s">
        <v>246</v>
      </c>
      <c r="BU358" s="164" t="n">
        <v>20.7</v>
      </c>
      <c r="BV358" s="111" t="s">
        <v>246</v>
      </c>
    </row>
    <row r="359" customFormat="false" ht="12.75" hidden="false" customHeight="false" outlineLevel="0" collapsed="false">
      <c r="A359" s="162" t="s">
        <v>507</v>
      </c>
      <c r="B359" s="172" t="s">
        <v>668</v>
      </c>
      <c r="C359" s="172" t="s">
        <v>761</v>
      </c>
      <c r="D359" s="172"/>
      <c r="E359" s="106" t="n">
        <v>19</v>
      </c>
      <c r="F359" s="173" t="n">
        <v>27</v>
      </c>
      <c r="S359" s="167" t="n">
        <v>1555.15272</v>
      </c>
      <c r="T359" s="111" t="s">
        <v>246</v>
      </c>
      <c r="Y359" s="167" t="n">
        <v>726.72</v>
      </c>
      <c r="Z359" s="111" t="s">
        <v>246</v>
      </c>
      <c r="AA359" s="167" t="n">
        <v>57768.62</v>
      </c>
      <c r="AB359" s="111" t="s">
        <v>246</v>
      </c>
      <c r="AC359" s="164" t="n">
        <v>32.93</v>
      </c>
      <c r="AD359" s="111" t="s">
        <v>246</v>
      </c>
      <c r="AG359" s="167" t="n">
        <v>5.7</v>
      </c>
      <c r="AH359" s="111" t="s">
        <v>246</v>
      </c>
      <c r="AM359" s="167"/>
      <c r="BS359" s="167" t="n">
        <v>47.23</v>
      </c>
      <c r="BT359" s="111" t="s">
        <v>246</v>
      </c>
      <c r="BU359" s="164" t="n">
        <v>22.07</v>
      </c>
      <c r="BV359" s="111" t="s">
        <v>246</v>
      </c>
    </row>
    <row r="360" customFormat="false" ht="12.75" hidden="false" customHeight="false" outlineLevel="0" collapsed="false">
      <c r="A360" s="162" t="s">
        <v>507</v>
      </c>
      <c r="B360" s="172" t="s">
        <v>665</v>
      </c>
      <c r="C360" s="172" t="s">
        <v>762</v>
      </c>
      <c r="D360" s="172"/>
      <c r="E360" s="106" t="n">
        <v>1</v>
      </c>
      <c r="F360" s="173" t="n">
        <v>23</v>
      </c>
      <c r="S360" s="167" t="n">
        <v>1748.277184</v>
      </c>
      <c r="T360" s="111" t="s">
        <v>246</v>
      </c>
      <c r="Y360" s="167" t="n">
        <v>769.97</v>
      </c>
      <c r="Z360" s="111" t="s">
        <v>246</v>
      </c>
      <c r="AA360" s="167" t="n">
        <v>68588.17</v>
      </c>
      <c r="AB360" s="111" t="s">
        <v>246</v>
      </c>
      <c r="AC360" s="164" t="n">
        <v>36.35</v>
      </c>
      <c r="AD360" s="111" t="s">
        <v>246</v>
      </c>
      <c r="AG360" s="167" t="n">
        <v>5.3</v>
      </c>
      <c r="AH360" s="111" t="s">
        <v>246</v>
      </c>
      <c r="AM360" s="167"/>
      <c r="BS360" s="167" t="n">
        <v>48.1</v>
      </c>
      <c r="BT360" s="111" t="s">
        <v>246</v>
      </c>
      <c r="BU360" s="164" t="n">
        <v>21.18</v>
      </c>
      <c r="BV360" s="111" t="s">
        <v>246</v>
      </c>
    </row>
    <row r="361" customFormat="false" ht="12.75" hidden="false" customHeight="false" outlineLevel="0" collapsed="false">
      <c r="A361" s="162" t="s">
        <v>507</v>
      </c>
      <c r="B361" s="172" t="s">
        <v>668</v>
      </c>
      <c r="C361" s="172" t="s">
        <v>762</v>
      </c>
      <c r="D361" s="172"/>
      <c r="E361" s="106" t="n">
        <v>3</v>
      </c>
      <c r="F361" s="173" t="n">
        <v>42</v>
      </c>
      <c r="S361" s="167" t="n">
        <v>1443.488656</v>
      </c>
      <c r="T361" s="111" t="s">
        <v>246</v>
      </c>
      <c r="Y361" s="167" t="n">
        <v>723.57</v>
      </c>
      <c r="Z361" s="111" t="s">
        <v>246</v>
      </c>
      <c r="AA361" s="167" t="n">
        <v>58531.44</v>
      </c>
      <c r="AB361" s="111" t="s">
        <v>246</v>
      </c>
      <c r="AC361" s="164" t="n">
        <v>31.54</v>
      </c>
      <c r="AD361" s="111" t="s">
        <v>246</v>
      </c>
      <c r="AG361" s="167" t="n">
        <v>5.39</v>
      </c>
      <c r="AH361" s="111" t="s">
        <v>246</v>
      </c>
      <c r="AM361" s="167"/>
      <c r="BS361" s="167" t="n">
        <v>45.76</v>
      </c>
      <c r="BT361" s="111" t="s">
        <v>246</v>
      </c>
      <c r="BU361" s="164" t="n">
        <v>22.94</v>
      </c>
      <c r="BV361" s="111" t="s">
        <v>246</v>
      </c>
    </row>
    <row r="362" customFormat="false" ht="12.75" hidden="false" customHeight="false" outlineLevel="0" collapsed="false">
      <c r="A362" s="162" t="s">
        <v>509</v>
      </c>
      <c r="B362" s="172" t="s">
        <v>665</v>
      </c>
      <c r="C362" s="172" t="s">
        <v>758</v>
      </c>
      <c r="D362" s="172"/>
      <c r="E362" s="106" t="n">
        <v>6</v>
      </c>
      <c r="F362" s="173" t="n">
        <v>17</v>
      </c>
      <c r="S362" s="167" t="n">
        <v>1414.164755</v>
      </c>
      <c r="T362" s="111" t="s">
        <v>246</v>
      </c>
      <c r="Y362" s="167" t="n">
        <v>682.05</v>
      </c>
      <c r="Z362" s="111" t="s">
        <v>246</v>
      </c>
      <c r="AA362" s="167" t="n">
        <v>66993.57</v>
      </c>
      <c r="AB362" s="111" t="s">
        <v>246</v>
      </c>
      <c r="AC362" s="164" t="n">
        <v>29.62</v>
      </c>
      <c r="AD362" s="111" t="s">
        <v>246</v>
      </c>
      <c r="AG362" s="167" t="n">
        <v>4.42</v>
      </c>
      <c r="AH362" s="111" t="s">
        <v>246</v>
      </c>
      <c r="AM362" s="167"/>
      <c r="BS362" s="167" t="n">
        <v>47.74</v>
      </c>
      <c r="BT362" s="111" t="s">
        <v>246</v>
      </c>
      <c r="BU362" s="164" t="n">
        <v>23.03</v>
      </c>
      <c r="BV362" s="111" t="s">
        <v>246</v>
      </c>
    </row>
    <row r="363" customFormat="false" ht="12.75" hidden="false" customHeight="false" outlineLevel="0" collapsed="false">
      <c r="A363" s="162" t="s">
        <v>509</v>
      </c>
      <c r="B363" s="172" t="s">
        <v>668</v>
      </c>
      <c r="C363" s="172" t="s">
        <v>758</v>
      </c>
      <c r="D363" s="172"/>
      <c r="E363" s="106" t="n">
        <v>10</v>
      </c>
      <c r="F363" s="173" t="n">
        <v>9</v>
      </c>
      <c r="S363" s="167" t="n">
        <v>1420.441787</v>
      </c>
      <c r="T363" s="111" t="s">
        <v>246</v>
      </c>
      <c r="Y363" s="167" t="n">
        <v>691.45</v>
      </c>
      <c r="Z363" s="111" t="s">
        <v>246</v>
      </c>
      <c r="AA363" s="167" t="n">
        <v>67602.2</v>
      </c>
      <c r="AB363" s="111" t="s">
        <v>246</v>
      </c>
      <c r="AC363" s="164" t="n">
        <v>29.56</v>
      </c>
      <c r="AD363" s="111" t="s">
        <v>246</v>
      </c>
      <c r="AG363" s="167" t="n">
        <v>4.37</v>
      </c>
      <c r="AH363" s="111" t="s">
        <v>246</v>
      </c>
      <c r="AM363" s="167"/>
      <c r="BS363" s="167" t="n">
        <v>48.06</v>
      </c>
      <c r="BT363" s="111" t="s">
        <v>246</v>
      </c>
      <c r="BU363" s="164" t="n">
        <v>23.39</v>
      </c>
      <c r="BV363" s="111" t="s">
        <v>246</v>
      </c>
    </row>
    <row r="364" customFormat="false" ht="12.75" hidden="false" customHeight="false" outlineLevel="0" collapsed="false">
      <c r="A364" s="162" t="s">
        <v>509</v>
      </c>
      <c r="B364" s="172" t="s">
        <v>665</v>
      </c>
      <c r="C364" s="172" t="s">
        <v>760</v>
      </c>
      <c r="D364" s="172"/>
      <c r="E364" s="106" t="n">
        <v>11</v>
      </c>
      <c r="F364" s="173" t="n">
        <v>34</v>
      </c>
      <c r="S364" s="167" t="n">
        <v>1487.796985</v>
      </c>
      <c r="T364" s="111" t="s">
        <v>246</v>
      </c>
      <c r="Y364" s="167" t="n">
        <v>655.95</v>
      </c>
      <c r="Z364" s="111" t="s">
        <v>246</v>
      </c>
      <c r="AA364" s="167" t="n">
        <v>69381.07</v>
      </c>
      <c r="AB364" s="111" t="s">
        <v>246</v>
      </c>
      <c r="AC364" s="164" t="n">
        <v>30.05</v>
      </c>
      <c r="AD364" s="111" t="s">
        <v>246</v>
      </c>
      <c r="AG364" s="167" t="n">
        <v>4.33</v>
      </c>
      <c r="AH364" s="111" t="s">
        <v>246</v>
      </c>
      <c r="AM364" s="167"/>
      <c r="BS364" s="167" t="n">
        <v>49.51</v>
      </c>
      <c r="BT364" s="111" t="s">
        <v>246</v>
      </c>
      <c r="BU364" s="164" t="n">
        <v>21.83</v>
      </c>
      <c r="BV364" s="111" t="s">
        <v>246</v>
      </c>
    </row>
    <row r="365" customFormat="false" ht="12.75" hidden="false" customHeight="false" outlineLevel="0" collapsed="false">
      <c r="A365" s="162" t="s">
        <v>509</v>
      </c>
      <c r="B365" s="172" t="s">
        <v>668</v>
      </c>
      <c r="C365" s="172" t="s">
        <v>760</v>
      </c>
      <c r="D365" s="172"/>
      <c r="E365" s="106" t="n">
        <v>13</v>
      </c>
      <c r="F365" s="173" t="n">
        <v>48</v>
      </c>
      <c r="S365" s="167" t="n">
        <v>1270.791787</v>
      </c>
      <c r="T365" s="111" t="s">
        <v>246</v>
      </c>
      <c r="Y365" s="167" t="n">
        <v>613.69</v>
      </c>
      <c r="Z365" s="111" t="s">
        <v>246</v>
      </c>
      <c r="AA365" s="167" t="n">
        <v>59103.42</v>
      </c>
      <c r="AB365" s="111" t="s">
        <v>246</v>
      </c>
      <c r="AC365" s="164" t="n">
        <v>26.53</v>
      </c>
      <c r="AD365" s="111" t="s">
        <v>246</v>
      </c>
      <c r="AG365" s="167" t="n">
        <v>4.49</v>
      </c>
      <c r="AH365" s="111" t="s">
        <v>246</v>
      </c>
      <c r="AM365" s="167"/>
      <c r="BS365" s="167" t="n">
        <v>47.9</v>
      </c>
      <c r="BT365" s="111" t="s">
        <v>246</v>
      </c>
      <c r="BU365" s="164" t="n">
        <v>23.13</v>
      </c>
      <c r="BV365" s="111" t="s">
        <v>246</v>
      </c>
    </row>
    <row r="366" customFormat="false" ht="12.75" hidden="false" customHeight="false" outlineLevel="0" collapsed="false">
      <c r="A366" s="162" t="s">
        <v>509</v>
      </c>
      <c r="B366" s="172" t="s">
        <v>665</v>
      </c>
      <c r="C366" s="172" t="s">
        <v>761</v>
      </c>
      <c r="D366" s="172"/>
      <c r="E366" s="106" t="n">
        <v>15</v>
      </c>
      <c r="F366" s="173" t="n">
        <v>30</v>
      </c>
      <c r="S366" s="167" t="n">
        <v>1509.184592</v>
      </c>
      <c r="T366" s="111" t="s">
        <v>246</v>
      </c>
      <c r="Y366" s="167" t="n">
        <v>690.63</v>
      </c>
      <c r="Z366" s="111" t="s">
        <v>246</v>
      </c>
      <c r="AA366" s="167" t="n">
        <v>72357.69</v>
      </c>
      <c r="AB366" s="111" t="s">
        <v>246</v>
      </c>
      <c r="AC366" s="164" t="n">
        <v>31.3</v>
      </c>
      <c r="AD366" s="111" t="s">
        <v>246</v>
      </c>
      <c r="AG366" s="167" t="n">
        <v>4.33</v>
      </c>
      <c r="AH366" s="111" t="s">
        <v>246</v>
      </c>
      <c r="AM366" s="167"/>
      <c r="BS366" s="167" t="n">
        <v>48.22</v>
      </c>
      <c r="BT366" s="111" t="s">
        <v>246</v>
      </c>
      <c r="BU366" s="164" t="n">
        <v>22.07</v>
      </c>
      <c r="BV366" s="111" t="s">
        <v>246</v>
      </c>
    </row>
    <row r="367" customFormat="false" ht="12.75" hidden="false" customHeight="false" outlineLevel="0" collapsed="false">
      <c r="A367" s="162" t="s">
        <v>509</v>
      </c>
      <c r="B367" s="172" t="s">
        <v>668</v>
      </c>
      <c r="C367" s="172" t="s">
        <v>761</v>
      </c>
      <c r="D367" s="172"/>
      <c r="E367" s="106" t="n">
        <v>20</v>
      </c>
      <c r="F367" s="173" t="n">
        <v>14</v>
      </c>
      <c r="S367" s="167" t="n">
        <v>1274.79374</v>
      </c>
      <c r="T367" s="111" t="s">
        <v>246</v>
      </c>
      <c r="Y367" s="167" t="n">
        <v>643.07</v>
      </c>
      <c r="Z367" s="111" t="s">
        <v>246</v>
      </c>
      <c r="AA367" s="167" t="n">
        <v>63286.37</v>
      </c>
      <c r="AB367" s="111" t="s">
        <v>246</v>
      </c>
      <c r="AC367" s="164" t="n">
        <v>26.86</v>
      </c>
      <c r="AD367" s="111" t="s">
        <v>246</v>
      </c>
      <c r="AG367" s="167" t="n">
        <v>4.24</v>
      </c>
      <c r="AH367" s="111" t="s">
        <v>246</v>
      </c>
      <c r="AM367" s="167"/>
      <c r="BS367" s="167" t="n">
        <v>47.47</v>
      </c>
      <c r="BT367" s="111" t="s">
        <v>246</v>
      </c>
      <c r="BU367" s="164" t="n">
        <v>23.94</v>
      </c>
      <c r="BV367" s="111" t="s">
        <v>246</v>
      </c>
    </row>
    <row r="368" customFormat="false" ht="12.75" hidden="false" customHeight="false" outlineLevel="0" collapsed="false">
      <c r="A368" s="162" t="s">
        <v>509</v>
      </c>
      <c r="B368" s="172" t="s">
        <v>665</v>
      </c>
      <c r="C368" s="172" t="s">
        <v>762</v>
      </c>
      <c r="D368" s="172"/>
      <c r="E368" s="106" t="n">
        <v>1</v>
      </c>
      <c r="F368" s="173" t="n">
        <v>7</v>
      </c>
      <c r="S368" s="167" t="n">
        <v>1297.005814</v>
      </c>
      <c r="T368" s="111" t="s">
        <v>246</v>
      </c>
      <c r="Y368" s="167" t="n">
        <v>653.34</v>
      </c>
      <c r="Z368" s="111" t="s">
        <v>246</v>
      </c>
      <c r="AA368" s="167" t="n">
        <v>57474.08</v>
      </c>
      <c r="AB368" s="111" t="s">
        <v>246</v>
      </c>
      <c r="AC368" s="164" t="n">
        <v>27.87</v>
      </c>
      <c r="AD368" s="111" t="s">
        <v>246</v>
      </c>
      <c r="AG368" s="167" t="n">
        <v>4.85</v>
      </c>
      <c r="AH368" s="111" t="s">
        <v>246</v>
      </c>
      <c r="AM368" s="167"/>
      <c r="BS368" s="167" t="n">
        <v>46.53</v>
      </c>
      <c r="BT368" s="111" t="s">
        <v>246</v>
      </c>
      <c r="BU368" s="164" t="n">
        <v>23.44</v>
      </c>
      <c r="BV368" s="111" t="s">
        <v>246</v>
      </c>
    </row>
    <row r="369" customFormat="false" ht="12.75" hidden="false" customHeight="false" outlineLevel="0" collapsed="false">
      <c r="A369" s="162" t="s">
        <v>509</v>
      </c>
      <c r="B369" s="172" t="s">
        <v>668</v>
      </c>
      <c r="C369" s="172" t="s">
        <v>762</v>
      </c>
      <c r="D369" s="172"/>
      <c r="E369" s="106" t="n">
        <v>4</v>
      </c>
      <c r="F369" s="173" t="n">
        <v>62</v>
      </c>
      <c r="S369" s="167" t="n">
        <v>1314.866495</v>
      </c>
      <c r="T369" s="111" t="s">
        <v>246</v>
      </c>
      <c r="Y369" s="167" t="n">
        <v>643.86</v>
      </c>
      <c r="Z369" s="111" t="s">
        <v>246</v>
      </c>
      <c r="AA369" s="167" t="n">
        <v>62481.73</v>
      </c>
      <c r="AB369" s="111" t="s">
        <v>246</v>
      </c>
      <c r="AC369" s="164" t="n">
        <v>27.74</v>
      </c>
      <c r="AD369" s="111" t="s">
        <v>246</v>
      </c>
      <c r="AG369" s="167" t="n">
        <v>4.44</v>
      </c>
      <c r="AH369" s="111" t="s">
        <v>246</v>
      </c>
      <c r="AM369" s="167"/>
      <c r="BS369" s="167" t="n">
        <v>47.4</v>
      </c>
      <c r="BT369" s="111" t="s">
        <v>246</v>
      </c>
      <c r="BU369" s="164" t="n">
        <v>23.21</v>
      </c>
      <c r="BV369" s="111" t="s">
        <v>246</v>
      </c>
    </row>
    <row r="370" customFormat="false" ht="12.75" hidden="false" customHeight="false" outlineLevel="0" collapsed="false">
      <c r="A370" s="162" t="s">
        <v>511</v>
      </c>
      <c r="B370" s="172" t="s">
        <v>665</v>
      </c>
      <c r="C370" s="172" t="s">
        <v>758</v>
      </c>
      <c r="D370" s="172"/>
      <c r="E370" s="106" t="n">
        <v>6</v>
      </c>
      <c r="F370" s="173" t="n">
        <v>27</v>
      </c>
      <c r="S370" s="167" t="n">
        <v>1398.41746</v>
      </c>
      <c r="T370" s="111" t="s">
        <v>246</v>
      </c>
      <c r="Y370" s="167" t="n">
        <v>626.73</v>
      </c>
      <c r="Z370" s="111" t="s">
        <v>246</v>
      </c>
      <c r="AA370" s="167" t="n">
        <v>56116.29</v>
      </c>
      <c r="AB370" s="111" t="s">
        <v>246</v>
      </c>
      <c r="AC370" s="164" t="n">
        <v>30.17</v>
      </c>
      <c r="AD370" s="111" t="s">
        <v>246</v>
      </c>
      <c r="AG370" s="167" t="n">
        <v>5.38</v>
      </c>
      <c r="AH370" s="111" t="s">
        <v>246</v>
      </c>
      <c r="AM370" s="167"/>
      <c r="BS370" s="167" t="n">
        <v>46.35</v>
      </c>
      <c r="BT370" s="111" t="s">
        <v>246</v>
      </c>
      <c r="BU370" s="164" t="n">
        <v>20.77</v>
      </c>
      <c r="BV370" s="111" t="s">
        <v>246</v>
      </c>
    </row>
    <row r="371" customFormat="false" ht="12.75" hidden="false" customHeight="false" outlineLevel="0" collapsed="false">
      <c r="A371" s="162" t="s">
        <v>511</v>
      </c>
      <c r="B371" s="172" t="s">
        <v>668</v>
      </c>
      <c r="C371" s="172" t="s">
        <v>758</v>
      </c>
      <c r="D371" s="172"/>
      <c r="E371" s="106" t="n">
        <v>12</v>
      </c>
      <c r="F371" s="173" t="n">
        <v>1</v>
      </c>
      <c r="S371" s="167" t="n">
        <v>1827.537231</v>
      </c>
      <c r="T371" s="111" t="s">
        <v>246</v>
      </c>
      <c r="Y371" s="167" t="n">
        <v>790.58</v>
      </c>
      <c r="Z371" s="111" t="s">
        <v>246</v>
      </c>
      <c r="AA371" s="167" t="n">
        <v>76531.71</v>
      </c>
      <c r="AB371" s="111" t="s">
        <v>246</v>
      </c>
      <c r="AC371" s="164" t="n">
        <v>38.31</v>
      </c>
      <c r="AD371" s="111" t="s">
        <v>246</v>
      </c>
      <c r="AG371" s="167" t="n">
        <v>5.01</v>
      </c>
      <c r="AH371" s="111" t="s">
        <v>246</v>
      </c>
      <c r="AM371" s="167"/>
      <c r="BS371" s="167" t="n">
        <v>47.71</v>
      </c>
      <c r="BT371" s="111" t="s">
        <v>246</v>
      </c>
      <c r="BU371" s="164" t="n">
        <v>20.64</v>
      </c>
      <c r="BV371" s="111" t="s">
        <v>246</v>
      </c>
    </row>
    <row r="372" customFormat="false" ht="12.75" hidden="false" customHeight="false" outlineLevel="0" collapsed="false">
      <c r="A372" s="162" t="s">
        <v>511</v>
      </c>
      <c r="B372" s="172" t="s">
        <v>665</v>
      </c>
      <c r="C372" s="172" t="s">
        <v>760</v>
      </c>
      <c r="D372" s="172"/>
      <c r="E372" s="106" t="n">
        <v>10</v>
      </c>
      <c r="F372" s="173" t="n">
        <v>38</v>
      </c>
      <c r="S372" s="167" t="n">
        <v>1613.706101</v>
      </c>
      <c r="T372" s="111" t="s">
        <v>246</v>
      </c>
      <c r="Y372" s="167" t="n">
        <v>792.52</v>
      </c>
      <c r="Z372" s="111" t="s">
        <v>246</v>
      </c>
      <c r="AA372" s="167" t="n">
        <v>64455.93</v>
      </c>
      <c r="AB372" s="111" t="s">
        <v>246</v>
      </c>
      <c r="AC372" s="164" t="n">
        <v>33.64</v>
      </c>
      <c r="AD372" s="111" t="s">
        <v>246</v>
      </c>
      <c r="AG372" s="167" t="n">
        <v>5.22</v>
      </c>
      <c r="AH372" s="111" t="s">
        <v>246</v>
      </c>
      <c r="AM372" s="167"/>
      <c r="BS372" s="167" t="n">
        <v>47.97</v>
      </c>
      <c r="BT372" s="111" t="s">
        <v>246</v>
      </c>
      <c r="BU372" s="164" t="n">
        <v>23.56</v>
      </c>
      <c r="BV372" s="111" t="s">
        <v>246</v>
      </c>
    </row>
    <row r="373" customFormat="false" ht="12.75" hidden="false" customHeight="false" outlineLevel="0" collapsed="false">
      <c r="A373" s="162" t="s">
        <v>511</v>
      </c>
      <c r="B373" s="172" t="s">
        <v>668</v>
      </c>
      <c r="C373" s="172" t="s">
        <v>760</v>
      </c>
      <c r="D373" s="172"/>
      <c r="E373" s="106" t="n">
        <v>16</v>
      </c>
      <c r="F373" s="173" t="n">
        <v>34</v>
      </c>
      <c r="S373" s="167" t="n">
        <v>1335.813314</v>
      </c>
      <c r="T373" s="111" t="s">
        <v>246</v>
      </c>
      <c r="Y373" s="167" t="n">
        <v>583.25</v>
      </c>
      <c r="Z373" s="111" t="s">
        <v>246</v>
      </c>
      <c r="AA373" s="167" t="n">
        <v>54866.22</v>
      </c>
      <c r="AB373" s="111" t="s">
        <v>246</v>
      </c>
      <c r="AC373" s="164" t="n">
        <v>28.23</v>
      </c>
      <c r="AD373" s="111" t="s">
        <v>246</v>
      </c>
      <c r="AG373" s="167" t="n">
        <v>5.15</v>
      </c>
      <c r="AH373" s="111" t="s">
        <v>246</v>
      </c>
      <c r="AM373" s="167"/>
      <c r="BS373" s="167" t="n">
        <v>47.31</v>
      </c>
      <c r="BT373" s="111" t="s">
        <v>246</v>
      </c>
      <c r="BU373" s="164" t="n">
        <v>20.66</v>
      </c>
      <c r="BV373" s="111" t="s">
        <v>246</v>
      </c>
    </row>
    <row r="374" customFormat="false" ht="12.75" hidden="false" customHeight="false" outlineLevel="0" collapsed="false">
      <c r="A374" s="162" t="s">
        <v>511</v>
      </c>
      <c r="B374" s="172" t="s">
        <v>665</v>
      </c>
      <c r="C374" s="172" t="s">
        <v>761</v>
      </c>
      <c r="D374" s="172"/>
      <c r="E374" s="106" t="n">
        <v>13</v>
      </c>
      <c r="F374" s="173" t="n">
        <v>13</v>
      </c>
      <c r="S374" s="167" t="n">
        <v>1501.060347</v>
      </c>
      <c r="T374" s="111" t="s">
        <v>246</v>
      </c>
      <c r="Y374" s="167" t="n">
        <v>677.51</v>
      </c>
      <c r="Z374" s="111" t="s">
        <v>246</v>
      </c>
      <c r="AA374" s="167" t="n">
        <v>62508.75</v>
      </c>
      <c r="AB374" s="111" t="s">
        <v>246</v>
      </c>
      <c r="AC374" s="164" t="n">
        <v>32.49</v>
      </c>
      <c r="AD374" s="111" t="s">
        <v>246</v>
      </c>
      <c r="AG374" s="167" t="n">
        <v>5.2</v>
      </c>
      <c r="AH374" s="111" t="s">
        <v>246</v>
      </c>
      <c r="AM374" s="167"/>
      <c r="BS374" s="167" t="n">
        <v>46.2</v>
      </c>
      <c r="BT374" s="111" t="s">
        <v>246</v>
      </c>
      <c r="BU374" s="164" t="n">
        <v>20.85</v>
      </c>
      <c r="BV374" s="111" t="s">
        <v>246</v>
      </c>
    </row>
    <row r="375" customFormat="false" ht="12.75" hidden="false" customHeight="false" outlineLevel="0" collapsed="false">
      <c r="A375" s="162" t="s">
        <v>511</v>
      </c>
      <c r="B375" s="172" t="s">
        <v>668</v>
      </c>
      <c r="C375" s="172" t="s">
        <v>761</v>
      </c>
      <c r="D375" s="172"/>
      <c r="E375" s="106" t="n">
        <v>19</v>
      </c>
      <c r="F375" s="173" t="n">
        <v>16</v>
      </c>
      <c r="S375" s="167" t="n">
        <v>1272.517667</v>
      </c>
      <c r="T375" s="111" t="s">
        <v>246</v>
      </c>
      <c r="Y375" s="167" t="n">
        <v>598.74</v>
      </c>
      <c r="Z375" s="111" t="s">
        <v>246</v>
      </c>
      <c r="AA375" s="167" t="n">
        <v>55959.96</v>
      </c>
      <c r="AB375" s="111" t="s">
        <v>246</v>
      </c>
      <c r="AC375" s="164" t="n">
        <v>27.77</v>
      </c>
      <c r="AD375" s="111" t="s">
        <v>246</v>
      </c>
      <c r="AG375" s="167" t="n">
        <v>4.96</v>
      </c>
      <c r="AH375" s="111" t="s">
        <v>246</v>
      </c>
      <c r="AM375" s="167"/>
      <c r="BS375" s="167" t="n">
        <v>45.82</v>
      </c>
      <c r="BT375" s="111" t="s">
        <v>246</v>
      </c>
      <c r="BU375" s="164" t="n">
        <v>21.56</v>
      </c>
      <c r="BV375" s="111" t="s">
        <v>246</v>
      </c>
    </row>
    <row r="376" customFormat="false" ht="12.75" hidden="false" customHeight="false" outlineLevel="0" collapsed="false">
      <c r="A376" s="162" t="s">
        <v>511</v>
      </c>
      <c r="B376" s="172" t="s">
        <v>665</v>
      </c>
      <c r="C376" s="172" t="s">
        <v>762</v>
      </c>
      <c r="D376" s="172"/>
      <c r="E376" s="106" t="n">
        <v>1</v>
      </c>
      <c r="F376" s="173" t="n">
        <v>22</v>
      </c>
      <c r="S376" s="167" t="n">
        <v>1631.295447</v>
      </c>
      <c r="T376" s="111" t="s">
        <v>246</v>
      </c>
      <c r="Y376" s="167" t="n">
        <v>694.78</v>
      </c>
      <c r="Z376" s="111" t="s">
        <v>246</v>
      </c>
      <c r="AA376" s="167" t="n">
        <v>61954.33</v>
      </c>
      <c r="AB376" s="111" t="s">
        <v>246</v>
      </c>
      <c r="AC376" s="164" t="n">
        <v>34.1</v>
      </c>
      <c r="AD376" s="111" t="s">
        <v>246</v>
      </c>
      <c r="AG376" s="167" t="n">
        <v>5.5</v>
      </c>
      <c r="AH376" s="111" t="s">
        <v>246</v>
      </c>
      <c r="AM376" s="167"/>
      <c r="BS376" s="167" t="n">
        <v>47.84</v>
      </c>
      <c r="BT376" s="111" t="s">
        <v>246</v>
      </c>
      <c r="BU376" s="164" t="n">
        <v>20.38</v>
      </c>
      <c r="BV376" s="111" t="s">
        <v>246</v>
      </c>
    </row>
    <row r="377" customFormat="false" ht="12.75" hidden="false" customHeight="false" outlineLevel="0" collapsed="false">
      <c r="A377" s="162" t="s">
        <v>511</v>
      </c>
      <c r="B377" s="172" t="s">
        <v>668</v>
      </c>
      <c r="C377" s="172" t="s">
        <v>762</v>
      </c>
      <c r="D377" s="172"/>
      <c r="E377" s="106" t="n">
        <v>2</v>
      </c>
      <c r="F377" s="173" t="n">
        <v>44</v>
      </c>
      <c r="S377" s="167" t="n">
        <v>1451.16359</v>
      </c>
      <c r="T377" s="111" t="s">
        <v>246</v>
      </c>
      <c r="Y377" s="167" t="n">
        <v>699.77</v>
      </c>
      <c r="Z377" s="111" t="s">
        <v>246</v>
      </c>
      <c r="AA377" s="167" t="n">
        <v>66508.21</v>
      </c>
      <c r="AB377" s="111" t="s">
        <v>246</v>
      </c>
      <c r="AC377" s="164" t="n">
        <v>31.63</v>
      </c>
      <c r="AD377" s="111" t="s">
        <v>246</v>
      </c>
      <c r="AG377" s="167" t="n">
        <v>4.76</v>
      </c>
      <c r="AH377" s="111" t="s">
        <v>246</v>
      </c>
      <c r="AM377" s="167"/>
      <c r="BS377" s="167" t="n">
        <v>45.88</v>
      </c>
      <c r="BT377" s="111" t="s">
        <v>246</v>
      </c>
      <c r="BU377" s="164" t="n">
        <v>22.12</v>
      </c>
      <c r="BV377" s="111" t="s">
        <v>246</v>
      </c>
    </row>
    <row r="378" customFormat="false" ht="12.75" hidden="false" customHeight="false" outlineLevel="0" collapsed="false">
      <c r="A378" s="162" t="s">
        <v>513</v>
      </c>
      <c r="B378" s="172" t="s">
        <v>665</v>
      </c>
      <c r="C378" s="172" t="s">
        <v>758</v>
      </c>
      <c r="D378" s="172"/>
      <c r="E378" s="106" t="n">
        <v>5</v>
      </c>
      <c r="F378" s="173" t="n">
        <v>20</v>
      </c>
      <c r="S378" s="167" t="n">
        <v>1608.969036</v>
      </c>
      <c r="T378" s="111" t="s">
        <v>246</v>
      </c>
      <c r="Y378" s="167" t="n">
        <v>719.98</v>
      </c>
      <c r="Z378" s="111" t="s">
        <v>246</v>
      </c>
      <c r="AA378" s="167" t="n">
        <v>66882.26</v>
      </c>
      <c r="AB378" s="111" t="s">
        <v>246</v>
      </c>
      <c r="AC378" s="164" t="n">
        <v>33.81</v>
      </c>
      <c r="AD378" s="111" t="s">
        <v>246</v>
      </c>
      <c r="AG378" s="167" t="n">
        <v>5.06</v>
      </c>
      <c r="AH378" s="111" t="s">
        <v>246</v>
      </c>
      <c r="AM378" s="167"/>
      <c r="BS378" s="167" t="n">
        <v>47.59</v>
      </c>
      <c r="BT378" s="111" t="s">
        <v>246</v>
      </c>
      <c r="BU378" s="164" t="n">
        <v>21.29</v>
      </c>
      <c r="BV378" s="111" t="s">
        <v>246</v>
      </c>
    </row>
    <row r="379" customFormat="false" ht="12.75" hidden="false" customHeight="false" outlineLevel="0" collapsed="false">
      <c r="A379" s="162" t="s">
        <v>513</v>
      </c>
      <c r="B379" s="172" t="s">
        <v>668</v>
      </c>
      <c r="C379" s="172" t="s">
        <v>758</v>
      </c>
      <c r="D379" s="172"/>
      <c r="E379" s="106" t="n">
        <v>12</v>
      </c>
      <c r="F379" s="173" t="n">
        <v>27</v>
      </c>
      <c r="S379" s="167" t="n">
        <v>1341.671844</v>
      </c>
      <c r="T379" s="111" t="s">
        <v>246</v>
      </c>
      <c r="Y379" s="167" t="n">
        <v>653.42</v>
      </c>
      <c r="Z379" s="111" t="s">
        <v>246</v>
      </c>
      <c r="AA379" s="167" t="n">
        <v>59928.59</v>
      </c>
      <c r="AB379" s="111" t="s">
        <v>246</v>
      </c>
      <c r="AC379" s="164" t="n">
        <v>28.87</v>
      </c>
      <c r="AD379" s="111" t="s">
        <v>246</v>
      </c>
      <c r="AG379" s="167" t="n">
        <v>4.82</v>
      </c>
      <c r="AH379" s="111" t="s">
        <v>246</v>
      </c>
      <c r="AM379" s="167"/>
      <c r="BS379" s="167" t="n">
        <v>46.48</v>
      </c>
      <c r="BT379" s="111" t="s">
        <v>246</v>
      </c>
      <c r="BU379" s="164" t="n">
        <v>22.63</v>
      </c>
      <c r="BV379" s="111" t="s">
        <v>246</v>
      </c>
    </row>
    <row r="380" customFormat="false" ht="12.75" hidden="false" customHeight="false" outlineLevel="0" collapsed="false">
      <c r="A380" s="162" t="s">
        <v>513</v>
      </c>
      <c r="B380" s="172" t="s">
        <v>665</v>
      </c>
      <c r="C380" s="172" t="s">
        <v>760</v>
      </c>
      <c r="D380" s="172"/>
      <c r="E380" s="106" t="n">
        <v>11</v>
      </c>
      <c r="F380" s="173" t="n">
        <v>49</v>
      </c>
      <c r="S380" s="167" t="n">
        <v>1319.431108</v>
      </c>
      <c r="T380" s="111" t="s">
        <v>246</v>
      </c>
      <c r="Y380" s="167" t="n">
        <v>592.1</v>
      </c>
      <c r="Z380" s="111" t="s">
        <v>246</v>
      </c>
      <c r="AA380" s="167" t="n">
        <v>57871.43</v>
      </c>
      <c r="AB380" s="111" t="s">
        <v>246</v>
      </c>
      <c r="AC380" s="164" t="n">
        <v>27.51</v>
      </c>
      <c r="AD380" s="111" t="s">
        <v>246</v>
      </c>
      <c r="AG380" s="167" t="n">
        <v>4.75</v>
      </c>
      <c r="AH380" s="111" t="s">
        <v>246</v>
      </c>
      <c r="AM380" s="167"/>
      <c r="BS380" s="167" t="n">
        <v>47.96</v>
      </c>
      <c r="BT380" s="111" t="s">
        <v>246</v>
      </c>
      <c r="BU380" s="164" t="n">
        <v>21.52</v>
      </c>
      <c r="BV380" s="111" t="s">
        <v>246</v>
      </c>
    </row>
    <row r="381" customFormat="false" ht="12.75" hidden="false" customHeight="false" outlineLevel="0" collapsed="false">
      <c r="A381" s="162" t="s">
        <v>513</v>
      </c>
      <c r="B381" s="172" t="s">
        <v>668</v>
      </c>
      <c r="C381" s="172" t="s">
        <v>760</v>
      </c>
      <c r="D381" s="172"/>
      <c r="E381" s="106" t="n">
        <v>14</v>
      </c>
      <c r="F381" s="173" t="n">
        <v>62</v>
      </c>
      <c r="S381" s="167" t="n">
        <v>1220.484621</v>
      </c>
      <c r="T381" s="111" t="s">
        <v>246</v>
      </c>
      <c r="Y381" s="167" t="n">
        <v>618.08</v>
      </c>
      <c r="Z381" s="111" t="s">
        <v>246</v>
      </c>
      <c r="AA381" s="167" t="n">
        <v>57758.3</v>
      </c>
      <c r="AB381" s="111" t="s">
        <v>246</v>
      </c>
      <c r="AC381" s="164" t="n">
        <v>27</v>
      </c>
      <c r="AD381" s="111" t="s">
        <v>246</v>
      </c>
      <c r="AG381" s="167" t="n">
        <v>4.67</v>
      </c>
      <c r="AH381" s="111" t="s">
        <v>246</v>
      </c>
      <c r="AM381" s="167"/>
      <c r="BS381" s="167" t="n">
        <v>45.21</v>
      </c>
      <c r="BT381" s="111" t="s">
        <v>246</v>
      </c>
      <c r="BU381" s="164" t="n">
        <v>22.89</v>
      </c>
      <c r="BV381" s="111" t="s">
        <v>246</v>
      </c>
    </row>
    <row r="382" customFormat="false" ht="12.75" hidden="false" customHeight="false" outlineLevel="0" collapsed="false">
      <c r="A382" s="162" t="s">
        <v>513</v>
      </c>
      <c r="B382" s="172" t="s">
        <v>665</v>
      </c>
      <c r="C382" s="172" t="s">
        <v>761</v>
      </c>
      <c r="D382" s="172"/>
      <c r="E382" s="106" t="n">
        <v>16</v>
      </c>
      <c r="F382" s="173" t="n">
        <v>13</v>
      </c>
      <c r="S382" s="167" t="n">
        <v>1457.813784</v>
      </c>
      <c r="T382" s="111" t="s">
        <v>246</v>
      </c>
      <c r="Y382" s="167" t="n">
        <v>694.33</v>
      </c>
      <c r="Z382" s="111" t="s">
        <v>246</v>
      </c>
      <c r="AA382" s="167" t="n">
        <v>66684.4</v>
      </c>
      <c r="AB382" s="111" t="s">
        <v>246</v>
      </c>
      <c r="AC382" s="164" t="n">
        <v>31.27</v>
      </c>
      <c r="AD382" s="111" t="s">
        <v>246</v>
      </c>
      <c r="AG382" s="167" t="n">
        <v>4.69</v>
      </c>
      <c r="AH382" s="111" t="s">
        <v>246</v>
      </c>
      <c r="AM382" s="167"/>
      <c r="BS382" s="167" t="n">
        <v>46.62</v>
      </c>
      <c r="BT382" s="111" t="s">
        <v>246</v>
      </c>
      <c r="BU382" s="164" t="n">
        <v>22.21</v>
      </c>
      <c r="BV382" s="111" t="s">
        <v>246</v>
      </c>
    </row>
    <row r="383" customFormat="false" ht="12.75" hidden="false" customHeight="false" outlineLevel="0" collapsed="false">
      <c r="A383" s="162" t="s">
        <v>513</v>
      </c>
      <c r="B383" s="172" t="s">
        <v>668</v>
      </c>
      <c r="C383" s="172" t="s">
        <v>761</v>
      </c>
      <c r="D383" s="172"/>
      <c r="E383" s="106" t="n">
        <v>20</v>
      </c>
      <c r="F383" s="173" t="n">
        <v>4</v>
      </c>
      <c r="S383" s="167" t="n">
        <v>1013.36554</v>
      </c>
      <c r="T383" s="111" t="s">
        <v>246</v>
      </c>
      <c r="Y383" s="167" t="n">
        <v>536.5</v>
      </c>
      <c r="Z383" s="111" t="s">
        <v>246</v>
      </c>
      <c r="AA383" s="167" t="n">
        <v>45566.42</v>
      </c>
      <c r="AB383" s="111" t="s">
        <v>246</v>
      </c>
      <c r="AC383" s="164" t="n">
        <v>22.91</v>
      </c>
      <c r="AD383" s="111" t="s">
        <v>246</v>
      </c>
      <c r="AG383" s="167" t="n">
        <v>5.03</v>
      </c>
      <c r="AH383" s="111" t="s">
        <v>246</v>
      </c>
      <c r="AM383" s="167"/>
      <c r="BS383" s="167" t="n">
        <v>44.24</v>
      </c>
      <c r="BT383" s="111" t="s">
        <v>246</v>
      </c>
      <c r="BU383" s="164" t="n">
        <v>23.42</v>
      </c>
      <c r="BV383" s="111" t="s">
        <v>246</v>
      </c>
    </row>
    <row r="384" customFormat="false" ht="12.75" hidden="false" customHeight="false" outlineLevel="0" collapsed="false">
      <c r="A384" s="162" t="s">
        <v>513</v>
      </c>
      <c r="B384" s="172" t="s">
        <v>665</v>
      </c>
      <c r="C384" s="172" t="s">
        <v>762</v>
      </c>
      <c r="D384" s="172"/>
      <c r="E384" s="106" t="n">
        <v>3</v>
      </c>
      <c r="F384" s="173" t="n">
        <v>18</v>
      </c>
      <c r="S384" s="167" t="n">
        <v>1371.890579</v>
      </c>
      <c r="T384" s="111" t="s">
        <v>246</v>
      </c>
      <c r="Y384" s="167" t="n">
        <v>644.44</v>
      </c>
      <c r="Z384" s="111" t="s">
        <v>246</v>
      </c>
      <c r="AA384" s="167" t="n">
        <v>60263.72</v>
      </c>
      <c r="AB384" s="111" t="s">
        <v>246</v>
      </c>
      <c r="AC384" s="164" t="n">
        <v>29.29</v>
      </c>
      <c r="AD384" s="111" t="s">
        <v>246</v>
      </c>
      <c r="AG384" s="167" t="n">
        <v>4.86</v>
      </c>
      <c r="AH384" s="111" t="s">
        <v>246</v>
      </c>
      <c r="AM384" s="167"/>
      <c r="BS384" s="167" t="n">
        <v>46.85</v>
      </c>
      <c r="BT384" s="111" t="s">
        <v>246</v>
      </c>
      <c r="BU384" s="164" t="n">
        <v>22.01</v>
      </c>
      <c r="BV384" s="111" t="s">
        <v>246</v>
      </c>
    </row>
    <row r="385" customFormat="false" ht="12.75" hidden="false" customHeight="false" outlineLevel="0" collapsed="false">
      <c r="A385" s="162" t="s">
        <v>513</v>
      </c>
      <c r="B385" s="172" t="s">
        <v>668</v>
      </c>
      <c r="C385" s="172" t="s">
        <v>762</v>
      </c>
      <c r="D385" s="172"/>
      <c r="E385" s="106" t="n">
        <v>3</v>
      </c>
      <c r="F385" s="173" t="n">
        <v>39</v>
      </c>
      <c r="S385" s="167" t="n">
        <v>1267.153099</v>
      </c>
      <c r="T385" s="111" t="s">
        <v>246</v>
      </c>
      <c r="Y385" s="167" t="n">
        <v>618.8</v>
      </c>
      <c r="Z385" s="111" t="s">
        <v>246</v>
      </c>
      <c r="AA385" s="167" t="n">
        <v>71462.32</v>
      </c>
      <c r="AB385" s="111" t="s">
        <v>246</v>
      </c>
      <c r="AC385" s="164" t="n">
        <v>27.62</v>
      </c>
      <c r="AD385" s="111" t="s">
        <v>246</v>
      </c>
      <c r="AG385" s="167" t="n">
        <v>3.86</v>
      </c>
      <c r="AH385" s="111" t="s">
        <v>246</v>
      </c>
      <c r="AM385" s="167"/>
      <c r="BS385" s="167" t="n">
        <v>45.88</v>
      </c>
      <c r="BT385" s="111" t="s">
        <v>246</v>
      </c>
      <c r="BU385" s="164" t="n">
        <v>22.41</v>
      </c>
      <c r="BV385" s="111" t="s">
        <v>246</v>
      </c>
    </row>
    <row r="386" customFormat="false" ht="12.75" hidden="false" customHeight="false" outlineLevel="0" collapsed="false">
      <c r="A386" s="162" t="s">
        <v>515</v>
      </c>
      <c r="B386" s="172" t="s">
        <v>665</v>
      </c>
      <c r="C386" s="172" t="s">
        <v>758</v>
      </c>
      <c r="D386" s="172"/>
      <c r="E386" s="106" t="n">
        <v>8</v>
      </c>
      <c r="F386" s="173" t="n">
        <v>6</v>
      </c>
      <c r="S386" s="167" t="n">
        <v>1582.272955</v>
      </c>
      <c r="T386" s="111" t="s">
        <v>246</v>
      </c>
      <c r="Y386" s="167" t="n">
        <v>704.49</v>
      </c>
      <c r="Z386" s="111" t="s">
        <v>246</v>
      </c>
      <c r="AA386" s="167" t="n">
        <v>69145.77</v>
      </c>
      <c r="AB386" s="111" t="s">
        <v>246</v>
      </c>
      <c r="AC386" s="164" t="n">
        <v>33.2</v>
      </c>
      <c r="AD386" s="111" t="s">
        <v>246</v>
      </c>
      <c r="AG386" s="167" t="n">
        <v>4.8</v>
      </c>
      <c r="AH386" s="111" t="s">
        <v>246</v>
      </c>
      <c r="AM386" s="167"/>
      <c r="BS386" s="167" t="n">
        <v>47.66</v>
      </c>
      <c r="BT386" s="111" t="s">
        <v>246</v>
      </c>
      <c r="BU386" s="164" t="n">
        <v>21.22</v>
      </c>
      <c r="BV386" s="111" t="s">
        <v>246</v>
      </c>
    </row>
    <row r="387" customFormat="false" ht="12.75" hidden="false" customHeight="false" outlineLevel="0" collapsed="false">
      <c r="A387" s="162" t="s">
        <v>515</v>
      </c>
      <c r="B387" s="172" t="s">
        <v>668</v>
      </c>
      <c r="C387" s="172" t="s">
        <v>758</v>
      </c>
      <c r="D387" s="172"/>
      <c r="E387" s="106" t="n">
        <v>12</v>
      </c>
      <c r="F387" s="173" t="n">
        <v>29</v>
      </c>
      <c r="S387" s="167" t="n">
        <v>1425.74636</v>
      </c>
      <c r="T387" s="111" t="s">
        <v>246</v>
      </c>
      <c r="Y387" s="167" t="n">
        <v>687.42</v>
      </c>
      <c r="Z387" s="111" t="s">
        <v>246</v>
      </c>
      <c r="AA387" s="167" t="n">
        <v>63531.54</v>
      </c>
      <c r="AB387" s="111" t="s">
        <v>246</v>
      </c>
      <c r="AC387" s="164" t="n">
        <v>30.5</v>
      </c>
      <c r="AD387" s="111" t="s">
        <v>246</v>
      </c>
      <c r="AG387" s="167" t="n">
        <v>4.8</v>
      </c>
      <c r="AH387" s="111" t="s">
        <v>246</v>
      </c>
      <c r="AM387" s="167"/>
      <c r="BS387" s="167" t="n">
        <v>46.75</v>
      </c>
      <c r="BT387" s="111" t="s">
        <v>246</v>
      </c>
      <c r="BU387" s="164" t="n">
        <v>22.54</v>
      </c>
      <c r="BV387" s="111" t="s">
        <v>246</v>
      </c>
    </row>
    <row r="388" customFormat="false" ht="12.75" hidden="false" customHeight="false" outlineLevel="0" collapsed="false">
      <c r="A388" s="162" t="s">
        <v>515</v>
      </c>
      <c r="B388" s="172" t="s">
        <v>665</v>
      </c>
      <c r="C388" s="172" t="s">
        <v>760</v>
      </c>
      <c r="D388" s="172"/>
      <c r="E388" s="106" t="n">
        <v>12</v>
      </c>
      <c r="F388" s="173" t="n">
        <v>35</v>
      </c>
      <c r="S388" s="167" t="n">
        <v>1608.755471</v>
      </c>
      <c r="T388" s="111" t="s">
        <v>246</v>
      </c>
      <c r="Y388" s="167" t="n">
        <v>739.13</v>
      </c>
      <c r="Z388" s="111" t="s">
        <v>246</v>
      </c>
      <c r="AA388" s="167" t="n">
        <v>69130.04</v>
      </c>
      <c r="AB388" s="111" t="s">
        <v>246</v>
      </c>
      <c r="AC388" s="164" t="n">
        <v>34.09</v>
      </c>
      <c r="AD388" s="111" t="s">
        <v>246</v>
      </c>
      <c r="AG388" s="167" t="n">
        <v>4.93</v>
      </c>
      <c r="AH388" s="111" t="s">
        <v>246</v>
      </c>
      <c r="AM388" s="167"/>
      <c r="BS388" s="167" t="n">
        <v>47.19</v>
      </c>
      <c r="BT388" s="111" t="s">
        <v>246</v>
      </c>
      <c r="BU388" s="164" t="n">
        <v>21.68</v>
      </c>
      <c r="BV388" s="111" t="s">
        <v>246</v>
      </c>
    </row>
    <row r="389" customFormat="false" ht="12.75" hidden="false" customHeight="false" outlineLevel="0" collapsed="false">
      <c r="A389" s="162" t="s">
        <v>515</v>
      </c>
      <c r="B389" s="172" t="s">
        <v>668</v>
      </c>
      <c r="C389" s="172" t="s">
        <v>760</v>
      </c>
      <c r="D389" s="172"/>
      <c r="E389" s="106" t="n">
        <v>13</v>
      </c>
      <c r="F389" s="173" t="n">
        <v>59</v>
      </c>
      <c r="S389" s="167" t="n">
        <v>1693.956429</v>
      </c>
      <c r="T389" s="111" t="s">
        <v>246</v>
      </c>
      <c r="Y389" s="167" t="n">
        <v>769.21</v>
      </c>
      <c r="Z389" s="111" t="s">
        <v>246</v>
      </c>
      <c r="AA389" s="167" t="n">
        <v>74052.98</v>
      </c>
      <c r="AB389" s="111" t="s">
        <v>246</v>
      </c>
      <c r="AC389" s="164" t="n">
        <v>35.37</v>
      </c>
      <c r="AD389" s="111" t="s">
        <v>246</v>
      </c>
      <c r="AG389" s="167" t="n">
        <v>4.78</v>
      </c>
      <c r="AH389" s="111" t="s">
        <v>246</v>
      </c>
      <c r="AM389" s="167"/>
      <c r="BS389" s="167" t="n">
        <v>47.89</v>
      </c>
      <c r="BT389" s="111" t="s">
        <v>246</v>
      </c>
      <c r="BU389" s="164" t="n">
        <v>21.75</v>
      </c>
      <c r="BV389" s="111" t="s">
        <v>246</v>
      </c>
    </row>
    <row r="390" customFormat="false" ht="12.75" hidden="false" customHeight="false" outlineLevel="0" collapsed="false">
      <c r="A390" s="162" t="s">
        <v>515</v>
      </c>
      <c r="B390" s="172" t="s">
        <v>665</v>
      </c>
      <c r="C390" s="172" t="s">
        <v>761</v>
      </c>
      <c r="D390" s="172"/>
      <c r="E390" s="106" t="n">
        <v>16</v>
      </c>
      <c r="F390" s="173" t="n">
        <v>12</v>
      </c>
      <c r="S390" s="167" t="n">
        <v>1470.522765</v>
      </c>
      <c r="T390" s="111" t="s">
        <v>246</v>
      </c>
      <c r="Y390" s="167" t="n">
        <v>713.44</v>
      </c>
      <c r="Z390" s="111" t="s">
        <v>246</v>
      </c>
      <c r="AA390" s="167" t="n">
        <v>73007.87</v>
      </c>
      <c r="AB390" s="111" t="s">
        <v>246</v>
      </c>
      <c r="AC390" s="164" t="n">
        <v>31.91</v>
      </c>
      <c r="AD390" s="111" t="s">
        <v>246</v>
      </c>
      <c r="AG390" s="167" t="n">
        <v>4.37</v>
      </c>
      <c r="AH390" s="111" t="s">
        <v>246</v>
      </c>
      <c r="AM390" s="167"/>
      <c r="BS390" s="167" t="n">
        <v>46.09</v>
      </c>
      <c r="BT390" s="111" t="s">
        <v>246</v>
      </c>
      <c r="BU390" s="164" t="n">
        <v>22.36</v>
      </c>
      <c r="BV390" s="111" t="s">
        <v>246</v>
      </c>
    </row>
    <row r="391" customFormat="false" ht="12.75" hidden="false" customHeight="false" outlineLevel="0" collapsed="false">
      <c r="A391" s="162" t="s">
        <v>515</v>
      </c>
      <c r="B391" s="172" t="s">
        <v>668</v>
      </c>
      <c r="C391" s="172" t="s">
        <v>761</v>
      </c>
      <c r="D391" s="172"/>
      <c r="E391" s="106" t="n">
        <v>17</v>
      </c>
      <c r="F391" s="173" t="n">
        <v>21</v>
      </c>
      <c r="S391" s="167" t="n">
        <v>1346.048075</v>
      </c>
      <c r="T391" s="111" t="s">
        <v>246</v>
      </c>
      <c r="Y391" s="167" t="n">
        <v>651.19</v>
      </c>
      <c r="Z391" s="111" t="s">
        <v>246</v>
      </c>
      <c r="AA391" s="167" t="n">
        <v>62793.42</v>
      </c>
      <c r="AB391" s="111" t="s">
        <v>246</v>
      </c>
      <c r="AC391" s="164" t="n">
        <v>29.04</v>
      </c>
      <c r="AD391" s="111" t="s">
        <v>246</v>
      </c>
      <c r="AG391" s="167" t="n">
        <v>4.62</v>
      </c>
      <c r="AH391" s="111" t="s">
        <v>246</v>
      </c>
      <c r="AM391" s="167"/>
      <c r="BS391" s="167" t="n">
        <v>46.35</v>
      </c>
      <c r="BT391" s="111" t="s">
        <v>246</v>
      </c>
      <c r="BU391" s="164" t="n">
        <v>22.42</v>
      </c>
      <c r="BV391" s="111" t="s">
        <v>246</v>
      </c>
    </row>
    <row r="392" customFormat="false" ht="12.75" hidden="false" customHeight="false" outlineLevel="0" collapsed="false">
      <c r="A392" s="162" t="s">
        <v>515</v>
      </c>
      <c r="B392" s="172" t="s">
        <v>665</v>
      </c>
      <c r="C392" s="172" t="s">
        <v>762</v>
      </c>
      <c r="D392" s="172"/>
      <c r="E392" s="106" t="n">
        <v>4</v>
      </c>
      <c r="F392" s="173" t="n">
        <v>5</v>
      </c>
      <c r="S392" s="167" t="n">
        <v>1573.153386</v>
      </c>
      <c r="T392" s="111" t="s">
        <v>246</v>
      </c>
      <c r="Y392" s="167" t="n">
        <v>729.66</v>
      </c>
      <c r="Z392" s="111" t="s">
        <v>246</v>
      </c>
      <c r="AA392" s="167" t="n">
        <v>70436.85</v>
      </c>
      <c r="AB392" s="111" t="s">
        <v>246</v>
      </c>
      <c r="AC392" s="164" t="n">
        <v>33.98</v>
      </c>
      <c r="AD392" s="111" t="s">
        <v>246</v>
      </c>
      <c r="AG392" s="167" t="n">
        <v>4.82</v>
      </c>
      <c r="AH392" s="111" t="s">
        <v>246</v>
      </c>
      <c r="AM392" s="167"/>
      <c r="BS392" s="167" t="n">
        <v>46.29</v>
      </c>
      <c r="BT392" s="111" t="s">
        <v>246</v>
      </c>
      <c r="BU392" s="164" t="n">
        <v>21.47</v>
      </c>
      <c r="BV392" s="111" t="s">
        <v>246</v>
      </c>
    </row>
    <row r="393" customFormat="false" ht="12.75" hidden="false" customHeight="false" outlineLevel="0" collapsed="false">
      <c r="A393" s="162" t="s">
        <v>515</v>
      </c>
      <c r="B393" s="172" t="s">
        <v>668</v>
      </c>
      <c r="C393" s="172" t="s">
        <v>762</v>
      </c>
      <c r="D393" s="172"/>
      <c r="E393" s="106" t="n">
        <v>4</v>
      </c>
      <c r="F393" s="173" t="n">
        <v>34</v>
      </c>
      <c r="S393" s="167" t="n">
        <v>1148.455473</v>
      </c>
      <c r="T393" s="111" t="s">
        <v>246</v>
      </c>
      <c r="Y393" s="167" t="n">
        <v>579.13</v>
      </c>
      <c r="Z393" s="111" t="s">
        <v>246</v>
      </c>
      <c r="AA393" s="167" t="n">
        <v>57110.09</v>
      </c>
      <c r="AB393" s="111" t="s">
        <v>246</v>
      </c>
      <c r="AC393" s="164" t="n">
        <v>25.49</v>
      </c>
      <c r="AD393" s="111" t="s">
        <v>246</v>
      </c>
      <c r="AG393" s="167" t="n">
        <v>4.46</v>
      </c>
      <c r="AH393" s="111" t="s">
        <v>246</v>
      </c>
      <c r="AM393" s="167"/>
      <c r="BS393" s="167" t="n">
        <v>45.06</v>
      </c>
      <c r="BT393" s="111" t="s">
        <v>246</v>
      </c>
      <c r="BU393" s="164" t="n">
        <v>22.72</v>
      </c>
      <c r="BV393" s="111" t="s">
        <v>246</v>
      </c>
    </row>
    <row r="394" customFormat="false" ht="12.75" hidden="false" customHeight="false" outlineLevel="0" collapsed="false">
      <c r="A394" s="162" t="s">
        <v>517</v>
      </c>
      <c r="B394" s="172" t="s">
        <v>665</v>
      </c>
      <c r="C394" s="172" t="s">
        <v>758</v>
      </c>
      <c r="D394" s="172"/>
      <c r="E394" s="106" t="n">
        <v>8</v>
      </c>
      <c r="F394" s="173" t="n">
        <v>25</v>
      </c>
      <c r="S394" s="167" t="n">
        <v>1371.297465</v>
      </c>
      <c r="T394" s="111" t="s">
        <v>246</v>
      </c>
      <c r="Y394" s="167" t="n">
        <v>612.31</v>
      </c>
      <c r="Z394" s="111" t="s">
        <v>246</v>
      </c>
      <c r="AA394" s="167" t="n">
        <v>54967.59</v>
      </c>
      <c r="AB394" s="111" t="s">
        <v>246</v>
      </c>
      <c r="AC394" s="164" t="n">
        <v>28.09</v>
      </c>
      <c r="AD394" s="111" t="s">
        <v>246</v>
      </c>
      <c r="AG394" s="167" t="n">
        <v>5.11</v>
      </c>
      <c r="AH394" s="111" t="s">
        <v>246</v>
      </c>
      <c r="AM394" s="167"/>
      <c r="BS394" s="167" t="n">
        <v>48.81</v>
      </c>
      <c r="BT394" s="111" t="s">
        <v>246</v>
      </c>
      <c r="BU394" s="164" t="n">
        <v>21.79</v>
      </c>
      <c r="BV394" s="111" t="s">
        <v>246</v>
      </c>
    </row>
    <row r="395" customFormat="false" ht="12.75" hidden="false" customHeight="false" outlineLevel="0" collapsed="false">
      <c r="A395" s="162" t="s">
        <v>517</v>
      </c>
      <c r="B395" s="172" t="s">
        <v>668</v>
      </c>
      <c r="C395" s="172" t="s">
        <v>758</v>
      </c>
      <c r="D395" s="172"/>
      <c r="E395" s="106" t="n">
        <v>11</v>
      </c>
      <c r="F395" s="173" t="n">
        <v>32</v>
      </c>
      <c r="S395" s="167" t="n">
        <v>1249.372649</v>
      </c>
      <c r="T395" s="111" t="s">
        <v>246</v>
      </c>
      <c r="Y395" s="167" t="n">
        <v>603.06</v>
      </c>
      <c r="Z395" s="111" t="s">
        <v>246</v>
      </c>
      <c r="AA395" s="167" t="n">
        <v>54243.14</v>
      </c>
      <c r="AB395" s="111" t="s">
        <v>246</v>
      </c>
      <c r="AC395" s="164" t="n">
        <v>26.35</v>
      </c>
      <c r="AD395" s="111" t="s">
        <v>246</v>
      </c>
      <c r="AG395" s="167" t="n">
        <v>4.86</v>
      </c>
      <c r="AH395" s="111" t="s">
        <v>246</v>
      </c>
      <c r="AM395" s="167"/>
      <c r="BS395" s="167" t="n">
        <v>47.42</v>
      </c>
      <c r="BT395" s="111" t="s">
        <v>246</v>
      </c>
      <c r="BU395" s="164" t="n">
        <v>22.89</v>
      </c>
      <c r="BV395" s="111" t="s">
        <v>246</v>
      </c>
    </row>
    <row r="396" customFormat="false" ht="12.75" hidden="false" customHeight="false" outlineLevel="0" collapsed="false">
      <c r="A396" s="162" t="s">
        <v>517</v>
      </c>
      <c r="B396" s="172" t="s">
        <v>665</v>
      </c>
      <c r="C396" s="172" t="s">
        <v>760</v>
      </c>
      <c r="D396" s="172"/>
      <c r="E396" s="106" t="n">
        <v>10</v>
      </c>
      <c r="F396" s="173" t="n">
        <v>62</v>
      </c>
      <c r="S396" s="167" t="n">
        <v>1199.822112</v>
      </c>
      <c r="T396" s="111" t="s">
        <v>246</v>
      </c>
      <c r="Y396" s="167" t="n">
        <v>532.87</v>
      </c>
      <c r="Z396" s="111" t="s">
        <v>246</v>
      </c>
      <c r="AA396" s="167" t="n">
        <v>48282.84</v>
      </c>
      <c r="AB396" s="111" t="s">
        <v>246</v>
      </c>
      <c r="AC396" s="164" t="n">
        <v>24.76</v>
      </c>
      <c r="AD396" s="111" t="s">
        <v>246</v>
      </c>
      <c r="AG396" s="167" t="n">
        <v>5.13</v>
      </c>
      <c r="AH396" s="111" t="s">
        <v>246</v>
      </c>
      <c r="AM396" s="167"/>
      <c r="BS396" s="167" t="n">
        <v>48.46</v>
      </c>
      <c r="BT396" s="111" t="s">
        <v>246</v>
      </c>
      <c r="BU396" s="164" t="n">
        <v>21.52</v>
      </c>
      <c r="BV396" s="111" t="s">
        <v>246</v>
      </c>
    </row>
    <row r="397" customFormat="false" ht="12.75" hidden="false" customHeight="false" outlineLevel="0" collapsed="false">
      <c r="A397" s="162" t="s">
        <v>517</v>
      </c>
      <c r="B397" s="172" t="s">
        <v>668</v>
      </c>
      <c r="C397" s="172" t="s">
        <v>760</v>
      </c>
      <c r="D397" s="172"/>
      <c r="E397" s="106" t="n">
        <v>16</v>
      </c>
      <c r="F397" s="173" t="n">
        <v>60</v>
      </c>
      <c r="S397" s="167" t="n">
        <v>1463.511788</v>
      </c>
      <c r="T397" s="111" t="s">
        <v>246</v>
      </c>
      <c r="Y397" s="167" t="n">
        <v>698.75</v>
      </c>
      <c r="Z397" s="111" t="s">
        <v>246</v>
      </c>
      <c r="AA397" s="167" t="n">
        <v>61143.22</v>
      </c>
      <c r="AB397" s="111" t="s">
        <v>246</v>
      </c>
      <c r="AC397" s="164" t="n">
        <v>30.71</v>
      </c>
      <c r="AD397" s="111" t="s">
        <v>246</v>
      </c>
      <c r="AG397" s="167" t="n">
        <v>5.02</v>
      </c>
      <c r="AH397" s="111" t="s">
        <v>246</v>
      </c>
      <c r="AM397" s="167"/>
      <c r="BS397" s="167" t="n">
        <v>47.66</v>
      </c>
      <c r="BT397" s="111" t="s">
        <v>246</v>
      </c>
      <c r="BU397" s="164" t="n">
        <v>22.76</v>
      </c>
      <c r="BV397" s="111" t="s">
        <v>246</v>
      </c>
    </row>
    <row r="398" customFormat="false" ht="12.75" hidden="false" customHeight="false" outlineLevel="0" collapsed="false">
      <c r="A398" s="162" t="s">
        <v>517</v>
      </c>
      <c r="B398" s="172" t="s">
        <v>665</v>
      </c>
      <c r="C398" s="172" t="s">
        <v>761</v>
      </c>
      <c r="D398" s="172"/>
      <c r="E398" s="106" t="n">
        <v>14</v>
      </c>
      <c r="F398" s="173" t="n">
        <v>1</v>
      </c>
      <c r="S398" s="167" t="n">
        <v>1256.989502</v>
      </c>
      <c r="T398" s="111" t="s">
        <v>246</v>
      </c>
      <c r="Y398" s="167" t="n">
        <v>533.36</v>
      </c>
      <c r="Z398" s="111" t="s">
        <v>246</v>
      </c>
      <c r="AA398" s="167" t="n">
        <v>52349.65</v>
      </c>
      <c r="AB398" s="111" t="s">
        <v>246</v>
      </c>
      <c r="AC398" s="164" t="n">
        <v>25.62</v>
      </c>
      <c r="AD398" s="111" t="s">
        <v>246</v>
      </c>
      <c r="AG398" s="167" t="n">
        <v>4.89</v>
      </c>
      <c r="AH398" s="111" t="s">
        <v>246</v>
      </c>
      <c r="AM398" s="167"/>
      <c r="BS398" s="167" t="n">
        <v>49.06</v>
      </c>
      <c r="BT398" s="111" t="s">
        <v>246</v>
      </c>
      <c r="BU398" s="164" t="n">
        <v>20.82</v>
      </c>
      <c r="BV398" s="111" t="s">
        <v>246</v>
      </c>
    </row>
    <row r="399" customFormat="false" ht="12.75" hidden="false" customHeight="false" outlineLevel="0" collapsed="false">
      <c r="A399" s="162" t="s">
        <v>517</v>
      </c>
      <c r="B399" s="172" t="s">
        <v>668</v>
      </c>
      <c r="C399" s="172" t="s">
        <v>761</v>
      </c>
      <c r="D399" s="172"/>
      <c r="E399" s="106" t="n">
        <v>17</v>
      </c>
      <c r="F399" s="173" t="n">
        <v>16</v>
      </c>
      <c r="S399" s="167" t="n">
        <v>1485.18171</v>
      </c>
      <c r="T399" s="111" t="s">
        <v>246</v>
      </c>
      <c r="Y399" s="167" t="n">
        <v>719.22</v>
      </c>
      <c r="Z399" s="111" t="s">
        <v>246</v>
      </c>
      <c r="AA399" s="167" t="n">
        <v>63188.04</v>
      </c>
      <c r="AB399" s="111" t="s">
        <v>246</v>
      </c>
      <c r="AC399" s="164" t="n">
        <v>31.42</v>
      </c>
      <c r="AD399" s="111" t="s">
        <v>246</v>
      </c>
      <c r="AG399" s="167" t="n">
        <v>4.97</v>
      </c>
      <c r="AH399" s="111" t="s">
        <v>246</v>
      </c>
      <c r="AM399" s="167"/>
      <c r="BS399" s="167" t="n">
        <v>47.26</v>
      </c>
      <c r="BT399" s="111" t="s">
        <v>246</v>
      </c>
      <c r="BU399" s="164" t="n">
        <v>22.89</v>
      </c>
      <c r="BV399" s="111" t="s">
        <v>246</v>
      </c>
    </row>
    <row r="400" customFormat="false" ht="12.75" hidden="false" customHeight="false" outlineLevel="0" collapsed="false">
      <c r="A400" s="162" t="s">
        <v>517</v>
      </c>
      <c r="B400" s="172" t="s">
        <v>665</v>
      </c>
      <c r="C400" s="172" t="s">
        <v>762</v>
      </c>
      <c r="D400" s="172"/>
      <c r="E400" s="106" t="n">
        <v>3</v>
      </c>
      <c r="F400" s="173" t="n">
        <v>23</v>
      </c>
      <c r="S400" s="167" t="n">
        <v>1216.380301</v>
      </c>
      <c r="T400" s="111" t="s">
        <v>246</v>
      </c>
      <c r="Y400" s="167" t="n">
        <v>565.39</v>
      </c>
      <c r="Z400" s="111" t="s">
        <v>246</v>
      </c>
      <c r="AA400" s="167" t="n">
        <v>52267.45</v>
      </c>
      <c r="AB400" s="111" t="s">
        <v>246</v>
      </c>
      <c r="AC400" s="164" t="n">
        <v>25.65</v>
      </c>
      <c r="AD400" s="111" t="s">
        <v>246</v>
      </c>
      <c r="AG400" s="167" t="n">
        <v>4.91</v>
      </c>
      <c r="AH400" s="111" t="s">
        <v>246</v>
      </c>
      <c r="AM400" s="167"/>
      <c r="BS400" s="167" t="n">
        <v>47.43</v>
      </c>
      <c r="BT400" s="111" t="s">
        <v>246</v>
      </c>
      <c r="BU400" s="164" t="n">
        <v>22.05</v>
      </c>
      <c r="BV400" s="111" t="s">
        <v>246</v>
      </c>
    </row>
    <row r="401" customFormat="false" ht="12.75" hidden="false" customHeight="false" outlineLevel="0" collapsed="false">
      <c r="A401" s="162" t="s">
        <v>517</v>
      </c>
      <c r="B401" s="172" t="s">
        <v>668</v>
      </c>
      <c r="C401" s="172" t="s">
        <v>762</v>
      </c>
      <c r="D401" s="172"/>
      <c r="E401" s="106" t="n">
        <v>1</v>
      </c>
      <c r="F401" s="173" t="n">
        <v>38</v>
      </c>
      <c r="S401" s="167" t="n">
        <v>1477.543877</v>
      </c>
      <c r="T401" s="111" t="s">
        <v>246</v>
      </c>
      <c r="Y401" s="167" t="n">
        <v>725.74</v>
      </c>
      <c r="Z401" s="111" t="s">
        <v>246</v>
      </c>
      <c r="AA401" s="167" t="n">
        <v>61534.29</v>
      </c>
      <c r="AB401" s="111" t="s">
        <v>246</v>
      </c>
      <c r="AC401" s="164" t="n">
        <v>31.57</v>
      </c>
      <c r="AD401" s="111" t="s">
        <v>246</v>
      </c>
      <c r="AG401" s="167" t="n">
        <v>5.13</v>
      </c>
      <c r="AH401" s="111" t="s">
        <v>246</v>
      </c>
      <c r="AM401" s="167"/>
      <c r="BS401" s="167" t="n">
        <v>46.81</v>
      </c>
      <c r="BT401" s="111" t="s">
        <v>246</v>
      </c>
      <c r="BU401" s="164" t="n">
        <v>22.99</v>
      </c>
      <c r="BV401" s="111" t="s">
        <v>246</v>
      </c>
    </row>
    <row r="402" customFormat="false" ht="12.75" hidden="false" customHeight="false" outlineLevel="0" collapsed="false">
      <c r="A402" s="162" t="s">
        <v>519</v>
      </c>
      <c r="B402" s="172" t="s">
        <v>665</v>
      </c>
      <c r="C402" s="172" t="s">
        <v>758</v>
      </c>
      <c r="D402" s="172"/>
      <c r="E402" s="106" t="n">
        <v>8</v>
      </c>
      <c r="F402" s="173" t="n">
        <v>31</v>
      </c>
      <c r="S402" s="167" t="n">
        <v>1710.575311</v>
      </c>
      <c r="T402" s="111" t="s">
        <v>246</v>
      </c>
      <c r="Y402" s="167" t="n">
        <v>681.49</v>
      </c>
      <c r="Z402" s="111" t="s">
        <v>246</v>
      </c>
      <c r="AA402" s="167" t="n">
        <v>69905.79</v>
      </c>
      <c r="AB402" s="111" t="s">
        <v>246</v>
      </c>
      <c r="AC402" s="164" t="n">
        <v>34.65</v>
      </c>
      <c r="AD402" s="111" t="s">
        <v>246</v>
      </c>
      <c r="AG402" s="167" t="n">
        <v>4.96</v>
      </c>
      <c r="AH402" s="111" t="s">
        <v>246</v>
      </c>
      <c r="AM402" s="167"/>
      <c r="BS402" s="167" t="n">
        <v>49.37</v>
      </c>
      <c r="BT402" s="111" t="s">
        <v>246</v>
      </c>
      <c r="BU402" s="164" t="n">
        <v>19.67</v>
      </c>
      <c r="BV402" s="111" t="s">
        <v>246</v>
      </c>
    </row>
    <row r="403" customFormat="false" ht="12.75" hidden="false" customHeight="false" outlineLevel="0" collapsed="false">
      <c r="A403" s="162" t="s">
        <v>519</v>
      </c>
      <c r="B403" s="172" t="s">
        <v>668</v>
      </c>
      <c r="C403" s="172" t="s">
        <v>758</v>
      </c>
      <c r="D403" s="172"/>
      <c r="E403" s="106" t="n">
        <v>12</v>
      </c>
      <c r="F403" s="173" t="n">
        <v>28</v>
      </c>
      <c r="S403" s="167" t="n">
        <v>2053.468773</v>
      </c>
      <c r="T403" s="111" t="s">
        <v>246</v>
      </c>
      <c r="Y403" s="167" t="n">
        <v>853.38</v>
      </c>
      <c r="Z403" s="111" t="s">
        <v>246</v>
      </c>
      <c r="AA403" s="167" t="n">
        <v>82053.77</v>
      </c>
      <c r="AB403" s="111" t="s">
        <v>246</v>
      </c>
      <c r="AC403" s="164" t="n">
        <v>41.57</v>
      </c>
      <c r="AD403" s="111" t="s">
        <v>246</v>
      </c>
      <c r="AG403" s="167" t="n">
        <v>5.07</v>
      </c>
      <c r="AH403" s="111" t="s">
        <v>246</v>
      </c>
      <c r="AM403" s="167"/>
      <c r="BS403" s="167" t="n">
        <v>49.4</v>
      </c>
      <c r="BT403" s="111" t="s">
        <v>246</v>
      </c>
      <c r="BU403" s="164" t="n">
        <v>20.53</v>
      </c>
      <c r="BV403" s="111" t="s">
        <v>246</v>
      </c>
    </row>
    <row r="404" customFormat="false" ht="12.75" hidden="false" customHeight="false" outlineLevel="0" collapsed="false">
      <c r="A404" s="162" t="s">
        <v>519</v>
      </c>
      <c r="B404" s="172" t="s">
        <v>665</v>
      </c>
      <c r="C404" s="172" t="s">
        <v>760</v>
      </c>
      <c r="D404" s="172"/>
      <c r="E404" s="106" t="n">
        <v>9</v>
      </c>
      <c r="F404" s="173" t="n">
        <v>43</v>
      </c>
      <c r="S404" s="167" t="n">
        <v>1794.745598</v>
      </c>
      <c r="T404" s="111" t="s">
        <v>246</v>
      </c>
      <c r="Y404" s="167" t="n">
        <v>703.93</v>
      </c>
      <c r="Z404" s="111" t="s">
        <v>246</v>
      </c>
      <c r="AA404" s="167" t="n">
        <v>75217.99</v>
      </c>
      <c r="AB404" s="111" t="s">
        <v>246</v>
      </c>
      <c r="AC404" s="164" t="n">
        <v>36.33</v>
      </c>
      <c r="AD404" s="111" t="s">
        <v>246</v>
      </c>
      <c r="AG404" s="167" t="n">
        <v>4.83</v>
      </c>
      <c r="AH404" s="111" t="s">
        <v>246</v>
      </c>
      <c r="AM404" s="167"/>
      <c r="BS404" s="167" t="n">
        <v>49.4</v>
      </c>
      <c r="BT404" s="111" t="s">
        <v>246</v>
      </c>
      <c r="BU404" s="164" t="n">
        <v>19.38</v>
      </c>
      <c r="BV404" s="111" t="s">
        <v>246</v>
      </c>
    </row>
    <row r="405" customFormat="false" ht="12.75" hidden="false" customHeight="false" outlineLevel="0" collapsed="false">
      <c r="A405" s="162" t="s">
        <v>519</v>
      </c>
      <c r="B405" s="172" t="s">
        <v>668</v>
      </c>
      <c r="C405" s="172" t="s">
        <v>760</v>
      </c>
      <c r="D405" s="172"/>
      <c r="E405" s="106" t="n">
        <v>14</v>
      </c>
      <c r="F405" s="173" t="n">
        <v>49</v>
      </c>
      <c r="S405" s="167" t="n">
        <v>2119.077261</v>
      </c>
      <c r="T405" s="111" t="s">
        <v>246</v>
      </c>
      <c r="Y405" s="167" t="n">
        <v>887.09</v>
      </c>
      <c r="Z405" s="111" t="s">
        <v>246</v>
      </c>
      <c r="AA405" s="167" t="n">
        <v>83703.17</v>
      </c>
      <c r="AB405" s="111" t="s">
        <v>246</v>
      </c>
      <c r="AC405" s="164" t="n">
        <v>43.54</v>
      </c>
      <c r="AD405" s="111" t="s">
        <v>246</v>
      </c>
      <c r="AG405" s="167" t="n">
        <v>5.2</v>
      </c>
      <c r="AH405" s="111" t="s">
        <v>246</v>
      </c>
      <c r="AM405" s="167"/>
      <c r="BS405" s="167" t="n">
        <v>48.66</v>
      </c>
      <c r="BT405" s="111" t="s">
        <v>246</v>
      </c>
      <c r="BU405" s="164" t="n">
        <v>20.37</v>
      </c>
      <c r="BV405" s="111" t="s">
        <v>246</v>
      </c>
    </row>
    <row r="406" customFormat="false" ht="12.75" hidden="false" customHeight="false" outlineLevel="0" collapsed="false">
      <c r="A406" s="162" t="s">
        <v>519</v>
      </c>
      <c r="B406" s="172" t="s">
        <v>665</v>
      </c>
      <c r="C406" s="172" t="s">
        <v>761</v>
      </c>
      <c r="D406" s="172"/>
      <c r="E406" s="106" t="n">
        <v>16</v>
      </c>
      <c r="F406" s="173" t="n">
        <v>17</v>
      </c>
      <c r="S406" s="167" t="n">
        <v>1555.776069</v>
      </c>
      <c r="T406" s="111" t="s">
        <v>246</v>
      </c>
      <c r="Y406" s="167" t="n">
        <v>675.54</v>
      </c>
      <c r="Z406" s="111" t="s">
        <v>246</v>
      </c>
      <c r="AA406" s="167" t="n">
        <v>65981</v>
      </c>
      <c r="AB406" s="111" t="s">
        <v>246</v>
      </c>
      <c r="AC406" s="164" t="n">
        <v>32.5</v>
      </c>
      <c r="AD406" s="111" t="s">
        <v>246</v>
      </c>
      <c r="AG406" s="167" t="n">
        <v>4.93</v>
      </c>
      <c r="AH406" s="111" t="s">
        <v>246</v>
      </c>
      <c r="AM406" s="167"/>
      <c r="BS406" s="167" t="n">
        <v>47.87</v>
      </c>
      <c r="BT406" s="111" t="s">
        <v>246</v>
      </c>
      <c r="BU406" s="164" t="n">
        <v>20.79</v>
      </c>
      <c r="BV406" s="111" t="s">
        <v>246</v>
      </c>
    </row>
    <row r="407" customFormat="false" ht="12.75" hidden="false" customHeight="false" outlineLevel="0" collapsed="false">
      <c r="A407" s="162" t="s">
        <v>519</v>
      </c>
      <c r="B407" s="172" t="s">
        <v>668</v>
      </c>
      <c r="C407" s="172" t="s">
        <v>761</v>
      </c>
      <c r="D407" s="172"/>
      <c r="E407" s="106" t="n">
        <v>18</v>
      </c>
      <c r="F407" s="173" t="n">
        <v>20</v>
      </c>
      <c r="S407" s="167" t="n">
        <v>1512.850649</v>
      </c>
      <c r="T407" s="111" t="s">
        <v>246</v>
      </c>
      <c r="Y407" s="167" t="n">
        <v>665.55</v>
      </c>
      <c r="Z407" s="111" t="s">
        <v>246</v>
      </c>
      <c r="AA407" s="167" t="n">
        <v>65544.65</v>
      </c>
      <c r="AB407" s="111" t="s">
        <v>246</v>
      </c>
      <c r="AC407" s="164" t="n">
        <v>31.46</v>
      </c>
      <c r="AD407" s="111" t="s">
        <v>246</v>
      </c>
      <c r="AG407" s="167" t="n">
        <v>4.8</v>
      </c>
      <c r="AH407" s="111" t="s">
        <v>246</v>
      </c>
      <c r="AM407" s="167"/>
      <c r="BS407" s="167" t="n">
        <v>48.09</v>
      </c>
      <c r="BT407" s="111" t="s">
        <v>246</v>
      </c>
      <c r="BU407" s="164" t="n">
        <v>21.16</v>
      </c>
      <c r="BV407" s="111" t="s">
        <v>246</v>
      </c>
    </row>
    <row r="408" customFormat="false" ht="12.75" hidden="false" customHeight="false" outlineLevel="0" collapsed="false">
      <c r="A408" s="162" t="s">
        <v>519</v>
      </c>
      <c r="B408" s="172" t="s">
        <v>665</v>
      </c>
      <c r="C408" s="172" t="s">
        <v>762</v>
      </c>
      <c r="D408" s="172"/>
      <c r="E408" s="106" t="n">
        <v>3</v>
      </c>
      <c r="F408" s="173" t="n">
        <v>9</v>
      </c>
      <c r="S408" s="167" t="n">
        <v>1853.100495</v>
      </c>
      <c r="T408" s="111" t="s">
        <v>246</v>
      </c>
      <c r="Y408" s="167" t="n">
        <v>742.31</v>
      </c>
      <c r="Z408" s="111" t="s">
        <v>246</v>
      </c>
      <c r="AA408" s="167" t="n">
        <v>76723.6</v>
      </c>
      <c r="AB408" s="111" t="s">
        <v>246</v>
      </c>
      <c r="AC408" s="164" t="n">
        <v>37.56</v>
      </c>
      <c r="AD408" s="111" t="s">
        <v>246</v>
      </c>
      <c r="AG408" s="167" t="n">
        <v>4.9</v>
      </c>
      <c r="AH408" s="111" t="s">
        <v>246</v>
      </c>
      <c r="AM408" s="167"/>
      <c r="BS408" s="167" t="n">
        <v>49.34</v>
      </c>
      <c r="BT408" s="111" t="s">
        <v>246</v>
      </c>
      <c r="BU408" s="164" t="n">
        <v>19.76</v>
      </c>
      <c r="BV408" s="111" t="s">
        <v>246</v>
      </c>
    </row>
    <row r="409" customFormat="false" ht="12.75" hidden="false" customHeight="false" outlineLevel="0" collapsed="false">
      <c r="A409" s="162" t="s">
        <v>519</v>
      </c>
      <c r="B409" s="172" t="s">
        <v>668</v>
      </c>
      <c r="C409" s="172" t="s">
        <v>762</v>
      </c>
      <c r="D409" s="172"/>
      <c r="E409" s="106" t="n">
        <v>3</v>
      </c>
      <c r="F409" s="173" t="n">
        <v>41</v>
      </c>
      <c r="S409" s="167" t="n">
        <v>1417.466191</v>
      </c>
      <c r="T409" s="111" t="s">
        <v>246</v>
      </c>
      <c r="Y409" s="167" t="n">
        <v>641.48</v>
      </c>
      <c r="Z409" s="111" t="s">
        <v>246</v>
      </c>
      <c r="AA409" s="167" t="n">
        <v>58799.17</v>
      </c>
      <c r="AB409" s="111" t="s">
        <v>246</v>
      </c>
      <c r="AC409" s="164" t="n">
        <v>30.04</v>
      </c>
      <c r="AD409" s="111" t="s">
        <v>246</v>
      </c>
      <c r="AG409" s="167" t="n">
        <v>5.11</v>
      </c>
      <c r="AH409" s="111" t="s">
        <v>246</v>
      </c>
      <c r="AM409" s="167"/>
      <c r="BS409" s="167" t="n">
        <v>47.18</v>
      </c>
      <c r="BT409" s="111" t="s">
        <v>246</v>
      </c>
      <c r="BU409" s="164" t="n">
        <v>21.35</v>
      </c>
      <c r="BV409" s="111" t="s">
        <v>246</v>
      </c>
    </row>
    <row r="410" customFormat="false" ht="12.75" hidden="false" customHeight="false" outlineLevel="0" collapsed="false">
      <c r="A410" s="162" t="s">
        <v>521</v>
      </c>
      <c r="B410" s="172" t="s">
        <v>665</v>
      </c>
      <c r="C410" s="172" t="s">
        <v>758</v>
      </c>
      <c r="D410" s="172"/>
      <c r="E410" s="106" t="n">
        <v>8</v>
      </c>
      <c r="F410" s="173" t="n">
        <v>1</v>
      </c>
      <c r="S410" s="167" t="n">
        <v>1050.338176</v>
      </c>
      <c r="T410" s="111" t="s">
        <v>246</v>
      </c>
      <c r="Y410" s="167" t="n">
        <v>513.77</v>
      </c>
      <c r="Z410" s="111" t="s">
        <v>246</v>
      </c>
      <c r="AA410" s="167" t="n">
        <v>46006.67</v>
      </c>
      <c r="AB410" s="111" t="s">
        <v>246</v>
      </c>
      <c r="AC410" s="164" t="n">
        <v>22.75</v>
      </c>
      <c r="AD410" s="111" t="s">
        <v>246</v>
      </c>
      <c r="AG410" s="167" t="n">
        <v>4.94</v>
      </c>
      <c r="AH410" s="111" t="s">
        <v>246</v>
      </c>
      <c r="AM410" s="167"/>
      <c r="BS410" s="167" t="n">
        <v>46.17</v>
      </c>
      <c r="BT410" s="111" t="s">
        <v>246</v>
      </c>
      <c r="BU410" s="164" t="n">
        <v>22.58</v>
      </c>
      <c r="BV410" s="111" t="s">
        <v>246</v>
      </c>
    </row>
    <row r="411" customFormat="false" ht="12.75" hidden="false" customHeight="false" outlineLevel="0" collapsed="false">
      <c r="A411" s="162" t="s">
        <v>521</v>
      </c>
      <c r="B411" s="172" t="s">
        <v>668</v>
      </c>
      <c r="C411" s="172" t="s">
        <v>758</v>
      </c>
      <c r="D411" s="172"/>
      <c r="E411" s="106" t="n">
        <v>9</v>
      </c>
      <c r="F411" s="173" t="n">
        <v>32</v>
      </c>
      <c r="S411" s="167" t="n">
        <v>1438.445103</v>
      </c>
      <c r="T411" s="111" t="s">
        <v>246</v>
      </c>
      <c r="Y411" s="167" t="n">
        <v>707.91</v>
      </c>
      <c r="Z411" s="111" t="s">
        <v>246</v>
      </c>
      <c r="AA411" s="167" t="n">
        <v>66149.3</v>
      </c>
      <c r="AB411" s="111" t="s">
        <v>246</v>
      </c>
      <c r="AC411" s="164" t="n">
        <v>30.96</v>
      </c>
      <c r="AD411" s="111" t="s">
        <v>246</v>
      </c>
      <c r="AG411" s="167" t="n">
        <v>4.68</v>
      </c>
      <c r="AH411" s="111" t="s">
        <v>246</v>
      </c>
      <c r="AM411" s="167"/>
      <c r="BS411" s="167" t="n">
        <v>46.46</v>
      </c>
      <c r="BT411" s="111" t="s">
        <v>246</v>
      </c>
      <c r="BU411" s="164" t="n">
        <v>22.86</v>
      </c>
      <c r="BV411" s="111" t="s">
        <v>246</v>
      </c>
    </row>
    <row r="412" customFormat="false" ht="12.75" hidden="false" customHeight="false" outlineLevel="0" collapsed="false">
      <c r="A412" s="162" t="s">
        <v>521</v>
      </c>
      <c r="B412" s="172" t="s">
        <v>665</v>
      </c>
      <c r="C412" s="172" t="s">
        <v>760</v>
      </c>
      <c r="D412" s="172"/>
      <c r="E412" s="106" t="n">
        <v>10</v>
      </c>
      <c r="F412" s="173" t="n">
        <v>47</v>
      </c>
      <c r="S412" s="167" t="n">
        <v>1263.462599</v>
      </c>
      <c r="T412" s="111" t="s">
        <v>246</v>
      </c>
      <c r="Y412" s="167" t="n">
        <v>584.55</v>
      </c>
      <c r="Z412" s="111" t="s">
        <v>246</v>
      </c>
      <c r="AA412" s="167" t="n">
        <v>52823.8</v>
      </c>
      <c r="AB412" s="111" t="s">
        <v>246</v>
      </c>
      <c r="AC412" s="164" t="n">
        <v>26.88</v>
      </c>
      <c r="AD412" s="111" t="s">
        <v>246</v>
      </c>
      <c r="AG412" s="167" t="n">
        <v>5.09</v>
      </c>
      <c r="AH412" s="111" t="s">
        <v>246</v>
      </c>
      <c r="AM412" s="167"/>
      <c r="BS412" s="167" t="n">
        <v>47</v>
      </c>
      <c r="BT412" s="111" t="s">
        <v>246</v>
      </c>
      <c r="BU412" s="164" t="n">
        <v>21.75</v>
      </c>
      <c r="BV412" s="111" t="s">
        <v>246</v>
      </c>
    </row>
    <row r="413" customFormat="false" ht="12.75" hidden="false" customHeight="false" outlineLevel="0" collapsed="false">
      <c r="A413" s="162" t="s">
        <v>521</v>
      </c>
      <c r="B413" s="172" t="s">
        <v>668</v>
      </c>
      <c r="C413" s="172" t="s">
        <v>760</v>
      </c>
      <c r="D413" s="172"/>
      <c r="E413" s="106" t="n">
        <v>15</v>
      </c>
      <c r="F413" s="173" t="n">
        <v>50</v>
      </c>
      <c r="S413" s="167" t="n">
        <v>1174.293268</v>
      </c>
      <c r="T413" s="111" t="s">
        <v>246</v>
      </c>
      <c r="Y413" s="167" t="n">
        <v>600.58</v>
      </c>
      <c r="Z413" s="111" t="s">
        <v>246</v>
      </c>
      <c r="AA413" s="167" t="n">
        <v>59779.83</v>
      </c>
      <c r="AB413" s="111" t="s">
        <v>246</v>
      </c>
      <c r="AC413" s="164" t="n">
        <v>25.78</v>
      </c>
      <c r="AD413" s="111" t="s">
        <v>246</v>
      </c>
      <c r="AG413" s="167" t="n">
        <v>4.31</v>
      </c>
      <c r="AH413" s="111" t="s">
        <v>246</v>
      </c>
      <c r="AM413" s="167"/>
      <c r="BS413" s="167" t="n">
        <v>45.55</v>
      </c>
      <c r="BT413" s="111" t="s">
        <v>246</v>
      </c>
      <c r="BU413" s="164" t="n">
        <v>23.3</v>
      </c>
      <c r="BV413" s="111" t="s">
        <v>246</v>
      </c>
    </row>
    <row r="414" customFormat="false" ht="12.75" hidden="false" customHeight="false" outlineLevel="0" collapsed="false">
      <c r="A414" s="162" t="s">
        <v>521</v>
      </c>
      <c r="B414" s="172" t="s">
        <v>665</v>
      </c>
      <c r="C414" s="172" t="s">
        <v>761</v>
      </c>
      <c r="D414" s="172"/>
      <c r="E414" s="106" t="n">
        <v>15</v>
      </c>
      <c r="F414" s="173" t="n">
        <v>6</v>
      </c>
      <c r="S414" s="167" t="n">
        <v>1187.388187</v>
      </c>
      <c r="T414" s="111" t="s">
        <v>246</v>
      </c>
      <c r="Y414" s="167" t="n">
        <v>577.31</v>
      </c>
      <c r="Z414" s="111" t="s">
        <v>246</v>
      </c>
      <c r="AA414" s="167" t="n">
        <v>55675.73</v>
      </c>
      <c r="AB414" s="111" t="s">
        <v>246</v>
      </c>
      <c r="AC414" s="164" t="n">
        <v>25.99</v>
      </c>
      <c r="AD414" s="111" t="s">
        <v>246</v>
      </c>
      <c r="AG414" s="167" t="n">
        <v>4.67</v>
      </c>
      <c r="AH414" s="111" t="s">
        <v>246</v>
      </c>
      <c r="AM414" s="167"/>
      <c r="BS414" s="167" t="n">
        <v>45.68</v>
      </c>
      <c r="BT414" s="111" t="s">
        <v>246</v>
      </c>
      <c r="BU414" s="164" t="n">
        <v>22.21</v>
      </c>
      <c r="BV414" s="111" t="s">
        <v>246</v>
      </c>
    </row>
    <row r="415" customFormat="false" ht="12.75" hidden="false" customHeight="false" outlineLevel="0" collapsed="false">
      <c r="A415" s="162" t="s">
        <v>521</v>
      </c>
      <c r="B415" s="172" t="s">
        <v>668</v>
      </c>
      <c r="C415" s="172" t="s">
        <v>761</v>
      </c>
      <c r="D415" s="172"/>
      <c r="E415" s="106" t="n">
        <v>19</v>
      </c>
      <c r="F415" s="173" t="n">
        <v>18</v>
      </c>
      <c r="S415" s="167" t="n">
        <v>1197.088494</v>
      </c>
      <c r="T415" s="111" t="s">
        <v>246</v>
      </c>
      <c r="Y415" s="167" t="n">
        <v>622.2</v>
      </c>
      <c r="Z415" s="111" t="s">
        <v>246</v>
      </c>
      <c r="AA415" s="167" t="n">
        <v>59211.3</v>
      </c>
      <c r="AB415" s="111" t="s">
        <v>246</v>
      </c>
      <c r="AC415" s="164" t="n">
        <v>26.43</v>
      </c>
      <c r="AD415" s="111" t="s">
        <v>246</v>
      </c>
      <c r="AG415" s="167" t="n">
        <v>4.46</v>
      </c>
      <c r="AH415" s="111" t="s">
        <v>246</v>
      </c>
      <c r="AM415" s="167"/>
      <c r="BS415" s="167" t="n">
        <v>45.3</v>
      </c>
      <c r="BT415" s="111" t="s">
        <v>246</v>
      </c>
      <c r="BU415" s="164" t="n">
        <v>23.55</v>
      </c>
      <c r="BV415" s="111" t="s">
        <v>246</v>
      </c>
    </row>
    <row r="416" customFormat="false" ht="12.75" hidden="false" customHeight="false" outlineLevel="0" collapsed="false">
      <c r="A416" s="162" t="s">
        <v>521</v>
      </c>
      <c r="B416" s="172" t="s">
        <v>665</v>
      </c>
      <c r="C416" s="172" t="s">
        <v>762</v>
      </c>
      <c r="D416" s="172"/>
      <c r="E416" s="106" t="n">
        <v>3</v>
      </c>
      <c r="F416" s="173" t="n">
        <v>4</v>
      </c>
      <c r="S416" s="167" t="n">
        <v>1112.415127</v>
      </c>
      <c r="T416" s="111" t="s">
        <v>246</v>
      </c>
      <c r="Y416" s="167" t="n">
        <v>518.36</v>
      </c>
      <c r="Z416" s="111" t="s">
        <v>246</v>
      </c>
      <c r="AA416" s="167" t="n">
        <v>50071.31</v>
      </c>
      <c r="AB416" s="111" t="s">
        <v>246</v>
      </c>
      <c r="AC416" s="164" t="n">
        <v>23.74</v>
      </c>
      <c r="AD416" s="111" t="s">
        <v>246</v>
      </c>
      <c r="AG416" s="167" t="n">
        <v>4.74</v>
      </c>
      <c r="AH416" s="111" t="s">
        <v>246</v>
      </c>
      <c r="AM416" s="167"/>
      <c r="BS416" s="167" t="n">
        <v>46.85</v>
      </c>
      <c r="BT416" s="111" t="s">
        <v>246</v>
      </c>
      <c r="BU416" s="164" t="n">
        <v>21.83</v>
      </c>
      <c r="BV416" s="111" t="s">
        <v>246</v>
      </c>
    </row>
    <row r="417" customFormat="false" ht="12.75" hidden="false" customHeight="false" outlineLevel="0" collapsed="false">
      <c r="A417" s="162" t="s">
        <v>521</v>
      </c>
      <c r="B417" s="172" t="s">
        <v>668</v>
      </c>
      <c r="C417" s="172" t="s">
        <v>762</v>
      </c>
      <c r="D417" s="172"/>
      <c r="E417" s="106" t="n">
        <v>4</v>
      </c>
      <c r="F417" s="173" t="n">
        <v>45</v>
      </c>
      <c r="S417" s="167" t="n">
        <v>1158.761246</v>
      </c>
      <c r="T417" s="111" t="s">
        <v>246</v>
      </c>
      <c r="Y417" s="167" t="n">
        <v>640.13</v>
      </c>
      <c r="Z417" s="111" t="s">
        <v>246</v>
      </c>
      <c r="AA417" s="167" t="n">
        <v>56772.52</v>
      </c>
      <c r="AB417" s="111" t="s">
        <v>246</v>
      </c>
      <c r="AC417" s="164" t="n">
        <v>26.5</v>
      </c>
      <c r="AD417" s="111" t="s">
        <v>246</v>
      </c>
      <c r="AG417" s="167" t="n">
        <v>4.67</v>
      </c>
      <c r="AH417" s="111" t="s">
        <v>246</v>
      </c>
      <c r="AM417" s="167"/>
      <c r="BS417" s="167" t="n">
        <v>43.72</v>
      </c>
      <c r="BT417" s="111" t="s">
        <v>246</v>
      </c>
      <c r="BU417" s="164" t="n">
        <v>24.15</v>
      </c>
      <c r="BV417" s="111" t="s">
        <v>246</v>
      </c>
    </row>
    <row r="418" customFormat="false" ht="12.75" hidden="false" customHeight="false" outlineLevel="0" collapsed="false">
      <c r="A418" s="162" t="s">
        <v>523</v>
      </c>
      <c r="B418" s="172" t="s">
        <v>665</v>
      </c>
      <c r="C418" s="172" t="s">
        <v>758</v>
      </c>
      <c r="D418" s="172"/>
      <c r="E418" s="106" t="n">
        <v>8</v>
      </c>
      <c r="F418" s="173" t="n">
        <v>14</v>
      </c>
      <c r="S418" s="167" t="n">
        <v>1376.017851</v>
      </c>
      <c r="T418" s="111" t="s">
        <v>246</v>
      </c>
      <c r="Y418" s="167" t="n">
        <v>587.45</v>
      </c>
      <c r="Z418" s="111" t="s">
        <v>246</v>
      </c>
      <c r="AA418" s="167" t="n">
        <v>54685.48</v>
      </c>
      <c r="AB418" s="111" t="s">
        <v>246</v>
      </c>
      <c r="AC418" s="164" t="n">
        <v>28.39</v>
      </c>
      <c r="AD418" s="111" t="s">
        <v>246</v>
      </c>
      <c r="AG418" s="167" t="n">
        <v>5.19</v>
      </c>
      <c r="AH418" s="111" t="s">
        <v>246</v>
      </c>
      <c r="AM418" s="167"/>
      <c r="BS418" s="167" t="n">
        <v>48.47</v>
      </c>
      <c r="BT418" s="111" t="s">
        <v>246</v>
      </c>
      <c r="BU418" s="164" t="n">
        <v>20.69</v>
      </c>
      <c r="BV418" s="111" t="s">
        <v>246</v>
      </c>
    </row>
    <row r="419" customFormat="false" ht="12.75" hidden="false" customHeight="false" outlineLevel="0" collapsed="false">
      <c r="A419" s="162" t="s">
        <v>523</v>
      </c>
      <c r="B419" s="172" t="s">
        <v>668</v>
      </c>
      <c r="C419" s="172" t="s">
        <v>758</v>
      </c>
      <c r="D419" s="172"/>
      <c r="E419" s="106" t="n">
        <v>11</v>
      </c>
      <c r="F419" s="173" t="n">
        <v>24</v>
      </c>
      <c r="S419" s="167" t="n">
        <v>1573.537453</v>
      </c>
      <c r="T419" s="111" t="s">
        <v>246</v>
      </c>
      <c r="Y419" s="167" t="n">
        <v>719.12</v>
      </c>
      <c r="Z419" s="111" t="s">
        <v>246</v>
      </c>
      <c r="AA419" s="167" t="n">
        <v>60988.43</v>
      </c>
      <c r="AB419" s="111" t="s">
        <v>246</v>
      </c>
      <c r="AC419" s="164" t="n">
        <v>32.7</v>
      </c>
      <c r="AD419" s="111" t="s">
        <v>246</v>
      </c>
      <c r="AG419" s="167" t="n">
        <v>5.36</v>
      </c>
      <c r="AH419" s="111" t="s">
        <v>246</v>
      </c>
      <c r="AM419" s="167"/>
      <c r="BS419" s="167" t="n">
        <v>48.12</v>
      </c>
      <c r="BT419" s="111" t="s">
        <v>246</v>
      </c>
      <c r="BU419" s="164" t="n">
        <v>21.99</v>
      </c>
      <c r="BV419" s="111" t="s">
        <v>246</v>
      </c>
    </row>
    <row r="420" customFormat="false" ht="12.75" hidden="false" customHeight="false" outlineLevel="0" collapsed="false">
      <c r="A420" s="162" t="s">
        <v>523</v>
      </c>
      <c r="B420" s="172" t="s">
        <v>665</v>
      </c>
      <c r="C420" s="172" t="s">
        <v>760</v>
      </c>
      <c r="D420" s="172"/>
      <c r="E420" s="106" t="n">
        <v>11</v>
      </c>
      <c r="F420" s="173" t="n">
        <v>44</v>
      </c>
      <c r="S420" s="167" t="n">
        <v>1377.842094</v>
      </c>
      <c r="T420" s="111" t="s">
        <v>246</v>
      </c>
      <c r="Y420" s="167" t="n">
        <v>597.42</v>
      </c>
      <c r="Z420" s="111" t="s">
        <v>246</v>
      </c>
      <c r="AA420" s="167" t="n">
        <v>55646.82</v>
      </c>
      <c r="AB420" s="111" t="s">
        <v>246</v>
      </c>
      <c r="AC420" s="164" t="n">
        <v>28.16</v>
      </c>
      <c r="AD420" s="111" t="s">
        <v>246</v>
      </c>
      <c r="AG420" s="167" t="n">
        <v>5.06</v>
      </c>
      <c r="AH420" s="111" t="s">
        <v>246</v>
      </c>
      <c r="AM420" s="167"/>
      <c r="BS420" s="167" t="n">
        <v>48.93</v>
      </c>
      <c r="BT420" s="111" t="s">
        <v>246</v>
      </c>
      <c r="BU420" s="164" t="n">
        <v>21.21</v>
      </c>
      <c r="BV420" s="111" t="s">
        <v>246</v>
      </c>
    </row>
    <row r="421" customFormat="false" ht="12.75" hidden="false" customHeight="false" outlineLevel="0" collapsed="false">
      <c r="A421" s="162" t="s">
        <v>523</v>
      </c>
      <c r="B421" s="172" t="s">
        <v>668</v>
      </c>
      <c r="C421" s="172" t="s">
        <v>760</v>
      </c>
      <c r="D421" s="172"/>
      <c r="E421" s="106" t="n">
        <v>16</v>
      </c>
      <c r="F421" s="173" t="n">
        <v>37</v>
      </c>
      <c r="S421" s="167" t="n">
        <v>1355.235538</v>
      </c>
      <c r="T421" s="111" t="s">
        <v>246</v>
      </c>
      <c r="Y421" s="167" t="n">
        <v>613.41</v>
      </c>
      <c r="Z421" s="111" t="s">
        <v>246</v>
      </c>
      <c r="AA421" s="167" t="n">
        <v>51216.54</v>
      </c>
      <c r="AB421" s="111" t="s">
        <v>246</v>
      </c>
      <c r="AC421" s="164" t="n">
        <v>28.29</v>
      </c>
      <c r="AD421" s="111" t="s">
        <v>246</v>
      </c>
      <c r="AG421" s="167" t="n">
        <v>5.52</v>
      </c>
      <c r="AH421" s="111" t="s">
        <v>246</v>
      </c>
      <c r="AM421" s="167"/>
      <c r="BS421" s="167" t="n">
        <v>47.9</v>
      </c>
      <c r="BT421" s="111" t="s">
        <v>246</v>
      </c>
      <c r="BU421" s="164" t="n">
        <v>21.68</v>
      </c>
      <c r="BV421" s="111" t="s">
        <v>246</v>
      </c>
    </row>
    <row r="422" customFormat="false" ht="12.75" hidden="false" customHeight="false" outlineLevel="0" collapsed="false">
      <c r="A422" s="162" t="s">
        <v>523</v>
      </c>
      <c r="B422" s="172" t="s">
        <v>665</v>
      </c>
      <c r="C422" s="172" t="s">
        <v>761</v>
      </c>
      <c r="D422" s="172"/>
      <c r="E422" s="106" t="n">
        <v>15</v>
      </c>
      <c r="F422" s="173" t="n">
        <v>9</v>
      </c>
      <c r="S422" s="167" t="n">
        <v>1343.786112</v>
      </c>
      <c r="T422" s="111" t="s">
        <v>246</v>
      </c>
      <c r="Y422" s="167" t="n">
        <v>593.88</v>
      </c>
      <c r="Z422" s="111" t="s">
        <v>246</v>
      </c>
      <c r="AA422" s="167" t="n">
        <v>56842.73</v>
      </c>
      <c r="AB422" s="111" t="s">
        <v>246</v>
      </c>
      <c r="AC422" s="164" t="n">
        <v>28.15</v>
      </c>
      <c r="AD422" s="111" t="s">
        <v>246</v>
      </c>
      <c r="AG422" s="167" t="n">
        <v>4.95</v>
      </c>
      <c r="AH422" s="111" t="s">
        <v>246</v>
      </c>
      <c r="AM422" s="167"/>
      <c r="BS422" s="167" t="n">
        <v>47.74</v>
      </c>
      <c r="BT422" s="111" t="s">
        <v>246</v>
      </c>
      <c r="BU422" s="164" t="n">
        <v>21.1</v>
      </c>
      <c r="BV422" s="111" t="s">
        <v>246</v>
      </c>
    </row>
    <row r="423" customFormat="false" ht="12.75" hidden="false" customHeight="false" outlineLevel="0" collapsed="false">
      <c r="A423" s="162" t="s">
        <v>523</v>
      </c>
      <c r="B423" s="172" t="s">
        <v>668</v>
      </c>
      <c r="C423" s="172" t="s">
        <v>761</v>
      </c>
      <c r="D423" s="172"/>
      <c r="E423" s="106" t="n">
        <v>21</v>
      </c>
      <c r="F423" s="173" t="n">
        <v>3</v>
      </c>
      <c r="S423" s="167" t="n">
        <v>1329.169901</v>
      </c>
      <c r="T423" s="111" t="s">
        <v>246</v>
      </c>
      <c r="Y423" s="167" t="n">
        <v>639.82</v>
      </c>
      <c r="Z423" s="111" t="s">
        <v>246</v>
      </c>
      <c r="AA423" s="167" t="n">
        <v>56520.8</v>
      </c>
      <c r="AB423" s="111" t="s">
        <v>246</v>
      </c>
      <c r="AC423" s="164" t="n">
        <v>28.29</v>
      </c>
      <c r="AD423" s="111" t="s">
        <v>246</v>
      </c>
      <c r="AG423" s="167" t="n">
        <v>5.01</v>
      </c>
      <c r="AH423" s="111" t="s">
        <v>246</v>
      </c>
      <c r="AM423" s="167"/>
      <c r="BS423" s="167" t="n">
        <v>46.98</v>
      </c>
      <c r="BT423" s="111" t="s">
        <v>246</v>
      </c>
      <c r="BU423" s="164" t="n">
        <v>22.62</v>
      </c>
      <c r="BV423" s="111" t="s">
        <v>246</v>
      </c>
    </row>
    <row r="424" customFormat="false" ht="12.75" hidden="false" customHeight="false" outlineLevel="0" collapsed="false">
      <c r="A424" s="162" t="s">
        <v>523</v>
      </c>
      <c r="B424" s="172" t="s">
        <v>665</v>
      </c>
      <c r="C424" s="172" t="s">
        <v>762</v>
      </c>
      <c r="D424" s="172"/>
      <c r="E424" s="106" t="n">
        <v>2</v>
      </c>
      <c r="F424" s="173" t="n">
        <v>15</v>
      </c>
      <c r="S424" s="167" t="n">
        <v>1375.34713</v>
      </c>
      <c r="T424" s="111" t="s">
        <v>246</v>
      </c>
      <c r="Y424" s="167" t="n">
        <v>636.82</v>
      </c>
      <c r="Z424" s="111" t="s">
        <v>246</v>
      </c>
      <c r="AA424" s="167" t="n">
        <v>60777.2</v>
      </c>
      <c r="AB424" s="111" t="s">
        <v>246</v>
      </c>
      <c r="AC424" s="164" t="n">
        <v>29.28</v>
      </c>
      <c r="AD424" s="111" t="s">
        <v>246</v>
      </c>
      <c r="AG424" s="167" t="n">
        <v>4.82</v>
      </c>
      <c r="AH424" s="111" t="s">
        <v>246</v>
      </c>
      <c r="AM424" s="167"/>
      <c r="BS424" s="167" t="n">
        <v>46.97</v>
      </c>
      <c r="BT424" s="111" t="s">
        <v>246</v>
      </c>
      <c r="BU424" s="164" t="n">
        <v>21.75</v>
      </c>
      <c r="BV424" s="111" t="s">
        <v>246</v>
      </c>
    </row>
    <row r="425" customFormat="false" ht="12.75" hidden="false" customHeight="false" outlineLevel="0" collapsed="false">
      <c r="A425" s="162" t="s">
        <v>523</v>
      </c>
      <c r="B425" s="172" t="s">
        <v>668</v>
      </c>
      <c r="C425" s="172" t="s">
        <v>762</v>
      </c>
      <c r="D425" s="172"/>
      <c r="E425" s="106" t="n">
        <v>2</v>
      </c>
      <c r="F425" s="173" t="n">
        <v>59</v>
      </c>
      <c r="S425" s="167" t="n">
        <v>1245.437052</v>
      </c>
      <c r="T425" s="111" t="s">
        <v>246</v>
      </c>
      <c r="Y425" s="167" t="n">
        <v>604.65</v>
      </c>
      <c r="Z425" s="111" t="s">
        <v>246</v>
      </c>
      <c r="AA425" s="167" t="n">
        <v>54275.15</v>
      </c>
      <c r="AB425" s="111" t="s">
        <v>246</v>
      </c>
      <c r="AC425" s="164" t="n">
        <v>26.52</v>
      </c>
      <c r="AD425" s="111" t="s">
        <v>246</v>
      </c>
      <c r="AG425" s="167" t="n">
        <v>4.89</v>
      </c>
      <c r="AH425" s="111" t="s">
        <v>246</v>
      </c>
      <c r="AM425" s="167"/>
      <c r="BS425" s="167" t="n">
        <v>46.97</v>
      </c>
      <c r="BT425" s="111" t="s">
        <v>246</v>
      </c>
      <c r="BU425" s="164" t="n">
        <v>22.8</v>
      </c>
      <c r="BV425" s="111" t="s">
        <v>246</v>
      </c>
    </row>
    <row r="426" customFormat="false" ht="12.75" hidden="false" customHeight="false" outlineLevel="0" collapsed="false">
      <c r="A426" s="162" t="s">
        <v>525</v>
      </c>
      <c r="B426" s="172" t="s">
        <v>665</v>
      </c>
      <c r="C426" s="172" t="s">
        <v>758</v>
      </c>
      <c r="D426" s="172"/>
      <c r="E426" s="106" t="n">
        <v>7</v>
      </c>
      <c r="F426" s="173" t="n">
        <v>26</v>
      </c>
      <c r="S426" s="167" t="n">
        <v>1569.141799</v>
      </c>
      <c r="T426" s="111" t="s">
        <v>246</v>
      </c>
      <c r="Y426" s="167" t="n">
        <v>704.32</v>
      </c>
      <c r="Z426" s="111" t="s">
        <v>246</v>
      </c>
      <c r="AA426" s="167" t="n">
        <v>63850.4</v>
      </c>
      <c r="AB426" s="111" t="s">
        <v>246</v>
      </c>
      <c r="AC426" s="164" t="n">
        <v>33.01</v>
      </c>
      <c r="AD426" s="111" t="s">
        <v>246</v>
      </c>
      <c r="AG426" s="167" t="n">
        <v>5.17</v>
      </c>
      <c r="AH426" s="111" t="s">
        <v>246</v>
      </c>
      <c r="AM426" s="167"/>
      <c r="BS426" s="167" t="n">
        <v>47.53</v>
      </c>
      <c r="BT426" s="111" t="s">
        <v>246</v>
      </c>
      <c r="BU426" s="164" t="n">
        <v>21.34</v>
      </c>
      <c r="BV426" s="111" t="s">
        <v>246</v>
      </c>
    </row>
    <row r="427" customFormat="false" ht="12.75" hidden="false" customHeight="false" outlineLevel="0" collapsed="false">
      <c r="A427" s="162" t="s">
        <v>525</v>
      </c>
      <c r="B427" s="172" t="s">
        <v>668</v>
      </c>
      <c r="C427" s="172" t="s">
        <v>758</v>
      </c>
      <c r="D427" s="172"/>
      <c r="E427" s="106" t="n">
        <v>12</v>
      </c>
      <c r="F427" s="173" t="n">
        <v>24</v>
      </c>
      <c r="S427" s="167" t="n">
        <v>1379.539312</v>
      </c>
      <c r="T427" s="111" t="s">
        <v>246</v>
      </c>
      <c r="Y427" s="167" t="n">
        <v>686.99</v>
      </c>
      <c r="Z427" s="111" t="s">
        <v>246</v>
      </c>
      <c r="AA427" s="167" t="n">
        <v>58825.2</v>
      </c>
      <c r="AB427" s="111" t="s">
        <v>246</v>
      </c>
      <c r="AC427" s="164" t="n">
        <v>30.06</v>
      </c>
      <c r="AD427" s="111" t="s">
        <v>246</v>
      </c>
      <c r="AG427" s="167" t="n">
        <v>5.11</v>
      </c>
      <c r="AH427" s="111" t="s">
        <v>246</v>
      </c>
      <c r="AM427" s="167"/>
      <c r="BS427" s="167" t="n">
        <v>45.89</v>
      </c>
      <c r="BT427" s="111" t="s">
        <v>246</v>
      </c>
      <c r="BU427" s="164" t="n">
        <v>22.85</v>
      </c>
      <c r="BV427" s="111" t="s">
        <v>246</v>
      </c>
    </row>
    <row r="428" customFormat="false" ht="12.75" hidden="false" customHeight="false" outlineLevel="0" collapsed="false">
      <c r="A428" s="162" t="s">
        <v>525</v>
      </c>
      <c r="B428" s="172" t="s">
        <v>665</v>
      </c>
      <c r="C428" s="172" t="s">
        <v>760</v>
      </c>
      <c r="D428" s="172"/>
      <c r="E428" s="106" t="n">
        <v>10</v>
      </c>
      <c r="F428" s="173" t="n">
        <v>53</v>
      </c>
      <c r="S428" s="167" t="n">
        <v>1417.589048</v>
      </c>
      <c r="T428" s="111" t="s">
        <v>246</v>
      </c>
      <c r="Y428" s="167" t="n">
        <v>628.35</v>
      </c>
      <c r="Z428" s="111" t="s">
        <v>246</v>
      </c>
      <c r="AA428" s="167" t="n">
        <v>58496.05</v>
      </c>
      <c r="AB428" s="111" t="s">
        <v>246</v>
      </c>
      <c r="AC428" s="164" t="n">
        <v>30.11</v>
      </c>
      <c r="AD428" s="111" t="s">
        <v>246</v>
      </c>
      <c r="AG428" s="167" t="n">
        <v>5.15</v>
      </c>
      <c r="AH428" s="111" t="s">
        <v>246</v>
      </c>
      <c r="AM428" s="167"/>
      <c r="BS428" s="167" t="n">
        <v>47.08</v>
      </c>
      <c r="BT428" s="111" t="s">
        <v>246</v>
      </c>
      <c r="BU428" s="164" t="n">
        <v>20.87</v>
      </c>
      <c r="BV428" s="111" t="s">
        <v>246</v>
      </c>
    </row>
    <row r="429" customFormat="false" ht="12.75" hidden="false" customHeight="false" outlineLevel="0" collapsed="false">
      <c r="A429" s="162" t="s">
        <v>525</v>
      </c>
      <c r="B429" s="172" t="s">
        <v>668</v>
      </c>
      <c r="C429" s="172" t="s">
        <v>760</v>
      </c>
      <c r="D429" s="172"/>
      <c r="E429" s="106" t="n">
        <v>14</v>
      </c>
      <c r="F429" s="173" t="n">
        <v>33</v>
      </c>
      <c r="S429" s="167" t="n">
        <v>1521.101712</v>
      </c>
      <c r="T429" s="111" t="s">
        <v>246</v>
      </c>
      <c r="Y429" s="167" t="n">
        <v>681.91</v>
      </c>
      <c r="Z429" s="111" t="s">
        <v>246</v>
      </c>
      <c r="AA429" s="167" t="n">
        <v>64340.33</v>
      </c>
      <c r="AB429" s="111" t="s">
        <v>246</v>
      </c>
      <c r="AC429" s="164" t="n">
        <v>32.03</v>
      </c>
      <c r="AD429" s="111" t="s">
        <v>246</v>
      </c>
      <c r="AG429" s="167" t="n">
        <v>4.98</v>
      </c>
      <c r="AH429" s="111" t="s">
        <v>246</v>
      </c>
      <c r="AM429" s="167"/>
      <c r="BS429" s="167" t="n">
        <v>47.49</v>
      </c>
      <c r="BT429" s="111" t="s">
        <v>246</v>
      </c>
      <c r="BU429" s="164" t="n">
        <v>21.29</v>
      </c>
      <c r="BV429" s="111" t="s">
        <v>246</v>
      </c>
    </row>
    <row r="430" customFormat="false" ht="12.75" hidden="false" customHeight="false" outlineLevel="0" collapsed="false">
      <c r="A430" s="162" t="s">
        <v>525</v>
      </c>
      <c r="B430" s="172" t="s">
        <v>665</v>
      </c>
      <c r="C430" s="172" t="s">
        <v>761</v>
      </c>
      <c r="D430" s="172"/>
      <c r="E430" s="106" t="n">
        <v>15</v>
      </c>
      <c r="F430" s="173" t="n">
        <v>2</v>
      </c>
      <c r="S430" s="167" t="n">
        <v>1429.564887</v>
      </c>
      <c r="T430" s="111" t="s">
        <v>246</v>
      </c>
      <c r="Y430" s="167" t="n">
        <v>671.51</v>
      </c>
      <c r="Z430" s="111" t="s">
        <v>246</v>
      </c>
      <c r="AA430" s="167" t="n">
        <v>61696.66</v>
      </c>
      <c r="AB430" s="111" t="s">
        <v>246</v>
      </c>
      <c r="AC430" s="164" t="n">
        <v>30.92</v>
      </c>
      <c r="AD430" s="111" t="s">
        <v>246</v>
      </c>
      <c r="AG430" s="167" t="n">
        <v>5.01</v>
      </c>
      <c r="AH430" s="111" t="s">
        <v>246</v>
      </c>
      <c r="AM430" s="167"/>
      <c r="BS430" s="167" t="n">
        <v>46.24</v>
      </c>
      <c r="BT430" s="111" t="s">
        <v>246</v>
      </c>
      <c r="BU430" s="164" t="n">
        <v>21.72</v>
      </c>
      <c r="BV430" s="111" t="s">
        <v>246</v>
      </c>
    </row>
    <row r="431" customFormat="false" ht="12.75" hidden="false" customHeight="false" outlineLevel="0" collapsed="false">
      <c r="A431" s="162" t="s">
        <v>525</v>
      </c>
      <c r="B431" s="172" t="s">
        <v>668</v>
      </c>
      <c r="C431" s="172" t="s">
        <v>761</v>
      </c>
      <c r="D431" s="172"/>
      <c r="E431" s="106" t="n">
        <v>18</v>
      </c>
      <c r="F431" s="173" t="n">
        <v>21</v>
      </c>
      <c r="S431" s="167" t="n">
        <v>1338.824269</v>
      </c>
      <c r="T431" s="111" t="s">
        <v>246</v>
      </c>
      <c r="Y431" s="167" t="n">
        <v>591.34</v>
      </c>
      <c r="Z431" s="111" t="s">
        <v>246</v>
      </c>
      <c r="AA431" s="167" t="n">
        <v>58300.24</v>
      </c>
      <c r="AB431" s="111" t="s">
        <v>246</v>
      </c>
      <c r="AC431" s="164" t="n">
        <v>28.09</v>
      </c>
      <c r="AD431" s="111" t="s">
        <v>246</v>
      </c>
      <c r="AG431" s="167" t="n">
        <v>4.82</v>
      </c>
      <c r="AH431" s="111" t="s">
        <v>246</v>
      </c>
      <c r="AM431" s="167"/>
      <c r="BS431" s="167" t="n">
        <v>47.66</v>
      </c>
      <c r="BT431" s="111" t="s">
        <v>246</v>
      </c>
      <c r="BU431" s="164" t="n">
        <v>21.05</v>
      </c>
      <c r="BV431" s="111" t="s">
        <v>246</v>
      </c>
    </row>
    <row r="432" customFormat="false" ht="12.75" hidden="false" customHeight="false" outlineLevel="0" collapsed="false">
      <c r="A432" s="162" t="s">
        <v>525</v>
      </c>
      <c r="B432" s="172" t="s">
        <v>665</v>
      </c>
      <c r="C432" s="172" t="s">
        <v>762</v>
      </c>
      <c r="D432" s="172"/>
      <c r="E432" s="106" t="n">
        <v>3</v>
      </c>
      <c r="F432" s="173" t="n">
        <v>26</v>
      </c>
      <c r="S432" s="167" t="n">
        <v>1566.997275</v>
      </c>
      <c r="T432" s="111" t="s">
        <v>246</v>
      </c>
      <c r="Y432" s="167" t="n">
        <v>679.56</v>
      </c>
      <c r="Z432" s="111" t="s">
        <v>246</v>
      </c>
      <c r="AA432" s="167" t="n">
        <v>65796.1</v>
      </c>
      <c r="AB432" s="111" t="s">
        <v>246</v>
      </c>
      <c r="AC432" s="164" t="n">
        <v>33.36</v>
      </c>
      <c r="AD432" s="111" t="s">
        <v>246</v>
      </c>
      <c r="AG432" s="167" t="n">
        <v>5.07</v>
      </c>
      <c r="AH432" s="111" t="s">
        <v>246</v>
      </c>
      <c r="AM432" s="167"/>
      <c r="BS432" s="167" t="n">
        <v>46.97</v>
      </c>
      <c r="BT432" s="111" t="s">
        <v>246</v>
      </c>
      <c r="BU432" s="164" t="n">
        <v>20.37</v>
      </c>
      <c r="BV432" s="111" t="s">
        <v>246</v>
      </c>
    </row>
    <row r="433" customFormat="false" ht="12.75" hidden="false" customHeight="false" outlineLevel="0" collapsed="false">
      <c r="A433" s="162" t="s">
        <v>525</v>
      </c>
      <c r="B433" s="172" t="s">
        <v>668</v>
      </c>
      <c r="C433" s="172" t="s">
        <v>762</v>
      </c>
      <c r="D433" s="172"/>
      <c r="E433" s="106" t="n">
        <v>3</v>
      </c>
      <c r="F433" s="173" t="n">
        <v>51</v>
      </c>
      <c r="S433" s="167" t="n">
        <v>1120.274531</v>
      </c>
      <c r="T433" s="111" t="s">
        <v>246</v>
      </c>
      <c r="Y433" s="167" t="n">
        <v>592.1</v>
      </c>
      <c r="Z433" s="111" t="s">
        <v>246</v>
      </c>
      <c r="AA433" s="167" t="n">
        <v>55711.59</v>
      </c>
      <c r="AB433" s="111" t="s">
        <v>246</v>
      </c>
      <c r="AC433" s="164" t="n">
        <v>25.28</v>
      </c>
      <c r="AD433" s="111" t="s">
        <v>246</v>
      </c>
      <c r="AG433" s="167" t="n">
        <v>4.54</v>
      </c>
      <c r="AH433" s="111" t="s">
        <v>246</v>
      </c>
      <c r="AM433" s="167"/>
      <c r="BS433" s="167" t="n">
        <v>44.32</v>
      </c>
      <c r="BT433" s="111" t="s">
        <v>246</v>
      </c>
      <c r="BU433" s="164" t="n">
        <v>23.42</v>
      </c>
      <c r="BV433" s="111" t="s">
        <v>246</v>
      </c>
    </row>
    <row r="434" customFormat="false" ht="12.75" hidden="false" customHeight="false" outlineLevel="0" collapsed="false">
      <c r="A434" s="162" t="s">
        <v>527</v>
      </c>
      <c r="B434" s="172" t="s">
        <v>665</v>
      </c>
      <c r="C434" s="172" t="s">
        <v>758</v>
      </c>
      <c r="D434" s="172"/>
      <c r="E434" s="106" t="n">
        <v>5</v>
      </c>
      <c r="F434" s="173" t="n">
        <v>17</v>
      </c>
      <c r="S434" s="167" t="n">
        <v>1432.762409</v>
      </c>
      <c r="T434" s="111" t="s">
        <v>246</v>
      </c>
      <c r="Y434" s="167" t="n">
        <v>645.62</v>
      </c>
      <c r="Z434" s="111" t="s">
        <v>246</v>
      </c>
      <c r="AA434" s="167" t="n">
        <v>59895.25</v>
      </c>
      <c r="AB434" s="111" t="s">
        <v>246</v>
      </c>
      <c r="AC434" s="164" t="n">
        <v>29.46</v>
      </c>
      <c r="AD434" s="111" t="s">
        <v>246</v>
      </c>
      <c r="AG434" s="167" t="n">
        <v>4.92</v>
      </c>
      <c r="AH434" s="111" t="s">
        <v>246</v>
      </c>
      <c r="AM434" s="167"/>
      <c r="BS434" s="167" t="n">
        <v>48.63</v>
      </c>
      <c r="BT434" s="111" t="s">
        <v>246</v>
      </c>
      <c r="BU434" s="164" t="n">
        <v>21.91</v>
      </c>
      <c r="BV434" s="111" t="s">
        <v>246</v>
      </c>
    </row>
    <row r="435" customFormat="false" ht="12.75" hidden="false" customHeight="false" outlineLevel="0" collapsed="false">
      <c r="A435" s="162" t="s">
        <v>527</v>
      </c>
      <c r="B435" s="172" t="s">
        <v>668</v>
      </c>
      <c r="C435" s="172" t="s">
        <v>758</v>
      </c>
      <c r="D435" s="172"/>
      <c r="E435" s="106" t="n">
        <v>10</v>
      </c>
      <c r="F435" s="173" t="n">
        <v>8</v>
      </c>
      <c r="S435" s="167" t="n">
        <v>1844.598602</v>
      </c>
      <c r="T435" s="111" t="s">
        <v>246</v>
      </c>
      <c r="Y435" s="167" t="n">
        <v>843.63</v>
      </c>
      <c r="Z435" s="111" t="s">
        <v>246</v>
      </c>
      <c r="AA435" s="167" t="n">
        <v>83740.26</v>
      </c>
      <c r="AB435" s="111" t="s">
        <v>246</v>
      </c>
      <c r="AC435" s="164" t="n">
        <v>37.99</v>
      </c>
      <c r="AD435" s="111" t="s">
        <v>246</v>
      </c>
      <c r="AG435" s="167" t="n">
        <v>4.54</v>
      </c>
      <c r="AH435" s="111" t="s">
        <v>246</v>
      </c>
      <c r="AM435" s="167"/>
      <c r="BS435" s="167" t="n">
        <v>48.56</v>
      </c>
      <c r="BT435" s="111" t="s">
        <v>246</v>
      </c>
      <c r="BU435" s="164" t="n">
        <v>22.21</v>
      </c>
      <c r="BV435" s="111" t="s">
        <v>246</v>
      </c>
    </row>
    <row r="436" customFormat="false" ht="12.75" hidden="false" customHeight="false" outlineLevel="0" collapsed="false">
      <c r="A436" s="162" t="s">
        <v>527</v>
      </c>
      <c r="B436" s="172" t="s">
        <v>665</v>
      </c>
      <c r="C436" s="172" t="s">
        <v>760</v>
      </c>
      <c r="D436" s="172"/>
      <c r="E436" s="106" t="n">
        <v>11</v>
      </c>
      <c r="F436" s="173" t="n">
        <v>55</v>
      </c>
      <c r="S436" s="167" t="n">
        <v>1489.505408</v>
      </c>
      <c r="T436" s="111" t="s">
        <v>246</v>
      </c>
      <c r="Y436" s="167" t="n">
        <v>630.85</v>
      </c>
      <c r="Z436" s="111" t="s">
        <v>246</v>
      </c>
      <c r="AA436" s="167" t="n">
        <v>63181.43</v>
      </c>
      <c r="AB436" s="111" t="s">
        <v>246</v>
      </c>
      <c r="AC436" s="164" t="n">
        <v>30.25</v>
      </c>
      <c r="AD436" s="111" t="s">
        <v>246</v>
      </c>
      <c r="AG436" s="167" t="n">
        <v>4.79</v>
      </c>
      <c r="AH436" s="111" t="s">
        <v>246</v>
      </c>
      <c r="AM436" s="167"/>
      <c r="BS436" s="167" t="n">
        <v>49.24</v>
      </c>
      <c r="BT436" s="111" t="s">
        <v>246</v>
      </c>
      <c r="BU436" s="164" t="n">
        <v>20.85</v>
      </c>
      <c r="BV436" s="111" t="s">
        <v>246</v>
      </c>
    </row>
    <row r="437" customFormat="false" ht="12.75" hidden="false" customHeight="false" outlineLevel="0" collapsed="false">
      <c r="A437" s="162" t="s">
        <v>527</v>
      </c>
      <c r="B437" s="172" t="s">
        <v>668</v>
      </c>
      <c r="C437" s="172" t="s">
        <v>760</v>
      </c>
      <c r="D437" s="172"/>
      <c r="E437" s="106" t="n">
        <v>13</v>
      </c>
      <c r="F437" s="173" t="n">
        <v>63</v>
      </c>
      <c r="S437" s="167" t="n">
        <v>1393.968605</v>
      </c>
      <c r="T437" s="111" t="s">
        <v>246</v>
      </c>
      <c r="Y437" s="167" t="n">
        <v>654.03</v>
      </c>
      <c r="Z437" s="111" t="s">
        <v>246</v>
      </c>
      <c r="AA437" s="167" t="n">
        <v>64553.12</v>
      </c>
      <c r="AB437" s="111" t="s">
        <v>246</v>
      </c>
      <c r="AC437" s="164" t="n">
        <v>29.28</v>
      </c>
      <c r="AD437" s="111" t="s">
        <v>246</v>
      </c>
      <c r="AG437" s="167" t="n">
        <v>4.54</v>
      </c>
      <c r="AH437" s="111" t="s">
        <v>246</v>
      </c>
      <c r="AM437" s="167"/>
      <c r="BS437" s="167" t="n">
        <v>47.61</v>
      </c>
      <c r="BT437" s="111" t="s">
        <v>246</v>
      </c>
      <c r="BU437" s="164" t="n">
        <v>22.34</v>
      </c>
      <c r="BV437" s="111" t="s">
        <v>246</v>
      </c>
    </row>
    <row r="438" customFormat="false" ht="12.75" hidden="false" customHeight="false" outlineLevel="0" collapsed="false">
      <c r="A438" s="162" t="s">
        <v>527</v>
      </c>
      <c r="B438" s="172" t="s">
        <v>665</v>
      </c>
      <c r="C438" s="172" t="s">
        <v>761</v>
      </c>
      <c r="D438" s="172"/>
      <c r="E438" s="106" t="n">
        <v>15</v>
      </c>
      <c r="F438" s="173" t="n">
        <v>13</v>
      </c>
      <c r="S438" s="167" t="n">
        <v>1424.141295</v>
      </c>
      <c r="T438" s="111" t="s">
        <v>246</v>
      </c>
      <c r="Y438" s="167" t="n">
        <v>668.14</v>
      </c>
      <c r="Z438" s="111" t="s">
        <v>246</v>
      </c>
      <c r="AA438" s="167" t="n">
        <v>62977.32</v>
      </c>
      <c r="AB438" s="111" t="s">
        <v>246</v>
      </c>
      <c r="AC438" s="164" t="n">
        <v>29.87</v>
      </c>
      <c r="AD438" s="111" t="s">
        <v>246</v>
      </c>
      <c r="AG438" s="167" t="n">
        <v>4.74</v>
      </c>
      <c r="AH438" s="111" t="s">
        <v>246</v>
      </c>
      <c r="AM438" s="167"/>
      <c r="BS438" s="167" t="n">
        <v>47.67</v>
      </c>
      <c r="BT438" s="111" t="s">
        <v>246</v>
      </c>
      <c r="BU438" s="164" t="n">
        <v>22.37</v>
      </c>
      <c r="BV438" s="111" t="s">
        <v>246</v>
      </c>
    </row>
    <row r="439" customFormat="false" ht="12.75" hidden="false" customHeight="false" outlineLevel="0" collapsed="false">
      <c r="A439" s="162" t="s">
        <v>527</v>
      </c>
      <c r="B439" s="172" t="s">
        <v>668</v>
      </c>
      <c r="C439" s="172" t="s">
        <v>761</v>
      </c>
      <c r="D439" s="172"/>
      <c r="E439" s="106" t="n">
        <v>17</v>
      </c>
      <c r="F439" s="173" t="n">
        <v>13</v>
      </c>
      <c r="S439" s="167" t="n">
        <v>1378.185658</v>
      </c>
      <c r="T439" s="111" t="s">
        <v>246</v>
      </c>
      <c r="Y439" s="167" t="n">
        <v>705.99</v>
      </c>
      <c r="Z439" s="111" t="s">
        <v>246</v>
      </c>
      <c r="AA439" s="167" t="n">
        <v>68406.2</v>
      </c>
      <c r="AB439" s="111" t="s">
        <v>246</v>
      </c>
      <c r="AC439" s="164" t="n">
        <v>29.88</v>
      </c>
      <c r="AD439" s="111" t="s">
        <v>246</v>
      </c>
      <c r="AG439" s="167" t="n">
        <v>4.37</v>
      </c>
      <c r="AH439" s="111" t="s">
        <v>246</v>
      </c>
      <c r="AM439" s="167"/>
      <c r="BS439" s="167" t="n">
        <v>46.13</v>
      </c>
      <c r="BT439" s="111" t="s">
        <v>246</v>
      </c>
      <c r="BU439" s="164" t="n">
        <v>23.63</v>
      </c>
      <c r="BV439" s="111" t="s">
        <v>246</v>
      </c>
    </row>
    <row r="440" customFormat="false" ht="12.75" hidden="false" customHeight="false" outlineLevel="0" collapsed="false">
      <c r="A440" s="162" t="s">
        <v>527</v>
      </c>
      <c r="B440" s="172" t="s">
        <v>665</v>
      </c>
      <c r="C440" s="172" t="s">
        <v>762</v>
      </c>
      <c r="D440" s="172"/>
      <c r="E440" s="106" t="n">
        <v>2</v>
      </c>
      <c r="F440" s="173" t="n">
        <v>4</v>
      </c>
      <c r="S440" s="167" t="n">
        <v>1455.372305</v>
      </c>
      <c r="T440" s="111" t="s">
        <v>246</v>
      </c>
      <c r="Y440" s="167" t="n">
        <v>659</v>
      </c>
      <c r="Z440" s="111" t="s">
        <v>246</v>
      </c>
      <c r="AA440" s="167" t="n">
        <v>71242.47</v>
      </c>
      <c r="AB440" s="111" t="s">
        <v>246</v>
      </c>
      <c r="AC440" s="164" t="n">
        <v>30.15</v>
      </c>
      <c r="AD440" s="111" t="s">
        <v>246</v>
      </c>
      <c r="AG440" s="167" t="n">
        <v>4.23</v>
      </c>
      <c r="AH440" s="111" t="s">
        <v>246</v>
      </c>
      <c r="AM440" s="167"/>
      <c r="BS440" s="167" t="n">
        <v>48.27</v>
      </c>
      <c r="BT440" s="111" t="s">
        <v>246</v>
      </c>
      <c r="BU440" s="164" t="n">
        <v>21.85</v>
      </c>
      <c r="BV440" s="111" t="s">
        <v>246</v>
      </c>
    </row>
    <row r="441" customFormat="false" ht="12.75" hidden="false" customHeight="false" outlineLevel="0" collapsed="false">
      <c r="A441" s="162" t="s">
        <v>527</v>
      </c>
      <c r="B441" s="172" t="s">
        <v>668</v>
      </c>
      <c r="C441" s="172" t="s">
        <v>762</v>
      </c>
      <c r="D441" s="172"/>
      <c r="E441" s="106" t="n">
        <v>2</v>
      </c>
      <c r="F441" s="173" t="n">
        <v>39</v>
      </c>
      <c r="S441" s="167" t="n">
        <v>1366.511472</v>
      </c>
      <c r="T441" s="111" t="s">
        <v>246</v>
      </c>
      <c r="Y441" s="167" t="n">
        <v>658.51</v>
      </c>
      <c r="Z441" s="111" t="s">
        <v>246</v>
      </c>
      <c r="AA441" s="167" t="n">
        <v>66235.29</v>
      </c>
      <c r="AB441" s="111" t="s">
        <v>246</v>
      </c>
      <c r="AC441" s="164" t="n">
        <v>29.09</v>
      </c>
      <c r="AD441" s="111" t="s">
        <v>246</v>
      </c>
      <c r="AG441" s="167" t="n">
        <v>4.39</v>
      </c>
      <c r="AH441" s="111" t="s">
        <v>246</v>
      </c>
      <c r="AM441" s="167"/>
      <c r="BS441" s="167" t="n">
        <v>46.98</v>
      </c>
      <c r="BT441" s="111" t="s">
        <v>246</v>
      </c>
      <c r="BU441" s="164" t="n">
        <v>22.64</v>
      </c>
      <c r="BV441" s="111" t="s">
        <v>246</v>
      </c>
    </row>
    <row r="442" customFormat="false" ht="12.75" hidden="false" customHeight="false" outlineLevel="0" collapsed="false">
      <c r="A442" s="162" t="s">
        <v>529</v>
      </c>
      <c r="B442" s="172" t="s">
        <v>665</v>
      </c>
      <c r="C442" s="172" t="s">
        <v>758</v>
      </c>
      <c r="D442" s="172"/>
      <c r="E442" s="106" t="n">
        <v>6</v>
      </c>
      <c r="F442" s="173" t="n">
        <v>11</v>
      </c>
      <c r="S442" s="167" t="n">
        <v>1410.562524</v>
      </c>
      <c r="T442" s="111" t="s">
        <v>246</v>
      </c>
      <c r="Y442" s="167" t="n">
        <v>607.02</v>
      </c>
      <c r="Z442" s="111" t="s">
        <v>246</v>
      </c>
      <c r="AA442" s="167" t="n">
        <v>58388.61</v>
      </c>
      <c r="AB442" s="111" t="s">
        <v>246</v>
      </c>
      <c r="AC442" s="164" t="n">
        <v>29.1</v>
      </c>
      <c r="AD442" s="111" t="s">
        <v>246</v>
      </c>
      <c r="AG442" s="167" t="n">
        <v>4.98</v>
      </c>
      <c r="AH442" s="111" t="s">
        <v>246</v>
      </c>
      <c r="AM442" s="167"/>
      <c r="BS442" s="167" t="n">
        <v>48.47</v>
      </c>
      <c r="BT442" s="111" t="s">
        <v>246</v>
      </c>
      <c r="BU442" s="164" t="n">
        <v>20.86</v>
      </c>
      <c r="BV442" s="111" t="s">
        <v>246</v>
      </c>
    </row>
    <row r="443" customFormat="false" ht="12.75" hidden="false" customHeight="false" outlineLevel="0" collapsed="false">
      <c r="A443" s="162" t="s">
        <v>529</v>
      </c>
      <c r="B443" s="172" t="s">
        <v>668</v>
      </c>
      <c r="C443" s="172" t="s">
        <v>758</v>
      </c>
      <c r="D443" s="172"/>
      <c r="E443" s="106" t="n">
        <v>9</v>
      </c>
      <c r="F443" s="173" t="n">
        <v>21</v>
      </c>
      <c r="S443" s="167" t="n">
        <v>1858.367153</v>
      </c>
      <c r="T443" s="111" t="s">
        <v>246</v>
      </c>
      <c r="Y443" s="167" t="n">
        <v>837</v>
      </c>
      <c r="Z443" s="111" t="s">
        <v>246</v>
      </c>
      <c r="AA443" s="167" t="n">
        <v>75752.68</v>
      </c>
      <c r="AB443" s="111" t="s">
        <v>246</v>
      </c>
      <c r="AC443" s="164" t="n">
        <v>38.93</v>
      </c>
      <c r="AD443" s="111" t="s">
        <v>246</v>
      </c>
      <c r="AG443" s="167" t="n">
        <v>5.14</v>
      </c>
      <c r="AH443" s="111" t="s">
        <v>246</v>
      </c>
      <c r="AM443" s="167"/>
      <c r="BS443" s="167" t="n">
        <v>47.73</v>
      </c>
      <c r="BT443" s="111" t="s">
        <v>246</v>
      </c>
      <c r="BU443" s="164" t="n">
        <v>21.5</v>
      </c>
      <c r="BV443" s="111" t="s">
        <v>246</v>
      </c>
    </row>
    <row r="444" customFormat="false" ht="12.75" hidden="false" customHeight="false" outlineLevel="0" collapsed="false">
      <c r="A444" s="162" t="s">
        <v>529</v>
      </c>
      <c r="B444" s="172" t="s">
        <v>665</v>
      </c>
      <c r="C444" s="172" t="s">
        <v>760</v>
      </c>
      <c r="D444" s="172"/>
      <c r="E444" s="106" t="n">
        <v>10</v>
      </c>
      <c r="F444" s="173" t="n">
        <v>49</v>
      </c>
      <c r="S444" s="167" t="n">
        <v>1626.707027</v>
      </c>
      <c r="T444" s="111" t="s">
        <v>246</v>
      </c>
      <c r="Y444" s="167" t="n">
        <v>715.31</v>
      </c>
      <c r="Z444" s="111" t="s">
        <v>246</v>
      </c>
      <c r="AA444" s="167" t="n">
        <v>65816.75</v>
      </c>
      <c r="AB444" s="111" t="s">
        <v>246</v>
      </c>
      <c r="AC444" s="164" t="n">
        <v>33.86</v>
      </c>
      <c r="AD444" s="111" t="s">
        <v>246</v>
      </c>
      <c r="AG444" s="167" t="n">
        <v>5.14</v>
      </c>
      <c r="AH444" s="111" t="s">
        <v>246</v>
      </c>
      <c r="AM444" s="167"/>
      <c r="BS444" s="167" t="n">
        <v>48.04</v>
      </c>
      <c r="BT444" s="111" t="s">
        <v>246</v>
      </c>
      <c r="BU444" s="164" t="n">
        <v>21.12</v>
      </c>
      <c r="BV444" s="111" t="s">
        <v>246</v>
      </c>
    </row>
    <row r="445" customFormat="false" ht="12.75" hidden="false" customHeight="false" outlineLevel="0" collapsed="false">
      <c r="A445" s="162" t="s">
        <v>529</v>
      </c>
      <c r="B445" s="172" t="s">
        <v>668</v>
      </c>
      <c r="C445" s="172" t="s">
        <v>760</v>
      </c>
      <c r="D445" s="172"/>
      <c r="E445" s="106" t="n">
        <v>15</v>
      </c>
      <c r="F445" s="173" t="n">
        <v>64</v>
      </c>
      <c r="S445" s="167" t="n">
        <v>1196.850704</v>
      </c>
      <c r="T445" s="111" t="s">
        <v>246</v>
      </c>
      <c r="Y445" s="167" t="n">
        <v>609.55</v>
      </c>
      <c r="Z445" s="111" t="s">
        <v>246</v>
      </c>
      <c r="AA445" s="167" t="n">
        <v>55103.22</v>
      </c>
      <c r="AB445" s="111" t="s">
        <v>246</v>
      </c>
      <c r="AC445" s="164" t="n">
        <v>26.31</v>
      </c>
      <c r="AD445" s="111" t="s">
        <v>246</v>
      </c>
      <c r="AG445" s="167" t="n">
        <v>4.77</v>
      </c>
      <c r="AH445" s="111" t="s">
        <v>246</v>
      </c>
      <c r="AM445" s="167"/>
      <c r="BS445" s="167" t="n">
        <v>45.49</v>
      </c>
      <c r="BT445" s="111" t="s">
        <v>246</v>
      </c>
      <c r="BU445" s="164" t="n">
        <v>23.17</v>
      </c>
      <c r="BV445" s="111" t="s">
        <v>246</v>
      </c>
    </row>
    <row r="446" customFormat="false" ht="12.75" hidden="false" customHeight="false" outlineLevel="0" collapsed="false">
      <c r="A446" s="162" t="s">
        <v>529</v>
      </c>
      <c r="B446" s="172" t="s">
        <v>665</v>
      </c>
      <c r="C446" s="172" t="s">
        <v>761</v>
      </c>
      <c r="D446" s="172"/>
      <c r="E446" s="106" t="n">
        <v>13</v>
      </c>
      <c r="F446" s="173" t="n">
        <v>31</v>
      </c>
      <c r="S446" s="167" t="n">
        <v>1471.031306</v>
      </c>
      <c r="T446" s="111" t="s">
        <v>246</v>
      </c>
      <c r="Y446" s="167" t="n">
        <v>715.4</v>
      </c>
      <c r="Z446" s="111" t="s">
        <v>246</v>
      </c>
      <c r="AA446" s="167" t="n">
        <v>63903.84</v>
      </c>
      <c r="AB446" s="111" t="s">
        <v>246</v>
      </c>
      <c r="AC446" s="164" t="n">
        <v>31.81</v>
      </c>
      <c r="AD446" s="111" t="s">
        <v>246</v>
      </c>
      <c r="AG446" s="167" t="n">
        <v>4.98</v>
      </c>
      <c r="AH446" s="111" t="s">
        <v>246</v>
      </c>
      <c r="AM446" s="167"/>
      <c r="BS446" s="167" t="n">
        <v>46.24</v>
      </c>
      <c r="BT446" s="111" t="s">
        <v>246</v>
      </c>
      <c r="BU446" s="164" t="n">
        <v>22.49</v>
      </c>
      <c r="BV446" s="111" t="s">
        <v>246</v>
      </c>
    </row>
    <row r="447" customFormat="false" ht="12.75" hidden="false" customHeight="false" outlineLevel="0" collapsed="false">
      <c r="A447" s="162" t="s">
        <v>529</v>
      </c>
      <c r="B447" s="172" t="s">
        <v>668</v>
      </c>
      <c r="C447" s="172" t="s">
        <v>761</v>
      </c>
      <c r="D447" s="172"/>
      <c r="E447" s="106" t="n">
        <v>18</v>
      </c>
      <c r="F447" s="173" t="n">
        <v>15</v>
      </c>
      <c r="S447" s="167" t="n">
        <v>1265.183158</v>
      </c>
      <c r="T447" s="111" t="s">
        <v>246</v>
      </c>
      <c r="Y447" s="167" t="n">
        <v>657.07</v>
      </c>
      <c r="Z447" s="111" t="s">
        <v>246</v>
      </c>
      <c r="AA447" s="167" t="n">
        <v>57401.66</v>
      </c>
      <c r="AB447" s="111" t="s">
        <v>246</v>
      </c>
      <c r="AC447" s="164" t="n">
        <v>28.06</v>
      </c>
      <c r="AD447" s="111" t="s">
        <v>246</v>
      </c>
      <c r="AG447" s="167" t="n">
        <v>4.89</v>
      </c>
      <c r="AH447" s="111" t="s">
        <v>246</v>
      </c>
      <c r="AM447" s="167"/>
      <c r="BS447" s="167" t="n">
        <v>45.09</v>
      </c>
      <c r="BT447" s="111" t="s">
        <v>246</v>
      </c>
      <c r="BU447" s="164" t="n">
        <v>23.42</v>
      </c>
      <c r="BV447" s="111" t="s">
        <v>246</v>
      </c>
    </row>
    <row r="448" customFormat="false" ht="12.75" hidden="false" customHeight="false" outlineLevel="0" collapsed="false">
      <c r="A448" s="162" t="s">
        <v>529</v>
      </c>
      <c r="B448" s="172" t="s">
        <v>665</v>
      </c>
      <c r="C448" s="172" t="s">
        <v>762</v>
      </c>
      <c r="D448" s="172"/>
      <c r="E448" s="106" t="n">
        <v>3</v>
      </c>
      <c r="F448" s="173" t="n">
        <v>12</v>
      </c>
      <c r="S448" s="167" t="n">
        <v>1527.722695</v>
      </c>
      <c r="T448" s="111" t="s">
        <v>246</v>
      </c>
      <c r="Y448" s="167" t="n">
        <v>779.09</v>
      </c>
      <c r="Z448" s="111" t="s">
        <v>246</v>
      </c>
      <c r="AA448" s="167" t="n">
        <v>77000.58</v>
      </c>
      <c r="AB448" s="111" t="s">
        <v>246</v>
      </c>
      <c r="AC448" s="164" t="n">
        <v>33.63</v>
      </c>
      <c r="AD448" s="111" t="s">
        <v>246</v>
      </c>
      <c r="AG448" s="167" t="n">
        <v>4.37</v>
      </c>
      <c r="AH448" s="111" t="s">
        <v>246</v>
      </c>
      <c r="AM448" s="167"/>
      <c r="BS448" s="167" t="n">
        <v>45.42</v>
      </c>
      <c r="BT448" s="111" t="s">
        <v>246</v>
      </c>
      <c r="BU448" s="164" t="n">
        <v>23.16</v>
      </c>
      <c r="BV448" s="111" t="s">
        <v>246</v>
      </c>
    </row>
    <row r="449" customFormat="false" ht="12.75" hidden="false" customHeight="false" outlineLevel="0" collapsed="false">
      <c r="A449" s="162" t="s">
        <v>529</v>
      </c>
      <c r="B449" s="172" t="s">
        <v>668</v>
      </c>
      <c r="C449" s="172" t="s">
        <v>762</v>
      </c>
      <c r="D449" s="172"/>
      <c r="E449" s="106" t="n">
        <v>2</v>
      </c>
      <c r="F449" s="173" t="n">
        <v>63</v>
      </c>
      <c r="S449" s="167" t="n">
        <v>1298.816599</v>
      </c>
      <c r="T449" s="111" t="s">
        <v>246</v>
      </c>
      <c r="Y449" s="167" t="n">
        <v>659.82</v>
      </c>
      <c r="Z449" s="111" t="s">
        <v>246</v>
      </c>
      <c r="AA449" s="167" t="n">
        <v>57917.14</v>
      </c>
      <c r="AB449" s="111" t="s">
        <v>246</v>
      </c>
      <c r="AC449" s="164" t="n">
        <v>28.41</v>
      </c>
      <c r="AD449" s="111" t="s">
        <v>246</v>
      </c>
      <c r="AG449" s="167" t="n">
        <v>4.91</v>
      </c>
      <c r="AH449" s="111" t="s">
        <v>246</v>
      </c>
      <c r="AM449" s="167"/>
      <c r="BS449" s="167" t="n">
        <v>45.71</v>
      </c>
      <c r="BT449" s="111" t="s">
        <v>246</v>
      </c>
      <c r="BU449" s="164" t="n">
        <v>23.22</v>
      </c>
      <c r="BV449" s="111" t="s">
        <v>246</v>
      </c>
    </row>
    <row r="450" customFormat="false" ht="12.75" hidden="false" customHeight="false" outlineLevel="0" collapsed="false">
      <c r="A450" s="162" t="s">
        <v>531</v>
      </c>
      <c r="B450" s="172" t="s">
        <v>665</v>
      </c>
      <c r="C450" s="172" t="s">
        <v>758</v>
      </c>
      <c r="D450" s="172"/>
      <c r="E450" s="106" t="n">
        <v>8</v>
      </c>
      <c r="F450" s="173" t="n">
        <v>22</v>
      </c>
      <c r="S450" s="167" t="n">
        <v>1295.321196</v>
      </c>
      <c r="T450" s="111" t="s">
        <v>246</v>
      </c>
      <c r="Y450" s="167" t="n">
        <v>600.51</v>
      </c>
      <c r="Z450" s="111" t="s">
        <v>246</v>
      </c>
      <c r="AA450" s="167" t="n">
        <v>53350.18</v>
      </c>
      <c r="AB450" s="111" t="s">
        <v>246</v>
      </c>
      <c r="AC450" s="164" t="n">
        <v>28.04</v>
      </c>
      <c r="AD450" s="111" t="s">
        <v>246</v>
      </c>
      <c r="AG450" s="167" t="n">
        <v>5.26</v>
      </c>
      <c r="AH450" s="111" t="s">
        <v>246</v>
      </c>
      <c r="AM450" s="167"/>
      <c r="BS450" s="167" t="n">
        <v>46.2</v>
      </c>
      <c r="BT450" s="111" t="s">
        <v>246</v>
      </c>
      <c r="BU450" s="164" t="n">
        <v>21.42</v>
      </c>
      <c r="BV450" s="111" t="s">
        <v>246</v>
      </c>
    </row>
    <row r="451" customFormat="false" ht="12.75" hidden="false" customHeight="false" outlineLevel="0" collapsed="false">
      <c r="A451" s="162" t="s">
        <v>531</v>
      </c>
      <c r="B451" s="172" t="s">
        <v>668</v>
      </c>
      <c r="C451" s="172" t="s">
        <v>758</v>
      </c>
      <c r="D451" s="172"/>
      <c r="E451" s="106" t="n">
        <v>11</v>
      </c>
      <c r="F451" s="173" t="n">
        <v>7</v>
      </c>
      <c r="S451" s="167" t="n">
        <v>1356.710684</v>
      </c>
      <c r="T451" s="111" t="s">
        <v>246</v>
      </c>
      <c r="Y451" s="167" t="n">
        <v>638.72</v>
      </c>
      <c r="Z451" s="111" t="s">
        <v>246</v>
      </c>
      <c r="AA451" s="167" t="n">
        <v>65272.97</v>
      </c>
      <c r="AB451" s="111" t="s">
        <v>246</v>
      </c>
      <c r="AC451" s="164" t="n">
        <v>29.53</v>
      </c>
      <c r="AD451" s="111" t="s">
        <v>246</v>
      </c>
      <c r="AG451" s="167" t="n">
        <v>4.52</v>
      </c>
      <c r="AH451" s="111" t="s">
        <v>246</v>
      </c>
      <c r="AM451" s="167"/>
      <c r="BS451" s="167" t="n">
        <v>45.94</v>
      </c>
      <c r="BT451" s="111" t="s">
        <v>246</v>
      </c>
      <c r="BU451" s="164" t="n">
        <v>21.63</v>
      </c>
      <c r="BV451" s="111" t="s">
        <v>246</v>
      </c>
    </row>
    <row r="452" customFormat="false" ht="12.75" hidden="false" customHeight="false" outlineLevel="0" collapsed="false">
      <c r="A452" s="162" t="s">
        <v>531</v>
      </c>
      <c r="B452" s="172" t="s">
        <v>665</v>
      </c>
      <c r="C452" s="172" t="s">
        <v>760</v>
      </c>
      <c r="D452" s="172"/>
      <c r="E452" s="106" t="n">
        <v>9</v>
      </c>
      <c r="F452" s="173" t="n">
        <v>50</v>
      </c>
      <c r="S452" s="167" t="n">
        <v>1276.756346</v>
      </c>
      <c r="T452" s="111" t="s">
        <v>246</v>
      </c>
      <c r="Y452" s="167" t="n">
        <v>557.18</v>
      </c>
      <c r="Z452" s="111" t="s">
        <v>246</v>
      </c>
      <c r="AA452" s="167" t="n">
        <v>52460.86</v>
      </c>
      <c r="AB452" s="111" t="s">
        <v>246</v>
      </c>
      <c r="AC452" s="164" t="n">
        <v>27.36</v>
      </c>
      <c r="AD452" s="111" t="s">
        <v>246</v>
      </c>
      <c r="AG452" s="167" t="n">
        <v>5.22</v>
      </c>
      <c r="AH452" s="111" t="s">
        <v>246</v>
      </c>
      <c r="AM452" s="167"/>
      <c r="BS452" s="167" t="n">
        <v>46.66</v>
      </c>
      <c r="BT452" s="111" t="s">
        <v>246</v>
      </c>
      <c r="BU452" s="164" t="n">
        <v>20.36</v>
      </c>
      <c r="BV452" s="111" t="s">
        <v>246</v>
      </c>
    </row>
    <row r="453" customFormat="false" ht="12.75" hidden="false" customHeight="false" outlineLevel="0" collapsed="false">
      <c r="A453" s="162" t="s">
        <v>531</v>
      </c>
      <c r="B453" s="172" t="s">
        <v>668</v>
      </c>
      <c r="C453" s="172" t="s">
        <v>760</v>
      </c>
      <c r="D453" s="172"/>
      <c r="E453" s="106" t="n">
        <v>15</v>
      </c>
      <c r="F453" s="173" t="n">
        <v>44</v>
      </c>
      <c r="S453" s="167" t="n">
        <v>1164.506729</v>
      </c>
      <c r="T453" s="111" t="s">
        <v>246</v>
      </c>
      <c r="Y453" s="167" t="n">
        <v>612.41</v>
      </c>
      <c r="Z453" s="111" t="s">
        <v>246</v>
      </c>
      <c r="AA453" s="167" t="n">
        <v>56260.47</v>
      </c>
      <c r="AB453" s="111" t="s">
        <v>246</v>
      </c>
      <c r="AC453" s="164" t="n">
        <v>26.27</v>
      </c>
      <c r="AD453" s="111" t="s">
        <v>246</v>
      </c>
      <c r="AG453" s="167" t="n">
        <v>4.67</v>
      </c>
      <c r="AH453" s="111" t="s">
        <v>246</v>
      </c>
      <c r="AM453" s="167"/>
      <c r="BS453" s="167" t="n">
        <v>44.33</v>
      </c>
      <c r="BT453" s="111" t="s">
        <v>246</v>
      </c>
      <c r="BU453" s="164" t="n">
        <v>23.32</v>
      </c>
      <c r="BV453" s="111" t="s">
        <v>246</v>
      </c>
    </row>
    <row r="454" customFormat="false" ht="12.75" hidden="false" customHeight="false" outlineLevel="0" collapsed="false">
      <c r="A454" s="162" t="s">
        <v>531</v>
      </c>
      <c r="B454" s="172" t="s">
        <v>665</v>
      </c>
      <c r="C454" s="172" t="s">
        <v>761</v>
      </c>
      <c r="D454" s="172"/>
      <c r="E454" s="106" t="n">
        <v>14</v>
      </c>
      <c r="F454" s="173" t="n">
        <v>13</v>
      </c>
      <c r="S454" s="167" t="n">
        <v>1385.573414</v>
      </c>
      <c r="T454" s="111" t="s">
        <v>246</v>
      </c>
      <c r="Y454" s="167" t="n">
        <v>671.01</v>
      </c>
      <c r="Z454" s="111" t="s">
        <v>246</v>
      </c>
      <c r="AA454" s="167" t="n">
        <v>62402.8</v>
      </c>
      <c r="AB454" s="111" t="s">
        <v>246</v>
      </c>
      <c r="AC454" s="164" t="n">
        <v>30.41</v>
      </c>
      <c r="AD454" s="111" t="s">
        <v>246</v>
      </c>
      <c r="AG454" s="167" t="n">
        <v>4.87</v>
      </c>
      <c r="AH454" s="111" t="s">
        <v>246</v>
      </c>
      <c r="AM454" s="167"/>
      <c r="BS454" s="167" t="n">
        <v>45.57</v>
      </c>
      <c r="BT454" s="111" t="s">
        <v>246</v>
      </c>
      <c r="BU454" s="164" t="n">
        <v>22.07</v>
      </c>
      <c r="BV454" s="111" t="s">
        <v>246</v>
      </c>
    </row>
    <row r="455" customFormat="false" ht="12.75" hidden="false" customHeight="false" outlineLevel="0" collapsed="false">
      <c r="A455" s="162" t="s">
        <v>531</v>
      </c>
      <c r="B455" s="172" t="s">
        <v>668</v>
      </c>
      <c r="C455" s="172" t="s">
        <v>761</v>
      </c>
      <c r="D455" s="172"/>
      <c r="E455" s="106" t="n">
        <v>19</v>
      </c>
      <c r="F455" s="173" t="n">
        <v>8</v>
      </c>
      <c r="S455" s="167" t="n">
        <v>1164.293372</v>
      </c>
      <c r="T455" s="111" t="s">
        <v>246</v>
      </c>
      <c r="Y455" s="167" t="n">
        <v>585.01</v>
      </c>
      <c r="Z455" s="111" t="s">
        <v>246</v>
      </c>
      <c r="AA455" s="167" t="n">
        <v>56352.64</v>
      </c>
      <c r="AB455" s="111" t="s">
        <v>246</v>
      </c>
      <c r="AC455" s="164" t="n">
        <v>25.75</v>
      </c>
      <c r="AD455" s="111" t="s">
        <v>246</v>
      </c>
      <c r="AG455" s="167" t="n">
        <v>4.57</v>
      </c>
      <c r="AH455" s="111" t="s">
        <v>246</v>
      </c>
      <c r="AM455" s="167"/>
      <c r="BS455" s="167" t="n">
        <v>45.22</v>
      </c>
      <c r="BT455" s="111" t="s">
        <v>246</v>
      </c>
      <c r="BU455" s="164" t="n">
        <v>22.72</v>
      </c>
      <c r="BV455" s="111" t="s">
        <v>246</v>
      </c>
    </row>
    <row r="456" customFormat="false" ht="12.75" hidden="false" customHeight="false" outlineLevel="0" collapsed="false">
      <c r="A456" s="162" t="s">
        <v>531</v>
      </c>
      <c r="B456" s="172" t="s">
        <v>665</v>
      </c>
      <c r="C456" s="172" t="s">
        <v>762</v>
      </c>
      <c r="D456" s="172"/>
      <c r="E456" s="106" t="n">
        <v>3</v>
      </c>
      <c r="F456" s="173" t="n">
        <v>20</v>
      </c>
      <c r="S456" s="167" t="n">
        <v>1241.124852</v>
      </c>
      <c r="T456" s="111" t="s">
        <v>246</v>
      </c>
      <c r="Y456" s="167" t="n">
        <v>585.09</v>
      </c>
      <c r="Z456" s="111" t="s">
        <v>246</v>
      </c>
      <c r="AA456" s="167" t="n">
        <v>55609.01</v>
      </c>
      <c r="AB456" s="111" t="s">
        <v>246</v>
      </c>
      <c r="AC456" s="164" t="n">
        <v>27.13</v>
      </c>
      <c r="AD456" s="111" t="s">
        <v>246</v>
      </c>
      <c r="AG456" s="167" t="n">
        <v>4.88</v>
      </c>
      <c r="AH456" s="111" t="s">
        <v>246</v>
      </c>
      <c r="AM456" s="167"/>
      <c r="BS456" s="167" t="n">
        <v>45.74</v>
      </c>
      <c r="BT456" s="111" t="s">
        <v>246</v>
      </c>
      <c r="BU456" s="164" t="n">
        <v>21.56</v>
      </c>
      <c r="BV456" s="111" t="s">
        <v>246</v>
      </c>
    </row>
    <row r="457" customFormat="false" ht="12.75" hidden="false" customHeight="false" outlineLevel="0" collapsed="false">
      <c r="A457" s="162" t="s">
        <v>531</v>
      </c>
      <c r="B457" s="172" t="s">
        <v>668</v>
      </c>
      <c r="C457" s="172" t="s">
        <v>762</v>
      </c>
      <c r="D457" s="172"/>
      <c r="E457" s="106" t="n">
        <v>1</v>
      </c>
      <c r="F457" s="173" t="n">
        <v>54</v>
      </c>
      <c r="S457" s="167" t="n">
        <v>1039.200674</v>
      </c>
      <c r="T457" s="111" t="s">
        <v>246</v>
      </c>
      <c r="Y457" s="167" t="n">
        <v>532.84</v>
      </c>
      <c r="Z457" s="111" t="s">
        <v>246</v>
      </c>
      <c r="AA457" s="167" t="n">
        <v>48374.23</v>
      </c>
      <c r="AB457" s="111" t="s">
        <v>246</v>
      </c>
      <c r="AC457" s="164" t="n">
        <v>23.39</v>
      </c>
      <c r="AD457" s="111" t="s">
        <v>246</v>
      </c>
      <c r="AG457" s="167" t="n">
        <v>4.83</v>
      </c>
      <c r="AH457" s="111" t="s">
        <v>246</v>
      </c>
      <c r="AM457" s="167"/>
      <c r="BS457" s="167" t="n">
        <v>44.44</v>
      </c>
      <c r="BT457" s="111" t="s">
        <v>246</v>
      </c>
      <c r="BU457" s="164" t="n">
        <v>22.78</v>
      </c>
      <c r="BV457" s="111" t="s">
        <v>246</v>
      </c>
    </row>
    <row r="458" customFormat="false" ht="12.75" hidden="false" customHeight="false" outlineLevel="0" collapsed="false">
      <c r="A458" s="162" t="s">
        <v>533</v>
      </c>
      <c r="B458" s="172" t="s">
        <v>665</v>
      </c>
      <c r="C458" s="172" t="s">
        <v>758</v>
      </c>
      <c r="D458" s="172"/>
      <c r="E458" s="106" t="n">
        <v>7</v>
      </c>
      <c r="F458" s="173" t="n">
        <v>23</v>
      </c>
      <c r="S458" s="167" t="n">
        <v>1385.318301</v>
      </c>
      <c r="T458" s="111" t="s">
        <v>246</v>
      </c>
      <c r="Y458" s="167" t="n">
        <v>563.49</v>
      </c>
      <c r="Z458" s="111" t="s">
        <v>246</v>
      </c>
      <c r="AA458" s="167" t="n">
        <v>59406.34</v>
      </c>
      <c r="AB458" s="111" t="s">
        <v>246</v>
      </c>
      <c r="AC458" s="164" t="n">
        <v>28.27</v>
      </c>
      <c r="AD458" s="111" t="s">
        <v>246</v>
      </c>
      <c r="AG458" s="167" t="n">
        <v>4.76</v>
      </c>
      <c r="AH458" s="111" t="s">
        <v>246</v>
      </c>
      <c r="AM458" s="167"/>
      <c r="BS458" s="167" t="n">
        <v>49</v>
      </c>
      <c r="BT458" s="111" t="s">
        <v>246</v>
      </c>
      <c r="BU458" s="164" t="n">
        <v>19.93</v>
      </c>
      <c r="BV458" s="111" t="s">
        <v>246</v>
      </c>
    </row>
    <row r="459" customFormat="false" ht="12.75" hidden="false" customHeight="false" outlineLevel="0" collapsed="false">
      <c r="A459" s="162" t="s">
        <v>533</v>
      </c>
      <c r="B459" s="172" t="s">
        <v>668</v>
      </c>
      <c r="C459" s="172" t="s">
        <v>758</v>
      </c>
      <c r="D459" s="172"/>
      <c r="E459" s="106" t="n">
        <v>10</v>
      </c>
      <c r="F459" s="173" t="n">
        <v>30</v>
      </c>
      <c r="S459" s="167" t="n">
        <v>1400.804537</v>
      </c>
      <c r="T459" s="111" t="s">
        <v>246</v>
      </c>
      <c r="Y459" s="167" t="n">
        <v>617.29</v>
      </c>
      <c r="Z459" s="111" t="s">
        <v>246</v>
      </c>
      <c r="AA459" s="167" t="n">
        <v>63499.95</v>
      </c>
      <c r="AB459" s="111" t="s">
        <v>246</v>
      </c>
      <c r="AC459" s="164" t="n">
        <v>29.14</v>
      </c>
      <c r="AD459" s="111" t="s">
        <v>246</v>
      </c>
      <c r="AG459" s="167" t="n">
        <v>4.59</v>
      </c>
      <c r="AH459" s="111" t="s">
        <v>246</v>
      </c>
      <c r="AM459" s="167"/>
      <c r="BS459" s="167" t="n">
        <v>48.07</v>
      </c>
      <c r="BT459" s="111" t="s">
        <v>246</v>
      </c>
      <c r="BU459" s="164" t="n">
        <v>21.18</v>
      </c>
      <c r="BV459" s="111" t="s">
        <v>246</v>
      </c>
    </row>
    <row r="460" customFormat="false" ht="12.75" hidden="false" customHeight="false" outlineLevel="0" collapsed="false">
      <c r="A460" s="162" t="s">
        <v>533</v>
      </c>
      <c r="B460" s="172" t="s">
        <v>665</v>
      </c>
      <c r="C460" s="172" t="s">
        <v>760</v>
      </c>
      <c r="D460" s="172"/>
      <c r="E460" s="106" t="n">
        <v>11</v>
      </c>
      <c r="F460" s="173" t="n">
        <v>36</v>
      </c>
      <c r="S460" s="167" t="n">
        <v>1538.240682</v>
      </c>
      <c r="T460" s="111" t="s">
        <v>246</v>
      </c>
      <c r="Y460" s="167" t="n">
        <v>606.87</v>
      </c>
      <c r="Z460" s="111" t="s">
        <v>246</v>
      </c>
      <c r="AA460" s="167" t="n">
        <v>63914.09</v>
      </c>
      <c r="AB460" s="111" t="s">
        <v>246</v>
      </c>
      <c r="AC460" s="164" t="n">
        <v>31.28</v>
      </c>
      <c r="AD460" s="111" t="s">
        <v>246</v>
      </c>
      <c r="AG460" s="167" t="n">
        <v>4.89</v>
      </c>
      <c r="AH460" s="111" t="s">
        <v>246</v>
      </c>
      <c r="AM460" s="167"/>
      <c r="BS460" s="167" t="n">
        <v>49.18</v>
      </c>
      <c r="BT460" s="111" t="s">
        <v>246</v>
      </c>
      <c r="BU460" s="164" t="n">
        <v>19.4</v>
      </c>
      <c r="BV460" s="111" t="s">
        <v>246</v>
      </c>
    </row>
    <row r="461" customFormat="false" ht="12.75" hidden="false" customHeight="false" outlineLevel="0" collapsed="false">
      <c r="A461" s="162" t="s">
        <v>533</v>
      </c>
      <c r="B461" s="172" t="s">
        <v>668</v>
      </c>
      <c r="C461" s="172" t="s">
        <v>760</v>
      </c>
      <c r="D461" s="172"/>
      <c r="E461" s="106" t="n">
        <v>15</v>
      </c>
      <c r="F461" s="173" t="n">
        <v>60</v>
      </c>
      <c r="S461" s="167" t="n">
        <v>1278.311418</v>
      </c>
      <c r="T461" s="111" t="s">
        <v>246</v>
      </c>
      <c r="Y461" s="167" t="n">
        <v>566.21</v>
      </c>
      <c r="Z461" s="111" t="s">
        <v>246</v>
      </c>
      <c r="AA461" s="167" t="n">
        <v>54631.82</v>
      </c>
      <c r="AB461" s="111" t="s">
        <v>246</v>
      </c>
      <c r="AC461" s="164" t="n">
        <v>26.88</v>
      </c>
      <c r="AD461" s="111" t="s">
        <v>246</v>
      </c>
      <c r="AG461" s="167" t="n">
        <v>4.92</v>
      </c>
      <c r="AH461" s="111" t="s">
        <v>246</v>
      </c>
      <c r="AM461" s="167"/>
      <c r="BS461" s="167" t="n">
        <v>47.56</v>
      </c>
      <c r="BT461" s="111" t="s">
        <v>246</v>
      </c>
      <c r="BU461" s="164" t="n">
        <v>21.06</v>
      </c>
      <c r="BV461" s="111" t="s">
        <v>246</v>
      </c>
    </row>
    <row r="462" customFormat="false" ht="12.75" hidden="false" customHeight="false" outlineLevel="0" collapsed="false">
      <c r="A462" s="162" t="s">
        <v>533</v>
      </c>
      <c r="B462" s="172" t="s">
        <v>665</v>
      </c>
      <c r="C462" s="172" t="s">
        <v>761</v>
      </c>
      <c r="D462" s="172"/>
      <c r="E462" s="106" t="n">
        <v>16</v>
      </c>
      <c r="F462" s="173" t="n">
        <v>11</v>
      </c>
      <c r="S462" s="167" t="n">
        <v>1187.904574</v>
      </c>
      <c r="T462" s="111" t="s">
        <v>246</v>
      </c>
      <c r="Y462" s="167" t="n">
        <v>489.21</v>
      </c>
      <c r="Z462" s="111" t="s">
        <v>246</v>
      </c>
      <c r="AA462" s="167" t="n">
        <v>54724.13</v>
      </c>
      <c r="AB462" s="111" t="s">
        <v>246</v>
      </c>
      <c r="AC462" s="164" t="n">
        <v>24.55</v>
      </c>
      <c r="AD462" s="111" t="s">
        <v>246</v>
      </c>
      <c r="AG462" s="167" t="n">
        <v>4.49</v>
      </c>
      <c r="AH462" s="111" t="s">
        <v>246</v>
      </c>
      <c r="AM462" s="167"/>
      <c r="BS462" s="167" t="n">
        <v>48.38</v>
      </c>
      <c r="BT462" s="111" t="s">
        <v>246</v>
      </c>
      <c r="BU462" s="164" t="n">
        <v>19.93</v>
      </c>
      <c r="BV462" s="111" t="s">
        <v>246</v>
      </c>
    </row>
    <row r="463" customFormat="false" ht="12.75" hidden="false" customHeight="false" outlineLevel="0" collapsed="false">
      <c r="A463" s="162" t="s">
        <v>533</v>
      </c>
      <c r="B463" s="172" t="s">
        <v>668</v>
      </c>
      <c r="C463" s="172" t="s">
        <v>761</v>
      </c>
      <c r="D463" s="172"/>
      <c r="E463" s="106" t="n">
        <v>21</v>
      </c>
      <c r="F463" s="173" t="n">
        <v>5</v>
      </c>
      <c r="S463" s="167" t="n">
        <v>911.7315937</v>
      </c>
      <c r="T463" s="111" t="s">
        <v>246</v>
      </c>
      <c r="Y463" s="167" t="n">
        <v>422.07</v>
      </c>
      <c r="Z463" s="111" t="s">
        <v>246</v>
      </c>
      <c r="AA463" s="167" t="n">
        <v>44304.67</v>
      </c>
      <c r="AB463" s="111" t="s">
        <v>246</v>
      </c>
      <c r="AC463" s="164" t="n">
        <v>19.53</v>
      </c>
      <c r="AD463" s="111" t="s">
        <v>246</v>
      </c>
      <c r="AG463" s="167" t="n">
        <v>4.41</v>
      </c>
      <c r="AH463" s="111" t="s">
        <v>246</v>
      </c>
      <c r="AM463" s="167"/>
      <c r="BS463" s="167" t="n">
        <v>46.68</v>
      </c>
      <c r="BT463" s="111" t="s">
        <v>246</v>
      </c>
      <c r="BU463" s="164" t="n">
        <v>21.61</v>
      </c>
      <c r="BV463" s="111" t="s">
        <v>246</v>
      </c>
    </row>
    <row r="464" customFormat="false" ht="12.75" hidden="false" customHeight="false" outlineLevel="0" collapsed="false">
      <c r="A464" s="162" t="s">
        <v>533</v>
      </c>
      <c r="B464" s="172" t="s">
        <v>665</v>
      </c>
      <c r="C464" s="172" t="s">
        <v>762</v>
      </c>
      <c r="D464" s="172"/>
      <c r="E464" s="106" t="n">
        <v>1</v>
      </c>
      <c r="F464" s="173" t="n">
        <v>20</v>
      </c>
      <c r="S464" s="167" t="n">
        <v>1385.54632</v>
      </c>
      <c r="T464" s="111" t="s">
        <v>246</v>
      </c>
      <c r="Y464" s="167" t="n">
        <v>583.97</v>
      </c>
      <c r="Z464" s="111" t="s">
        <v>246</v>
      </c>
      <c r="AA464" s="167" t="n">
        <v>62487.78</v>
      </c>
      <c r="AB464" s="111" t="s">
        <v>246</v>
      </c>
      <c r="AC464" s="164" t="n">
        <v>28.33</v>
      </c>
      <c r="AD464" s="111" t="s">
        <v>246</v>
      </c>
      <c r="AG464" s="167" t="n">
        <v>4.53</v>
      </c>
      <c r="AH464" s="111" t="s">
        <v>246</v>
      </c>
      <c r="AM464" s="167"/>
      <c r="BS464" s="167" t="n">
        <v>48.91</v>
      </c>
      <c r="BT464" s="111" t="s">
        <v>246</v>
      </c>
      <c r="BU464" s="164" t="n">
        <v>20.62</v>
      </c>
      <c r="BV464" s="111" t="s">
        <v>246</v>
      </c>
    </row>
    <row r="465" customFormat="false" ht="12.75" hidden="false" customHeight="false" outlineLevel="0" collapsed="false">
      <c r="A465" s="162" t="s">
        <v>533</v>
      </c>
      <c r="B465" s="172" t="s">
        <v>668</v>
      </c>
      <c r="C465" s="172" t="s">
        <v>762</v>
      </c>
      <c r="D465" s="172"/>
      <c r="E465" s="106" t="n">
        <v>1</v>
      </c>
      <c r="F465" s="173" t="n">
        <v>48</v>
      </c>
      <c r="S465" s="167" t="n">
        <v>899.7516888</v>
      </c>
      <c r="T465" s="111" t="s">
        <v>246</v>
      </c>
      <c r="Y465" s="167" t="n">
        <v>452.59</v>
      </c>
      <c r="Z465" s="111" t="s">
        <v>246</v>
      </c>
      <c r="AA465" s="167" t="n">
        <v>43783.05</v>
      </c>
      <c r="AB465" s="111" t="s">
        <v>246</v>
      </c>
      <c r="AC465" s="164" t="n">
        <v>19.53</v>
      </c>
      <c r="AD465" s="111" t="s">
        <v>246</v>
      </c>
      <c r="AG465" s="167" t="n">
        <v>4.46</v>
      </c>
      <c r="AH465" s="111" t="s">
        <v>246</v>
      </c>
      <c r="AM465" s="167"/>
      <c r="BS465" s="167" t="n">
        <v>46.07</v>
      </c>
      <c r="BT465" s="111" t="s">
        <v>246</v>
      </c>
      <c r="BU465" s="164" t="n">
        <v>23.18</v>
      </c>
      <c r="BV465" s="111" t="s">
        <v>246</v>
      </c>
    </row>
    <row r="466" customFormat="false" ht="12.75" hidden="false" customHeight="false" outlineLevel="0" collapsed="false">
      <c r="A466" s="162" t="s">
        <v>535</v>
      </c>
      <c r="B466" s="172" t="s">
        <v>665</v>
      </c>
      <c r="C466" s="172" t="s">
        <v>758</v>
      </c>
      <c r="D466" s="172"/>
      <c r="E466" s="106" t="n">
        <v>6</v>
      </c>
      <c r="F466" s="173" t="n">
        <v>28</v>
      </c>
      <c r="S466" s="167" t="n">
        <v>1658.240622</v>
      </c>
      <c r="T466" s="111" t="s">
        <v>246</v>
      </c>
      <c r="Y466" s="167" t="n">
        <v>705.94</v>
      </c>
      <c r="Z466" s="111" t="s">
        <v>246</v>
      </c>
      <c r="AA466" s="167" t="n">
        <v>64672.68</v>
      </c>
      <c r="AB466" s="111" t="s">
        <v>246</v>
      </c>
      <c r="AC466" s="164" t="n">
        <v>34.05</v>
      </c>
      <c r="AD466" s="111" t="s">
        <v>246</v>
      </c>
      <c r="AG466" s="167" t="n">
        <v>5.26</v>
      </c>
      <c r="AH466" s="111" t="s">
        <v>246</v>
      </c>
      <c r="AM466" s="167"/>
      <c r="BS466" s="167" t="n">
        <v>48.7</v>
      </c>
      <c r="BT466" s="111" t="s">
        <v>246</v>
      </c>
      <c r="BU466" s="164" t="n">
        <v>20.73</v>
      </c>
      <c r="BV466" s="111" t="s">
        <v>246</v>
      </c>
    </row>
    <row r="467" customFormat="false" ht="12.75" hidden="false" customHeight="false" outlineLevel="0" collapsed="false">
      <c r="A467" s="162" t="s">
        <v>535</v>
      </c>
      <c r="B467" s="172" t="s">
        <v>668</v>
      </c>
      <c r="C467" s="172" t="s">
        <v>758</v>
      </c>
      <c r="D467" s="172"/>
      <c r="E467" s="106" t="n">
        <v>10</v>
      </c>
      <c r="F467" s="173" t="n">
        <v>32</v>
      </c>
      <c r="S467" s="167" t="n">
        <v>1993.073993</v>
      </c>
      <c r="T467" s="111" t="s">
        <v>246</v>
      </c>
      <c r="Y467" s="167" t="n">
        <v>924.79</v>
      </c>
      <c r="Z467" s="111" t="s">
        <v>246</v>
      </c>
      <c r="AA467" s="167" t="n">
        <v>86030.22</v>
      </c>
      <c r="AB467" s="111" t="s">
        <v>246</v>
      </c>
      <c r="AC467" s="164" t="n">
        <v>42.32</v>
      </c>
      <c r="AD467" s="111" t="s">
        <v>246</v>
      </c>
      <c r="AG467" s="167" t="n">
        <v>4.92</v>
      </c>
      <c r="AH467" s="111" t="s">
        <v>246</v>
      </c>
      <c r="AM467" s="167"/>
      <c r="BS467" s="167" t="n">
        <v>47.1</v>
      </c>
      <c r="BT467" s="111" t="s">
        <v>246</v>
      </c>
      <c r="BU467" s="164" t="n">
        <v>21.85</v>
      </c>
      <c r="BV467" s="111" t="s">
        <v>246</v>
      </c>
    </row>
    <row r="468" customFormat="false" ht="12.75" hidden="false" customHeight="false" outlineLevel="0" collapsed="false">
      <c r="A468" s="162" t="s">
        <v>535</v>
      </c>
      <c r="B468" s="172" t="s">
        <v>665</v>
      </c>
      <c r="C468" s="172" t="s">
        <v>760</v>
      </c>
      <c r="D468" s="172"/>
      <c r="E468" s="106" t="n">
        <v>11</v>
      </c>
      <c r="F468" s="173" t="n">
        <v>43</v>
      </c>
      <c r="S468" s="167" t="n">
        <v>1909.084359</v>
      </c>
      <c r="T468" s="111" t="s">
        <v>246</v>
      </c>
      <c r="Y468" s="167" t="n">
        <v>845.97</v>
      </c>
      <c r="Z468" s="111" t="s">
        <v>246</v>
      </c>
      <c r="AA468" s="167" t="n">
        <v>77623.38</v>
      </c>
      <c r="AB468" s="111" t="s">
        <v>246</v>
      </c>
      <c r="AC468" s="164" t="n">
        <v>39.77</v>
      </c>
      <c r="AD468" s="111" t="s">
        <v>246</v>
      </c>
      <c r="AG468" s="167" t="n">
        <v>5.12</v>
      </c>
      <c r="AH468" s="111" t="s">
        <v>246</v>
      </c>
      <c r="AM468" s="167"/>
      <c r="BS468" s="167" t="n">
        <v>48</v>
      </c>
      <c r="BT468" s="111" t="s">
        <v>246</v>
      </c>
      <c r="BU468" s="164" t="n">
        <v>21.27</v>
      </c>
      <c r="BV468" s="111" t="s">
        <v>246</v>
      </c>
    </row>
    <row r="469" customFormat="false" ht="12.75" hidden="false" customHeight="false" outlineLevel="0" collapsed="false">
      <c r="A469" s="162" t="s">
        <v>535</v>
      </c>
      <c r="B469" s="172" t="s">
        <v>668</v>
      </c>
      <c r="C469" s="172" t="s">
        <v>760</v>
      </c>
      <c r="D469" s="172"/>
      <c r="E469" s="106" t="n">
        <v>13</v>
      </c>
      <c r="F469" s="173" t="n">
        <v>52</v>
      </c>
      <c r="S469" s="167" t="n">
        <v>1339.043098</v>
      </c>
      <c r="T469" s="111" t="s">
        <v>246</v>
      </c>
      <c r="Y469" s="167" t="n">
        <v>653.01</v>
      </c>
      <c r="Z469" s="111" t="s">
        <v>246</v>
      </c>
      <c r="AA469" s="167" t="n">
        <v>63901.01</v>
      </c>
      <c r="AB469" s="111" t="s">
        <v>246</v>
      </c>
      <c r="AC469" s="164" t="n">
        <v>29.06</v>
      </c>
      <c r="AD469" s="111" t="s">
        <v>246</v>
      </c>
      <c r="AG469" s="167" t="n">
        <v>4.55</v>
      </c>
      <c r="AH469" s="111" t="s">
        <v>246</v>
      </c>
      <c r="AM469" s="167"/>
      <c r="BS469" s="167" t="n">
        <v>46.07</v>
      </c>
      <c r="BT469" s="111" t="s">
        <v>246</v>
      </c>
      <c r="BU469" s="164" t="n">
        <v>22.47</v>
      </c>
      <c r="BV469" s="111" t="s">
        <v>246</v>
      </c>
    </row>
    <row r="470" customFormat="false" ht="12.75" hidden="false" customHeight="false" outlineLevel="0" collapsed="false">
      <c r="A470" s="162" t="s">
        <v>535</v>
      </c>
      <c r="B470" s="172" t="s">
        <v>665</v>
      </c>
      <c r="C470" s="172" t="s">
        <v>761</v>
      </c>
      <c r="D470" s="172"/>
      <c r="E470" s="106" t="n">
        <v>15</v>
      </c>
      <c r="F470" s="173" t="n">
        <v>5</v>
      </c>
      <c r="S470" s="167" t="n">
        <v>1451.179267</v>
      </c>
      <c r="T470" s="111" t="s">
        <v>246</v>
      </c>
      <c r="Y470" s="167" t="n">
        <v>634.25</v>
      </c>
      <c r="Z470" s="111" t="s">
        <v>246</v>
      </c>
      <c r="AA470" s="167" t="n">
        <v>63048.62</v>
      </c>
      <c r="AB470" s="111" t="s">
        <v>246</v>
      </c>
      <c r="AC470" s="164" t="n">
        <v>30.15</v>
      </c>
      <c r="AD470" s="111" t="s">
        <v>246</v>
      </c>
      <c r="AG470" s="167" t="n">
        <v>4.78</v>
      </c>
      <c r="AH470" s="111" t="s">
        <v>246</v>
      </c>
      <c r="AM470" s="167"/>
      <c r="BS470" s="167" t="n">
        <v>48.14</v>
      </c>
      <c r="BT470" s="111" t="s">
        <v>246</v>
      </c>
      <c r="BU470" s="164" t="n">
        <v>21.04</v>
      </c>
      <c r="BV470" s="111" t="s">
        <v>246</v>
      </c>
    </row>
    <row r="471" customFormat="false" ht="12.75" hidden="false" customHeight="false" outlineLevel="0" collapsed="false">
      <c r="A471" s="162" t="s">
        <v>535</v>
      </c>
      <c r="B471" s="172" t="s">
        <v>668</v>
      </c>
      <c r="C471" s="172" t="s">
        <v>761</v>
      </c>
      <c r="D471" s="172"/>
      <c r="E471" s="106" t="n">
        <v>20</v>
      </c>
      <c r="F471" s="173" t="n">
        <v>9</v>
      </c>
      <c r="S471" s="167" t="n">
        <v>1490.29499</v>
      </c>
      <c r="T471" s="111" t="s">
        <v>246</v>
      </c>
      <c r="Y471" s="167" t="n">
        <v>724.13</v>
      </c>
      <c r="Z471" s="111" t="s">
        <v>246</v>
      </c>
      <c r="AA471" s="167" t="n">
        <v>67710.88</v>
      </c>
      <c r="AB471" s="111" t="s">
        <v>246</v>
      </c>
      <c r="AC471" s="164" t="n">
        <v>32.24</v>
      </c>
      <c r="AD471" s="111" t="s">
        <v>246</v>
      </c>
      <c r="AG471" s="167" t="n">
        <v>4.76</v>
      </c>
      <c r="AH471" s="111" t="s">
        <v>246</v>
      </c>
      <c r="AM471" s="167"/>
      <c r="BS471" s="167" t="n">
        <v>46.22</v>
      </c>
      <c r="BT471" s="111" t="s">
        <v>246</v>
      </c>
      <c r="BU471" s="164" t="n">
        <v>22.46</v>
      </c>
      <c r="BV471" s="111" t="s">
        <v>246</v>
      </c>
    </row>
    <row r="472" customFormat="false" ht="12.75" hidden="false" customHeight="false" outlineLevel="0" collapsed="false">
      <c r="A472" s="162" t="s">
        <v>535</v>
      </c>
      <c r="B472" s="172" t="s">
        <v>665</v>
      </c>
      <c r="C472" s="172" t="s">
        <v>762</v>
      </c>
      <c r="D472" s="172"/>
      <c r="E472" s="106" t="n">
        <v>3</v>
      </c>
      <c r="F472" s="173" t="n">
        <v>29</v>
      </c>
      <c r="S472" s="167" t="n">
        <v>1770.861063</v>
      </c>
      <c r="T472" s="111" t="s">
        <v>246</v>
      </c>
      <c r="Y472" s="167" t="n">
        <v>768.2</v>
      </c>
      <c r="Z472" s="111" t="s">
        <v>246</v>
      </c>
      <c r="AA472" s="167" t="n">
        <v>91248.77</v>
      </c>
      <c r="AB472" s="111" t="s">
        <v>246</v>
      </c>
      <c r="AC472" s="164" t="n">
        <v>36.72</v>
      </c>
      <c r="AD472" s="111" t="s">
        <v>246</v>
      </c>
      <c r="AG472" s="167" t="n">
        <v>4.02</v>
      </c>
      <c r="AH472" s="111" t="s">
        <v>246</v>
      </c>
      <c r="AM472" s="167"/>
      <c r="BS472" s="167" t="n">
        <v>48.23</v>
      </c>
      <c r="BT472" s="111" t="s">
        <v>246</v>
      </c>
      <c r="BU472" s="164" t="n">
        <v>20.92</v>
      </c>
      <c r="BV472" s="111" t="s">
        <v>246</v>
      </c>
    </row>
    <row r="473" customFormat="false" ht="12.75" hidden="false" customHeight="false" outlineLevel="0" collapsed="false">
      <c r="A473" s="162" t="s">
        <v>535</v>
      </c>
      <c r="B473" s="172" t="s">
        <v>668</v>
      </c>
      <c r="C473" s="172" t="s">
        <v>762</v>
      </c>
      <c r="D473" s="172"/>
      <c r="E473" s="106" t="n">
        <v>2</v>
      </c>
      <c r="F473" s="173" t="n">
        <v>53</v>
      </c>
      <c r="S473" s="167" t="n">
        <v>1931.501166</v>
      </c>
      <c r="T473" s="111" t="s">
        <v>246</v>
      </c>
      <c r="Y473" s="167" t="n">
        <v>940.24</v>
      </c>
      <c r="Z473" s="111" t="s">
        <v>246</v>
      </c>
      <c r="AA473" s="167" t="n">
        <v>89430.81</v>
      </c>
      <c r="AB473" s="111" t="s">
        <v>246</v>
      </c>
      <c r="AC473" s="164" t="n">
        <v>41.8</v>
      </c>
      <c r="AD473" s="111" t="s">
        <v>246</v>
      </c>
      <c r="AG473" s="167" t="n">
        <v>4.67</v>
      </c>
      <c r="AH473" s="111" t="s">
        <v>246</v>
      </c>
      <c r="AM473" s="167"/>
      <c r="BS473" s="167" t="n">
        <v>46.21</v>
      </c>
      <c r="BT473" s="111" t="s">
        <v>246</v>
      </c>
      <c r="BU473" s="164" t="n">
        <v>22.49</v>
      </c>
      <c r="BV473" s="111" t="s">
        <v>246</v>
      </c>
    </row>
    <row r="474" customFormat="false" ht="12.75" hidden="false" customHeight="false" outlineLevel="0" collapsed="false">
      <c r="A474" s="162" t="s">
        <v>537</v>
      </c>
      <c r="B474" s="172" t="s">
        <v>665</v>
      </c>
      <c r="C474" s="172" t="s">
        <v>758</v>
      </c>
      <c r="D474" s="172"/>
      <c r="E474" s="106" t="n">
        <v>5</v>
      </c>
      <c r="F474" s="173" t="n">
        <v>6</v>
      </c>
      <c r="S474" s="167" t="n">
        <v>1239.674585</v>
      </c>
      <c r="T474" s="111" t="s">
        <v>246</v>
      </c>
      <c r="Y474" s="167" t="n">
        <v>520.9</v>
      </c>
      <c r="Z474" s="111" t="s">
        <v>246</v>
      </c>
      <c r="AA474" s="167" t="n">
        <v>56939.04</v>
      </c>
      <c r="AB474" s="111" t="s">
        <v>246</v>
      </c>
      <c r="AC474" s="164" t="n">
        <v>25.8</v>
      </c>
      <c r="AD474" s="111" t="s">
        <v>246</v>
      </c>
      <c r="AG474" s="167" t="n">
        <v>4.53</v>
      </c>
      <c r="AH474" s="111" t="s">
        <v>246</v>
      </c>
      <c r="AM474" s="167"/>
      <c r="BS474" s="167" t="n">
        <v>48.04</v>
      </c>
      <c r="BT474" s="111" t="s">
        <v>246</v>
      </c>
      <c r="BU474" s="164" t="n">
        <v>20.19</v>
      </c>
      <c r="BV474" s="111" t="s">
        <v>246</v>
      </c>
    </row>
    <row r="475" customFormat="false" ht="12.75" hidden="false" customHeight="false" outlineLevel="0" collapsed="false">
      <c r="A475" s="162" t="s">
        <v>537</v>
      </c>
      <c r="B475" s="172" t="s">
        <v>668</v>
      </c>
      <c r="C475" s="172" t="s">
        <v>758</v>
      </c>
      <c r="D475" s="172"/>
      <c r="E475" s="106" t="n">
        <v>11</v>
      </c>
      <c r="F475" s="173" t="n">
        <v>28</v>
      </c>
      <c r="S475" s="167" t="n">
        <v>1328.097383</v>
      </c>
      <c r="T475" s="111" t="s">
        <v>246</v>
      </c>
      <c r="Y475" s="167" t="n">
        <v>608.67</v>
      </c>
      <c r="Z475" s="111" t="s">
        <v>246</v>
      </c>
      <c r="AA475" s="167" t="n">
        <v>63043.76</v>
      </c>
      <c r="AB475" s="111" t="s">
        <v>246</v>
      </c>
      <c r="AC475" s="164" t="n">
        <v>28.13</v>
      </c>
      <c r="AD475" s="111" t="s">
        <v>246</v>
      </c>
      <c r="AG475" s="167" t="n">
        <v>4.46</v>
      </c>
      <c r="AH475" s="111" t="s">
        <v>246</v>
      </c>
      <c r="AM475" s="167"/>
      <c r="BS475" s="167" t="n">
        <v>47.2</v>
      </c>
      <c r="BT475" s="111" t="s">
        <v>246</v>
      </c>
      <c r="BU475" s="164" t="n">
        <v>21.63</v>
      </c>
      <c r="BV475" s="111" t="s">
        <v>246</v>
      </c>
    </row>
    <row r="476" customFormat="false" ht="12.75" hidden="false" customHeight="false" outlineLevel="0" collapsed="false">
      <c r="A476" s="162" t="s">
        <v>537</v>
      </c>
      <c r="B476" s="172" t="s">
        <v>665</v>
      </c>
      <c r="C476" s="172" t="s">
        <v>760</v>
      </c>
      <c r="D476" s="172"/>
      <c r="E476" s="106" t="n">
        <v>12</v>
      </c>
      <c r="F476" s="173" t="n">
        <v>48</v>
      </c>
      <c r="S476" s="167" t="n">
        <v>1514.845378</v>
      </c>
      <c r="T476" s="111" t="s">
        <v>246</v>
      </c>
      <c r="Y476" s="167" t="n">
        <v>658.96</v>
      </c>
      <c r="Z476" s="111" t="s">
        <v>246</v>
      </c>
      <c r="AA476" s="167" t="n">
        <v>74876.2</v>
      </c>
      <c r="AB476" s="111" t="s">
        <v>246</v>
      </c>
      <c r="AC476" s="164" t="n">
        <v>31.92</v>
      </c>
      <c r="AD476" s="111" t="s">
        <v>246</v>
      </c>
      <c r="AG476" s="167" t="n">
        <v>4.26</v>
      </c>
      <c r="AH476" s="111" t="s">
        <v>246</v>
      </c>
      <c r="AM476" s="167"/>
      <c r="BS476" s="167" t="n">
        <v>47.45</v>
      </c>
      <c r="BT476" s="111" t="s">
        <v>246</v>
      </c>
      <c r="BU476" s="164" t="n">
        <v>20.64</v>
      </c>
      <c r="BV476" s="111" t="s">
        <v>246</v>
      </c>
    </row>
    <row r="477" customFormat="false" ht="12.75" hidden="false" customHeight="false" outlineLevel="0" collapsed="false">
      <c r="A477" s="162" t="s">
        <v>537</v>
      </c>
      <c r="B477" s="172" t="s">
        <v>668</v>
      </c>
      <c r="C477" s="172" t="s">
        <v>760</v>
      </c>
      <c r="D477" s="172"/>
      <c r="E477" s="106" t="n">
        <v>16</v>
      </c>
      <c r="F477" s="173" t="n">
        <v>57</v>
      </c>
      <c r="S477" s="167" t="n">
        <v>1200.516662</v>
      </c>
      <c r="T477" s="111" t="s">
        <v>246</v>
      </c>
      <c r="Y477" s="167" t="n">
        <v>544.69</v>
      </c>
      <c r="Z477" s="111" t="s">
        <v>246</v>
      </c>
      <c r="AA477" s="167" t="n">
        <v>57359.22</v>
      </c>
      <c r="AB477" s="111" t="s">
        <v>246</v>
      </c>
      <c r="AC477" s="164" t="n">
        <v>25.71</v>
      </c>
      <c r="AD477" s="111" t="s">
        <v>246</v>
      </c>
      <c r="AG477" s="167" t="n">
        <v>4.48</v>
      </c>
      <c r="AH477" s="111" t="s">
        <v>246</v>
      </c>
      <c r="AM477" s="167"/>
      <c r="BS477" s="167" t="n">
        <v>46.7</v>
      </c>
      <c r="BT477" s="111" t="s">
        <v>246</v>
      </c>
      <c r="BU477" s="164" t="n">
        <v>21.19</v>
      </c>
      <c r="BV477" s="111" t="s">
        <v>246</v>
      </c>
    </row>
    <row r="478" customFormat="false" ht="12.75" hidden="false" customHeight="false" outlineLevel="0" collapsed="false">
      <c r="A478" s="162" t="s">
        <v>537</v>
      </c>
      <c r="B478" s="172" t="s">
        <v>665</v>
      </c>
      <c r="C478" s="172" t="s">
        <v>761</v>
      </c>
      <c r="D478" s="172"/>
      <c r="E478" s="106" t="n">
        <v>16</v>
      </c>
      <c r="F478" s="173" t="n">
        <v>3</v>
      </c>
      <c r="S478" s="167" t="n">
        <v>1503.096207</v>
      </c>
      <c r="T478" s="111" t="s">
        <v>246</v>
      </c>
      <c r="Y478" s="167" t="n">
        <v>656.53</v>
      </c>
      <c r="Z478" s="111" t="s">
        <v>246</v>
      </c>
      <c r="AA478" s="167" t="n">
        <v>74217.63</v>
      </c>
      <c r="AB478" s="111" t="s">
        <v>246</v>
      </c>
      <c r="AC478" s="164" t="n">
        <v>31.57</v>
      </c>
      <c r="AD478" s="111" t="s">
        <v>246</v>
      </c>
      <c r="AG478" s="167" t="n">
        <v>4.25</v>
      </c>
      <c r="AH478" s="111" t="s">
        <v>246</v>
      </c>
      <c r="AM478" s="167"/>
      <c r="BS478" s="167" t="n">
        <v>47.61</v>
      </c>
      <c r="BT478" s="111" t="s">
        <v>246</v>
      </c>
      <c r="BU478" s="164" t="n">
        <v>20.79</v>
      </c>
      <c r="BV478" s="111" t="s">
        <v>246</v>
      </c>
    </row>
    <row r="479" customFormat="false" ht="12.75" hidden="false" customHeight="false" outlineLevel="0" collapsed="false">
      <c r="A479" s="162" t="s">
        <v>537</v>
      </c>
      <c r="B479" s="172" t="s">
        <v>668</v>
      </c>
      <c r="C479" s="172" t="s">
        <v>761</v>
      </c>
      <c r="D479" s="172"/>
      <c r="E479" s="106" t="n">
        <v>21</v>
      </c>
      <c r="F479" s="173" t="n">
        <v>13</v>
      </c>
      <c r="S479" s="167" t="n">
        <v>1068.120237</v>
      </c>
      <c r="T479" s="111" t="s">
        <v>246</v>
      </c>
      <c r="Y479" s="167" t="n">
        <v>496.39</v>
      </c>
      <c r="Z479" s="111" t="s">
        <v>246</v>
      </c>
      <c r="AA479" s="167" t="n">
        <v>51462.5</v>
      </c>
      <c r="AB479" s="111" t="s">
        <v>246</v>
      </c>
      <c r="AC479" s="164" t="n">
        <v>23.17</v>
      </c>
      <c r="AD479" s="111" t="s">
        <v>246</v>
      </c>
      <c r="AG479" s="167" t="n">
        <v>4.5</v>
      </c>
      <c r="AH479" s="111" t="s">
        <v>246</v>
      </c>
      <c r="AM479" s="167"/>
      <c r="BS479" s="167" t="n">
        <v>46.1</v>
      </c>
      <c r="BT479" s="111" t="s">
        <v>246</v>
      </c>
      <c r="BU479" s="164" t="n">
        <v>21.42</v>
      </c>
      <c r="BV479" s="111" t="s">
        <v>246</v>
      </c>
    </row>
    <row r="480" customFormat="false" ht="12.75" hidden="false" customHeight="false" outlineLevel="0" collapsed="false">
      <c r="A480" s="162" t="s">
        <v>537</v>
      </c>
      <c r="B480" s="172" t="s">
        <v>665</v>
      </c>
      <c r="C480" s="172" t="s">
        <v>762</v>
      </c>
      <c r="D480" s="172"/>
      <c r="E480" s="106" t="n">
        <v>4</v>
      </c>
      <c r="F480" s="173" t="n">
        <v>31</v>
      </c>
      <c r="S480" s="167" t="n">
        <v>1152.962614</v>
      </c>
      <c r="T480" s="111" t="s">
        <v>246</v>
      </c>
      <c r="Y480" s="167" t="n">
        <v>534.69</v>
      </c>
      <c r="Z480" s="111" t="s">
        <v>246</v>
      </c>
      <c r="AA480" s="167" t="n">
        <v>50612.03</v>
      </c>
      <c r="AB480" s="111" t="s">
        <v>246</v>
      </c>
      <c r="AC480" s="164" t="n">
        <v>24.85</v>
      </c>
      <c r="AD480" s="111" t="s">
        <v>246</v>
      </c>
      <c r="AG480" s="167" t="n">
        <v>4.91</v>
      </c>
      <c r="AH480" s="111" t="s">
        <v>246</v>
      </c>
      <c r="AM480" s="167"/>
      <c r="BS480" s="167" t="n">
        <v>46.4</v>
      </c>
      <c r="BT480" s="111" t="s">
        <v>246</v>
      </c>
      <c r="BU480" s="164" t="n">
        <v>21.52</v>
      </c>
      <c r="BV480" s="111" t="s">
        <v>246</v>
      </c>
    </row>
    <row r="481" customFormat="false" ht="12.75" hidden="false" customHeight="false" outlineLevel="0" collapsed="false">
      <c r="A481" s="162" t="s">
        <v>537</v>
      </c>
      <c r="B481" s="172" t="s">
        <v>668</v>
      </c>
      <c r="C481" s="172" t="s">
        <v>762</v>
      </c>
      <c r="D481" s="172"/>
      <c r="E481" s="106" t="n">
        <v>4</v>
      </c>
      <c r="F481" s="173" t="n">
        <v>39</v>
      </c>
      <c r="S481" s="167" t="n">
        <v>922.2812621</v>
      </c>
      <c r="T481" s="111" t="s">
        <v>246</v>
      </c>
      <c r="Y481" s="167" t="n">
        <v>434.18</v>
      </c>
      <c r="Z481" s="111" t="s">
        <v>246</v>
      </c>
      <c r="AA481" s="167" t="n">
        <v>49153.09</v>
      </c>
      <c r="AB481" s="111" t="s">
        <v>246</v>
      </c>
      <c r="AC481" s="164" t="n">
        <v>20.01</v>
      </c>
      <c r="AD481" s="111" t="s">
        <v>246</v>
      </c>
      <c r="AG481" s="167" t="n">
        <v>4.07</v>
      </c>
      <c r="AH481" s="111" t="s">
        <v>246</v>
      </c>
      <c r="AM481" s="167"/>
      <c r="BS481" s="167" t="n">
        <v>46.08</v>
      </c>
      <c r="BT481" s="111" t="s">
        <v>246</v>
      </c>
      <c r="BU481" s="164" t="n">
        <v>21.7</v>
      </c>
      <c r="BV481" s="111" t="s">
        <v>246</v>
      </c>
    </row>
    <row r="482" customFormat="false" ht="12.75" hidden="false" customHeight="false" outlineLevel="0" collapsed="false">
      <c r="A482" s="162" t="s">
        <v>539</v>
      </c>
      <c r="B482" s="172" t="s">
        <v>665</v>
      </c>
      <c r="C482" s="172" t="s">
        <v>758</v>
      </c>
      <c r="D482" s="172"/>
      <c r="E482" s="106" t="n">
        <v>8</v>
      </c>
      <c r="F482" s="173" t="n">
        <v>8</v>
      </c>
      <c r="S482" s="167" t="n">
        <v>1139.040775</v>
      </c>
      <c r="T482" s="111" t="s">
        <v>246</v>
      </c>
      <c r="Y482" s="167" t="n">
        <v>503.64</v>
      </c>
      <c r="Z482" s="111" t="s">
        <v>246</v>
      </c>
      <c r="AA482" s="167" t="n">
        <v>53469.18</v>
      </c>
      <c r="AB482" s="111" t="s">
        <v>246</v>
      </c>
      <c r="AC482" s="164" t="n">
        <v>23.48</v>
      </c>
      <c r="AD482" s="111" t="s">
        <v>246</v>
      </c>
      <c r="AG482" s="167" t="n">
        <v>4.39</v>
      </c>
      <c r="AH482" s="111" t="s">
        <v>246</v>
      </c>
      <c r="AM482" s="167"/>
      <c r="BS482" s="167" t="n">
        <v>48.5</v>
      </c>
      <c r="BT482" s="111" t="s">
        <v>246</v>
      </c>
      <c r="BU482" s="164" t="n">
        <v>21.45</v>
      </c>
      <c r="BV482" s="111" t="s">
        <v>246</v>
      </c>
    </row>
    <row r="483" customFormat="false" ht="12.75" hidden="false" customHeight="false" outlineLevel="0" collapsed="false">
      <c r="A483" s="162" t="s">
        <v>539</v>
      </c>
      <c r="B483" s="172" t="s">
        <v>668</v>
      </c>
      <c r="C483" s="172" t="s">
        <v>758</v>
      </c>
      <c r="D483" s="172"/>
      <c r="E483" s="106" t="n">
        <v>9</v>
      </c>
      <c r="F483" s="173" t="n">
        <v>9</v>
      </c>
      <c r="S483" s="167" t="n">
        <v>1449.449328</v>
      </c>
      <c r="T483" s="111" t="s">
        <v>246</v>
      </c>
      <c r="Y483" s="167" t="n">
        <v>651.13</v>
      </c>
      <c r="Z483" s="111" t="s">
        <v>246</v>
      </c>
      <c r="AA483" s="167" t="n">
        <v>71910.79</v>
      </c>
      <c r="AB483" s="111" t="s">
        <v>246</v>
      </c>
      <c r="AC483" s="164" t="n">
        <v>30.38</v>
      </c>
      <c r="AD483" s="111" t="s">
        <v>246</v>
      </c>
      <c r="AG483" s="167" t="n">
        <v>4.22</v>
      </c>
      <c r="AH483" s="111" t="s">
        <v>246</v>
      </c>
      <c r="AM483" s="167"/>
      <c r="BS483" s="167" t="n">
        <v>47.71</v>
      </c>
      <c r="BT483" s="111" t="s">
        <v>246</v>
      </c>
      <c r="BU483" s="164" t="n">
        <v>21.43</v>
      </c>
      <c r="BV483" s="111" t="s">
        <v>246</v>
      </c>
    </row>
    <row r="484" customFormat="false" ht="12.75" hidden="false" customHeight="false" outlineLevel="0" collapsed="false">
      <c r="A484" s="162" t="s">
        <v>539</v>
      </c>
      <c r="B484" s="172" t="s">
        <v>665</v>
      </c>
      <c r="C484" s="172" t="s">
        <v>760</v>
      </c>
      <c r="D484" s="172"/>
      <c r="E484" s="106" t="n">
        <v>10</v>
      </c>
      <c r="F484" s="173" t="n">
        <v>45</v>
      </c>
      <c r="S484" s="167" t="n">
        <v>1380.200194</v>
      </c>
      <c r="T484" s="111" t="s">
        <v>246</v>
      </c>
      <c r="Y484" s="167" t="n">
        <v>594.07</v>
      </c>
      <c r="Z484" s="111" t="s">
        <v>246</v>
      </c>
      <c r="AA484" s="167" t="n">
        <v>63844.18</v>
      </c>
      <c r="AB484" s="111" t="s">
        <v>246</v>
      </c>
      <c r="AC484" s="164" t="n">
        <v>28.62</v>
      </c>
      <c r="AD484" s="111" t="s">
        <v>246</v>
      </c>
      <c r="AG484" s="167" t="n">
        <v>4.48</v>
      </c>
      <c r="AH484" s="111" t="s">
        <v>246</v>
      </c>
      <c r="AM484" s="167"/>
      <c r="BS484" s="167" t="n">
        <v>48.23</v>
      </c>
      <c r="BT484" s="111" t="s">
        <v>246</v>
      </c>
      <c r="BU484" s="164" t="n">
        <v>20.76</v>
      </c>
      <c r="BV484" s="111" t="s">
        <v>246</v>
      </c>
    </row>
    <row r="485" customFormat="false" ht="12.75" hidden="false" customHeight="false" outlineLevel="0" collapsed="false">
      <c r="A485" s="162" t="s">
        <v>539</v>
      </c>
      <c r="B485" s="172" t="s">
        <v>668</v>
      </c>
      <c r="C485" s="172" t="s">
        <v>760</v>
      </c>
      <c r="D485" s="172"/>
      <c r="E485" s="106" t="n">
        <v>16</v>
      </c>
      <c r="F485" s="173" t="n">
        <v>44</v>
      </c>
      <c r="S485" s="167" t="n">
        <v>1218.286847</v>
      </c>
      <c r="T485" s="111" t="s">
        <v>246</v>
      </c>
      <c r="Y485" s="167" t="n">
        <v>579.91</v>
      </c>
      <c r="Z485" s="111" t="s">
        <v>246</v>
      </c>
      <c r="AA485" s="167" t="n">
        <v>58984.95</v>
      </c>
      <c r="AB485" s="111" t="s">
        <v>246</v>
      </c>
      <c r="AC485" s="164" t="n">
        <v>26.14</v>
      </c>
      <c r="AD485" s="111" t="s">
        <v>246</v>
      </c>
      <c r="AG485" s="167" t="n">
        <v>4.43</v>
      </c>
      <c r="AH485" s="111" t="s">
        <v>246</v>
      </c>
      <c r="AM485" s="167"/>
      <c r="BS485" s="167" t="n">
        <v>46.61</v>
      </c>
      <c r="BT485" s="111" t="s">
        <v>246</v>
      </c>
      <c r="BU485" s="164" t="n">
        <v>22.19</v>
      </c>
      <c r="BV485" s="111" t="s">
        <v>246</v>
      </c>
    </row>
    <row r="486" customFormat="false" ht="12.75" hidden="false" customHeight="false" outlineLevel="0" collapsed="false">
      <c r="A486" s="162" t="s">
        <v>539</v>
      </c>
      <c r="B486" s="172" t="s">
        <v>665</v>
      </c>
      <c r="C486" s="172" t="s">
        <v>761</v>
      </c>
      <c r="D486" s="172"/>
      <c r="E486" s="106" t="n">
        <v>16</v>
      </c>
      <c r="F486" s="173" t="n">
        <v>4</v>
      </c>
      <c r="S486" s="167" t="n">
        <v>1324.643603</v>
      </c>
      <c r="T486" s="111" t="s">
        <v>246</v>
      </c>
      <c r="Y486" s="167" t="n">
        <v>657.05</v>
      </c>
      <c r="Z486" s="111" t="s">
        <v>246</v>
      </c>
      <c r="AA486" s="167" t="n">
        <v>70892.58</v>
      </c>
      <c r="AB486" s="111" t="s">
        <v>246</v>
      </c>
      <c r="AC486" s="164" t="n">
        <v>28.92</v>
      </c>
      <c r="AD486" s="111" t="s">
        <v>246</v>
      </c>
      <c r="AG486" s="167" t="n">
        <v>4.08</v>
      </c>
      <c r="AH486" s="111" t="s">
        <v>246</v>
      </c>
      <c r="AM486" s="167"/>
      <c r="BS486" s="167" t="n">
        <v>45.8</v>
      </c>
      <c r="BT486" s="111" t="s">
        <v>246</v>
      </c>
      <c r="BU486" s="164" t="n">
        <v>22.72</v>
      </c>
      <c r="BV486" s="111" t="s">
        <v>246</v>
      </c>
    </row>
    <row r="487" customFormat="false" ht="12.75" hidden="false" customHeight="false" outlineLevel="0" collapsed="false">
      <c r="A487" s="162" t="s">
        <v>539</v>
      </c>
      <c r="B487" s="172" t="s">
        <v>668</v>
      </c>
      <c r="C487" s="172" t="s">
        <v>761</v>
      </c>
      <c r="D487" s="172"/>
      <c r="E487" s="106" t="n">
        <v>19</v>
      </c>
      <c r="F487" s="173" t="n">
        <v>3</v>
      </c>
      <c r="S487" s="167" t="n">
        <v>1320.072272</v>
      </c>
      <c r="T487" s="111" t="s">
        <v>246</v>
      </c>
      <c r="Y487" s="167" t="n">
        <v>645.72</v>
      </c>
      <c r="Z487" s="111" t="s">
        <v>246</v>
      </c>
      <c r="AA487" s="167" t="n">
        <v>66433.89</v>
      </c>
      <c r="AB487" s="111" t="s">
        <v>246</v>
      </c>
      <c r="AC487" s="164" t="n">
        <v>28.69</v>
      </c>
      <c r="AD487" s="111" t="s">
        <v>246</v>
      </c>
      <c r="AG487" s="167" t="n">
        <v>4.32</v>
      </c>
      <c r="AH487" s="111" t="s">
        <v>246</v>
      </c>
      <c r="AM487" s="167"/>
      <c r="BS487" s="167" t="n">
        <v>46</v>
      </c>
      <c r="BT487" s="111" t="s">
        <v>246</v>
      </c>
      <c r="BU487" s="164" t="n">
        <v>22.5</v>
      </c>
      <c r="BV487" s="111" t="s">
        <v>246</v>
      </c>
    </row>
    <row r="488" customFormat="false" ht="12.75" hidden="false" customHeight="false" outlineLevel="0" collapsed="false">
      <c r="A488" s="162" t="s">
        <v>539</v>
      </c>
      <c r="B488" s="172" t="s">
        <v>665</v>
      </c>
      <c r="C488" s="172" t="s">
        <v>762</v>
      </c>
      <c r="D488" s="172"/>
      <c r="E488" s="106" t="n">
        <v>4</v>
      </c>
      <c r="F488" s="173" t="n">
        <v>16</v>
      </c>
      <c r="S488" s="167" t="n">
        <v>1165.736168</v>
      </c>
      <c r="T488" s="111" t="s">
        <v>246</v>
      </c>
      <c r="Y488" s="167" t="n">
        <v>547.56</v>
      </c>
      <c r="Z488" s="111" t="s">
        <v>246</v>
      </c>
      <c r="AA488" s="167" t="n">
        <v>54490.13</v>
      </c>
      <c r="AB488" s="111" t="s">
        <v>246</v>
      </c>
      <c r="AC488" s="164" t="n">
        <v>24.68</v>
      </c>
      <c r="AD488" s="111" t="s">
        <v>246</v>
      </c>
      <c r="AG488" s="167" t="n">
        <v>4.53</v>
      </c>
      <c r="AH488" s="111" t="s">
        <v>246</v>
      </c>
      <c r="AM488" s="167"/>
      <c r="BS488" s="167" t="n">
        <v>47.24</v>
      </c>
      <c r="BT488" s="111" t="s">
        <v>246</v>
      </c>
      <c r="BU488" s="164" t="n">
        <v>22.19</v>
      </c>
      <c r="BV488" s="111" t="s">
        <v>246</v>
      </c>
    </row>
    <row r="489" customFormat="false" ht="12.75" hidden="false" customHeight="false" outlineLevel="0" collapsed="false">
      <c r="A489" s="162" t="s">
        <v>539</v>
      </c>
      <c r="B489" s="172" t="s">
        <v>668</v>
      </c>
      <c r="C489" s="172" t="s">
        <v>762</v>
      </c>
      <c r="D489" s="172"/>
      <c r="E489" s="106" t="n">
        <v>4</v>
      </c>
      <c r="F489" s="173" t="n">
        <v>38</v>
      </c>
      <c r="S489" s="167" t="n">
        <v>988.4449909</v>
      </c>
      <c r="T489" s="111" t="s">
        <v>246</v>
      </c>
      <c r="Y489" s="167" t="n">
        <v>507.58</v>
      </c>
      <c r="Z489" s="111" t="s">
        <v>246</v>
      </c>
      <c r="AA489" s="167" t="n">
        <v>51347.03</v>
      </c>
      <c r="AB489" s="111" t="s">
        <v>246</v>
      </c>
      <c r="AC489" s="164" t="n">
        <v>21.81</v>
      </c>
      <c r="AD489" s="111" t="s">
        <v>246</v>
      </c>
      <c r="AG489" s="167" t="n">
        <v>4.25</v>
      </c>
      <c r="AH489" s="111" t="s">
        <v>246</v>
      </c>
      <c r="AM489" s="167"/>
      <c r="BS489" s="167" t="n">
        <v>45.31</v>
      </c>
      <c r="BT489" s="111" t="s">
        <v>246</v>
      </c>
      <c r="BU489" s="164" t="n">
        <v>23.27</v>
      </c>
      <c r="BV489" s="111" t="s">
        <v>246</v>
      </c>
    </row>
    <row r="490" customFormat="false" ht="12.75" hidden="false" customHeight="false" outlineLevel="0" collapsed="false">
      <c r="A490" s="162" t="s">
        <v>541</v>
      </c>
      <c r="B490" s="172" t="s">
        <v>665</v>
      </c>
      <c r="C490" s="172" t="s">
        <v>758</v>
      </c>
      <c r="D490" s="172"/>
      <c r="E490" s="106" t="n">
        <v>5</v>
      </c>
      <c r="F490" s="173" t="n">
        <v>21</v>
      </c>
      <c r="S490" s="167" t="n">
        <v>1861.800633</v>
      </c>
      <c r="T490" s="111" t="s">
        <v>246</v>
      </c>
      <c r="Y490" s="167" t="n">
        <v>799.89</v>
      </c>
      <c r="Z490" s="111" t="s">
        <v>246</v>
      </c>
      <c r="AA490" s="167" t="n">
        <v>78494.31</v>
      </c>
      <c r="AB490" s="111" t="s">
        <v>246</v>
      </c>
      <c r="AC490" s="164" t="n">
        <v>39.42</v>
      </c>
      <c r="AD490" s="111" t="s">
        <v>246</v>
      </c>
      <c r="AG490" s="167" t="n">
        <v>5.02</v>
      </c>
      <c r="AH490" s="111" t="s">
        <v>246</v>
      </c>
      <c r="AM490" s="167"/>
      <c r="BS490" s="167" t="n">
        <v>47.23</v>
      </c>
      <c r="BT490" s="111" t="s">
        <v>246</v>
      </c>
      <c r="BU490" s="164" t="n">
        <v>20.29</v>
      </c>
      <c r="BV490" s="111" t="s">
        <v>246</v>
      </c>
    </row>
    <row r="491" customFormat="false" ht="12.75" hidden="false" customHeight="false" outlineLevel="0" collapsed="false">
      <c r="A491" s="162" t="s">
        <v>541</v>
      </c>
      <c r="B491" s="172" t="s">
        <v>668</v>
      </c>
      <c r="C491" s="172" t="s">
        <v>758</v>
      </c>
      <c r="D491" s="172"/>
      <c r="E491" s="106" t="n">
        <v>10</v>
      </c>
      <c r="F491" s="173" t="n">
        <v>10</v>
      </c>
      <c r="S491" s="167" t="n">
        <v>1905.217806</v>
      </c>
      <c r="T491" s="111" t="s">
        <v>246</v>
      </c>
      <c r="Y491" s="167" t="n">
        <v>828</v>
      </c>
      <c r="Z491" s="111" t="s">
        <v>246</v>
      </c>
      <c r="AA491" s="167" t="n">
        <v>80086.46</v>
      </c>
      <c r="AB491" s="111" t="s">
        <v>246</v>
      </c>
      <c r="AC491" s="164" t="n">
        <v>40.17</v>
      </c>
      <c r="AD491" s="111" t="s">
        <v>246</v>
      </c>
      <c r="AG491" s="167" t="n">
        <v>5.02</v>
      </c>
      <c r="AH491" s="111" t="s">
        <v>246</v>
      </c>
      <c r="AM491" s="167"/>
      <c r="BS491" s="167" t="n">
        <v>47.42</v>
      </c>
      <c r="BT491" s="111" t="s">
        <v>246</v>
      </c>
      <c r="BU491" s="164" t="n">
        <v>20.61</v>
      </c>
      <c r="BV491" s="111" t="s">
        <v>246</v>
      </c>
    </row>
    <row r="492" customFormat="false" ht="12.75" hidden="false" customHeight="false" outlineLevel="0" collapsed="false">
      <c r="A492" s="162" t="s">
        <v>541</v>
      </c>
      <c r="B492" s="172" t="s">
        <v>665</v>
      </c>
      <c r="C492" s="172" t="s">
        <v>760</v>
      </c>
      <c r="D492" s="172"/>
      <c r="E492" s="106" t="n">
        <v>9</v>
      </c>
      <c r="F492" s="173" t="n">
        <v>62</v>
      </c>
      <c r="S492" s="167" t="n">
        <v>1811.982637</v>
      </c>
      <c r="T492" s="111" t="s">
        <v>246</v>
      </c>
      <c r="Y492" s="167" t="n">
        <v>734.51</v>
      </c>
      <c r="Z492" s="111" t="s">
        <v>246</v>
      </c>
      <c r="AA492" s="167" t="n">
        <v>71196.32</v>
      </c>
      <c r="AB492" s="111" t="s">
        <v>246</v>
      </c>
      <c r="AC492" s="164" t="n">
        <v>36.98</v>
      </c>
      <c r="AD492" s="111" t="s">
        <v>246</v>
      </c>
      <c r="AG492" s="167" t="n">
        <v>5.19</v>
      </c>
      <c r="AH492" s="111" t="s">
        <v>246</v>
      </c>
      <c r="AM492" s="167"/>
      <c r="BS492" s="167" t="n">
        <v>49</v>
      </c>
      <c r="BT492" s="111" t="s">
        <v>246</v>
      </c>
      <c r="BU492" s="164" t="n">
        <v>19.86</v>
      </c>
      <c r="BV492" s="111" t="s">
        <v>246</v>
      </c>
    </row>
    <row r="493" customFormat="false" ht="12.75" hidden="false" customHeight="false" outlineLevel="0" collapsed="false">
      <c r="A493" s="162" t="s">
        <v>541</v>
      </c>
      <c r="B493" s="172" t="s">
        <v>668</v>
      </c>
      <c r="C493" s="172" t="s">
        <v>760</v>
      </c>
      <c r="D493" s="172"/>
      <c r="E493" s="106" t="n">
        <v>14</v>
      </c>
      <c r="F493" s="173" t="n">
        <v>42</v>
      </c>
      <c r="S493" s="167" t="n">
        <v>1717.213918</v>
      </c>
      <c r="T493" s="111" t="s">
        <v>246</v>
      </c>
      <c r="Y493" s="167" t="n">
        <v>771.36</v>
      </c>
      <c r="Z493" s="111" t="s">
        <v>246</v>
      </c>
      <c r="AA493" s="167" t="n">
        <v>74706.29</v>
      </c>
      <c r="AB493" s="111" t="s">
        <v>246</v>
      </c>
      <c r="AC493" s="164" t="n">
        <v>36.79</v>
      </c>
      <c r="AD493" s="111" t="s">
        <v>246</v>
      </c>
      <c r="AG493" s="167" t="n">
        <v>4.92</v>
      </c>
      <c r="AH493" s="111" t="s">
        <v>246</v>
      </c>
      <c r="AM493" s="167"/>
      <c r="BS493" s="167" t="n">
        <v>46.67</v>
      </c>
      <c r="BT493" s="111" t="s">
        <v>246</v>
      </c>
      <c r="BU493" s="164" t="n">
        <v>20.97</v>
      </c>
      <c r="BV493" s="111" t="s">
        <v>246</v>
      </c>
    </row>
    <row r="494" customFormat="false" ht="12.75" hidden="false" customHeight="false" outlineLevel="0" collapsed="false">
      <c r="A494" s="162" t="s">
        <v>541</v>
      </c>
      <c r="B494" s="172" t="s">
        <v>665</v>
      </c>
      <c r="C494" s="172" t="s">
        <v>761</v>
      </c>
      <c r="D494" s="172"/>
      <c r="E494" s="106" t="n">
        <v>15</v>
      </c>
      <c r="F494" s="173" t="n">
        <v>17</v>
      </c>
      <c r="S494" s="167" t="n">
        <v>1887.587519</v>
      </c>
      <c r="T494" s="111" t="s">
        <v>246</v>
      </c>
      <c r="Y494" s="167" t="n">
        <v>833.51</v>
      </c>
      <c r="Z494" s="111" t="s">
        <v>246</v>
      </c>
      <c r="AA494" s="167" t="n">
        <v>84247.94</v>
      </c>
      <c r="AB494" s="111" t="s">
        <v>246</v>
      </c>
      <c r="AC494" s="164" t="n">
        <v>39.98</v>
      </c>
      <c r="AD494" s="111" t="s">
        <v>246</v>
      </c>
      <c r="AG494" s="167" t="n">
        <v>4.75</v>
      </c>
      <c r="AH494" s="111" t="s">
        <v>246</v>
      </c>
      <c r="AM494" s="167"/>
      <c r="BS494" s="167" t="n">
        <v>47.21</v>
      </c>
      <c r="BT494" s="111" t="s">
        <v>246</v>
      </c>
      <c r="BU494" s="164" t="n">
        <v>20.85</v>
      </c>
      <c r="BV494" s="111" t="s">
        <v>246</v>
      </c>
    </row>
    <row r="495" customFormat="false" ht="12.75" hidden="false" customHeight="false" outlineLevel="0" collapsed="false">
      <c r="A495" s="162" t="s">
        <v>541</v>
      </c>
      <c r="B495" s="172" t="s">
        <v>668</v>
      </c>
      <c r="C495" s="172" t="s">
        <v>761</v>
      </c>
      <c r="D495" s="172"/>
      <c r="E495" s="106" t="n">
        <v>17</v>
      </c>
      <c r="F495" s="173" t="n">
        <v>26</v>
      </c>
      <c r="S495" s="167" t="n">
        <v>1448.093416</v>
      </c>
      <c r="T495" s="111" t="s">
        <v>246</v>
      </c>
      <c r="Y495" s="167" t="n">
        <v>689.39</v>
      </c>
      <c r="Z495" s="111" t="s">
        <v>246</v>
      </c>
      <c r="AA495" s="167" t="n">
        <v>62994.75</v>
      </c>
      <c r="AB495" s="111" t="s">
        <v>246</v>
      </c>
      <c r="AC495" s="164" t="n">
        <v>31.39</v>
      </c>
      <c r="AD495" s="111" t="s">
        <v>246</v>
      </c>
      <c r="AG495" s="167" t="n">
        <v>4.98</v>
      </c>
      <c r="AH495" s="111" t="s">
        <v>246</v>
      </c>
      <c r="AM495" s="167"/>
      <c r="BS495" s="167" t="n">
        <v>46.13</v>
      </c>
      <c r="BT495" s="111" t="s">
        <v>246</v>
      </c>
      <c r="BU495" s="164" t="n">
        <v>21.96</v>
      </c>
      <c r="BV495" s="111" t="s">
        <v>246</v>
      </c>
    </row>
    <row r="496" customFormat="false" ht="12.75" hidden="false" customHeight="false" outlineLevel="0" collapsed="false">
      <c r="A496" s="162" t="s">
        <v>541</v>
      </c>
      <c r="B496" s="172" t="s">
        <v>665</v>
      </c>
      <c r="C496" s="172" t="s">
        <v>762</v>
      </c>
      <c r="D496" s="172"/>
      <c r="E496" s="106" t="n">
        <v>4</v>
      </c>
      <c r="F496" s="173" t="n">
        <v>21</v>
      </c>
      <c r="S496" s="167" t="n">
        <v>1861.42012</v>
      </c>
      <c r="T496" s="111" t="s">
        <v>246</v>
      </c>
      <c r="Y496" s="167" t="n">
        <v>770.33</v>
      </c>
      <c r="Z496" s="111" t="s">
        <v>246</v>
      </c>
      <c r="AA496" s="167" t="n">
        <v>77297.86</v>
      </c>
      <c r="AB496" s="111" t="s">
        <v>246</v>
      </c>
      <c r="AC496" s="164" t="n">
        <v>38.73</v>
      </c>
      <c r="AD496" s="111" t="s">
        <v>246</v>
      </c>
      <c r="AG496" s="167" t="n">
        <v>5.01</v>
      </c>
      <c r="AH496" s="111" t="s">
        <v>246</v>
      </c>
      <c r="AM496" s="167"/>
      <c r="BS496" s="167" t="n">
        <v>48.06</v>
      </c>
      <c r="BT496" s="111" t="s">
        <v>246</v>
      </c>
      <c r="BU496" s="164" t="n">
        <v>19.89</v>
      </c>
      <c r="BV496" s="111" t="s">
        <v>246</v>
      </c>
    </row>
    <row r="497" customFormat="false" ht="12.75" hidden="false" customHeight="false" outlineLevel="0" collapsed="false">
      <c r="A497" s="162" t="s">
        <v>541</v>
      </c>
      <c r="B497" s="172" t="s">
        <v>668</v>
      </c>
      <c r="C497" s="172" t="s">
        <v>762</v>
      </c>
      <c r="D497" s="172"/>
      <c r="E497" s="106" t="n">
        <v>1</v>
      </c>
      <c r="F497" s="173" t="n">
        <v>59</v>
      </c>
      <c r="S497" s="167" t="n">
        <v>1616.707783</v>
      </c>
      <c r="T497" s="111" t="s">
        <v>246</v>
      </c>
      <c r="Y497" s="167" t="n">
        <v>741.2</v>
      </c>
      <c r="Z497" s="111" t="s">
        <v>246</v>
      </c>
      <c r="AA497" s="167" t="n">
        <v>72664.65</v>
      </c>
      <c r="AB497" s="111" t="s">
        <v>246</v>
      </c>
      <c r="AC497" s="164" t="n">
        <v>34.71</v>
      </c>
      <c r="AD497" s="111" t="s">
        <v>246</v>
      </c>
      <c r="AG497" s="167" t="n">
        <v>4.78</v>
      </c>
      <c r="AH497" s="111" t="s">
        <v>246</v>
      </c>
      <c r="AM497" s="167"/>
      <c r="BS497" s="167" t="n">
        <v>46.58</v>
      </c>
      <c r="BT497" s="111" t="s">
        <v>246</v>
      </c>
      <c r="BU497" s="164" t="n">
        <v>21.36</v>
      </c>
      <c r="BV497" s="111" t="s">
        <v>246</v>
      </c>
    </row>
    <row r="498" customFormat="false" ht="12.75" hidden="false" customHeight="false" outlineLevel="0" collapsed="false">
      <c r="A498" s="162" t="s">
        <v>543</v>
      </c>
      <c r="B498" s="172" t="s">
        <v>665</v>
      </c>
      <c r="C498" s="172" t="s">
        <v>758</v>
      </c>
      <c r="D498" s="172"/>
      <c r="E498" s="106" t="n">
        <v>8</v>
      </c>
      <c r="F498" s="173" t="n">
        <v>18</v>
      </c>
      <c r="S498" s="167" t="n">
        <v>1566.701467</v>
      </c>
      <c r="T498" s="111" t="s">
        <v>246</v>
      </c>
      <c r="Y498" s="167" t="n">
        <v>681.01</v>
      </c>
      <c r="Z498" s="111" t="s">
        <v>246</v>
      </c>
      <c r="AA498" s="167" t="n">
        <v>70071.25</v>
      </c>
      <c r="AB498" s="111" t="s">
        <v>246</v>
      </c>
      <c r="AC498" s="164" t="n">
        <v>32.28</v>
      </c>
      <c r="AD498" s="111" t="s">
        <v>246</v>
      </c>
      <c r="AG498" s="167" t="n">
        <v>4.61</v>
      </c>
      <c r="AH498" s="111" t="s">
        <v>246</v>
      </c>
      <c r="AM498" s="167"/>
      <c r="BS498" s="167" t="n">
        <v>48.54</v>
      </c>
      <c r="BT498" s="111" t="s">
        <v>246</v>
      </c>
      <c r="BU498" s="164" t="n">
        <v>21.1</v>
      </c>
      <c r="BV498" s="111" t="s">
        <v>246</v>
      </c>
    </row>
    <row r="499" customFormat="false" ht="12.75" hidden="false" customHeight="false" outlineLevel="0" collapsed="false">
      <c r="A499" s="162" t="s">
        <v>543</v>
      </c>
      <c r="B499" s="172" t="s">
        <v>668</v>
      </c>
      <c r="C499" s="172" t="s">
        <v>758</v>
      </c>
      <c r="D499" s="172"/>
      <c r="E499" s="106" t="n">
        <v>12</v>
      </c>
      <c r="F499" s="173" t="n">
        <v>12</v>
      </c>
      <c r="S499" s="167" t="n">
        <v>1288.032496</v>
      </c>
      <c r="T499" s="111" t="s">
        <v>246</v>
      </c>
      <c r="Y499" s="167" t="n">
        <v>615.21</v>
      </c>
      <c r="Z499" s="111" t="s">
        <v>246</v>
      </c>
      <c r="AA499" s="167" t="n">
        <v>61064.35</v>
      </c>
      <c r="AB499" s="111" t="s">
        <v>246</v>
      </c>
      <c r="AC499" s="164" t="n">
        <v>27.43</v>
      </c>
      <c r="AD499" s="111" t="s">
        <v>246</v>
      </c>
      <c r="AG499" s="167" t="n">
        <v>4.49</v>
      </c>
      <c r="AH499" s="111" t="s">
        <v>246</v>
      </c>
      <c r="AM499" s="167"/>
      <c r="BS499" s="167" t="n">
        <v>46.95</v>
      </c>
      <c r="BT499" s="111" t="s">
        <v>246</v>
      </c>
      <c r="BU499" s="164" t="n">
        <v>22.43</v>
      </c>
      <c r="BV499" s="111" t="s">
        <v>246</v>
      </c>
    </row>
    <row r="500" customFormat="false" ht="12.75" hidden="false" customHeight="false" outlineLevel="0" collapsed="false">
      <c r="A500" s="162" t="s">
        <v>543</v>
      </c>
      <c r="B500" s="172" t="s">
        <v>665</v>
      </c>
      <c r="C500" s="172" t="s">
        <v>760</v>
      </c>
      <c r="D500" s="172"/>
      <c r="E500" s="106" t="n">
        <v>10</v>
      </c>
      <c r="F500" s="173" t="n">
        <v>52</v>
      </c>
      <c r="S500" s="167" t="n">
        <v>1608.702179</v>
      </c>
      <c r="T500" s="111" t="s">
        <v>246</v>
      </c>
      <c r="Y500" s="167" t="n">
        <v>723.27</v>
      </c>
      <c r="Z500" s="111" t="s">
        <v>246</v>
      </c>
      <c r="AA500" s="167" t="n">
        <v>75878.6</v>
      </c>
      <c r="AB500" s="111" t="s">
        <v>246</v>
      </c>
      <c r="AC500" s="164" t="n">
        <v>33.61</v>
      </c>
      <c r="AD500" s="111" t="s">
        <v>246</v>
      </c>
      <c r="AG500" s="167" t="n">
        <v>4.43</v>
      </c>
      <c r="AH500" s="111" t="s">
        <v>246</v>
      </c>
      <c r="AM500" s="167"/>
      <c r="BS500" s="167" t="n">
        <v>47.86</v>
      </c>
      <c r="BT500" s="111" t="s">
        <v>246</v>
      </c>
      <c r="BU500" s="164" t="n">
        <v>21.52</v>
      </c>
      <c r="BV500" s="111" t="s">
        <v>246</v>
      </c>
    </row>
    <row r="501" customFormat="false" ht="12.75" hidden="false" customHeight="false" outlineLevel="0" collapsed="false">
      <c r="A501" s="162" t="s">
        <v>543</v>
      </c>
      <c r="B501" s="172" t="s">
        <v>668</v>
      </c>
      <c r="C501" s="172" t="s">
        <v>760</v>
      </c>
      <c r="D501" s="172"/>
      <c r="E501" s="106" t="n">
        <v>14</v>
      </c>
      <c r="F501" s="173" t="n">
        <v>45</v>
      </c>
      <c r="S501" s="167" t="n">
        <v>1380.789551</v>
      </c>
      <c r="T501" s="111" t="s">
        <v>246</v>
      </c>
      <c r="Y501" s="167" t="n">
        <v>683.4</v>
      </c>
      <c r="Z501" s="111" t="s">
        <v>246</v>
      </c>
      <c r="AA501" s="167" t="n">
        <v>69616.62</v>
      </c>
      <c r="AB501" s="111" t="s">
        <v>246</v>
      </c>
      <c r="AC501" s="164" t="n">
        <v>30.24</v>
      </c>
      <c r="AD501" s="111" t="s">
        <v>246</v>
      </c>
      <c r="AG501" s="167" t="n">
        <v>4.34</v>
      </c>
      <c r="AH501" s="111" t="s">
        <v>246</v>
      </c>
      <c r="AM501" s="167"/>
      <c r="BS501" s="167" t="n">
        <v>45.66</v>
      </c>
      <c r="BT501" s="111" t="s">
        <v>246</v>
      </c>
      <c r="BU501" s="164" t="n">
        <v>22.6</v>
      </c>
      <c r="BV501" s="111" t="s">
        <v>246</v>
      </c>
    </row>
    <row r="502" customFormat="false" ht="12.75" hidden="false" customHeight="false" outlineLevel="0" collapsed="false">
      <c r="A502" s="162" t="s">
        <v>543</v>
      </c>
      <c r="B502" s="172" t="s">
        <v>665</v>
      </c>
      <c r="C502" s="172" t="s">
        <v>761</v>
      </c>
      <c r="D502" s="172"/>
      <c r="E502" s="106" t="n">
        <v>14</v>
      </c>
      <c r="F502" s="173" t="n">
        <v>16</v>
      </c>
      <c r="S502" s="167" t="n">
        <v>1672.79638</v>
      </c>
      <c r="T502" s="111" t="s">
        <v>246</v>
      </c>
      <c r="Y502" s="167" t="n">
        <v>779.86</v>
      </c>
      <c r="Z502" s="111" t="s">
        <v>246</v>
      </c>
      <c r="AA502" s="167" t="n">
        <v>81361.22</v>
      </c>
      <c r="AB502" s="111" t="s">
        <v>246</v>
      </c>
      <c r="AC502" s="164" t="n">
        <v>35.52</v>
      </c>
      <c r="AD502" s="111" t="s">
        <v>246</v>
      </c>
      <c r="AG502" s="167" t="n">
        <v>4.37</v>
      </c>
      <c r="AH502" s="111" t="s">
        <v>246</v>
      </c>
      <c r="AM502" s="167"/>
      <c r="BS502" s="167" t="n">
        <v>47.1</v>
      </c>
      <c r="BT502" s="111" t="s">
        <v>246</v>
      </c>
      <c r="BU502" s="164" t="n">
        <v>21.96</v>
      </c>
      <c r="BV502" s="111" t="s">
        <v>246</v>
      </c>
    </row>
    <row r="503" customFormat="false" ht="12.75" hidden="false" customHeight="false" outlineLevel="0" collapsed="false">
      <c r="A503" s="162" t="s">
        <v>543</v>
      </c>
      <c r="B503" s="172" t="s">
        <v>668</v>
      </c>
      <c r="C503" s="172" t="s">
        <v>761</v>
      </c>
      <c r="D503" s="172"/>
      <c r="E503" s="106" t="n">
        <v>19</v>
      </c>
      <c r="F503" s="173" t="n">
        <v>20</v>
      </c>
      <c r="S503" s="167" t="n">
        <v>1454.439281</v>
      </c>
      <c r="T503" s="111" t="s">
        <v>246</v>
      </c>
      <c r="Y503" s="167" t="n">
        <v>762.62</v>
      </c>
      <c r="Z503" s="111" t="s">
        <v>246</v>
      </c>
      <c r="AA503" s="167" t="n">
        <v>77921.23</v>
      </c>
      <c r="AB503" s="111" t="s">
        <v>246</v>
      </c>
      <c r="AC503" s="164" t="n">
        <v>32.34</v>
      </c>
      <c r="AD503" s="111" t="s">
        <v>246</v>
      </c>
      <c r="AG503" s="167" t="n">
        <v>4.15</v>
      </c>
      <c r="AH503" s="111" t="s">
        <v>246</v>
      </c>
      <c r="AM503" s="167"/>
      <c r="BS503" s="167" t="n">
        <v>44.97</v>
      </c>
      <c r="BT503" s="111" t="s">
        <v>246</v>
      </c>
      <c r="BU503" s="164" t="n">
        <v>23.58</v>
      </c>
      <c r="BV503" s="111" t="s">
        <v>246</v>
      </c>
    </row>
    <row r="504" customFormat="false" ht="12.75" hidden="false" customHeight="false" outlineLevel="0" collapsed="false">
      <c r="A504" s="162" t="s">
        <v>543</v>
      </c>
      <c r="B504" s="172" t="s">
        <v>665</v>
      </c>
      <c r="C504" s="172" t="s">
        <v>762</v>
      </c>
      <c r="D504" s="172"/>
      <c r="E504" s="106" t="n">
        <v>2</v>
      </c>
      <c r="F504" s="173" t="n">
        <v>17</v>
      </c>
      <c r="S504" s="167" t="n">
        <v>1425.06031</v>
      </c>
      <c r="T504" s="111" t="s">
        <v>246</v>
      </c>
      <c r="Y504" s="167" t="n">
        <v>644.01</v>
      </c>
      <c r="Z504" s="111" t="s">
        <v>246</v>
      </c>
      <c r="AA504" s="167" t="n">
        <v>61416.12</v>
      </c>
      <c r="AB504" s="111" t="s">
        <v>246</v>
      </c>
      <c r="AC504" s="164" t="n">
        <v>30.07</v>
      </c>
      <c r="AD504" s="111" t="s">
        <v>246</v>
      </c>
      <c r="AG504" s="167" t="n">
        <v>4.9</v>
      </c>
      <c r="AH504" s="111" t="s">
        <v>246</v>
      </c>
      <c r="AM504" s="167"/>
      <c r="BS504" s="167" t="n">
        <v>47.4</v>
      </c>
      <c r="BT504" s="111" t="s">
        <v>246</v>
      </c>
      <c r="BU504" s="164" t="n">
        <v>21.42</v>
      </c>
      <c r="BV504" s="111" t="s">
        <v>246</v>
      </c>
    </row>
    <row r="505" customFormat="false" ht="12.75" hidden="false" customHeight="false" outlineLevel="0" collapsed="false">
      <c r="A505" s="162" t="s">
        <v>543</v>
      </c>
      <c r="B505" s="172" t="s">
        <v>668</v>
      </c>
      <c r="C505" s="172" t="s">
        <v>762</v>
      </c>
      <c r="D505" s="172"/>
      <c r="E505" s="106" t="n">
        <v>2</v>
      </c>
      <c r="F505" s="173" t="n">
        <v>36</v>
      </c>
      <c r="S505" s="167" t="n">
        <v>1212.246339</v>
      </c>
      <c r="T505" s="111" t="s">
        <v>246</v>
      </c>
      <c r="Y505" s="167" t="n">
        <v>631.05</v>
      </c>
      <c r="Z505" s="111" t="s">
        <v>246</v>
      </c>
      <c r="AA505" s="167" t="n">
        <v>58998.22</v>
      </c>
      <c r="AB505" s="111" t="s">
        <v>246</v>
      </c>
      <c r="AC505" s="164" t="n">
        <v>27.05</v>
      </c>
      <c r="AD505" s="111" t="s">
        <v>246</v>
      </c>
      <c r="AG505" s="167" t="n">
        <v>4.59</v>
      </c>
      <c r="AH505" s="111" t="s">
        <v>246</v>
      </c>
      <c r="AM505" s="167"/>
      <c r="BS505" s="167" t="n">
        <v>44.81</v>
      </c>
      <c r="BT505" s="111" t="s">
        <v>246</v>
      </c>
      <c r="BU505" s="164" t="n">
        <v>23.33</v>
      </c>
      <c r="BV505" s="111" t="s">
        <v>246</v>
      </c>
    </row>
    <row r="506" customFormat="false" ht="12.75" hidden="false" customHeight="false" outlineLevel="0" collapsed="false">
      <c r="A506" s="162" t="s">
        <v>545</v>
      </c>
      <c r="B506" s="172" t="s">
        <v>665</v>
      </c>
      <c r="C506" s="172" t="s">
        <v>758</v>
      </c>
      <c r="D506" s="172"/>
      <c r="E506" s="106" t="n">
        <v>5</v>
      </c>
      <c r="F506" s="173" t="n">
        <v>14</v>
      </c>
      <c r="S506" s="167" t="n">
        <v>1440.885243</v>
      </c>
      <c r="T506" s="111" t="s">
        <v>246</v>
      </c>
      <c r="Y506" s="167" t="n">
        <v>664.32</v>
      </c>
      <c r="Z506" s="111" t="s">
        <v>246</v>
      </c>
      <c r="AA506" s="167" t="n">
        <v>68830.92</v>
      </c>
      <c r="AB506" s="111" t="s">
        <v>246</v>
      </c>
      <c r="AC506" s="164" t="n">
        <v>30.56</v>
      </c>
      <c r="AD506" s="111" t="s">
        <v>246</v>
      </c>
      <c r="AG506" s="167" t="n">
        <v>4.44</v>
      </c>
      <c r="AH506" s="111" t="s">
        <v>246</v>
      </c>
      <c r="AM506" s="167"/>
      <c r="BS506" s="167" t="n">
        <v>47.15</v>
      </c>
      <c r="BT506" s="111" t="s">
        <v>246</v>
      </c>
      <c r="BU506" s="164" t="n">
        <v>21.74</v>
      </c>
      <c r="BV506" s="111" t="s">
        <v>246</v>
      </c>
    </row>
    <row r="507" customFormat="false" ht="12.75" hidden="false" customHeight="false" outlineLevel="0" collapsed="false">
      <c r="A507" s="162" t="s">
        <v>545</v>
      </c>
      <c r="B507" s="172" t="s">
        <v>668</v>
      </c>
      <c r="C507" s="172" t="s">
        <v>758</v>
      </c>
      <c r="D507" s="172"/>
      <c r="E507" s="106" t="n">
        <v>12</v>
      </c>
      <c r="F507" s="173" t="n">
        <v>11</v>
      </c>
      <c r="S507" s="167" t="n">
        <v>1481.867095</v>
      </c>
      <c r="T507" s="111" t="s">
        <v>246</v>
      </c>
      <c r="Y507" s="167" t="n">
        <v>706.65</v>
      </c>
      <c r="Z507" s="111" t="s">
        <v>246</v>
      </c>
      <c r="AA507" s="167" t="n">
        <v>68796.76</v>
      </c>
      <c r="AB507" s="111" t="s">
        <v>246</v>
      </c>
      <c r="AC507" s="164" t="n">
        <v>31.76</v>
      </c>
      <c r="AD507" s="111" t="s">
        <v>246</v>
      </c>
      <c r="AG507" s="167" t="n">
        <v>4.62</v>
      </c>
      <c r="AH507" s="111" t="s">
        <v>246</v>
      </c>
      <c r="AM507" s="167"/>
      <c r="BS507" s="167" t="n">
        <v>46.65</v>
      </c>
      <c r="BT507" s="111" t="s">
        <v>246</v>
      </c>
      <c r="BU507" s="164" t="n">
        <v>22.25</v>
      </c>
      <c r="BV507" s="111" t="s">
        <v>246</v>
      </c>
    </row>
    <row r="508" customFormat="false" ht="12.75" hidden="false" customHeight="false" outlineLevel="0" collapsed="false">
      <c r="A508" s="162" t="s">
        <v>545</v>
      </c>
      <c r="B508" s="172" t="s">
        <v>665</v>
      </c>
      <c r="C508" s="172" t="s">
        <v>760</v>
      </c>
      <c r="D508" s="172"/>
      <c r="E508" s="106" t="n">
        <v>11</v>
      </c>
      <c r="F508" s="173" t="n">
        <v>46</v>
      </c>
      <c r="S508" s="167" t="s">
        <v>759</v>
      </c>
      <c r="T508" s="111" t="s">
        <v>246</v>
      </c>
      <c r="Y508" s="167" t="s">
        <v>759</v>
      </c>
      <c r="Z508" s="111" t="s">
        <v>246</v>
      </c>
      <c r="AA508" s="167" t="s">
        <v>759</v>
      </c>
      <c r="AB508" s="111" t="s">
        <v>246</v>
      </c>
      <c r="AC508" s="164" t="s">
        <v>759</v>
      </c>
      <c r="AD508" s="111" t="s">
        <v>246</v>
      </c>
      <c r="AG508" s="167" t="n">
        <v>4.46</v>
      </c>
      <c r="AH508" s="111" t="s">
        <v>246</v>
      </c>
      <c r="AM508" s="167"/>
      <c r="BS508" s="167" t="n">
        <v>49.01</v>
      </c>
      <c r="BT508" s="111" t="s">
        <v>246</v>
      </c>
      <c r="BU508" s="164" t="n">
        <v>20.36</v>
      </c>
      <c r="BV508" s="111" t="s">
        <v>246</v>
      </c>
    </row>
    <row r="509" customFormat="false" ht="12.75" hidden="false" customHeight="false" outlineLevel="0" collapsed="false">
      <c r="A509" s="162" t="s">
        <v>545</v>
      </c>
      <c r="B509" s="172" t="s">
        <v>668</v>
      </c>
      <c r="C509" s="172" t="s">
        <v>760</v>
      </c>
      <c r="D509" s="172"/>
      <c r="E509" s="106" t="n">
        <v>13</v>
      </c>
      <c r="F509" s="173" t="n">
        <v>38</v>
      </c>
      <c r="S509" s="167" t="n">
        <v>1306.931401</v>
      </c>
      <c r="T509" s="111" t="s">
        <v>246</v>
      </c>
      <c r="Y509" s="167" t="n">
        <v>623.11</v>
      </c>
      <c r="Z509" s="111" t="s">
        <v>246</v>
      </c>
      <c r="AA509" s="167" t="n">
        <v>65112.65</v>
      </c>
      <c r="AB509" s="111" t="s">
        <v>246</v>
      </c>
      <c r="AC509" s="164" t="n">
        <v>28</v>
      </c>
      <c r="AD509" s="111" t="s">
        <v>246</v>
      </c>
      <c r="AG509" s="167" t="n">
        <v>4.3</v>
      </c>
      <c r="AH509" s="111" t="s">
        <v>246</v>
      </c>
      <c r="AM509" s="167"/>
      <c r="BS509" s="167" t="n">
        <v>46.67</v>
      </c>
      <c r="BT509" s="111" t="s">
        <v>246</v>
      </c>
      <c r="BU509" s="164" t="n">
        <v>22.25</v>
      </c>
      <c r="BV509" s="111" t="s">
        <v>246</v>
      </c>
    </row>
    <row r="510" customFormat="false" ht="12.75" hidden="false" customHeight="false" outlineLevel="0" collapsed="false">
      <c r="A510" s="162" t="s">
        <v>545</v>
      </c>
      <c r="B510" s="172" t="s">
        <v>665</v>
      </c>
      <c r="C510" s="172" t="s">
        <v>761</v>
      </c>
      <c r="D510" s="172"/>
      <c r="E510" s="106" t="n">
        <v>15</v>
      </c>
      <c r="F510" s="173" t="n">
        <v>21</v>
      </c>
      <c r="S510" s="167" t="n">
        <v>1375.871793</v>
      </c>
      <c r="T510" s="111" t="s">
        <v>246</v>
      </c>
      <c r="Y510" s="167" t="n">
        <v>628.75</v>
      </c>
      <c r="Z510" s="111" t="s">
        <v>246</v>
      </c>
      <c r="AA510" s="167" t="n">
        <v>63347.46</v>
      </c>
      <c r="AB510" s="111" t="s">
        <v>246</v>
      </c>
      <c r="AC510" s="164" t="n">
        <v>29.09</v>
      </c>
      <c r="AD510" s="111" t="s">
        <v>246</v>
      </c>
      <c r="AG510" s="167" t="n">
        <v>4.59</v>
      </c>
      <c r="AH510" s="111" t="s">
        <v>246</v>
      </c>
      <c r="AM510" s="167"/>
      <c r="BS510" s="167" t="n">
        <v>47.3</v>
      </c>
      <c r="BT510" s="111" t="s">
        <v>246</v>
      </c>
      <c r="BU510" s="164" t="n">
        <v>21.62</v>
      </c>
      <c r="BV510" s="111" t="s">
        <v>246</v>
      </c>
    </row>
    <row r="511" customFormat="false" ht="12.75" hidden="false" customHeight="false" outlineLevel="0" collapsed="false">
      <c r="A511" s="162" t="s">
        <v>545</v>
      </c>
      <c r="B511" s="172" t="s">
        <v>668</v>
      </c>
      <c r="C511" s="172" t="s">
        <v>761</v>
      </c>
      <c r="D511" s="172"/>
      <c r="E511" s="106" t="n">
        <v>20</v>
      </c>
      <c r="F511" s="173" t="n">
        <v>13</v>
      </c>
      <c r="S511" s="167" t="n">
        <v>1434.412849</v>
      </c>
      <c r="T511" s="111" t="s">
        <v>246</v>
      </c>
      <c r="Y511" s="167" t="n">
        <v>671.91</v>
      </c>
      <c r="Z511" s="111" t="s">
        <v>246</v>
      </c>
      <c r="AA511" s="167" t="n">
        <v>63543.39</v>
      </c>
      <c r="AB511" s="111" t="s">
        <v>246</v>
      </c>
      <c r="AC511" s="164" t="n">
        <v>30.1</v>
      </c>
      <c r="AD511" s="111" t="s">
        <v>246</v>
      </c>
      <c r="AG511" s="167" t="n">
        <v>4.74</v>
      </c>
      <c r="AH511" s="111" t="s">
        <v>246</v>
      </c>
      <c r="AM511" s="167"/>
      <c r="BS511" s="167" t="n">
        <v>47.65</v>
      </c>
      <c r="BT511" s="111" t="s">
        <v>246</v>
      </c>
      <c r="BU511" s="164" t="n">
        <v>22.32</v>
      </c>
      <c r="BV511" s="111" t="s">
        <v>246</v>
      </c>
    </row>
    <row r="512" customFormat="false" ht="12.75" hidden="false" customHeight="false" outlineLevel="0" collapsed="false">
      <c r="A512" s="162" t="s">
        <v>545</v>
      </c>
      <c r="B512" s="172" t="s">
        <v>665</v>
      </c>
      <c r="C512" s="172" t="s">
        <v>762</v>
      </c>
      <c r="D512" s="172"/>
      <c r="E512" s="106" t="n">
        <v>4</v>
      </c>
      <c r="F512" s="173" t="n">
        <v>9</v>
      </c>
      <c r="S512" s="167" t="n">
        <v>1213.163094</v>
      </c>
      <c r="T512" s="111" t="s">
        <v>246</v>
      </c>
      <c r="Y512" s="167" t="n">
        <v>549.93</v>
      </c>
      <c r="Z512" s="111" t="s">
        <v>246</v>
      </c>
      <c r="AA512" s="167" t="n">
        <v>50467.34</v>
      </c>
      <c r="AB512" s="111" t="s">
        <v>246</v>
      </c>
      <c r="AC512" s="164" t="n">
        <v>25.53</v>
      </c>
      <c r="AD512" s="111" t="s">
        <v>246</v>
      </c>
      <c r="AG512" s="167" t="n">
        <v>5.06</v>
      </c>
      <c r="AH512" s="111" t="s">
        <v>246</v>
      </c>
      <c r="AM512" s="167"/>
      <c r="BS512" s="167" t="n">
        <v>47.51</v>
      </c>
      <c r="BT512" s="111" t="s">
        <v>246</v>
      </c>
      <c r="BU512" s="164" t="n">
        <v>21.54</v>
      </c>
      <c r="BV512" s="111" t="s">
        <v>246</v>
      </c>
    </row>
    <row r="513" customFormat="false" ht="12.75" hidden="false" customHeight="false" outlineLevel="0" collapsed="false">
      <c r="A513" s="162" t="s">
        <v>545</v>
      </c>
      <c r="B513" s="172" t="s">
        <v>668</v>
      </c>
      <c r="C513" s="172" t="s">
        <v>762</v>
      </c>
      <c r="D513" s="172"/>
      <c r="E513" s="106" t="n">
        <v>3</v>
      </c>
      <c r="F513" s="173" t="n">
        <v>43</v>
      </c>
      <c r="S513" s="167" t="n">
        <v>1560.167765</v>
      </c>
      <c r="T513" s="111" t="s">
        <v>246</v>
      </c>
      <c r="Y513" s="167" t="n">
        <v>719.3</v>
      </c>
      <c r="Z513" s="111" t="s">
        <v>246</v>
      </c>
      <c r="AA513" s="167" t="n">
        <v>70606.4</v>
      </c>
      <c r="AB513" s="111" t="s">
        <v>246</v>
      </c>
      <c r="AC513" s="164" t="n">
        <v>33.08</v>
      </c>
      <c r="AD513" s="111" t="s">
        <v>246</v>
      </c>
      <c r="AG513" s="167" t="n">
        <v>4.69</v>
      </c>
      <c r="AH513" s="111" t="s">
        <v>246</v>
      </c>
      <c r="AM513" s="167"/>
      <c r="BS513" s="167" t="n">
        <v>47.16</v>
      </c>
      <c r="BT513" s="111" t="s">
        <v>246</v>
      </c>
      <c r="BU513" s="164" t="n">
        <v>21.74</v>
      </c>
      <c r="BV513" s="111" t="s">
        <v>246</v>
      </c>
    </row>
    <row r="514" customFormat="false" ht="12.75" hidden="false" customHeight="false" outlineLevel="0" collapsed="false">
      <c r="A514" s="162" t="s">
        <v>547</v>
      </c>
      <c r="B514" s="172" t="s">
        <v>665</v>
      </c>
      <c r="C514" s="172" t="s">
        <v>758</v>
      </c>
      <c r="D514" s="172"/>
      <c r="E514" s="106" t="n">
        <v>7</v>
      </c>
      <c r="F514" s="173" t="n">
        <v>30</v>
      </c>
      <c r="S514" s="167" t="n">
        <v>1249.825189</v>
      </c>
      <c r="T514" s="111" t="s">
        <v>246</v>
      </c>
      <c r="Y514" s="167" t="n">
        <v>593.5</v>
      </c>
      <c r="Z514" s="111" t="s">
        <v>246</v>
      </c>
      <c r="AA514" s="167" t="n">
        <v>51757.92</v>
      </c>
      <c r="AB514" s="111" t="s">
        <v>246</v>
      </c>
      <c r="AC514" s="164" t="n">
        <v>26.87</v>
      </c>
      <c r="AD514" s="111" t="s">
        <v>246</v>
      </c>
      <c r="AG514" s="167" t="n">
        <v>5.19</v>
      </c>
      <c r="AH514" s="111" t="s">
        <v>246</v>
      </c>
      <c r="AM514" s="167"/>
      <c r="BS514" s="167" t="n">
        <v>46.51</v>
      </c>
      <c r="BT514" s="111" t="s">
        <v>246</v>
      </c>
      <c r="BU514" s="164" t="n">
        <v>22.09</v>
      </c>
      <c r="BV514" s="111" t="s">
        <v>246</v>
      </c>
    </row>
    <row r="515" customFormat="false" ht="12.75" hidden="false" customHeight="false" outlineLevel="0" collapsed="false">
      <c r="A515" s="162" t="s">
        <v>547</v>
      </c>
      <c r="B515" s="172" t="s">
        <v>668</v>
      </c>
      <c r="C515" s="172" t="s">
        <v>758</v>
      </c>
      <c r="D515" s="172"/>
      <c r="E515" s="106" t="n">
        <v>11</v>
      </c>
      <c r="F515" s="173" t="n">
        <v>5</v>
      </c>
      <c r="S515" s="167" t="n">
        <v>1032.994758</v>
      </c>
      <c r="T515" s="111" t="s">
        <v>246</v>
      </c>
      <c r="Y515" s="167" t="n">
        <v>538.92</v>
      </c>
      <c r="Z515" s="111" t="s">
        <v>246</v>
      </c>
      <c r="AA515" s="167" t="n">
        <v>46587.59</v>
      </c>
      <c r="AB515" s="111" t="s">
        <v>246</v>
      </c>
      <c r="AC515" s="164" t="n">
        <v>23.09</v>
      </c>
      <c r="AD515" s="111" t="s">
        <v>246</v>
      </c>
      <c r="AG515" s="167" t="n">
        <v>4.96</v>
      </c>
      <c r="AH515" s="111" t="s">
        <v>246</v>
      </c>
      <c r="AM515" s="167"/>
      <c r="BS515" s="167" t="n">
        <v>44.74</v>
      </c>
      <c r="BT515" s="111" t="s">
        <v>246</v>
      </c>
      <c r="BU515" s="164" t="n">
        <v>23.34</v>
      </c>
      <c r="BV515" s="111" t="s">
        <v>246</v>
      </c>
    </row>
    <row r="516" customFormat="false" ht="12.75" hidden="false" customHeight="false" outlineLevel="0" collapsed="false">
      <c r="A516" s="162" t="s">
        <v>547</v>
      </c>
      <c r="B516" s="172" t="s">
        <v>665</v>
      </c>
      <c r="C516" s="172" t="s">
        <v>760</v>
      </c>
      <c r="D516" s="172"/>
      <c r="E516" s="106" t="n">
        <v>10</v>
      </c>
      <c r="F516" s="173" t="n">
        <v>48</v>
      </c>
      <c r="S516" s="167" t="n">
        <v>1075.625381</v>
      </c>
      <c r="T516" s="111" t="s">
        <v>246</v>
      </c>
      <c r="Y516" s="167" t="n">
        <v>492.13</v>
      </c>
      <c r="Z516" s="111" t="s">
        <v>246</v>
      </c>
      <c r="AA516" s="167" t="n">
        <v>44063.51</v>
      </c>
      <c r="AB516" s="111" t="s">
        <v>246</v>
      </c>
      <c r="AC516" s="164" t="n">
        <v>23</v>
      </c>
      <c r="AD516" s="111" t="s">
        <v>246</v>
      </c>
      <c r="AG516" s="167" t="n">
        <v>5.22</v>
      </c>
      <c r="AH516" s="111" t="s">
        <v>246</v>
      </c>
      <c r="AM516" s="167"/>
      <c r="BS516" s="167" t="n">
        <v>46.76</v>
      </c>
      <c r="BT516" s="111" t="s">
        <v>246</v>
      </c>
      <c r="BU516" s="164" t="n">
        <v>21.39</v>
      </c>
      <c r="BV516" s="111" t="s">
        <v>246</v>
      </c>
    </row>
    <row r="517" customFormat="false" ht="12.75" hidden="false" customHeight="false" outlineLevel="0" collapsed="false">
      <c r="A517" s="162" t="s">
        <v>547</v>
      </c>
      <c r="B517" s="172" t="s">
        <v>668</v>
      </c>
      <c r="C517" s="172" t="s">
        <v>760</v>
      </c>
      <c r="D517" s="172"/>
      <c r="E517" s="106" t="n">
        <v>14</v>
      </c>
      <c r="F517" s="173" t="n">
        <v>39</v>
      </c>
      <c r="S517" s="167" t="n">
        <v>1175.887728</v>
      </c>
      <c r="T517" s="111" t="s">
        <v>246</v>
      </c>
      <c r="Y517" s="167" t="n">
        <v>583.44</v>
      </c>
      <c r="Z517" s="111" t="s">
        <v>246</v>
      </c>
      <c r="AA517" s="167" t="n">
        <v>53184.47</v>
      </c>
      <c r="AB517" s="111" t="s">
        <v>246</v>
      </c>
      <c r="AC517" s="164" t="n">
        <v>25.43</v>
      </c>
      <c r="AD517" s="111" t="s">
        <v>246</v>
      </c>
      <c r="AG517" s="167" t="n">
        <v>4.78</v>
      </c>
      <c r="AH517" s="111" t="s">
        <v>246</v>
      </c>
      <c r="AM517" s="167"/>
      <c r="BS517" s="167" t="n">
        <v>46.24</v>
      </c>
      <c r="BT517" s="111" t="s">
        <v>246</v>
      </c>
      <c r="BU517" s="164" t="n">
        <v>22.94</v>
      </c>
      <c r="BV517" s="111" t="s">
        <v>246</v>
      </c>
    </row>
    <row r="518" customFormat="false" ht="12.75" hidden="false" customHeight="false" outlineLevel="0" collapsed="false">
      <c r="A518" s="162" t="s">
        <v>547</v>
      </c>
      <c r="B518" s="172" t="s">
        <v>665</v>
      </c>
      <c r="C518" s="172" t="s">
        <v>761</v>
      </c>
      <c r="D518" s="172"/>
      <c r="E518" s="106" t="n">
        <v>13</v>
      </c>
      <c r="F518" s="173" t="n">
        <v>17</v>
      </c>
      <c r="S518" s="167" t="n">
        <v>972.0663161</v>
      </c>
      <c r="T518" s="111" t="s">
        <v>246</v>
      </c>
      <c r="Y518" s="167" t="n">
        <v>495.5</v>
      </c>
      <c r="Z518" s="111" t="s">
        <v>246</v>
      </c>
      <c r="AA518" s="167" t="n">
        <v>41644.46</v>
      </c>
      <c r="AB518" s="111" t="s">
        <v>246</v>
      </c>
      <c r="AC518" s="164" t="n">
        <v>21.55</v>
      </c>
      <c r="AD518" s="111" t="s">
        <v>246</v>
      </c>
      <c r="AG518" s="167" t="n">
        <v>5.17</v>
      </c>
      <c r="AH518" s="111" t="s">
        <v>246</v>
      </c>
      <c r="AM518" s="167"/>
      <c r="BS518" s="167" t="n">
        <v>45.12</v>
      </c>
      <c r="BT518" s="111" t="s">
        <v>246</v>
      </c>
      <c r="BU518" s="164" t="n">
        <v>23</v>
      </c>
      <c r="BV518" s="111" t="s">
        <v>246</v>
      </c>
    </row>
    <row r="519" customFormat="false" ht="12.75" hidden="false" customHeight="false" outlineLevel="0" collapsed="false">
      <c r="A519" s="162" t="s">
        <v>547</v>
      </c>
      <c r="B519" s="172" t="s">
        <v>668</v>
      </c>
      <c r="C519" s="172" t="s">
        <v>761</v>
      </c>
      <c r="D519" s="172"/>
      <c r="E519" s="106" t="n">
        <v>19</v>
      </c>
      <c r="F519" s="173" t="n">
        <v>19</v>
      </c>
      <c r="S519" s="167" t="n">
        <v>1172.620221</v>
      </c>
      <c r="T519" s="111" t="s">
        <v>246</v>
      </c>
      <c r="Y519" s="167" t="n">
        <v>560.95</v>
      </c>
      <c r="Z519" s="111" t="s">
        <v>246</v>
      </c>
      <c r="AA519" s="167" t="n">
        <v>52844.03</v>
      </c>
      <c r="AB519" s="111" t="s">
        <v>246</v>
      </c>
      <c r="AC519" s="164" t="n">
        <v>25.35</v>
      </c>
      <c r="AD519" s="111" t="s">
        <v>246</v>
      </c>
      <c r="AG519" s="167" t="n">
        <v>4.8</v>
      </c>
      <c r="AH519" s="111" t="s">
        <v>246</v>
      </c>
      <c r="AM519" s="167"/>
      <c r="BS519" s="167" t="n">
        <v>46.26</v>
      </c>
      <c r="BT519" s="111" t="s">
        <v>246</v>
      </c>
      <c r="BU519" s="164" t="n">
        <v>22.13</v>
      </c>
      <c r="BV519" s="111" t="s">
        <v>246</v>
      </c>
    </row>
    <row r="520" customFormat="false" ht="12.75" hidden="false" customHeight="false" outlineLevel="0" collapsed="false">
      <c r="A520" s="162" t="s">
        <v>547</v>
      </c>
      <c r="B520" s="172" t="s">
        <v>665</v>
      </c>
      <c r="C520" s="172" t="s">
        <v>762</v>
      </c>
      <c r="D520" s="172"/>
      <c r="E520" s="106" t="n">
        <v>1</v>
      </c>
      <c r="F520" s="173" t="n">
        <v>6</v>
      </c>
      <c r="S520" s="167" t="n">
        <v>1253.023665</v>
      </c>
      <c r="T520" s="111" t="s">
        <v>246</v>
      </c>
      <c r="Y520" s="167" t="n">
        <v>610.75</v>
      </c>
      <c r="Z520" s="111" t="s">
        <v>246</v>
      </c>
      <c r="AA520" s="167" t="n">
        <v>52002.02</v>
      </c>
      <c r="AB520" s="111" t="s">
        <v>246</v>
      </c>
      <c r="AC520" s="164" t="n">
        <v>27.4</v>
      </c>
      <c r="AD520" s="111" t="s">
        <v>246</v>
      </c>
      <c r="AG520" s="167" t="n">
        <v>5.27</v>
      </c>
      <c r="AH520" s="111" t="s">
        <v>246</v>
      </c>
      <c r="AM520" s="167"/>
      <c r="BS520" s="167" t="n">
        <v>45.73</v>
      </c>
      <c r="BT520" s="111" t="s">
        <v>246</v>
      </c>
      <c r="BU520" s="164" t="n">
        <v>22.29</v>
      </c>
      <c r="BV520" s="111" t="s">
        <v>246</v>
      </c>
    </row>
    <row r="521" customFormat="false" ht="12.75" hidden="false" customHeight="false" outlineLevel="0" collapsed="false">
      <c r="A521" s="162" t="s">
        <v>547</v>
      </c>
      <c r="B521" s="172" t="s">
        <v>668</v>
      </c>
      <c r="C521" s="172" t="s">
        <v>762</v>
      </c>
      <c r="D521" s="172"/>
      <c r="E521" s="106" t="n">
        <v>2</v>
      </c>
      <c r="F521" s="173" t="n">
        <v>57</v>
      </c>
      <c r="S521" s="167" t="n">
        <v>990.9827438</v>
      </c>
      <c r="T521" s="111" t="s">
        <v>246</v>
      </c>
      <c r="Y521" s="167" t="n">
        <v>543.55</v>
      </c>
      <c r="Z521" s="111" t="s">
        <v>246</v>
      </c>
      <c r="AA521" s="167" t="n">
        <v>45347.16</v>
      </c>
      <c r="AB521" s="111" t="s">
        <v>246</v>
      </c>
      <c r="AC521" s="164" t="n">
        <v>22.6</v>
      </c>
      <c r="AD521" s="111" t="s">
        <v>246</v>
      </c>
      <c r="AG521" s="167" t="n">
        <v>4.98</v>
      </c>
      <c r="AH521" s="111" t="s">
        <v>246</v>
      </c>
      <c r="AM521" s="167"/>
      <c r="BS521" s="167" t="n">
        <v>43.85</v>
      </c>
      <c r="BT521" s="111" t="s">
        <v>246</v>
      </c>
      <c r="BU521" s="164" t="n">
        <v>24.05</v>
      </c>
      <c r="BV521" s="111" t="s">
        <v>246</v>
      </c>
    </row>
    <row r="522" customFormat="false" ht="12.75" hidden="false" customHeight="false" outlineLevel="0" collapsed="false">
      <c r="A522" s="162" t="s">
        <v>549</v>
      </c>
      <c r="B522" s="172" t="s">
        <v>665</v>
      </c>
      <c r="C522" s="172" t="s">
        <v>758</v>
      </c>
      <c r="D522" s="172"/>
      <c r="E522" s="106" t="n">
        <v>8</v>
      </c>
      <c r="F522" s="173" t="n">
        <v>15</v>
      </c>
      <c r="S522" s="167" t="n">
        <v>1386.752186</v>
      </c>
      <c r="T522" s="111" t="s">
        <v>246</v>
      </c>
      <c r="Y522" s="167" t="n">
        <v>647.76</v>
      </c>
      <c r="Z522" s="111" t="s">
        <v>246</v>
      </c>
      <c r="AA522" s="167" t="n">
        <v>65600.65</v>
      </c>
      <c r="AB522" s="111" t="s">
        <v>246</v>
      </c>
      <c r="AC522" s="164" t="n">
        <v>30.36</v>
      </c>
      <c r="AD522" s="111" t="s">
        <v>246</v>
      </c>
      <c r="AG522" s="167" t="n">
        <v>4.63</v>
      </c>
      <c r="AH522" s="111" t="s">
        <v>246</v>
      </c>
      <c r="AM522" s="167"/>
      <c r="BS522" s="167" t="n">
        <v>45.68</v>
      </c>
      <c r="BT522" s="111" t="s">
        <v>246</v>
      </c>
      <c r="BU522" s="164" t="n">
        <v>21.34</v>
      </c>
      <c r="BV522" s="111" t="s">
        <v>246</v>
      </c>
    </row>
    <row r="523" customFormat="false" ht="12.75" hidden="false" customHeight="false" outlineLevel="0" collapsed="false">
      <c r="A523" s="162" t="s">
        <v>549</v>
      </c>
      <c r="B523" s="172" t="s">
        <v>668</v>
      </c>
      <c r="C523" s="172" t="s">
        <v>758</v>
      </c>
      <c r="D523" s="172"/>
      <c r="E523" s="106" t="n">
        <v>10</v>
      </c>
      <c r="F523" s="173" t="n">
        <v>3</v>
      </c>
      <c r="S523" s="167" t="n">
        <v>1593.436444</v>
      </c>
      <c r="T523" s="111" t="s">
        <v>246</v>
      </c>
      <c r="Y523" s="167" t="n">
        <v>749.4</v>
      </c>
      <c r="Z523" s="111" t="s">
        <v>246</v>
      </c>
      <c r="AA523" s="167" t="n">
        <v>76116</v>
      </c>
      <c r="AB523" s="111" t="s">
        <v>246</v>
      </c>
      <c r="AC523" s="164" t="n">
        <v>34.55</v>
      </c>
      <c r="AD523" s="111" t="s">
        <v>246</v>
      </c>
      <c r="AG523" s="167" t="n">
        <v>4.54</v>
      </c>
      <c r="AH523" s="111" t="s">
        <v>246</v>
      </c>
      <c r="AM523" s="167"/>
      <c r="BS523" s="167" t="n">
        <v>46.12</v>
      </c>
      <c r="BT523" s="111" t="s">
        <v>246</v>
      </c>
      <c r="BU523" s="164" t="n">
        <v>21.69</v>
      </c>
      <c r="BV523" s="111" t="s">
        <v>246</v>
      </c>
    </row>
    <row r="524" customFormat="false" ht="12.75" hidden="false" customHeight="false" outlineLevel="0" collapsed="false">
      <c r="A524" s="162" t="s">
        <v>549</v>
      </c>
      <c r="B524" s="172" t="s">
        <v>665</v>
      </c>
      <c r="C524" s="172" t="s">
        <v>760</v>
      </c>
      <c r="D524" s="172"/>
      <c r="E524" s="106" t="n">
        <v>12</v>
      </c>
      <c r="F524" s="173" t="n">
        <v>36</v>
      </c>
      <c r="S524" s="167" t="n">
        <v>1294.345723</v>
      </c>
      <c r="T524" s="111" t="s">
        <v>246</v>
      </c>
      <c r="Y524" s="167" t="n">
        <v>579.71</v>
      </c>
      <c r="Z524" s="111" t="s">
        <v>246</v>
      </c>
      <c r="AA524" s="167" t="n">
        <v>59432.36</v>
      </c>
      <c r="AB524" s="111" t="s">
        <v>246</v>
      </c>
      <c r="AC524" s="164" t="n">
        <v>28.27</v>
      </c>
      <c r="AD524" s="111" t="s">
        <v>246</v>
      </c>
      <c r="AG524" s="167" t="n">
        <v>4.76</v>
      </c>
      <c r="AH524" s="111" t="s">
        <v>246</v>
      </c>
      <c r="AM524" s="167"/>
      <c r="BS524" s="167" t="n">
        <v>45.78</v>
      </c>
      <c r="BT524" s="111" t="s">
        <v>246</v>
      </c>
      <c r="BU524" s="164" t="n">
        <v>20.5</v>
      </c>
      <c r="BV524" s="111" t="s">
        <v>246</v>
      </c>
    </row>
    <row r="525" customFormat="false" ht="12.75" hidden="false" customHeight="false" outlineLevel="0" collapsed="false">
      <c r="A525" s="162" t="s">
        <v>549</v>
      </c>
      <c r="B525" s="172" t="s">
        <v>668</v>
      </c>
      <c r="C525" s="172" t="s">
        <v>760</v>
      </c>
      <c r="D525" s="172"/>
      <c r="E525" s="106" t="n">
        <v>13</v>
      </c>
      <c r="F525" s="173" t="n">
        <v>39</v>
      </c>
      <c r="S525" s="167" t="n">
        <v>1236.016535</v>
      </c>
      <c r="T525" s="111" t="s">
        <v>246</v>
      </c>
      <c r="Y525" s="167" t="n">
        <v>594.58</v>
      </c>
      <c r="Z525" s="111" t="s">
        <v>246</v>
      </c>
      <c r="AA525" s="167" t="n">
        <v>56963.97</v>
      </c>
      <c r="AB525" s="111" t="s">
        <v>246</v>
      </c>
      <c r="AC525" s="164" t="n">
        <v>27.18</v>
      </c>
      <c r="AD525" s="111" t="s">
        <v>246</v>
      </c>
      <c r="AG525" s="167" t="n">
        <v>4.77</v>
      </c>
      <c r="AH525" s="111" t="s">
        <v>246</v>
      </c>
      <c r="AM525" s="167"/>
      <c r="BS525" s="167" t="n">
        <v>45.47</v>
      </c>
      <c r="BT525" s="111" t="s">
        <v>246</v>
      </c>
      <c r="BU525" s="164" t="n">
        <v>21.87</v>
      </c>
      <c r="BV525" s="111" t="s">
        <v>246</v>
      </c>
    </row>
    <row r="526" customFormat="false" ht="12.75" hidden="false" customHeight="false" outlineLevel="0" collapsed="false">
      <c r="A526" s="162" t="s">
        <v>549</v>
      </c>
      <c r="B526" s="172" t="s">
        <v>665</v>
      </c>
      <c r="C526" s="172" t="s">
        <v>761</v>
      </c>
      <c r="D526" s="172"/>
      <c r="E526" s="106" t="n">
        <v>16</v>
      </c>
      <c r="F526" s="173" t="n">
        <v>9</v>
      </c>
      <c r="S526" s="167" t="n">
        <v>1397.74352</v>
      </c>
      <c r="T526" s="111" t="s">
        <v>246</v>
      </c>
      <c r="Y526" s="167" t="n">
        <v>678.92</v>
      </c>
      <c r="Z526" s="111" t="s">
        <v>246</v>
      </c>
      <c r="AA526" s="167" t="n">
        <v>65586.57</v>
      </c>
      <c r="AB526" s="111" t="s">
        <v>246</v>
      </c>
      <c r="AC526" s="164" t="n">
        <v>30.98</v>
      </c>
      <c r="AD526" s="111" t="s">
        <v>246</v>
      </c>
      <c r="AG526" s="167" t="n">
        <v>4.72</v>
      </c>
      <c r="AH526" s="111" t="s">
        <v>246</v>
      </c>
      <c r="AM526" s="167"/>
      <c r="BS526" s="167" t="n">
        <v>45.12</v>
      </c>
      <c r="BT526" s="111" t="s">
        <v>246</v>
      </c>
      <c r="BU526" s="164" t="n">
        <v>21.92</v>
      </c>
      <c r="BV526" s="111" t="s">
        <v>246</v>
      </c>
    </row>
    <row r="527" customFormat="false" ht="12.75" hidden="false" customHeight="false" outlineLevel="0" collapsed="false">
      <c r="A527" s="162" t="s">
        <v>549</v>
      </c>
      <c r="B527" s="172" t="s">
        <v>668</v>
      </c>
      <c r="C527" s="172" t="s">
        <v>761</v>
      </c>
      <c r="D527" s="172"/>
      <c r="E527" s="106" t="n">
        <v>20</v>
      </c>
      <c r="F527" s="173" t="n">
        <v>22</v>
      </c>
      <c r="S527" s="167" t="n">
        <v>1524.944542</v>
      </c>
      <c r="T527" s="111" t="s">
        <v>246</v>
      </c>
      <c r="Y527" s="167" t="n">
        <v>771.72</v>
      </c>
      <c r="Z527" s="111" t="s">
        <v>246</v>
      </c>
      <c r="AA527" s="167" t="n">
        <v>73854.81</v>
      </c>
      <c r="AB527" s="111" t="s">
        <v>246</v>
      </c>
      <c r="AC527" s="164" t="n">
        <v>34.15</v>
      </c>
      <c r="AD527" s="111" t="s">
        <v>246</v>
      </c>
      <c r="AG527" s="167" t="n">
        <v>4.62</v>
      </c>
      <c r="AH527" s="111" t="s">
        <v>246</v>
      </c>
      <c r="AM527" s="167"/>
      <c r="BS527" s="167" t="n">
        <v>44.65</v>
      </c>
      <c r="BT527" s="111" t="s">
        <v>246</v>
      </c>
      <c r="BU527" s="164" t="n">
        <v>22.6</v>
      </c>
      <c r="BV527" s="111" t="s">
        <v>246</v>
      </c>
    </row>
    <row r="528" customFormat="false" ht="12.75" hidden="false" customHeight="false" outlineLevel="0" collapsed="false">
      <c r="A528" s="162" t="s">
        <v>549</v>
      </c>
      <c r="B528" s="172" t="s">
        <v>665</v>
      </c>
      <c r="C528" s="172" t="s">
        <v>762</v>
      </c>
      <c r="D528" s="172"/>
      <c r="E528" s="106" t="n">
        <v>2</v>
      </c>
      <c r="F528" s="173" t="n">
        <v>9</v>
      </c>
      <c r="S528" s="167" t="n">
        <v>1258.132245</v>
      </c>
      <c r="T528" s="111" t="s">
        <v>246</v>
      </c>
      <c r="Y528" s="167" t="n">
        <v>571.35</v>
      </c>
      <c r="Z528" s="111" t="s">
        <v>246</v>
      </c>
      <c r="AA528" s="167" t="n">
        <v>58339.3</v>
      </c>
      <c r="AB528" s="111" t="s">
        <v>246</v>
      </c>
      <c r="AC528" s="164" t="n">
        <v>27.32</v>
      </c>
      <c r="AD528" s="111" t="s">
        <v>246</v>
      </c>
      <c r="AG528" s="167" t="n">
        <v>4.68</v>
      </c>
      <c r="AH528" s="111" t="s">
        <v>246</v>
      </c>
      <c r="AM528" s="167"/>
      <c r="BS528" s="167" t="n">
        <v>46.05</v>
      </c>
      <c r="BT528" s="111" t="s">
        <v>246</v>
      </c>
      <c r="BU528" s="164" t="n">
        <v>20.91</v>
      </c>
      <c r="BV528" s="111" t="s">
        <v>246</v>
      </c>
    </row>
    <row r="529" customFormat="false" ht="12.75" hidden="false" customHeight="false" outlineLevel="0" collapsed="false">
      <c r="A529" s="162" t="s">
        <v>549</v>
      </c>
      <c r="B529" s="172" t="s">
        <v>668</v>
      </c>
      <c r="C529" s="172" t="s">
        <v>762</v>
      </c>
      <c r="D529" s="172"/>
      <c r="E529" s="106" t="n">
        <v>1</v>
      </c>
      <c r="F529" s="173" t="n">
        <v>34</v>
      </c>
      <c r="S529" s="167" t="n">
        <v>1226.773852</v>
      </c>
      <c r="T529" s="111" t="s">
        <v>246</v>
      </c>
      <c r="Y529" s="167" t="n">
        <v>648.77</v>
      </c>
      <c r="Z529" s="111" t="s">
        <v>246</v>
      </c>
      <c r="AA529" s="167" t="n">
        <v>60105.77</v>
      </c>
      <c r="AB529" s="111" t="s">
        <v>246</v>
      </c>
      <c r="AC529" s="164" t="n">
        <v>27.93</v>
      </c>
      <c r="AD529" s="111" t="s">
        <v>246</v>
      </c>
      <c r="AG529" s="167" t="n">
        <v>4.65</v>
      </c>
      <c r="AH529" s="111" t="s">
        <v>246</v>
      </c>
      <c r="AM529" s="167"/>
      <c r="BS529" s="167" t="n">
        <v>43.93</v>
      </c>
      <c r="BT529" s="111" t="s">
        <v>246</v>
      </c>
      <c r="BU529" s="164" t="n">
        <v>23.23</v>
      </c>
      <c r="BV529" s="111" t="s">
        <v>246</v>
      </c>
    </row>
    <row r="530" customFormat="false" ht="12.75" hidden="false" customHeight="false" outlineLevel="0" collapsed="false">
      <c r="A530" s="162" t="s">
        <v>551</v>
      </c>
      <c r="B530" s="172" t="s">
        <v>665</v>
      </c>
      <c r="C530" s="172" t="s">
        <v>758</v>
      </c>
      <c r="D530" s="172"/>
      <c r="E530" s="106" t="n">
        <v>6</v>
      </c>
      <c r="F530" s="173" t="n">
        <v>4</v>
      </c>
      <c r="S530" s="167" t="n">
        <v>950.1165791</v>
      </c>
      <c r="T530" s="111" t="s">
        <v>246</v>
      </c>
      <c r="Y530" s="167" t="n">
        <v>406.08</v>
      </c>
      <c r="Z530" s="111" t="s">
        <v>246</v>
      </c>
      <c r="AA530" s="167" t="n">
        <v>40914.53</v>
      </c>
      <c r="AB530" s="111" t="s">
        <v>246</v>
      </c>
      <c r="AC530" s="164" t="n">
        <v>19.77</v>
      </c>
      <c r="AD530" s="111" t="s">
        <v>246</v>
      </c>
      <c r="AG530" s="167" t="n">
        <v>4.83</v>
      </c>
      <c r="AH530" s="111" t="s">
        <v>246</v>
      </c>
      <c r="AM530" s="167"/>
      <c r="BS530" s="167" t="n">
        <v>48.07</v>
      </c>
      <c r="BT530" s="111" t="s">
        <v>246</v>
      </c>
      <c r="BU530" s="164" t="n">
        <v>20.55</v>
      </c>
      <c r="BV530" s="111" t="s">
        <v>246</v>
      </c>
    </row>
    <row r="531" customFormat="false" ht="12.75" hidden="false" customHeight="false" outlineLevel="0" collapsed="false">
      <c r="A531" s="162" t="s">
        <v>551</v>
      </c>
      <c r="B531" s="172" t="s">
        <v>668</v>
      </c>
      <c r="C531" s="172" t="s">
        <v>758</v>
      </c>
      <c r="D531" s="172"/>
      <c r="E531" s="106" t="n">
        <v>10</v>
      </c>
      <c r="F531" s="173" t="n">
        <v>23</v>
      </c>
      <c r="S531" s="167" t="n">
        <v>936.3813543</v>
      </c>
      <c r="T531" s="111" t="s">
        <v>246</v>
      </c>
      <c r="Y531" s="167" t="n">
        <v>438.64</v>
      </c>
      <c r="Z531" s="111" t="s">
        <v>246</v>
      </c>
      <c r="AA531" s="167" t="n">
        <v>39464.52</v>
      </c>
      <c r="AB531" s="111" t="s">
        <v>246</v>
      </c>
      <c r="AC531" s="164" t="n">
        <v>19.6</v>
      </c>
      <c r="AD531" s="111" t="s">
        <v>246</v>
      </c>
      <c r="AG531" s="167" t="n">
        <v>4.97</v>
      </c>
      <c r="AH531" s="111" t="s">
        <v>246</v>
      </c>
      <c r="AM531" s="167"/>
      <c r="BS531" s="167" t="n">
        <v>47.77</v>
      </c>
      <c r="BT531" s="111" t="s">
        <v>246</v>
      </c>
      <c r="BU531" s="164" t="n">
        <v>22.38</v>
      </c>
      <c r="BV531" s="111" t="s">
        <v>246</v>
      </c>
    </row>
    <row r="532" customFormat="false" ht="12.75" hidden="false" customHeight="false" outlineLevel="0" collapsed="false">
      <c r="A532" s="162" t="s">
        <v>551</v>
      </c>
      <c r="B532" s="172" t="s">
        <v>665</v>
      </c>
      <c r="C532" s="172" t="s">
        <v>760</v>
      </c>
      <c r="D532" s="172"/>
      <c r="E532" s="106" t="n">
        <v>10</v>
      </c>
      <c r="F532" s="173" t="n">
        <v>56</v>
      </c>
      <c r="S532" s="167" t="n">
        <v>1163.348801</v>
      </c>
      <c r="T532" s="111" t="s">
        <v>246</v>
      </c>
      <c r="Y532" s="167" t="n">
        <v>497.2</v>
      </c>
      <c r="Z532" s="111" t="s">
        <v>246</v>
      </c>
      <c r="AA532" s="167" t="n">
        <v>54537.09</v>
      </c>
      <c r="AB532" s="111" t="s">
        <v>246</v>
      </c>
      <c r="AC532" s="164" t="n">
        <v>24.07</v>
      </c>
      <c r="AD532" s="111" t="s">
        <v>246</v>
      </c>
      <c r="AG532" s="167" t="n">
        <v>4.41</v>
      </c>
      <c r="AH532" s="111" t="s">
        <v>246</v>
      </c>
      <c r="AM532" s="167"/>
      <c r="BS532" s="167" t="n">
        <v>48.33</v>
      </c>
      <c r="BT532" s="111" t="s">
        <v>246</v>
      </c>
      <c r="BU532" s="164" t="n">
        <v>20.66</v>
      </c>
      <c r="BV532" s="111" t="s">
        <v>246</v>
      </c>
    </row>
    <row r="533" customFormat="false" ht="12.75" hidden="false" customHeight="false" outlineLevel="0" collapsed="false">
      <c r="A533" s="162" t="s">
        <v>551</v>
      </c>
      <c r="B533" s="172" t="s">
        <v>668</v>
      </c>
      <c r="C533" s="172" t="s">
        <v>760</v>
      </c>
      <c r="D533" s="172"/>
      <c r="E533" s="106" t="n">
        <v>13</v>
      </c>
      <c r="F533" s="173" t="n">
        <v>64</v>
      </c>
      <c r="S533" s="167" t="n">
        <v>1300.14167</v>
      </c>
      <c r="T533" s="111" t="s">
        <v>246</v>
      </c>
      <c r="Y533" s="167" t="n">
        <v>567.69</v>
      </c>
      <c r="Z533" s="111" t="s">
        <v>246</v>
      </c>
      <c r="AA533" s="167" t="n">
        <v>59452.63</v>
      </c>
      <c r="AB533" s="111" t="s">
        <v>246</v>
      </c>
      <c r="AC533" s="164" t="n">
        <v>27.32</v>
      </c>
      <c r="AD533" s="111" t="s">
        <v>246</v>
      </c>
      <c r="AG533" s="167" t="n">
        <v>4.6</v>
      </c>
      <c r="AH533" s="111" t="s">
        <v>246</v>
      </c>
      <c r="AM533" s="167"/>
      <c r="BS533" s="167" t="n">
        <v>47.59</v>
      </c>
      <c r="BT533" s="111" t="s">
        <v>246</v>
      </c>
      <c r="BU533" s="164" t="n">
        <v>20.78</v>
      </c>
      <c r="BV533" s="111" t="s">
        <v>246</v>
      </c>
    </row>
    <row r="534" customFormat="false" ht="12.75" hidden="false" customHeight="false" outlineLevel="0" collapsed="false">
      <c r="A534" s="162" t="s">
        <v>551</v>
      </c>
      <c r="B534" s="172" t="s">
        <v>665</v>
      </c>
      <c r="C534" s="172" t="s">
        <v>761</v>
      </c>
      <c r="D534" s="172"/>
      <c r="E534" s="106" t="n">
        <v>15</v>
      </c>
      <c r="F534" s="173" t="n">
        <v>16</v>
      </c>
      <c r="S534" s="167" t="n">
        <v>1412.78468</v>
      </c>
      <c r="T534" s="111" t="s">
        <v>246</v>
      </c>
      <c r="Y534" s="167" t="n">
        <v>628.6</v>
      </c>
      <c r="Z534" s="111" t="s">
        <v>246</v>
      </c>
      <c r="AA534" s="167" t="n">
        <v>67654</v>
      </c>
      <c r="AB534" s="111" t="s">
        <v>246</v>
      </c>
      <c r="AC534" s="164" t="n">
        <v>29.72</v>
      </c>
      <c r="AD534" s="111" t="s">
        <v>246</v>
      </c>
      <c r="AG534" s="167" t="n">
        <v>4.39</v>
      </c>
      <c r="AH534" s="111" t="s">
        <v>246</v>
      </c>
      <c r="AM534" s="167"/>
      <c r="BS534" s="167" t="n">
        <v>47.54</v>
      </c>
      <c r="BT534" s="111" t="s">
        <v>246</v>
      </c>
      <c r="BU534" s="164" t="n">
        <v>21.15</v>
      </c>
      <c r="BV534" s="111" t="s">
        <v>246</v>
      </c>
    </row>
    <row r="535" customFormat="false" ht="12.75" hidden="false" customHeight="false" outlineLevel="0" collapsed="false">
      <c r="A535" s="162" t="s">
        <v>551</v>
      </c>
      <c r="B535" s="172" t="s">
        <v>668</v>
      </c>
      <c r="C535" s="172" t="s">
        <v>761</v>
      </c>
      <c r="D535" s="172"/>
      <c r="E535" s="106" t="n">
        <v>19</v>
      </c>
      <c r="F535" s="173" t="n">
        <v>14</v>
      </c>
      <c r="S535" s="167" t="n">
        <v>737.7477568</v>
      </c>
      <c r="T535" s="111" t="s">
        <v>246</v>
      </c>
      <c r="Y535" s="167" t="n">
        <v>368.47</v>
      </c>
      <c r="Z535" s="111" t="s">
        <v>246</v>
      </c>
      <c r="AA535" s="167" t="n">
        <v>33721.68</v>
      </c>
      <c r="AB535" s="111" t="s">
        <v>246</v>
      </c>
      <c r="AC535" s="164" t="n">
        <v>16.1</v>
      </c>
      <c r="AD535" s="111" t="s">
        <v>246</v>
      </c>
      <c r="AG535" s="167" t="n">
        <v>4.77</v>
      </c>
      <c r="AH535" s="111" t="s">
        <v>246</v>
      </c>
      <c r="AM535" s="167"/>
      <c r="BS535" s="167" t="n">
        <v>45.82</v>
      </c>
      <c r="BT535" s="111" t="s">
        <v>246</v>
      </c>
      <c r="BU535" s="164" t="n">
        <v>22.89</v>
      </c>
      <c r="BV535" s="111" t="s">
        <v>246</v>
      </c>
    </row>
    <row r="536" customFormat="false" ht="12.75" hidden="false" customHeight="false" outlineLevel="0" collapsed="false">
      <c r="A536" s="162" t="s">
        <v>551</v>
      </c>
      <c r="B536" s="172" t="s">
        <v>665</v>
      </c>
      <c r="C536" s="172" t="s">
        <v>762</v>
      </c>
      <c r="D536" s="172"/>
      <c r="E536" s="106" t="n">
        <v>1</v>
      </c>
      <c r="F536" s="173" t="n">
        <v>13</v>
      </c>
      <c r="S536" s="167" t="n">
        <v>1418.357862</v>
      </c>
      <c r="T536" s="111" t="s">
        <v>246</v>
      </c>
      <c r="Y536" s="167" t="n">
        <v>613.63</v>
      </c>
      <c r="Z536" s="111" t="s">
        <v>246</v>
      </c>
      <c r="AA536" s="167" t="n">
        <v>63288.32</v>
      </c>
      <c r="AB536" s="111" t="s">
        <v>246</v>
      </c>
      <c r="AC536" s="164" t="n">
        <v>29.61</v>
      </c>
      <c r="AD536" s="111" t="s">
        <v>246</v>
      </c>
      <c r="AG536" s="167" t="n">
        <v>4.68</v>
      </c>
      <c r="AH536" s="111" t="s">
        <v>246</v>
      </c>
      <c r="AM536" s="167"/>
      <c r="BS536" s="167" t="n">
        <v>47.9</v>
      </c>
      <c r="BT536" s="111" t="s">
        <v>246</v>
      </c>
      <c r="BU536" s="164" t="n">
        <v>20.72</v>
      </c>
      <c r="BV536" s="111" t="s">
        <v>246</v>
      </c>
    </row>
    <row r="537" customFormat="false" ht="12.75" hidden="false" customHeight="false" outlineLevel="0" collapsed="false">
      <c r="A537" s="162" t="s">
        <v>551</v>
      </c>
      <c r="B537" s="172" t="s">
        <v>668</v>
      </c>
      <c r="C537" s="172" t="s">
        <v>762</v>
      </c>
      <c r="D537" s="172"/>
      <c r="E537" s="106" t="n">
        <v>3</v>
      </c>
      <c r="F537" s="173" t="n">
        <v>55</v>
      </c>
      <c r="S537" s="167" t="n">
        <v>1348.853416</v>
      </c>
      <c r="T537" s="111" t="s">
        <v>246</v>
      </c>
      <c r="Y537" s="167" t="n">
        <v>672.45</v>
      </c>
      <c r="Z537" s="111" t="s">
        <v>246</v>
      </c>
      <c r="AA537" s="167" t="n">
        <v>72036.55</v>
      </c>
      <c r="AB537" s="111" t="s">
        <v>246</v>
      </c>
      <c r="AC537" s="164" t="n">
        <v>29.61</v>
      </c>
      <c r="AD537" s="111" t="s">
        <v>246</v>
      </c>
      <c r="AG537" s="167" t="n">
        <v>4.11</v>
      </c>
      <c r="AH537" s="111" t="s">
        <v>246</v>
      </c>
      <c r="AM537" s="167"/>
      <c r="BS537" s="167" t="n">
        <v>45.55</v>
      </c>
      <c r="BT537" s="111" t="s">
        <v>246</v>
      </c>
      <c r="BU537" s="164" t="n">
        <v>22.71</v>
      </c>
      <c r="BV537" s="111" t="s">
        <v>246</v>
      </c>
    </row>
    <row r="538" customFormat="false" ht="12.75" hidden="false" customHeight="false" outlineLevel="0" collapsed="false">
      <c r="A538" s="162" t="s">
        <v>553</v>
      </c>
      <c r="B538" s="172" t="s">
        <v>665</v>
      </c>
      <c r="C538" s="172" t="s">
        <v>758</v>
      </c>
      <c r="D538" s="172"/>
      <c r="E538" s="106" t="n">
        <v>7</v>
      </c>
      <c r="F538" s="173" t="n">
        <v>25</v>
      </c>
      <c r="S538" s="167" t="n">
        <v>1360.025133</v>
      </c>
      <c r="T538" s="111" t="s">
        <v>246</v>
      </c>
      <c r="Y538" s="167" t="n">
        <v>659.13</v>
      </c>
      <c r="Z538" s="111" t="s">
        <v>246</v>
      </c>
      <c r="AA538" s="167" t="n">
        <v>60107.18</v>
      </c>
      <c r="AB538" s="111" t="s">
        <v>246</v>
      </c>
      <c r="AC538" s="164" t="n">
        <v>30.35</v>
      </c>
      <c r="AD538" s="111" t="s">
        <v>246</v>
      </c>
      <c r="AG538" s="167" t="n">
        <v>5.05</v>
      </c>
      <c r="AH538" s="111" t="s">
        <v>246</v>
      </c>
      <c r="AM538" s="167"/>
      <c r="BS538" s="167" t="n">
        <v>44.81</v>
      </c>
      <c r="BT538" s="111" t="s">
        <v>246</v>
      </c>
      <c r="BU538" s="164" t="n">
        <v>21.72</v>
      </c>
      <c r="BV538" s="111" t="s">
        <v>246</v>
      </c>
    </row>
    <row r="539" customFormat="false" ht="12.75" hidden="false" customHeight="false" outlineLevel="0" collapsed="false">
      <c r="A539" s="162" t="s">
        <v>553</v>
      </c>
      <c r="B539" s="172" t="s">
        <v>668</v>
      </c>
      <c r="C539" s="172" t="s">
        <v>758</v>
      </c>
      <c r="D539" s="172"/>
      <c r="E539" s="106" t="n">
        <v>10</v>
      </c>
      <c r="F539" s="173" t="n">
        <v>1</v>
      </c>
      <c r="S539" s="167" t="n">
        <v>1225.971797</v>
      </c>
      <c r="T539" s="111" t="s">
        <v>246</v>
      </c>
      <c r="Y539" s="167" t="n">
        <v>615.87</v>
      </c>
      <c r="Z539" s="111" t="s">
        <v>246</v>
      </c>
      <c r="AA539" s="167" t="n">
        <v>52411.13</v>
      </c>
      <c r="AB539" s="111" t="s">
        <v>246</v>
      </c>
      <c r="AC539" s="164" t="n">
        <v>27.35</v>
      </c>
      <c r="AD539" s="111" t="s">
        <v>246</v>
      </c>
      <c r="AG539" s="167" t="n">
        <v>5.22</v>
      </c>
      <c r="AH539" s="111" t="s">
        <v>246</v>
      </c>
      <c r="AM539" s="167"/>
      <c r="BS539" s="167" t="n">
        <v>44.82</v>
      </c>
      <c r="BT539" s="111" t="s">
        <v>246</v>
      </c>
      <c r="BU539" s="164" t="n">
        <v>22.52</v>
      </c>
      <c r="BV539" s="111" t="s">
        <v>246</v>
      </c>
    </row>
    <row r="540" customFormat="false" ht="12.75" hidden="false" customHeight="false" outlineLevel="0" collapsed="false">
      <c r="A540" s="162" t="s">
        <v>553</v>
      </c>
      <c r="B540" s="172" t="s">
        <v>665</v>
      </c>
      <c r="C540" s="172" t="s">
        <v>760</v>
      </c>
      <c r="D540" s="172"/>
      <c r="E540" s="106" t="n">
        <v>11</v>
      </c>
      <c r="F540" s="173" t="n">
        <v>47</v>
      </c>
      <c r="S540" s="167" t="n">
        <v>1284.041138</v>
      </c>
      <c r="T540" s="111" t="s">
        <v>246</v>
      </c>
      <c r="Y540" s="167" t="n">
        <v>573.86</v>
      </c>
      <c r="Z540" s="111" t="s">
        <v>246</v>
      </c>
      <c r="AA540" s="167" t="n">
        <v>53298.82</v>
      </c>
      <c r="AB540" s="111" t="s">
        <v>246</v>
      </c>
      <c r="AC540" s="164" t="n">
        <v>27.55</v>
      </c>
      <c r="AD540" s="111" t="s">
        <v>246</v>
      </c>
      <c r="AG540" s="167" t="n">
        <v>5.17</v>
      </c>
      <c r="AH540" s="111" t="s">
        <v>246</v>
      </c>
      <c r="AM540" s="167"/>
      <c r="BS540" s="167" t="n">
        <v>46.61</v>
      </c>
      <c r="BT540" s="111" t="s">
        <v>246</v>
      </c>
      <c r="BU540" s="164" t="n">
        <v>20.83</v>
      </c>
      <c r="BV540" s="111" t="s">
        <v>246</v>
      </c>
    </row>
    <row r="541" customFormat="false" ht="12.75" hidden="false" customHeight="false" outlineLevel="0" collapsed="false">
      <c r="A541" s="162" t="s">
        <v>553</v>
      </c>
      <c r="B541" s="172" t="s">
        <v>668</v>
      </c>
      <c r="C541" s="172" t="s">
        <v>760</v>
      </c>
      <c r="D541" s="172"/>
      <c r="E541" s="106" t="n">
        <v>16</v>
      </c>
      <c r="F541" s="173" t="n">
        <v>33</v>
      </c>
      <c r="S541" s="167" t="n">
        <v>1113.565881</v>
      </c>
      <c r="T541" s="111" t="s">
        <v>246</v>
      </c>
      <c r="Y541" s="167" t="n">
        <v>575.4</v>
      </c>
      <c r="Z541" s="111" t="s">
        <v>246</v>
      </c>
      <c r="AA541" s="167" t="n">
        <v>51648.76</v>
      </c>
      <c r="AB541" s="111" t="s">
        <v>246</v>
      </c>
      <c r="AC541" s="164" t="n">
        <v>25.33</v>
      </c>
      <c r="AD541" s="111" t="s">
        <v>246</v>
      </c>
      <c r="AG541" s="167" t="n">
        <v>4.9</v>
      </c>
      <c r="AH541" s="111" t="s">
        <v>246</v>
      </c>
      <c r="AM541" s="167"/>
      <c r="BS541" s="167" t="n">
        <v>43.97</v>
      </c>
      <c r="BT541" s="111" t="s">
        <v>246</v>
      </c>
      <c r="BU541" s="164" t="n">
        <v>22.72</v>
      </c>
      <c r="BV541" s="111" t="s">
        <v>246</v>
      </c>
    </row>
    <row r="542" customFormat="false" ht="12.75" hidden="false" customHeight="false" outlineLevel="0" collapsed="false">
      <c r="A542" s="162" t="s">
        <v>553</v>
      </c>
      <c r="B542" s="172" t="s">
        <v>665</v>
      </c>
      <c r="C542" s="172" t="s">
        <v>761</v>
      </c>
      <c r="D542" s="172"/>
      <c r="E542" s="106" t="n">
        <v>16</v>
      </c>
      <c r="F542" s="173" t="n">
        <v>24</v>
      </c>
      <c r="S542" s="167" t="n">
        <v>1307.154737</v>
      </c>
      <c r="T542" s="111" t="s">
        <v>246</v>
      </c>
      <c r="Y542" s="167" t="n">
        <v>683.79</v>
      </c>
      <c r="Z542" s="111" t="s">
        <v>246</v>
      </c>
      <c r="AA542" s="167" t="n">
        <v>59403.15</v>
      </c>
      <c r="AB542" s="111" t="s">
        <v>246</v>
      </c>
      <c r="AC542" s="164" t="n">
        <v>29.9</v>
      </c>
      <c r="AD542" s="111" t="s">
        <v>246</v>
      </c>
      <c r="AG542" s="167" t="n">
        <v>5.03</v>
      </c>
      <c r="AH542" s="111" t="s">
        <v>246</v>
      </c>
      <c r="AM542" s="167"/>
      <c r="BS542" s="167" t="n">
        <v>43.72</v>
      </c>
      <c r="BT542" s="111" t="s">
        <v>246</v>
      </c>
      <c r="BU542" s="164" t="n">
        <v>22.87</v>
      </c>
      <c r="BV542" s="111" t="s">
        <v>246</v>
      </c>
    </row>
    <row r="543" customFormat="false" ht="12.75" hidden="false" customHeight="false" outlineLevel="0" collapsed="false">
      <c r="A543" s="162" t="s">
        <v>553</v>
      </c>
      <c r="B543" s="172" t="s">
        <v>668</v>
      </c>
      <c r="C543" s="172" t="s">
        <v>761</v>
      </c>
      <c r="D543" s="172"/>
      <c r="E543" s="106" t="n">
        <v>19</v>
      </c>
      <c r="F543" s="173" t="n">
        <v>15</v>
      </c>
      <c r="S543" s="167" t="n">
        <v>1010.890169</v>
      </c>
      <c r="T543" s="111" t="s">
        <v>246</v>
      </c>
      <c r="Y543" s="167" t="n">
        <v>529.81</v>
      </c>
      <c r="Z543" s="111" t="s">
        <v>246</v>
      </c>
      <c r="AA543" s="167" t="n">
        <v>45791.2</v>
      </c>
      <c r="AB543" s="111" t="s">
        <v>246</v>
      </c>
      <c r="AC543" s="164" t="n">
        <v>23</v>
      </c>
      <c r="AD543" s="111" t="s">
        <v>246</v>
      </c>
      <c r="AG543" s="167" t="n">
        <v>5.02</v>
      </c>
      <c r="AH543" s="111" t="s">
        <v>246</v>
      </c>
      <c r="AM543" s="167"/>
      <c r="BS543" s="167" t="n">
        <v>43.96</v>
      </c>
      <c r="BT543" s="111" t="s">
        <v>246</v>
      </c>
      <c r="BU543" s="164" t="n">
        <v>23.04</v>
      </c>
      <c r="BV543" s="111" t="s">
        <v>246</v>
      </c>
    </row>
    <row r="544" customFormat="false" ht="12.75" hidden="false" customHeight="false" outlineLevel="0" collapsed="false">
      <c r="A544" s="162" t="s">
        <v>553</v>
      </c>
      <c r="B544" s="172" t="s">
        <v>665</v>
      </c>
      <c r="C544" s="172" t="s">
        <v>762</v>
      </c>
      <c r="D544" s="172"/>
      <c r="E544" s="106" t="n">
        <v>1</v>
      </c>
      <c r="F544" s="173" t="n">
        <v>19</v>
      </c>
      <c r="S544" s="167" t="n">
        <v>1179.633883</v>
      </c>
      <c r="T544" s="111" t="s">
        <v>246</v>
      </c>
      <c r="Y544" s="167" t="n">
        <v>612.13</v>
      </c>
      <c r="Z544" s="111" t="s">
        <v>246</v>
      </c>
      <c r="AA544" s="167" t="n">
        <v>52298.81</v>
      </c>
      <c r="AB544" s="111" t="s">
        <v>246</v>
      </c>
      <c r="AC544" s="164" t="n">
        <v>27.12</v>
      </c>
      <c r="AD544" s="111" t="s">
        <v>246</v>
      </c>
      <c r="AG544" s="167" t="n">
        <v>5.18</v>
      </c>
      <c r="AH544" s="111" t="s">
        <v>246</v>
      </c>
      <c r="AM544" s="167"/>
      <c r="BS544" s="167" t="n">
        <v>43.5</v>
      </c>
      <c r="BT544" s="111" t="s">
        <v>246</v>
      </c>
      <c r="BU544" s="164" t="n">
        <v>22.57</v>
      </c>
      <c r="BV544" s="111" t="s">
        <v>246</v>
      </c>
    </row>
    <row r="545" customFormat="false" ht="12.75" hidden="false" customHeight="false" outlineLevel="0" collapsed="false">
      <c r="A545" s="162" t="s">
        <v>553</v>
      </c>
      <c r="B545" s="172" t="s">
        <v>668</v>
      </c>
      <c r="C545" s="172" t="s">
        <v>762</v>
      </c>
      <c r="D545" s="172"/>
      <c r="E545" s="106" t="n">
        <v>2</v>
      </c>
      <c r="F545" s="173" t="n">
        <v>60</v>
      </c>
      <c r="S545" s="167" t="n">
        <v>1429.288259</v>
      </c>
      <c r="T545" s="111" t="s">
        <v>246</v>
      </c>
      <c r="Y545" s="167" t="n">
        <v>730.55</v>
      </c>
      <c r="Z545" s="111" t="s">
        <v>246</v>
      </c>
      <c r="AA545" s="167" t="n">
        <v>64174.28</v>
      </c>
      <c r="AB545" s="111" t="s">
        <v>246</v>
      </c>
      <c r="AC545" s="164" t="n">
        <v>32.36</v>
      </c>
      <c r="AD545" s="111" t="s">
        <v>246</v>
      </c>
      <c r="AG545" s="167" t="n">
        <v>5.04</v>
      </c>
      <c r="AH545" s="111" t="s">
        <v>246</v>
      </c>
      <c r="AM545" s="167"/>
      <c r="BS545" s="167" t="n">
        <v>44.16</v>
      </c>
      <c r="BT545" s="111" t="s">
        <v>246</v>
      </c>
      <c r="BU545" s="164" t="n">
        <v>22.57</v>
      </c>
      <c r="BV545" s="111" t="s">
        <v>246</v>
      </c>
    </row>
    <row r="546" customFormat="false" ht="12.75" hidden="false" customHeight="false" outlineLevel="0" collapsed="false">
      <c r="A546" s="162" t="s">
        <v>555</v>
      </c>
      <c r="B546" s="172" t="s">
        <v>665</v>
      </c>
      <c r="C546" s="172" t="s">
        <v>758</v>
      </c>
      <c r="D546" s="172"/>
      <c r="E546" s="106" t="n">
        <v>6</v>
      </c>
      <c r="F546" s="173" t="n">
        <v>24</v>
      </c>
      <c r="S546" s="167" t="n">
        <v>1468.218056</v>
      </c>
      <c r="T546" s="111" t="s">
        <v>246</v>
      </c>
      <c r="Y546" s="167" t="n">
        <v>684.23</v>
      </c>
      <c r="Z546" s="111" t="s">
        <v>246</v>
      </c>
      <c r="AA546" s="167" t="n">
        <v>60808.04</v>
      </c>
      <c r="AB546" s="111" t="s">
        <v>246</v>
      </c>
      <c r="AC546" s="164" t="n">
        <v>31.08</v>
      </c>
      <c r="AD546" s="111" t="s">
        <v>246</v>
      </c>
      <c r="AG546" s="167" t="n">
        <v>5.11</v>
      </c>
      <c r="AH546" s="111" t="s">
        <v>246</v>
      </c>
      <c r="AM546" s="167"/>
      <c r="BS546" s="167" t="n">
        <v>47.24</v>
      </c>
      <c r="BT546" s="111" t="s">
        <v>246</v>
      </c>
      <c r="BU546" s="164" t="n">
        <v>22.01</v>
      </c>
      <c r="BV546" s="111" t="s">
        <v>246</v>
      </c>
    </row>
    <row r="547" customFormat="false" ht="12.75" hidden="false" customHeight="false" outlineLevel="0" collapsed="false">
      <c r="A547" s="162" t="s">
        <v>555</v>
      </c>
      <c r="B547" s="172" t="s">
        <v>668</v>
      </c>
      <c r="C547" s="172" t="s">
        <v>758</v>
      </c>
      <c r="D547" s="172"/>
      <c r="E547" s="106" t="n">
        <v>11</v>
      </c>
      <c r="F547" s="173" t="n">
        <v>12</v>
      </c>
      <c r="S547" s="167" t="n">
        <v>1734.964543</v>
      </c>
      <c r="T547" s="111" t="s">
        <v>246</v>
      </c>
      <c r="Y547" s="167" t="n">
        <v>745.87</v>
      </c>
      <c r="Z547" s="111" t="s">
        <v>246</v>
      </c>
      <c r="AA547" s="167" t="n">
        <v>74562.77</v>
      </c>
      <c r="AB547" s="111" t="s">
        <v>246</v>
      </c>
      <c r="AC547" s="164" t="n">
        <v>35.62</v>
      </c>
      <c r="AD547" s="111" t="s">
        <v>246</v>
      </c>
      <c r="AG547" s="167" t="n">
        <v>4.78</v>
      </c>
      <c r="AH547" s="111" t="s">
        <v>246</v>
      </c>
      <c r="AM547" s="167"/>
      <c r="BS547" s="167" t="n">
        <v>48.71</v>
      </c>
      <c r="BT547" s="111" t="s">
        <v>246</v>
      </c>
      <c r="BU547" s="164" t="n">
        <v>20.94</v>
      </c>
      <c r="BV547" s="111" t="s">
        <v>246</v>
      </c>
    </row>
    <row r="548" customFormat="false" ht="12.75" hidden="false" customHeight="false" outlineLevel="0" collapsed="false">
      <c r="A548" s="162" t="s">
        <v>555</v>
      </c>
      <c r="B548" s="172" t="s">
        <v>665</v>
      </c>
      <c r="C548" s="172" t="s">
        <v>760</v>
      </c>
      <c r="D548" s="172"/>
      <c r="E548" s="106" t="n">
        <v>12</v>
      </c>
      <c r="F548" s="173" t="n">
        <v>54</v>
      </c>
      <c r="S548" s="167" t="n">
        <v>1426.306385</v>
      </c>
      <c r="T548" s="111" t="s">
        <v>246</v>
      </c>
      <c r="Y548" s="167" t="n">
        <v>627.52</v>
      </c>
      <c r="Z548" s="111" t="s">
        <v>246</v>
      </c>
      <c r="AA548" s="167" t="n">
        <v>60074.28</v>
      </c>
      <c r="AB548" s="111" t="s">
        <v>246</v>
      </c>
      <c r="AC548" s="164" t="n">
        <v>29.78</v>
      </c>
      <c r="AD548" s="111" t="s">
        <v>246</v>
      </c>
      <c r="AG548" s="167" t="n">
        <v>4.96</v>
      </c>
      <c r="AH548" s="111" t="s">
        <v>246</v>
      </c>
      <c r="AM548" s="167"/>
      <c r="BS548" s="167" t="n">
        <v>47.89</v>
      </c>
      <c r="BT548" s="111" t="s">
        <v>246</v>
      </c>
      <c r="BU548" s="164" t="n">
        <v>21.07</v>
      </c>
      <c r="BV548" s="111" t="s">
        <v>246</v>
      </c>
    </row>
    <row r="549" customFormat="false" ht="12.75" hidden="false" customHeight="false" outlineLevel="0" collapsed="false">
      <c r="A549" s="162" t="s">
        <v>555</v>
      </c>
      <c r="B549" s="172" t="s">
        <v>668</v>
      </c>
      <c r="C549" s="172" t="s">
        <v>760</v>
      </c>
      <c r="D549" s="172"/>
      <c r="E549" s="106" t="n">
        <v>15</v>
      </c>
      <c r="F549" s="173" t="n">
        <v>47</v>
      </c>
      <c r="S549" s="167" t="n">
        <v>1159.812656</v>
      </c>
      <c r="T549" s="111" t="s">
        <v>246</v>
      </c>
      <c r="Y549" s="167" t="n">
        <v>595.01</v>
      </c>
      <c r="Z549" s="111" t="s">
        <v>246</v>
      </c>
      <c r="AA549" s="167" t="n">
        <v>53846.59</v>
      </c>
      <c r="AB549" s="111" t="s">
        <v>246</v>
      </c>
      <c r="AC549" s="164" t="n">
        <v>25.76</v>
      </c>
      <c r="AD549" s="111" t="s">
        <v>246</v>
      </c>
      <c r="AG549" s="167" t="n">
        <v>4.78</v>
      </c>
      <c r="AH549" s="111" t="s">
        <v>246</v>
      </c>
      <c r="AM549" s="167"/>
      <c r="BS549" s="167" t="n">
        <v>45.03</v>
      </c>
      <c r="BT549" s="111" t="s">
        <v>246</v>
      </c>
      <c r="BU549" s="164" t="n">
        <v>23.1</v>
      </c>
      <c r="BV549" s="111" t="s">
        <v>246</v>
      </c>
    </row>
    <row r="550" customFormat="false" ht="12.75" hidden="false" customHeight="false" outlineLevel="0" collapsed="false">
      <c r="A550" s="162" t="s">
        <v>555</v>
      </c>
      <c r="B550" s="172" t="s">
        <v>665</v>
      </c>
      <c r="C550" s="172" t="s">
        <v>761</v>
      </c>
      <c r="D550" s="172"/>
      <c r="E550" s="106" t="n">
        <v>16</v>
      </c>
      <c r="F550" s="173" t="n">
        <v>14</v>
      </c>
      <c r="S550" s="167" t="n">
        <v>1572.137268</v>
      </c>
      <c r="T550" s="111" t="s">
        <v>246</v>
      </c>
      <c r="Y550" s="167" t="n">
        <v>694.49</v>
      </c>
      <c r="Z550" s="111" t="s">
        <v>246</v>
      </c>
      <c r="AA550" s="167" t="n">
        <v>68836.44</v>
      </c>
      <c r="AB550" s="111" t="s">
        <v>246</v>
      </c>
      <c r="AC550" s="164" t="n">
        <v>32.99</v>
      </c>
      <c r="AD550" s="111" t="s">
        <v>246</v>
      </c>
      <c r="AG550" s="167" t="n">
        <v>4.79</v>
      </c>
      <c r="AH550" s="111" t="s">
        <v>246</v>
      </c>
      <c r="AM550" s="167"/>
      <c r="BS550" s="167" t="n">
        <v>47.65</v>
      </c>
      <c r="BT550" s="111" t="s">
        <v>246</v>
      </c>
      <c r="BU550" s="164" t="n">
        <v>21.05</v>
      </c>
      <c r="BV550" s="111" t="s">
        <v>246</v>
      </c>
    </row>
    <row r="551" customFormat="false" ht="12.75" hidden="false" customHeight="false" outlineLevel="0" collapsed="false">
      <c r="A551" s="162" t="s">
        <v>555</v>
      </c>
      <c r="B551" s="172" t="s">
        <v>668</v>
      </c>
      <c r="C551" s="172" t="s">
        <v>761</v>
      </c>
      <c r="D551" s="172"/>
      <c r="E551" s="106" t="n">
        <v>21</v>
      </c>
      <c r="F551" s="173" t="n">
        <v>11</v>
      </c>
      <c r="S551" s="167" t="n">
        <v>1191.2301</v>
      </c>
      <c r="T551" s="111" t="s">
        <v>246</v>
      </c>
      <c r="Y551" s="167" t="n">
        <v>595.1</v>
      </c>
      <c r="Z551" s="111" t="s">
        <v>246</v>
      </c>
      <c r="AA551" s="167" t="n">
        <v>60384.18</v>
      </c>
      <c r="AB551" s="111" t="s">
        <v>246</v>
      </c>
      <c r="AC551" s="164" t="n">
        <v>26.14</v>
      </c>
      <c r="AD551" s="111" t="s">
        <v>246</v>
      </c>
      <c r="AG551" s="167" t="n">
        <v>4.33</v>
      </c>
      <c r="AH551" s="111" t="s">
        <v>246</v>
      </c>
      <c r="AM551" s="167"/>
      <c r="BS551" s="167" t="n">
        <v>45.57</v>
      </c>
      <c r="BT551" s="111" t="s">
        <v>246</v>
      </c>
      <c r="BU551" s="164" t="n">
        <v>22.77</v>
      </c>
      <c r="BV551" s="111" t="s">
        <v>246</v>
      </c>
    </row>
    <row r="552" customFormat="false" ht="12.75" hidden="false" customHeight="false" outlineLevel="0" collapsed="false">
      <c r="A552" s="162" t="s">
        <v>555</v>
      </c>
      <c r="B552" s="172" t="s">
        <v>665</v>
      </c>
      <c r="C552" s="172" t="s">
        <v>762</v>
      </c>
      <c r="D552" s="172"/>
      <c r="E552" s="106" t="n">
        <v>4</v>
      </c>
      <c r="F552" s="173" t="n">
        <v>14</v>
      </c>
      <c r="S552" s="167" t="n">
        <v>1329.292556</v>
      </c>
      <c r="T552" s="111" t="s">
        <v>246</v>
      </c>
      <c r="Y552" s="167" t="n">
        <v>627.85</v>
      </c>
      <c r="Z552" s="111" t="s">
        <v>246</v>
      </c>
      <c r="AA552" s="167" t="n">
        <v>57415.08</v>
      </c>
      <c r="AB552" s="111" t="s">
        <v>246</v>
      </c>
      <c r="AC552" s="164" t="n">
        <v>28.46</v>
      </c>
      <c r="AD552" s="111" t="s">
        <v>246</v>
      </c>
      <c r="AG552" s="167" t="n">
        <v>4.96</v>
      </c>
      <c r="AH552" s="111" t="s">
        <v>246</v>
      </c>
      <c r="AM552" s="167"/>
      <c r="BS552" s="167" t="n">
        <v>46.71</v>
      </c>
      <c r="BT552" s="111" t="s">
        <v>246</v>
      </c>
      <c r="BU552" s="164" t="n">
        <v>22.06</v>
      </c>
      <c r="BV552" s="111" t="s">
        <v>246</v>
      </c>
    </row>
    <row r="553" customFormat="false" ht="12.75" hidden="false" customHeight="false" outlineLevel="0" collapsed="false">
      <c r="A553" s="162" t="s">
        <v>555</v>
      </c>
      <c r="B553" s="172" t="s">
        <v>668</v>
      </c>
      <c r="C553" s="172" t="s">
        <v>762</v>
      </c>
      <c r="D553" s="172"/>
      <c r="E553" s="106" t="n">
        <v>4</v>
      </c>
      <c r="F553" s="173" t="n">
        <v>40</v>
      </c>
      <c r="S553" s="167" t="n">
        <v>1217.297793</v>
      </c>
      <c r="T553" s="111" t="s">
        <v>246</v>
      </c>
      <c r="Y553" s="167" t="n">
        <v>608.77</v>
      </c>
      <c r="Z553" s="111" t="s">
        <v>246</v>
      </c>
      <c r="AA553" s="167" t="n">
        <v>65223.58</v>
      </c>
      <c r="AB553" s="111" t="s">
        <v>246</v>
      </c>
      <c r="AC553" s="164" t="n">
        <v>26.63</v>
      </c>
      <c r="AD553" s="111" t="s">
        <v>246</v>
      </c>
      <c r="AG553" s="167" t="n">
        <v>4.08</v>
      </c>
      <c r="AH553" s="111" t="s">
        <v>246</v>
      </c>
      <c r="AM553" s="167"/>
      <c r="BS553" s="167" t="n">
        <v>45.72</v>
      </c>
      <c r="BT553" s="111" t="s">
        <v>246</v>
      </c>
      <c r="BU553" s="164" t="n">
        <v>22.86</v>
      </c>
      <c r="BV553" s="111" t="s">
        <v>246</v>
      </c>
    </row>
    <row r="554" customFormat="false" ht="12.75" hidden="false" customHeight="false" outlineLevel="0" collapsed="false">
      <c r="A554" s="162" t="s">
        <v>557</v>
      </c>
      <c r="B554" s="172" t="s">
        <v>665</v>
      </c>
      <c r="C554" s="172" t="s">
        <v>758</v>
      </c>
      <c r="D554" s="172"/>
      <c r="E554" s="106" t="n">
        <v>5</v>
      </c>
      <c r="F554" s="173" t="n">
        <v>7</v>
      </c>
      <c r="S554" s="167" t="n">
        <v>1520.699193</v>
      </c>
      <c r="T554" s="111" t="s">
        <v>246</v>
      </c>
      <c r="Y554" s="167" t="n">
        <v>655.22</v>
      </c>
      <c r="Z554" s="111" t="s">
        <v>246</v>
      </c>
      <c r="AA554" s="167" t="n">
        <v>73579.9</v>
      </c>
      <c r="AB554" s="111" t="s">
        <v>246</v>
      </c>
      <c r="AC554" s="164" t="n">
        <v>31.3</v>
      </c>
      <c r="AD554" s="111" t="s">
        <v>246</v>
      </c>
      <c r="AG554" s="167" t="n">
        <v>4.25</v>
      </c>
      <c r="AH554" s="111" t="s">
        <v>246</v>
      </c>
      <c r="AM554" s="167"/>
      <c r="BS554" s="167" t="n">
        <v>48.58</v>
      </c>
      <c r="BT554" s="111" t="s">
        <v>246</v>
      </c>
      <c r="BU554" s="164" t="n">
        <v>20.93</v>
      </c>
      <c r="BV554" s="111" t="s">
        <v>246</v>
      </c>
    </row>
    <row r="555" customFormat="false" ht="12.75" hidden="false" customHeight="false" outlineLevel="0" collapsed="false">
      <c r="A555" s="162" t="s">
        <v>557</v>
      </c>
      <c r="B555" s="172" t="s">
        <v>668</v>
      </c>
      <c r="C555" s="172" t="s">
        <v>758</v>
      </c>
      <c r="D555" s="172"/>
      <c r="E555" s="106" t="n">
        <v>11</v>
      </c>
      <c r="F555" s="173" t="n">
        <v>11</v>
      </c>
      <c r="S555" s="167" t="n">
        <v>1618.137223</v>
      </c>
      <c r="T555" s="111" t="s">
        <v>246</v>
      </c>
      <c r="Y555" s="167" t="n">
        <v>709.78</v>
      </c>
      <c r="Z555" s="111" t="s">
        <v>246</v>
      </c>
      <c r="AA555" s="167" t="n">
        <v>76610.48</v>
      </c>
      <c r="AB555" s="111" t="s">
        <v>246</v>
      </c>
      <c r="AC555" s="164" t="n">
        <v>33.6</v>
      </c>
      <c r="AD555" s="111" t="s">
        <v>246</v>
      </c>
      <c r="AG555" s="167" t="n">
        <v>4.39</v>
      </c>
      <c r="AH555" s="111" t="s">
        <v>246</v>
      </c>
      <c r="AM555" s="167"/>
      <c r="BS555" s="167" t="n">
        <v>48.16</v>
      </c>
      <c r="BT555" s="111" t="s">
        <v>246</v>
      </c>
      <c r="BU555" s="164" t="n">
        <v>21.12</v>
      </c>
      <c r="BV555" s="111" t="s">
        <v>246</v>
      </c>
    </row>
    <row r="556" customFormat="false" ht="12.75" hidden="false" customHeight="false" outlineLevel="0" collapsed="false">
      <c r="A556" s="162" t="s">
        <v>557</v>
      </c>
      <c r="B556" s="172" t="s">
        <v>665</v>
      </c>
      <c r="C556" s="172" t="s">
        <v>760</v>
      </c>
      <c r="D556" s="172"/>
      <c r="E556" s="106" t="n">
        <v>10</v>
      </c>
      <c r="F556" s="173" t="n">
        <v>63</v>
      </c>
      <c r="S556" s="167" t="n">
        <v>1448.73211</v>
      </c>
      <c r="T556" s="111" t="s">
        <v>246</v>
      </c>
      <c r="Y556" s="167" t="n">
        <v>587.17</v>
      </c>
      <c r="Z556" s="111" t="s">
        <v>246</v>
      </c>
      <c r="AA556" s="167" t="n">
        <v>66689.96</v>
      </c>
      <c r="AB556" s="111" t="s">
        <v>246</v>
      </c>
      <c r="AC556" s="164" t="n">
        <v>29.12</v>
      </c>
      <c r="AD556" s="111" t="s">
        <v>246</v>
      </c>
      <c r="AG556" s="167" t="n">
        <v>4.37</v>
      </c>
      <c r="AH556" s="111" t="s">
        <v>246</v>
      </c>
      <c r="AM556" s="167"/>
      <c r="BS556" s="167" t="n">
        <v>49.75</v>
      </c>
      <c r="BT556" s="111" t="s">
        <v>246</v>
      </c>
      <c r="BU556" s="164" t="n">
        <v>20.16</v>
      </c>
      <c r="BV556" s="111" t="s">
        <v>246</v>
      </c>
    </row>
    <row r="557" customFormat="false" ht="12.75" hidden="false" customHeight="false" outlineLevel="0" collapsed="false">
      <c r="A557" s="162" t="s">
        <v>557</v>
      </c>
      <c r="B557" s="172" t="s">
        <v>668</v>
      </c>
      <c r="C557" s="172" t="s">
        <v>760</v>
      </c>
      <c r="D557" s="172"/>
      <c r="E557" s="106" t="n">
        <v>16</v>
      </c>
      <c r="F557" s="173" t="n">
        <v>59</v>
      </c>
      <c r="S557" s="167" t="n">
        <v>1169.819508</v>
      </c>
      <c r="T557" s="111" t="s">
        <v>246</v>
      </c>
      <c r="Y557" s="167" t="n">
        <v>563.77</v>
      </c>
      <c r="Z557" s="111" t="s">
        <v>246</v>
      </c>
      <c r="AA557" s="167" t="n">
        <v>61064.36</v>
      </c>
      <c r="AB557" s="111" t="s">
        <v>246</v>
      </c>
      <c r="AC557" s="164" t="n">
        <v>25.2</v>
      </c>
      <c r="AD557" s="111" t="s">
        <v>246</v>
      </c>
      <c r="AG557" s="167" t="n">
        <v>4.13</v>
      </c>
      <c r="AH557" s="111" t="s">
        <v>246</v>
      </c>
      <c r="AM557" s="167"/>
      <c r="BS557" s="167" t="n">
        <v>46.42</v>
      </c>
      <c r="BT557" s="111" t="s">
        <v>246</v>
      </c>
      <c r="BU557" s="164" t="n">
        <v>22.37</v>
      </c>
      <c r="BV557" s="111" t="s">
        <v>246</v>
      </c>
    </row>
    <row r="558" customFormat="false" ht="12.75" hidden="false" customHeight="false" outlineLevel="0" collapsed="false">
      <c r="A558" s="162" t="s">
        <v>557</v>
      </c>
      <c r="B558" s="172" t="s">
        <v>665</v>
      </c>
      <c r="C558" s="172" t="s">
        <v>761</v>
      </c>
      <c r="D558" s="172"/>
      <c r="E558" s="106" t="n">
        <v>13</v>
      </c>
      <c r="F558" s="173" t="n">
        <v>18</v>
      </c>
      <c r="S558" s="167" t="n">
        <v>1427.985101</v>
      </c>
      <c r="T558" s="111" t="s">
        <v>246</v>
      </c>
      <c r="Y558" s="167" t="n">
        <v>672.9</v>
      </c>
      <c r="Z558" s="111" t="s">
        <v>246</v>
      </c>
      <c r="AA558" s="167" t="n">
        <v>74179.37</v>
      </c>
      <c r="AB558" s="111" t="s">
        <v>246</v>
      </c>
      <c r="AC558" s="164" t="n">
        <v>30.48</v>
      </c>
      <c r="AD558" s="111" t="s">
        <v>246</v>
      </c>
      <c r="AG558" s="167" t="n">
        <v>4.11</v>
      </c>
      <c r="AH558" s="111" t="s">
        <v>246</v>
      </c>
      <c r="AM558" s="167"/>
      <c r="BS558" s="167" t="n">
        <v>46.85</v>
      </c>
      <c r="BT558" s="111" t="s">
        <v>246</v>
      </c>
      <c r="BU558" s="164" t="n">
        <v>22.08</v>
      </c>
      <c r="BV558" s="111" t="s">
        <v>246</v>
      </c>
    </row>
    <row r="559" customFormat="false" ht="12.75" hidden="false" customHeight="false" outlineLevel="0" collapsed="false">
      <c r="A559" s="162" t="s">
        <v>557</v>
      </c>
      <c r="B559" s="172" t="s">
        <v>668</v>
      </c>
      <c r="C559" s="172" t="s">
        <v>761</v>
      </c>
      <c r="D559" s="172"/>
      <c r="E559" s="106" t="n">
        <v>17</v>
      </c>
      <c r="F559" s="173" t="n">
        <v>22</v>
      </c>
      <c r="S559" s="167" t="n">
        <v>1184.0695</v>
      </c>
      <c r="T559" s="111" t="s">
        <v>246</v>
      </c>
      <c r="Y559" s="167" t="n">
        <v>575.27</v>
      </c>
      <c r="Z559" s="111" t="s">
        <v>246</v>
      </c>
      <c r="AA559" s="167" t="n">
        <v>61162.51</v>
      </c>
      <c r="AB559" s="111" t="s">
        <v>246</v>
      </c>
      <c r="AC559" s="164" t="n">
        <v>25.29</v>
      </c>
      <c r="AD559" s="111" t="s">
        <v>246</v>
      </c>
      <c r="AG559" s="167" t="n">
        <v>4.13</v>
      </c>
      <c r="AH559" s="111" t="s">
        <v>246</v>
      </c>
      <c r="AM559" s="167"/>
      <c r="BS559" s="167" t="n">
        <v>46.82</v>
      </c>
      <c r="BT559" s="111" t="s">
        <v>246</v>
      </c>
      <c r="BU559" s="164" t="n">
        <v>22.75</v>
      </c>
      <c r="BV559" s="111" t="s">
        <v>246</v>
      </c>
    </row>
    <row r="560" customFormat="false" ht="12.75" hidden="false" customHeight="false" outlineLevel="0" collapsed="false">
      <c r="A560" s="162" t="s">
        <v>557</v>
      </c>
      <c r="B560" s="172" t="s">
        <v>665</v>
      </c>
      <c r="C560" s="172" t="s">
        <v>762</v>
      </c>
      <c r="D560" s="172"/>
      <c r="E560" s="106" t="n">
        <v>4</v>
      </c>
      <c r="F560" s="173" t="n">
        <v>1</v>
      </c>
      <c r="S560" s="167" t="n">
        <v>1382.821431</v>
      </c>
      <c r="T560" s="111" t="s">
        <v>246</v>
      </c>
      <c r="Y560" s="167" t="n">
        <v>585.07</v>
      </c>
      <c r="Z560" s="111" t="s">
        <v>246</v>
      </c>
      <c r="AA560" s="167" t="n">
        <v>68824.26</v>
      </c>
      <c r="AB560" s="111" t="s">
        <v>246</v>
      </c>
      <c r="AC560" s="164" t="n">
        <v>28.11</v>
      </c>
      <c r="AD560" s="111" t="s">
        <v>246</v>
      </c>
      <c r="AG560" s="167" t="n">
        <v>4.08</v>
      </c>
      <c r="AH560" s="111" t="s">
        <v>246</v>
      </c>
      <c r="AM560" s="167"/>
      <c r="BS560" s="167" t="n">
        <v>49.2</v>
      </c>
      <c r="BT560" s="111" t="s">
        <v>246</v>
      </c>
      <c r="BU560" s="164" t="n">
        <v>20.82</v>
      </c>
      <c r="BV560" s="111" t="s">
        <v>246</v>
      </c>
    </row>
    <row r="561" customFormat="false" ht="12.75" hidden="false" customHeight="false" outlineLevel="0" collapsed="false">
      <c r="A561" s="162" t="s">
        <v>557</v>
      </c>
      <c r="B561" s="172" t="s">
        <v>668</v>
      </c>
      <c r="C561" s="172" t="s">
        <v>762</v>
      </c>
      <c r="D561" s="172"/>
      <c r="E561" s="106" t="n">
        <v>1</v>
      </c>
      <c r="F561" s="173" t="n">
        <v>63</v>
      </c>
      <c r="S561" s="167" t="n">
        <v>1346.124147</v>
      </c>
      <c r="T561" s="111" t="s">
        <v>246</v>
      </c>
      <c r="Y561" s="167" t="n">
        <v>658.36</v>
      </c>
      <c r="Z561" s="111" t="s">
        <v>246</v>
      </c>
      <c r="AA561" s="167" t="n">
        <v>68305.37</v>
      </c>
      <c r="AB561" s="111" t="s">
        <v>246</v>
      </c>
      <c r="AC561" s="164" t="n">
        <v>29.02</v>
      </c>
      <c r="AD561" s="111" t="s">
        <v>246</v>
      </c>
      <c r="AG561" s="167" t="n">
        <v>4.25</v>
      </c>
      <c r="AH561" s="111" t="s">
        <v>246</v>
      </c>
      <c r="AM561" s="167"/>
      <c r="BS561" s="167" t="n">
        <v>46.39</v>
      </c>
      <c r="BT561" s="111" t="s">
        <v>246</v>
      </c>
      <c r="BU561" s="164" t="n">
        <v>22.69</v>
      </c>
      <c r="BV561" s="111" t="s">
        <v>246</v>
      </c>
    </row>
    <row r="562" customFormat="false" ht="12.75" hidden="false" customHeight="false" outlineLevel="0" collapsed="false">
      <c r="A562" s="162" t="s">
        <v>559</v>
      </c>
      <c r="B562" s="172" t="s">
        <v>665</v>
      </c>
      <c r="C562" s="172" t="s">
        <v>758</v>
      </c>
      <c r="D562" s="172"/>
      <c r="E562" s="106" t="n">
        <v>8</v>
      </c>
      <c r="F562" s="173" t="n">
        <v>11</v>
      </c>
      <c r="S562" s="167" t="n">
        <v>1517.295513</v>
      </c>
      <c r="T562" s="111" t="s">
        <v>246</v>
      </c>
      <c r="Y562" s="167" t="n">
        <v>695.52</v>
      </c>
      <c r="Z562" s="111" t="s">
        <v>246</v>
      </c>
      <c r="AA562" s="167" t="n">
        <v>60020.7</v>
      </c>
      <c r="AB562" s="111" t="s">
        <v>246</v>
      </c>
      <c r="AC562" s="164" t="n">
        <v>32.09</v>
      </c>
      <c r="AD562" s="111" t="s">
        <v>246</v>
      </c>
      <c r="AG562" s="167" t="n">
        <v>5.35</v>
      </c>
      <c r="AH562" s="111" t="s">
        <v>246</v>
      </c>
      <c r="AM562" s="167"/>
      <c r="BS562" s="167" t="n">
        <v>47.28</v>
      </c>
      <c r="BT562" s="111" t="s">
        <v>246</v>
      </c>
      <c r="BU562" s="164" t="n">
        <v>21.67</v>
      </c>
      <c r="BV562" s="111" t="s">
        <v>246</v>
      </c>
    </row>
    <row r="563" customFormat="false" ht="12.75" hidden="false" customHeight="false" outlineLevel="0" collapsed="false">
      <c r="A563" s="162" t="s">
        <v>559</v>
      </c>
      <c r="B563" s="172" t="s">
        <v>668</v>
      </c>
      <c r="C563" s="172" t="s">
        <v>758</v>
      </c>
      <c r="D563" s="172"/>
      <c r="E563" s="106" t="n">
        <v>10</v>
      </c>
      <c r="F563" s="173" t="n">
        <v>29</v>
      </c>
      <c r="S563" s="167" t="n">
        <v>1791.255417</v>
      </c>
      <c r="T563" s="111" t="s">
        <v>246</v>
      </c>
      <c r="Y563" s="167" t="n">
        <v>762.55</v>
      </c>
      <c r="Z563" s="111" t="s">
        <v>246</v>
      </c>
      <c r="AA563" s="167" t="n">
        <v>72098.07</v>
      </c>
      <c r="AB563" s="111" t="s">
        <v>246</v>
      </c>
      <c r="AC563" s="164" t="n">
        <v>36.85</v>
      </c>
      <c r="AD563" s="111" t="s">
        <v>246</v>
      </c>
      <c r="AG563" s="167" t="n">
        <v>5.11</v>
      </c>
      <c r="AH563" s="111" t="s">
        <v>246</v>
      </c>
      <c r="AM563" s="167"/>
      <c r="BS563" s="167" t="n">
        <v>48.61</v>
      </c>
      <c r="BT563" s="111" t="s">
        <v>246</v>
      </c>
      <c r="BU563" s="164" t="n">
        <v>20.69</v>
      </c>
      <c r="BV563" s="111" t="s">
        <v>246</v>
      </c>
    </row>
    <row r="564" customFormat="false" ht="12.75" hidden="false" customHeight="false" outlineLevel="0" collapsed="false">
      <c r="A564" s="162" t="s">
        <v>559</v>
      </c>
      <c r="B564" s="172" t="s">
        <v>665</v>
      </c>
      <c r="C564" s="172" t="s">
        <v>760</v>
      </c>
      <c r="D564" s="172"/>
      <c r="E564" s="106" t="n">
        <v>12</v>
      </c>
      <c r="F564" s="173" t="n">
        <v>44</v>
      </c>
      <c r="S564" s="167" t="n">
        <v>1388.822874</v>
      </c>
      <c r="T564" s="111" t="s">
        <v>246</v>
      </c>
      <c r="Y564" s="167" t="n">
        <v>608.63</v>
      </c>
      <c r="Z564" s="111" t="s">
        <v>246</v>
      </c>
      <c r="AA564" s="167" t="n">
        <v>56698.05</v>
      </c>
      <c r="AB564" s="111" t="s">
        <v>246</v>
      </c>
      <c r="AC564" s="164" t="n">
        <v>29.18</v>
      </c>
      <c r="AD564" s="111" t="s">
        <v>246</v>
      </c>
      <c r="AG564" s="167" t="n">
        <v>5.15</v>
      </c>
      <c r="AH564" s="111" t="s">
        <v>246</v>
      </c>
      <c r="AM564" s="167"/>
      <c r="BS564" s="167" t="n">
        <v>47.6</v>
      </c>
      <c r="BT564" s="111" t="s">
        <v>246</v>
      </c>
      <c r="BU564" s="164" t="n">
        <v>20.86</v>
      </c>
      <c r="BV564" s="111" t="s">
        <v>246</v>
      </c>
    </row>
    <row r="565" customFormat="false" ht="12.75" hidden="false" customHeight="false" outlineLevel="0" collapsed="false">
      <c r="A565" s="162" t="s">
        <v>559</v>
      </c>
      <c r="B565" s="172" t="s">
        <v>668</v>
      </c>
      <c r="C565" s="172" t="s">
        <v>760</v>
      </c>
      <c r="D565" s="172"/>
      <c r="E565" s="106" t="n">
        <v>13</v>
      </c>
      <c r="F565" s="173" t="n">
        <v>33</v>
      </c>
      <c r="S565" s="167" t="n">
        <v>1369.687667</v>
      </c>
      <c r="T565" s="111" t="s">
        <v>246</v>
      </c>
      <c r="Y565" s="167" t="n">
        <v>660.06</v>
      </c>
      <c r="Z565" s="111" t="s">
        <v>246</v>
      </c>
      <c r="AA565" s="167" t="n">
        <v>56125.67</v>
      </c>
      <c r="AB565" s="111" t="s">
        <v>246</v>
      </c>
      <c r="AC565" s="164" t="n">
        <v>29.26</v>
      </c>
      <c r="AD565" s="111" t="s">
        <v>246</v>
      </c>
      <c r="AG565" s="167" t="n">
        <v>5.21</v>
      </c>
      <c r="AH565" s="111" t="s">
        <v>246</v>
      </c>
      <c r="AM565" s="167"/>
      <c r="BS565" s="167" t="n">
        <v>46.81</v>
      </c>
      <c r="BT565" s="111" t="s">
        <v>246</v>
      </c>
      <c r="BU565" s="164" t="n">
        <v>22.56</v>
      </c>
      <c r="BV565" s="111" t="s">
        <v>246</v>
      </c>
    </row>
    <row r="566" customFormat="false" ht="12.75" hidden="false" customHeight="false" outlineLevel="0" collapsed="false">
      <c r="A566" s="162" t="s">
        <v>559</v>
      </c>
      <c r="B566" s="172" t="s">
        <v>665</v>
      </c>
      <c r="C566" s="172" t="s">
        <v>761</v>
      </c>
      <c r="D566" s="172"/>
      <c r="E566" s="106" t="n">
        <v>13</v>
      </c>
      <c r="F566" s="173" t="n">
        <v>22</v>
      </c>
      <c r="S566" s="167" t="n">
        <v>1603.281162</v>
      </c>
      <c r="T566" s="111" t="s">
        <v>246</v>
      </c>
      <c r="Y566" s="167" t="n">
        <v>737.71</v>
      </c>
      <c r="Z566" s="111" t="s">
        <v>246</v>
      </c>
      <c r="AA566" s="167" t="n">
        <v>70966.39</v>
      </c>
      <c r="AB566" s="111" t="s">
        <v>246</v>
      </c>
      <c r="AC566" s="164" t="n">
        <v>34.34</v>
      </c>
      <c r="AD566" s="111" t="s">
        <v>246</v>
      </c>
      <c r="AG566" s="167" t="n">
        <v>4.84</v>
      </c>
      <c r="AH566" s="111" t="s">
        <v>246</v>
      </c>
      <c r="AM566" s="167"/>
      <c r="BS566" s="167" t="n">
        <v>46.69</v>
      </c>
      <c r="BT566" s="111" t="s">
        <v>246</v>
      </c>
      <c r="BU566" s="164" t="n">
        <v>21.48</v>
      </c>
      <c r="BV566" s="111" t="s">
        <v>246</v>
      </c>
    </row>
    <row r="567" customFormat="false" ht="12.75" hidden="false" customHeight="false" outlineLevel="0" collapsed="false">
      <c r="A567" s="162" t="s">
        <v>559</v>
      </c>
      <c r="B567" s="172" t="s">
        <v>668</v>
      </c>
      <c r="C567" s="172" t="s">
        <v>761</v>
      </c>
      <c r="D567" s="172"/>
      <c r="E567" s="106" t="n">
        <v>17</v>
      </c>
      <c r="F567" s="173" t="n">
        <v>3</v>
      </c>
      <c r="S567" s="167" t="n">
        <v>1226.930988</v>
      </c>
      <c r="T567" s="111" t="s">
        <v>246</v>
      </c>
      <c r="Y567" s="167" t="n">
        <v>602.56</v>
      </c>
      <c r="Z567" s="111" t="s">
        <v>246</v>
      </c>
      <c r="AA567" s="167" t="n">
        <v>55431.99</v>
      </c>
      <c r="AB567" s="111" t="s">
        <v>246</v>
      </c>
      <c r="AC567" s="164" t="n">
        <v>26.88</v>
      </c>
      <c r="AD567" s="111" t="s">
        <v>246</v>
      </c>
      <c r="AG567" s="167" t="n">
        <v>4.85</v>
      </c>
      <c r="AH567" s="111" t="s">
        <v>246</v>
      </c>
      <c r="AM567" s="167"/>
      <c r="BS567" s="167" t="n">
        <v>45.65</v>
      </c>
      <c r="BT567" s="111" t="s">
        <v>246</v>
      </c>
      <c r="BU567" s="164" t="n">
        <v>22.42</v>
      </c>
      <c r="BV567" s="111" t="s">
        <v>246</v>
      </c>
    </row>
    <row r="568" customFormat="false" ht="12.75" hidden="false" customHeight="false" outlineLevel="0" collapsed="false">
      <c r="A568" s="162" t="s">
        <v>559</v>
      </c>
      <c r="B568" s="172" t="s">
        <v>665</v>
      </c>
      <c r="C568" s="172" t="s">
        <v>762</v>
      </c>
      <c r="D568" s="172"/>
      <c r="E568" s="106" t="n">
        <v>2</v>
      </c>
      <c r="F568" s="173" t="n">
        <v>6</v>
      </c>
      <c r="S568" s="167" t="n">
        <v>1444.130301</v>
      </c>
      <c r="T568" s="111" t="s">
        <v>246</v>
      </c>
      <c r="Y568" s="167" t="n">
        <v>676.5</v>
      </c>
      <c r="Z568" s="111" t="s">
        <v>246</v>
      </c>
      <c r="AA568" s="167" t="n">
        <v>59194.91</v>
      </c>
      <c r="AB568" s="111" t="s">
        <v>246</v>
      </c>
      <c r="AC568" s="164" t="n">
        <v>31.09</v>
      </c>
      <c r="AD568" s="111" t="s">
        <v>246</v>
      </c>
      <c r="AG568" s="167" t="n">
        <v>5.25</v>
      </c>
      <c r="AH568" s="111" t="s">
        <v>246</v>
      </c>
      <c r="AM568" s="167"/>
      <c r="BS568" s="167" t="n">
        <v>46.45</v>
      </c>
      <c r="BT568" s="111" t="s">
        <v>246</v>
      </c>
      <c r="BU568" s="164" t="n">
        <v>21.76</v>
      </c>
      <c r="BV568" s="111" t="s">
        <v>246</v>
      </c>
    </row>
    <row r="569" customFormat="false" ht="12.75" hidden="false" customHeight="false" outlineLevel="0" collapsed="false">
      <c r="A569" s="162" t="s">
        <v>559</v>
      </c>
      <c r="B569" s="172" t="s">
        <v>668</v>
      </c>
      <c r="C569" s="172" t="s">
        <v>762</v>
      </c>
      <c r="D569" s="172"/>
      <c r="E569" s="106" t="n">
        <v>1</v>
      </c>
      <c r="F569" s="173" t="n">
        <v>55</v>
      </c>
      <c r="S569" s="167" t="n">
        <v>1296.103267</v>
      </c>
      <c r="T569" s="111" t="s">
        <v>246</v>
      </c>
      <c r="Y569" s="167" t="n">
        <v>667.84</v>
      </c>
      <c r="Z569" s="111" t="s">
        <v>246</v>
      </c>
      <c r="AA569" s="167" t="n">
        <v>59263.24</v>
      </c>
      <c r="AB569" s="111" t="s">
        <v>246</v>
      </c>
      <c r="AC569" s="164" t="n">
        <v>28.74</v>
      </c>
      <c r="AD569" s="111" t="s">
        <v>246</v>
      </c>
      <c r="AG569" s="167" t="n">
        <v>4.85</v>
      </c>
      <c r="AH569" s="111" t="s">
        <v>246</v>
      </c>
      <c r="AM569" s="167"/>
      <c r="BS569" s="167" t="n">
        <v>45.1</v>
      </c>
      <c r="BT569" s="111" t="s">
        <v>246</v>
      </c>
      <c r="BU569" s="164" t="n">
        <v>23.24</v>
      </c>
      <c r="BV569" s="111" t="s">
        <v>246</v>
      </c>
    </row>
    <row r="570" customFormat="false" ht="12.75" hidden="false" customHeight="false" outlineLevel="0" collapsed="false">
      <c r="A570" s="162" t="s">
        <v>561</v>
      </c>
      <c r="B570" s="172" t="s">
        <v>665</v>
      </c>
      <c r="C570" s="172" t="s">
        <v>758</v>
      </c>
      <c r="D570" s="172"/>
      <c r="E570" s="106" t="n">
        <v>7</v>
      </c>
      <c r="F570" s="173" t="n">
        <v>14</v>
      </c>
      <c r="S570" s="167" t="n">
        <v>1514.906408</v>
      </c>
      <c r="T570" s="111" t="s">
        <v>246</v>
      </c>
      <c r="Y570" s="167" t="n">
        <v>706.06</v>
      </c>
      <c r="Z570" s="111" t="s">
        <v>246</v>
      </c>
      <c r="AA570" s="167" t="n">
        <v>65814.19</v>
      </c>
      <c r="AB570" s="111" t="s">
        <v>246</v>
      </c>
      <c r="AC570" s="164" t="n">
        <v>32.73</v>
      </c>
      <c r="AD570" s="111" t="s">
        <v>246</v>
      </c>
      <c r="AG570" s="167" t="n">
        <v>4.97</v>
      </c>
      <c r="AH570" s="111" t="s">
        <v>246</v>
      </c>
      <c r="AM570" s="167"/>
      <c r="BS570" s="167" t="n">
        <v>46.29</v>
      </c>
      <c r="BT570" s="111" t="s">
        <v>246</v>
      </c>
      <c r="BU570" s="164" t="n">
        <v>21.57</v>
      </c>
      <c r="BV570" s="111" t="s">
        <v>246</v>
      </c>
    </row>
    <row r="571" customFormat="false" ht="12.75" hidden="false" customHeight="false" outlineLevel="0" collapsed="false">
      <c r="A571" s="162" t="s">
        <v>561</v>
      </c>
      <c r="B571" s="172" t="s">
        <v>668</v>
      </c>
      <c r="C571" s="172" t="s">
        <v>758</v>
      </c>
      <c r="D571" s="172"/>
      <c r="E571" s="106" t="n">
        <v>11</v>
      </c>
      <c r="F571" s="173" t="n">
        <v>10</v>
      </c>
      <c r="S571" s="167" t="n">
        <v>1891.878864</v>
      </c>
      <c r="T571" s="111" t="s">
        <v>246</v>
      </c>
      <c r="Y571" s="167" t="n">
        <v>865.23</v>
      </c>
      <c r="Z571" s="111" t="s">
        <v>246</v>
      </c>
      <c r="AA571" s="167" t="n">
        <v>79253.11</v>
      </c>
      <c r="AB571" s="111" t="s">
        <v>246</v>
      </c>
      <c r="AC571" s="164" t="n">
        <v>40.53</v>
      </c>
      <c r="AD571" s="111" t="s">
        <v>246</v>
      </c>
      <c r="AG571" s="167" t="n">
        <v>5.11</v>
      </c>
      <c r="AH571" s="111" t="s">
        <v>246</v>
      </c>
      <c r="AM571" s="167"/>
      <c r="BS571" s="167" t="n">
        <v>46.68</v>
      </c>
      <c r="BT571" s="111" t="s">
        <v>246</v>
      </c>
      <c r="BU571" s="164" t="n">
        <v>21.35</v>
      </c>
      <c r="BV571" s="111" t="s">
        <v>246</v>
      </c>
    </row>
    <row r="572" customFormat="false" ht="12.75" hidden="false" customHeight="false" outlineLevel="0" collapsed="false">
      <c r="A572" s="162" t="s">
        <v>561</v>
      </c>
      <c r="B572" s="172" t="s">
        <v>665</v>
      </c>
      <c r="C572" s="172" t="s">
        <v>760</v>
      </c>
      <c r="D572" s="172"/>
      <c r="E572" s="106" t="n">
        <v>11</v>
      </c>
      <c r="F572" s="173" t="n">
        <v>57</v>
      </c>
      <c r="S572" s="167" t="n">
        <v>1486.388392</v>
      </c>
      <c r="T572" s="111" t="s">
        <v>246</v>
      </c>
      <c r="Y572" s="167" t="n">
        <v>648.22</v>
      </c>
      <c r="Z572" s="111" t="s">
        <v>246</v>
      </c>
      <c r="AA572" s="167" t="n">
        <v>61890.64</v>
      </c>
      <c r="AB572" s="111" t="s">
        <v>246</v>
      </c>
      <c r="AC572" s="164" t="n">
        <v>31.39</v>
      </c>
      <c r="AD572" s="111" t="s">
        <v>246</v>
      </c>
      <c r="AG572" s="167" t="n">
        <v>5.07</v>
      </c>
      <c r="AH572" s="111" t="s">
        <v>246</v>
      </c>
      <c r="AM572" s="167"/>
      <c r="BS572" s="167" t="n">
        <v>47.35</v>
      </c>
      <c r="BT572" s="111" t="s">
        <v>246</v>
      </c>
      <c r="BU572" s="164" t="n">
        <v>20.65</v>
      </c>
      <c r="BV572" s="111" t="s">
        <v>246</v>
      </c>
    </row>
    <row r="573" customFormat="false" ht="12.75" hidden="false" customHeight="false" outlineLevel="0" collapsed="false">
      <c r="A573" s="162" t="s">
        <v>561</v>
      </c>
      <c r="B573" s="172" t="s">
        <v>668</v>
      </c>
      <c r="C573" s="172" t="s">
        <v>760</v>
      </c>
      <c r="D573" s="172"/>
      <c r="E573" s="106" t="n">
        <v>16</v>
      </c>
      <c r="F573" s="173" t="n">
        <v>36</v>
      </c>
      <c r="S573" s="167" t="n">
        <v>1527.431113</v>
      </c>
      <c r="T573" s="111" t="s">
        <v>246</v>
      </c>
      <c r="Y573" s="167" t="n">
        <v>742.19</v>
      </c>
      <c r="Z573" s="111" t="s">
        <v>246</v>
      </c>
      <c r="AA573" s="167" t="n">
        <v>61825.97</v>
      </c>
      <c r="AB573" s="111" t="s">
        <v>246</v>
      </c>
      <c r="AC573" s="164" t="n">
        <v>33.82</v>
      </c>
      <c r="AD573" s="111" t="s">
        <v>246</v>
      </c>
      <c r="AG573" s="167" t="n">
        <v>5.47</v>
      </c>
      <c r="AH573" s="111" t="s">
        <v>246</v>
      </c>
      <c r="AM573" s="167"/>
      <c r="BS573" s="167" t="n">
        <v>45.16</v>
      </c>
      <c r="BT573" s="111" t="s">
        <v>246</v>
      </c>
      <c r="BU573" s="164" t="n">
        <v>21.94</v>
      </c>
      <c r="BV573" s="111" t="s">
        <v>246</v>
      </c>
    </row>
    <row r="574" customFormat="false" ht="12.75" hidden="false" customHeight="false" outlineLevel="0" collapsed="false">
      <c r="A574" s="162" t="s">
        <v>561</v>
      </c>
      <c r="B574" s="172" t="s">
        <v>665</v>
      </c>
      <c r="C574" s="172" t="s">
        <v>761</v>
      </c>
      <c r="D574" s="172"/>
      <c r="E574" s="106" t="n">
        <v>14</v>
      </c>
      <c r="F574" s="173" t="n">
        <v>20</v>
      </c>
      <c r="S574" s="167" t="n">
        <v>1790.590713</v>
      </c>
      <c r="T574" s="111" t="s">
        <v>246</v>
      </c>
      <c r="Y574" s="167" t="n">
        <v>848.9</v>
      </c>
      <c r="Z574" s="111" t="s">
        <v>246</v>
      </c>
      <c r="AA574" s="167" t="n">
        <v>75415.63</v>
      </c>
      <c r="AB574" s="111" t="s">
        <v>246</v>
      </c>
      <c r="AC574" s="164" t="n">
        <v>39.15</v>
      </c>
      <c r="AD574" s="111" t="s">
        <v>246</v>
      </c>
      <c r="AG574" s="167" t="n">
        <v>5.19</v>
      </c>
      <c r="AH574" s="111" t="s">
        <v>246</v>
      </c>
      <c r="AM574" s="167"/>
      <c r="BS574" s="167" t="n">
        <v>45.73</v>
      </c>
      <c r="BT574" s="111" t="s">
        <v>246</v>
      </c>
      <c r="BU574" s="164" t="n">
        <v>21.68</v>
      </c>
      <c r="BV574" s="111" t="s">
        <v>246</v>
      </c>
    </row>
    <row r="575" customFormat="false" ht="12.75" hidden="false" customHeight="false" outlineLevel="0" collapsed="false">
      <c r="A575" s="162" t="s">
        <v>561</v>
      </c>
      <c r="B575" s="172" t="s">
        <v>668</v>
      </c>
      <c r="C575" s="172" t="s">
        <v>761</v>
      </c>
      <c r="D575" s="172"/>
      <c r="E575" s="106" t="n">
        <v>19</v>
      </c>
      <c r="F575" s="173" t="n">
        <v>12</v>
      </c>
      <c r="S575" s="167" t="n">
        <v>1190.959448</v>
      </c>
      <c r="T575" s="111" t="s">
        <v>246</v>
      </c>
      <c r="Y575" s="167" t="n">
        <v>601.84</v>
      </c>
      <c r="Z575" s="111" t="s">
        <v>246</v>
      </c>
      <c r="AA575" s="167" t="n">
        <v>56008.66</v>
      </c>
      <c r="AB575" s="111" t="s">
        <v>246</v>
      </c>
      <c r="AC575" s="164" t="n">
        <v>26.62</v>
      </c>
      <c r="AD575" s="111" t="s">
        <v>246</v>
      </c>
      <c r="AG575" s="167" t="n">
        <v>4.75</v>
      </c>
      <c r="AH575" s="111" t="s">
        <v>246</v>
      </c>
      <c r="AM575" s="167"/>
      <c r="BS575" s="167" t="n">
        <v>44.74</v>
      </c>
      <c r="BT575" s="111" t="s">
        <v>246</v>
      </c>
      <c r="BU575" s="164" t="n">
        <v>22.61</v>
      </c>
      <c r="BV575" s="111" t="s">
        <v>246</v>
      </c>
    </row>
    <row r="576" customFormat="false" ht="12.75" hidden="false" customHeight="false" outlineLevel="0" collapsed="false">
      <c r="A576" s="162" t="s">
        <v>561</v>
      </c>
      <c r="B576" s="172" t="s">
        <v>665</v>
      </c>
      <c r="C576" s="172" t="s">
        <v>762</v>
      </c>
      <c r="D576" s="172"/>
      <c r="E576" s="106" t="n">
        <v>2</v>
      </c>
      <c r="F576" s="173" t="n">
        <v>13</v>
      </c>
      <c r="S576" s="167" t="n">
        <v>1571.275116</v>
      </c>
      <c r="T576" s="111" t="s">
        <v>246</v>
      </c>
      <c r="Y576" s="167" t="n">
        <v>701.32</v>
      </c>
      <c r="Z576" s="111" t="s">
        <v>246</v>
      </c>
      <c r="AA576" s="167" t="n">
        <v>71132.21</v>
      </c>
      <c r="AB576" s="111" t="s">
        <v>246</v>
      </c>
      <c r="AC576" s="164" t="n">
        <v>33.78</v>
      </c>
      <c r="AD576" s="111" t="s">
        <v>246</v>
      </c>
      <c r="AG576" s="167" t="n">
        <v>4.75</v>
      </c>
      <c r="AH576" s="111" t="s">
        <v>246</v>
      </c>
      <c r="AM576" s="167"/>
      <c r="BS576" s="167" t="n">
        <v>46.52</v>
      </c>
      <c r="BT576" s="111" t="s">
        <v>246</v>
      </c>
      <c r="BU576" s="164" t="n">
        <v>20.76</v>
      </c>
      <c r="BV576" s="111" t="s">
        <v>246</v>
      </c>
    </row>
    <row r="577" customFormat="false" ht="12.75" hidden="false" customHeight="false" outlineLevel="0" collapsed="false">
      <c r="A577" s="162" t="s">
        <v>561</v>
      </c>
      <c r="B577" s="172" t="s">
        <v>668</v>
      </c>
      <c r="C577" s="172" t="s">
        <v>762</v>
      </c>
      <c r="D577" s="172"/>
      <c r="E577" s="106" t="n">
        <v>3</v>
      </c>
      <c r="F577" s="173" t="n">
        <v>63</v>
      </c>
      <c r="S577" s="167" t="n">
        <v>1323.965662</v>
      </c>
      <c r="T577" s="111" t="s">
        <v>246</v>
      </c>
      <c r="Y577" s="167" t="n">
        <v>702.48</v>
      </c>
      <c r="Z577" s="111" t="s">
        <v>246</v>
      </c>
      <c r="AA577" s="167" t="n">
        <v>67363.8</v>
      </c>
      <c r="AB577" s="111" t="s">
        <v>246</v>
      </c>
      <c r="AC577" s="164" t="n">
        <v>30.41</v>
      </c>
      <c r="AD577" s="111" t="s">
        <v>246</v>
      </c>
      <c r="AG577" s="167" t="n">
        <v>4.51</v>
      </c>
      <c r="AH577" s="111" t="s">
        <v>246</v>
      </c>
      <c r="AM577" s="167"/>
      <c r="BS577" s="167" t="n">
        <v>43.54</v>
      </c>
      <c r="BT577" s="111" t="s">
        <v>246</v>
      </c>
      <c r="BU577" s="164" t="n">
        <v>23.1</v>
      </c>
      <c r="BV577" s="111" t="s">
        <v>246</v>
      </c>
    </row>
    <row r="578" customFormat="false" ht="12.75" hidden="false" customHeight="false" outlineLevel="0" collapsed="false">
      <c r="A578" s="162" t="s">
        <v>563</v>
      </c>
      <c r="B578" s="172" t="s">
        <v>665</v>
      </c>
      <c r="C578" s="172" t="s">
        <v>758</v>
      </c>
      <c r="D578" s="172"/>
      <c r="E578" s="106" t="n">
        <v>8</v>
      </c>
      <c r="F578" s="173" t="n">
        <v>21</v>
      </c>
      <c r="S578" s="167" t="n">
        <v>1585.387761</v>
      </c>
      <c r="T578" s="111" t="s">
        <v>246</v>
      </c>
      <c r="Y578" s="167" t="n">
        <v>661.53</v>
      </c>
      <c r="Z578" s="111" t="s">
        <v>246</v>
      </c>
      <c r="AA578" s="167" t="n">
        <v>68448.82</v>
      </c>
      <c r="AB578" s="111" t="s">
        <v>246</v>
      </c>
      <c r="AC578" s="164" t="n">
        <v>32.25</v>
      </c>
      <c r="AD578" s="111" t="s">
        <v>246</v>
      </c>
      <c r="AG578" s="167" t="n">
        <v>4.71</v>
      </c>
      <c r="AH578" s="111" t="s">
        <v>246</v>
      </c>
      <c r="AM578" s="167"/>
      <c r="BS578" s="167" t="n">
        <v>49.16</v>
      </c>
      <c r="BT578" s="111" t="s">
        <v>246</v>
      </c>
      <c r="BU578" s="164" t="n">
        <v>20.51</v>
      </c>
      <c r="BV578" s="111" t="s">
        <v>246</v>
      </c>
    </row>
    <row r="579" customFormat="false" ht="12.75" hidden="false" customHeight="false" outlineLevel="0" collapsed="false">
      <c r="A579" s="162" t="s">
        <v>563</v>
      </c>
      <c r="B579" s="172" t="s">
        <v>668</v>
      </c>
      <c r="C579" s="172" t="s">
        <v>758</v>
      </c>
      <c r="D579" s="172"/>
      <c r="E579" s="106" t="n">
        <v>12</v>
      </c>
      <c r="F579" s="173" t="n">
        <v>2</v>
      </c>
      <c r="S579" s="167" t="n">
        <v>1775.70203</v>
      </c>
      <c r="T579" s="111" t="s">
        <v>246</v>
      </c>
      <c r="Y579" s="167" t="n">
        <v>766</v>
      </c>
      <c r="Z579" s="111" t="s">
        <v>246</v>
      </c>
      <c r="AA579" s="167" t="n">
        <v>81745.61</v>
      </c>
      <c r="AB579" s="111" t="s">
        <v>246</v>
      </c>
      <c r="AC579" s="164" t="n">
        <v>36.67</v>
      </c>
      <c r="AD579" s="111" t="s">
        <v>246</v>
      </c>
      <c r="AG579" s="167" t="n">
        <v>4.49</v>
      </c>
      <c r="AH579" s="111" t="s">
        <v>246</v>
      </c>
      <c r="AM579" s="167"/>
      <c r="BS579" s="167" t="n">
        <v>48.43</v>
      </c>
      <c r="BT579" s="111" t="s">
        <v>246</v>
      </c>
      <c r="BU579" s="164" t="n">
        <v>20.89</v>
      </c>
      <c r="BV579" s="111" t="s">
        <v>246</v>
      </c>
    </row>
    <row r="580" customFormat="false" ht="12.75" hidden="false" customHeight="false" outlineLevel="0" collapsed="false">
      <c r="A580" s="162" t="s">
        <v>563</v>
      </c>
      <c r="B580" s="172" t="s">
        <v>665</v>
      </c>
      <c r="C580" s="172" t="s">
        <v>760</v>
      </c>
      <c r="D580" s="172"/>
      <c r="E580" s="106" t="n">
        <v>12</v>
      </c>
      <c r="F580" s="173" t="n">
        <v>53</v>
      </c>
      <c r="S580" s="167" t="n">
        <v>1549.61365</v>
      </c>
      <c r="T580" s="111" t="s">
        <v>246</v>
      </c>
      <c r="Y580" s="167" t="n">
        <v>634.02</v>
      </c>
      <c r="Z580" s="111" t="s">
        <v>246</v>
      </c>
      <c r="AA580" s="167" t="n">
        <v>67615.35</v>
      </c>
      <c r="AB580" s="111" t="s">
        <v>246</v>
      </c>
      <c r="AC580" s="164" t="n">
        <v>31.71</v>
      </c>
      <c r="AD580" s="111" t="s">
        <v>246</v>
      </c>
      <c r="AG580" s="167" t="n">
        <v>4.69</v>
      </c>
      <c r="AH580" s="111" t="s">
        <v>246</v>
      </c>
      <c r="AM580" s="167"/>
      <c r="BS580" s="167" t="n">
        <v>48.86</v>
      </c>
      <c r="BT580" s="111" t="s">
        <v>246</v>
      </c>
      <c r="BU580" s="164" t="n">
        <v>19.99</v>
      </c>
      <c r="BV580" s="111" t="s">
        <v>246</v>
      </c>
    </row>
    <row r="581" customFormat="false" ht="12.75" hidden="false" customHeight="false" outlineLevel="0" collapsed="false">
      <c r="A581" s="162" t="s">
        <v>563</v>
      </c>
      <c r="B581" s="172" t="s">
        <v>668</v>
      </c>
      <c r="C581" s="172" t="s">
        <v>760</v>
      </c>
      <c r="D581" s="172"/>
      <c r="E581" s="106" t="n">
        <v>16</v>
      </c>
      <c r="F581" s="173" t="n">
        <v>64</v>
      </c>
      <c r="S581" s="167" t="n">
        <v>1572.646883</v>
      </c>
      <c r="T581" s="111" t="s">
        <v>246</v>
      </c>
      <c r="Y581" s="167" t="n">
        <v>708.71</v>
      </c>
      <c r="Z581" s="111" t="s">
        <v>246</v>
      </c>
      <c r="AA581" s="167" t="n">
        <v>72246.37</v>
      </c>
      <c r="AB581" s="111" t="s">
        <v>246</v>
      </c>
      <c r="AC581" s="164" t="n">
        <v>32.92</v>
      </c>
      <c r="AD581" s="111" t="s">
        <v>246</v>
      </c>
      <c r="AG581" s="167" t="n">
        <v>4.56</v>
      </c>
      <c r="AH581" s="111" t="s">
        <v>246</v>
      </c>
      <c r="AM581" s="167"/>
      <c r="BS581" s="167" t="n">
        <v>47.78</v>
      </c>
      <c r="BT581" s="111" t="s">
        <v>246</v>
      </c>
      <c r="BU581" s="164" t="n">
        <v>21.53</v>
      </c>
      <c r="BV581" s="111" t="s">
        <v>246</v>
      </c>
    </row>
    <row r="582" customFormat="false" ht="12.75" hidden="false" customHeight="false" outlineLevel="0" collapsed="false">
      <c r="A582" s="162" t="s">
        <v>563</v>
      </c>
      <c r="B582" s="172" t="s">
        <v>665</v>
      </c>
      <c r="C582" s="172" t="s">
        <v>761</v>
      </c>
      <c r="D582" s="172"/>
      <c r="E582" s="106" t="n">
        <v>13</v>
      </c>
      <c r="F582" s="173" t="n">
        <v>9</v>
      </c>
      <c r="S582" s="167" t="n">
        <v>1691.059156</v>
      </c>
      <c r="T582" s="111" t="s">
        <v>246</v>
      </c>
      <c r="Y582" s="167" t="n">
        <v>763.73</v>
      </c>
      <c r="Z582" s="111" t="s">
        <v>246</v>
      </c>
      <c r="AA582" s="167" t="n">
        <v>76825.52</v>
      </c>
      <c r="AB582" s="111" t="s">
        <v>246</v>
      </c>
      <c r="AC582" s="164" t="n">
        <v>35.81</v>
      </c>
      <c r="AD582" s="111" t="s">
        <v>246</v>
      </c>
      <c r="AG582" s="167" t="n">
        <v>4.66</v>
      </c>
      <c r="AH582" s="111" t="s">
        <v>246</v>
      </c>
      <c r="AM582" s="167"/>
      <c r="BS582" s="167" t="n">
        <v>47.22</v>
      </c>
      <c r="BT582" s="111" t="s">
        <v>246</v>
      </c>
      <c r="BU582" s="164" t="n">
        <v>21.33</v>
      </c>
      <c r="BV582" s="111" t="s">
        <v>246</v>
      </c>
    </row>
    <row r="583" customFormat="false" ht="12.75" hidden="false" customHeight="false" outlineLevel="0" collapsed="false">
      <c r="A583" s="162" t="s">
        <v>563</v>
      </c>
      <c r="B583" s="172" t="s">
        <v>668</v>
      </c>
      <c r="C583" s="172" t="s">
        <v>761</v>
      </c>
      <c r="D583" s="172"/>
      <c r="E583" s="106" t="n">
        <v>20</v>
      </c>
      <c r="F583" s="173" t="n">
        <v>19</v>
      </c>
      <c r="S583" s="167" t="n">
        <v>1640.848979</v>
      </c>
      <c r="T583" s="111" t="s">
        <v>246</v>
      </c>
      <c r="Y583" s="167" t="n">
        <v>798.27</v>
      </c>
      <c r="Z583" s="111" t="s">
        <v>246</v>
      </c>
      <c r="AA583" s="167" t="n">
        <v>78402.09</v>
      </c>
      <c r="AB583" s="111" t="s">
        <v>246</v>
      </c>
      <c r="AC583" s="164" t="n">
        <v>35.5</v>
      </c>
      <c r="AD583" s="111" t="s">
        <v>246</v>
      </c>
      <c r="AG583" s="167" t="n">
        <v>4.53</v>
      </c>
      <c r="AH583" s="111" t="s">
        <v>246</v>
      </c>
      <c r="AM583" s="167"/>
      <c r="BS583" s="167" t="n">
        <v>46.22</v>
      </c>
      <c r="BT583" s="111" t="s">
        <v>246</v>
      </c>
      <c r="BU583" s="164" t="n">
        <v>22.49</v>
      </c>
      <c r="BV583" s="111" t="s">
        <v>246</v>
      </c>
    </row>
    <row r="584" customFormat="false" ht="12.75" hidden="false" customHeight="false" outlineLevel="0" collapsed="false">
      <c r="A584" s="162" t="s">
        <v>563</v>
      </c>
      <c r="B584" s="172" t="s">
        <v>665</v>
      </c>
      <c r="C584" s="172" t="s">
        <v>762</v>
      </c>
      <c r="D584" s="172"/>
      <c r="E584" s="106" t="n">
        <v>3</v>
      </c>
      <c r="F584" s="173" t="n">
        <v>6</v>
      </c>
      <c r="S584" s="167" t="n">
        <v>1564.984032</v>
      </c>
      <c r="T584" s="111" t="s">
        <v>246</v>
      </c>
      <c r="Y584" s="167" t="n">
        <v>720.82</v>
      </c>
      <c r="Z584" s="111" t="s">
        <v>246</v>
      </c>
      <c r="AA584" s="167" t="n">
        <v>65251.33</v>
      </c>
      <c r="AB584" s="111" t="s">
        <v>246</v>
      </c>
      <c r="AC584" s="164" t="n">
        <v>33.12</v>
      </c>
      <c r="AD584" s="111" t="s">
        <v>246</v>
      </c>
      <c r="AG584" s="167" t="n">
        <v>5.08</v>
      </c>
      <c r="AH584" s="111" t="s">
        <v>246</v>
      </c>
      <c r="AM584" s="167"/>
      <c r="BS584" s="167" t="n">
        <v>47.25</v>
      </c>
      <c r="BT584" s="111" t="s">
        <v>246</v>
      </c>
      <c r="BU584" s="164" t="n">
        <v>21.76</v>
      </c>
      <c r="BV584" s="111" t="s">
        <v>246</v>
      </c>
    </row>
    <row r="585" customFormat="false" ht="12.75" hidden="false" customHeight="false" outlineLevel="0" collapsed="false">
      <c r="A585" s="162" t="s">
        <v>563</v>
      </c>
      <c r="B585" s="172" t="s">
        <v>668</v>
      </c>
      <c r="C585" s="172" t="s">
        <v>762</v>
      </c>
      <c r="D585" s="172"/>
      <c r="E585" s="106" t="n">
        <v>1</v>
      </c>
      <c r="F585" s="173" t="n">
        <v>61</v>
      </c>
      <c r="S585" s="167" t="n">
        <v>1799.942278</v>
      </c>
      <c r="T585" s="111" t="s">
        <v>246</v>
      </c>
      <c r="Y585" s="167" t="n">
        <v>907.14</v>
      </c>
      <c r="Z585" s="111" t="s">
        <v>246</v>
      </c>
      <c r="AA585" s="167" t="n">
        <v>85303.67</v>
      </c>
      <c r="AB585" s="111" t="s">
        <v>246</v>
      </c>
      <c r="AC585" s="164" t="n">
        <v>39.3</v>
      </c>
      <c r="AD585" s="111" t="s">
        <v>246</v>
      </c>
      <c r="AG585" s="167" t="n">
        <v>4.61</v>
      </c>
      <c r="AH585" s="111" t="s">
        <v>246</v>
      </c>
      <c r="AM585" s="167"/>
      <c r="BS585" s="167" t="n">
        <v>45.8</v>
      </c>
      <c r="BT585" s="111" t="s">
        <v>246</v>
      </c>
      <c r="BU585" s="164" t="n">
        <v>23.08</v>
      </c>
      <c r="BV585" s="111" t="s">
        <v>246</v>
      </c>
    </row>
    <row r="586" customFormat="false" ht="12.75" hidden="false" customHeight="false" outlineLevel="0" collapsed="false">
      <c r="A586" s="162" t="s">
        <v>565</v>
      </c>
      <c r="B586" s="172" t="s">
        <v>665</v>
      </c>
      <c r="C586" s="172" t="s">
        <v>758</v>
      </c>
      <c r="D586" s="172"/>
      <c r="E586" s="106" t="n">
        <v>7</v>
      </c>
      <c r="F586" s="173" t="n">
        <v>12</v>
      </c>
      <c r="S586" s="167" t="n">
        <v>1474.497782</v>
      </c>
      <c r="T586" s="111" t="s">
        <v>246</v>
      </c>
      <c r="Y586" s="167" t="n">
        <v>641.99</v>
      </c>
      <c r="Z586" s="111" t="s">
        <v>246</v>
      </c>
      <c r="AA586" s="167" t="n">
        <v>68122.22</v>
      </c>
      <c r="AB586" s="111" t="s">
        <v>246</v>
      </c>
      <c r="AC586" s="164" t="n">
        <v>31.13</v>
      </c>
      <c r="AD586" s="111" t="s">
        <v>246</v>
      </c>
      <c r="AG586" s="167" t="n">
        <v>4.57</v>
      </c>
      <c r="AH586" s="111" t="s">
        <v>246</v>
      </c>
      <c r="AM586" s="167"/>
      <c r="BS586" s="167" t="n">
        <v>47.37</v>
      </c>
      <c r="BT586" s="111" t="s">
        <v>246</v>
      </c>
      <c r="BU586" s="164" t="n">
        <v>20.62</v>
      </c>
      <c r="BV586" s="111" t="s">
        <v>246</v>
      </c>
    </row>
    <row r="587" customFormat="false" ht="12.75" hidden="false" customHeight="false" outlineLevel="0" collapsed="false">
      <c r="A587" s="162" t="s">
        <v>565</v>
      </c>
      <c r="B587" s="172" t="s">
        <v>668</v>
      </c>
      <c r="C587" s="172" t="s">
        <v>758</v>
      </c>
      <c r="D587" s="172"/>
      <c r="E587" s="106" t="n">
        <v>9</v>
      </c>
      <c r="F587" s="173" t="n">
        <v>4</v>
      </c>
      <c r="S587" s="167" t="n">
        <v>1655.555105</v>
      </c>
      <c r="T587" s="111" t="s">
        <v>246</v>
      </c>
      <c r="Y587" s="167" t="n">
        <v>687.55</v>
      </c>
      <c r="Z587" s="111" t="s">
        <v>246</v>
      </c>
      <c r="AA587" s="167" t="n">
        <v>67036.9</v>
      </c>
      <c r="AB587" s="111" t="s">
        <v>246</v>
      </c>
      <c r="AC587" s="164" t="n">
        <v>34.01</v>
      </c>
      <c r="AD587" s="111" t="s">
        <v>246</v>
      </c>
      <c r="AG587" s="167" t="n">
        <v>5.07</v>
      </c>
      <c r="AH587" s="111" t="s">
        <v>246</v>
      </c>
      <c r="AM587" s="167"/>
      <c r="BS587" s="167" t="n">
        <v>48.68</v>
      </c>
      <c r="BT587" s="111" t="s">
        <v>246</v>
      </c>
      <c r="BU587" s="164" t="n">
        <v>20.22</v>
      </c>
      <c r="BV587" s="111" t="s">
        <v>246</v>
      </c>
    </row>
    <row r="588" customFormat="false" ht="12.75" hidden="false" customHeight="false" outlineLevel="0" collapsed="false">
      <c r="A588" s="162" t="s">
        <v>565</v>
      </c>
      <c r="B588" s="172" t="s">
        <v>665</v>
      </c>
      <c r="C588" s="172" t="s">
        <v>760</v>
      </c>
      <c r="D588" s="172"/>
      <c r="E588" s="106" t="n">
        <v>11</v>
      </c>
      <c r="F588" s="173" t="n">
        <v>39</v>
      </c>
      <c r="S588" s="167" t="n">
        <v>1469.344838</v>
      </c>
      <c r="T588" s="111" t="s">
        <v>246</v>
      </c>
      <c r="Y588" s="167" t="n">
        <v>581.02</v>
      </c>
      <c r="Z588" s="111" t="s">
        <v>246</v>
      </c>
      <c r="AA588" s="167" t="n">
        <v>60346.53</v>
      </c>
      <c r="AB588" s="111" t="s">
        <v>246</v>
      </c>
      <c r="AC588" s="164" t="n">
        <v>29.95</v>
      </c>
      <c r="AD588" s="111" t="s">
        <v>246</v>
      </c>
      <c r="AG588" s="167" t="n">
        <v>4.96</v>
      </c>
      <c r="AH588" s="111" t="s">
        <v>246</v>
      </c>
      <c r="AM588" s="167"/>
      <c r="BS588" s="167" t="n">
        <v>49.07</v>
      </c>
      <c r="BT588" s="111" t="s">
        <v>246</v>
      </c>
      <c r="BU588" s="164" t="n">
        <v>19.4</v>
      </c>
      <c r="BV588" s="111" t="s">
        <v>246</v>
      </c>
    </row>
    <row r="589" customFormat="false" ht="12.75" hidden="false" customHeight="false" outlineLevel="0" collapsed="false">
      <c r="A589" s="162" t="s">
        <v>565</v>
      </c>
      <c r="B589" s="172" t="s">
        <v>668</v>
      </c>
      <c r="C589" s="172" t="s">
        <v>760</v>
      </c>
      <c r="D589" s="172"/>
      <c r="E589" s="106" t="n">
        <v>13</v>
      </c>
      <c r="F589" s="173" t="n">
        <v>49</v>
      </c>
      <c r="S589" s="167" t="n">
        <v>1150.913348</v>
      </c>
      <c r="T589" s="111" t="s">
        <v>246</v>
      </c>
      <c r="Y589" s="167" t="n">
        <v>542.84</v>
      </c>
      <c r="Z589" s="111" t="s">
        <v>246</v>
      </c>
      <c r="AA589" s="167" t="n">
        <v>53176.67</v>
      </c>
      <c r="AB589" s="111" t="s">
        <v>246</v>
      </c>
      <c r="AC589" s="164" t="n">
        <v>24.92</v>
      </c>
      <c r="AD589" s="111" t="s">
        <v>246</v>
      </c>
      <c r="AG589" s="167" t="n">
        <v>4.69</v>
      </c>
      <c r="AH589" s="111" t="s">
        <v>246</v>
      </c>
      <c r="AM589" s="167"/>
      <c r="BS589" s="167" t="n">
        <v>46.18</v>
      </c>
      <c r="BT589" s="111" t="s">
        <v>246</v>
      </c>
      <c r="BU589" s="164" t="n">
        <v>21.78</v>
      </c>
      <c r="BV589" s="111" t="s">
        <v>246</v>
      </c>
    </row>
    <row r="590" customFormat="false" ht="12.75" hidden="false" customHeight="false" outlineLevel="0" collapsed="false">
      <c r="A590" s="162" t="s">
        <v>565</v>
      </c>
      <c r="B590" s="172" t="s">
        <v>665</v>
      </c>
      <c r="C590" s="172" t="s">
        <v>761</v>
      </c>
      <c r="D590" s="172"/>
      <c r="E590" s="106" t="n">
        <v>16</v>
      </c>
      <c r="F590" s="173" t="n">
        <v>32</v>
      </c>
      <c r="S590" s="167" t="n">
        <v>1436.935737</v>
      </c>
      <c r="T590" s="111" t="s">
        <v>246</v>
      </c>
      <c r="Y590" s="167" t="n">
        <v>662.21</v>
      </c>
      <c r="Z590" s="111" t="s">
        <v>246</v>
      </c>
      <c r="AA590" s="167" t="n">
        <v>65074.32</v>
      </c>
      <c r="AB590" s="111" t="s">
        <v>246</v>
      </c>
      <c r="AC590" s="164" t="n">
        <v>30.8</v>
      </c>
      <c r="AD590" s="111" t="s">
        <v>246</v>
      </c>
      <c r="AG590" s="167" t="n">
        <v>4.73</v>
      </c>
      <c r="AH590" s="111" t="s">
        <v>246</v>
      </c>
      <c r="AM590" s="167"/>
      <c r="BS590" s="167" t="n">
        <v>46.66</v>
      </c>
      <c r="BT590" s="111" t="s">
        <v>246</v>
      </c>
      <c r="BU590" s="164" t="n">
        <v>21.5</v>
      </c>
      <c r="BV590" s="111" t="s">
        <v>246</v>
      </c>
    </row>
    <row r="591" customFormat="false" ht="12.75" hidden="false" customHeight="false" outlineLevel="0" collapsed="false">
      <c r="A591" s="162" t="s">
        <v>565</v>
      </c>
      <c r="B591" s="172" t="s">
        <v>668</v>
      </c>
      <c r="C591" s="172" t="s">
        <v>761</v>
      </c>
      <c r="D591" s="172"/>
      <c r="E591" s="106" t="n">
        <v>19</v>
      </c>
      <c r="F591" s="173" t="n">
        <v>10</v>
      </c>
      <c r="S591" s="167" t="n">
        <v>1529.277941</v>
      </c>
      <c r="T591" s="111" t="s">
        <v>246</v>
      </c>
      <c r="Y591" s="167" t="n">
        <v>697.51</v>
      </c>
      <c r="Z591" s="111" t="s">
        <v>246</v>
      </c>
      <c r="AA591" s="167" t="n">
        <v>68600.77</v>
      </c>
      <c r="AB591" s="111" t="s">
        <v>246</v>
      </c>
      <c r="AC591" s="164" t="n">
        <v>32.59</v>
      </c>
      <c r="AD591" s="111" t="s">
        <v>246</v>
      </c>
      <c r="AG591" s="167" t="n">
        <v>4.75</v>
      </c>
      <c r="AH591" s="111" t="s">
        <v>246</v>
      </c>
      <c r="AM591" s="167"/>
      <c r="BS591" s="167" t="n">
        <v>46.92</v>
      </c>
      <c r="BT591" s="111" t="s">
        <v>246</v>
      </c>
      <c r="BU591" s="164" t="n">
        <v>21.4</v>
      </c>
      <c r="BV591" s="111" t="s">
        <v>246</v>
      </c>
    </row>
    <row r="592" customFormat="false" ht="12.75" hidden="false" customHeight="false" outlineLevel="0" collapsed="false">
      <c r="A592" s="162" t="s">
        <v>565</v>
      </c>
      <c r="B592" s="172" t="s">
        <v>665</v>
      </c>
      <c r="C592" s="172" t="s">
        <v>762</v>
      </c>
      <c r="D592" s="172"/>
      <c r="E592" s="106" t="n">
        <v>2</v>
      </c>
      <c r="F592" s="173" t="n">
        <v>26</v>
      </c>
      <c r="S592" s="167" t="n">
        <v>1578.598616</v>
      </c>
      <c r="T592" s="111" t="s">
        <v>246</v>
      </c>
      <c r="Y592" s="167" t="n">
        <v>665.22</v>
      </c>
      <c r="Z592" s="111" t="s">
        <v>246</v>
      </c>
      <c r="AA592" s="167" t="n">
        <v>64189.53</v>
      </c>
      <c r="AB592" s="111" t="s">
        <v>246</v>
      </c>
      <c r="AC592" s="164" t="n">
        <v>32.86</v>
      </c>
      <c r="AD592" s="111" t="s">
        <v>246</v>
      </c>
      <c r="AG592" s="167" t="n">
        <v>5.12</v>
      </c>
      <c r="AH592" s="111" t="s">
        <v>246</v>
      </c>
      <c r="AM592" s="167"/>
      <c r="BS592" s="167" t="n">
        <v>48.04</v>
      </c>
      <c r="BT592" s="111" t="s">
        <v>246</v>
      </c>
      <c r="BU592" s="164" t="n">
        <v>20.25</v>
      </c>
      <c r="BV592" s="111" t="s">
        <v>246</v>
      </c>
    </row>
    <row r="593" customFormat="false" ht="12.75" hidden="false" customHeight="false" outlineLevel="0" collapsed="false">
      <c r="A593" s="162" t="s">
        <v>565</v>
      </c>
      <c r="B593" s="172" t="s">
        <v>668</v>
      </c>
      <c r="C593" s="172" t="s">
        <v>762</v>
      </c>
      <c r="D593" s="172"/>
      <c r="E593" s="106" t="n">
        <v>1</v>
      </c>
      <c r="F593" s="173" t="n">
        <v>39</v>
      </c>
      <c r="S593" s="167" t="n">
        <v>1368.969848</v>
      </c>
      <c r="T593" s="111" t="s">
        <v>246</v>
      </c>
      <c r="Y593" s="167" t="n">
        <v>675.4</v>
      </c>
      <c r="Z593" s="111" t="s">
        <v>246</v>
      </c>
      <c r="AA593" s="167" t="n">
        <v>65834.66</v>
      </c>
      <c r="AB593" s="111" t="s">
        <v>246</v>
      </c>
      <c r="AC593" s="164" t="n">
        <v>30.19</v>
      </c>
      <c r="AD593" s="111" t="s">
        <v>246</v>
      </c>
      <c r="AG593" s="167" t="n">
        <v>4.59</v>
      </c>
      <c r="AH593" s="111" t="s">
        <v>246</v>
      </c>
      <c r="AM593" s="167"/>
      <c r="BS593" s="167" t="n">
        <v>45.34</v>
      </c>
      <c r="BT593" s="111" t="s">
        <v>246</v>
      </c>
      <c r="BU593" s="164" t="n">
        <v>22.37</v>
      </c>
      <c r="BV593" s="111" t="s">
        <v>246</v>
      </c>
    </row>
    <row r="594" customFormat="false" ht="12.75" hidden="false" customHeight="false" outlineLevel="0" collapsed="false">
      <c r="A594" s="162" t="s">
        <v>567</v>
      </c>
      <c r="B594" s="172" t="s">
        <v>665</v>
      </c>
      <c r="C594" s="172" t="s">
        <v>758</v>
      </c>
      <c r="D594" s="172"/>
      <c r="E594" s="106" t="n">
        <v>8</v>
      </c>
      <c r="F594" s="173" t="n">
        <v>7</v>
      </c>
      <c r="S594" s="167" t="n">
        <v>1717.896023</v>
      </c>
      <c r="T594" s="111" t="s">
        <v>246</v>
      </c>
      <c r="Y594" s="167" t="n">
        <v>637.3</v>
      </c>
      <c r="Z594" s="111" t="s">
        <v>246</v>
      </c>
      <c r="AA594" s="167" t="n">
        <v>74243.46</v>
      </c>
      <c r="AB594" s="111" t="s">
        <v>246</v>
      </c>
      <c r="AC594" s="164" t="n">
        <v>33.97</v>
      </c>
      <c r="AD594" s="111" t="s">
        <v>246</v>
      </c>
      <c r="AG594" s="167" t="n">
        <v>4.58</v>
      </c>
      <c r="AH594" s="111" t="s">
        <v>246</v>
      </c>
      <c r="AM594" s="167"/>
      <c r="BS594" s="167" t="n">
        <v>50.57</v>
      </c>
      <c r="BT594" s="111" t="s">
        <v>246</v>
      </c>
      <c r="BU594" s="164" t="n">
        <v>18.76</v>
      </c>
      <c r="BV594" s="111" t="s">
        <v>246</v>
      </c>
    </row>
    <row r="595" customFormat="false" ht="12.75" hidden="false" customHeight="false" outlineLevel="0" collapsed="false">
      <c r="A595" s="162" t="s">
        <v>567</v>
      </c>
      <c r="B595" s="172" t="s">
        <v>668</v>
      </c>
      <c r="C595" s="172" t="s">
        <v>758</v>
      </c>
      <c r="D595" s="172"/>
      <c r="E595" s="106" t="n">
        <v>10</v>
      </c>
      <c r="F595" s="173" t="n">
        <v>15</v>
      </c>
      <c r="S595" s="167" t="n">
        <v>1939.696882</v>
      </c>
      <c r="T595" s="111" t="s">
        <v>246</v>
      </c>
      <c r="Y595" s="167" t="n">
        <v>810.85</v>
      </c>
      <c r="Z595" s="111" t="s">
        <v>246</v>
      </c>
      <c r="AA595" s="167" t="n">
        <v>89745.02</v>
      </c>
      <c r="AB595" s="111" t="s">
        <v>246</v>
      </c>
      <c r="AC595" s="164" t="n">
        <v>39.73</v>
      </c>
      <c r="AD595" s="111" t="s">
        <v>246</v>
      </c>
      <c r="AG595" s="167" t="n">
        <v>4.43</v>
      </c>
      <c r="AH595" s="111" t="s">
        <v>246</v>
      </c>
      <c r="AM595" s="167"/>
      <c r="BS595" s="167" t="n">
        <v>48.82</v>
      </c>
      <c r="BT595" s="111" t="s">
        <v>246</v>
      </c>
      <c r="BU595" s="164" t="n">
        <v>20.41</v>
      </c>
      <c r="BV595" s="111" t="s">
        <v>246</v>
      </c>
    </row>
    <row r="596" customFormat="false" ht="12.75" hidden="false" customHeight="false" outlineLevel="0" collapsed="false">
      <c r="A596" s="162" t="s">
        <v>567</v>
      </c>
      <c r="B596" s="172" t="s">
        <v>665</v>
      </c>
      <c r="C596" s="172" t="s">
        <v>760</v>
      </c>
      <c r="D596" s="172"/>
      <c r="E596" s="106" t="n">
        <v>12</v>
      </c>
      <c r="F596" s="173" t="n">
        <v>50</v>
      </c>
      <c r="S596" s="167" t="n">
        <v>1728.434471</v>
      </c>
      <c r="T596" s="111" t="s">
        <v>246</v>
      </c>
      <c r="Y596" s="167" t="n">
        <v>721.42</v>
      </c>
      <c r="Z596" s="111" t="s">
        <v>246</v>
      </c>
      <c r="AA596" s="167" t="n">
        <v>76647.76</v>
      </c>
      <c r="AB596" s="111" t="s">
        <v>246</v>
      </c>
      <c r="AC596" s="164" t="n">
        <v>35.7</v>
      </c>
      <c r="AD596" s="111" t="s">
        <v>246</v>
      </c>
      <c r="AG596" s="167" t="n">
        <v>4.66</v>
      </c>
      <c r="AH596" s="111" t="s">
        <v>246</v>
      </c>
      <c r="AM596" s="167"/>
      <c r="BS596" s="167" t="n">
        <v>48.41</v>
      </c>
      <c r="BT596" s="111" t="s">
        <v>246</v>
      </c>
      <c r="BU596" s="164" t="n">
        <v>20.21</v>
      </c>
      <c r="BV596" s="111" t="s">
        <v>246</v>
      </c>
    </row>
    <row r="597" customFormat="false" ht="12.75" hidden="false" customHeight="false" outlineLevel="0" collapsed="false">
      <c r="A597" s="162" t="s">
        <v>567</v>
      </c>
      <c r="B597" s="172" t="s">
        <v>668</v>
      </c>
      <c r="C597" s="172" t="s">
        <v>760</v>
      </c>
      <c r="D597" s="172"/>
      <c r="E597" s="106" t="n">
        <v>16</v>
      </c>
      <c r="F597" s="173" t="n">
        <v>62</v>
      </c>
      <c r="S597" s="167" t="n">
        <v>1940.275786</v>
      </c>
      <c r="T597" s="111" t="s">
        <v>246</v>
      </c>
      <c r="Y597" s="167" t="n">
        <v>835.81</v>
      </c>
      <c r="Z597" s="111" t="s">
        <v>246</v>
      </c>
      <c r="AA597" s="167" t="n">
        <v>82917.53</v>
      </c>
      <c r="AB597" s="111" t="s">
        <v>246</v>
      </c>
      <c r="AC597" s="164" t="n">
        <v>40.16</v>
      </c>
      <c r="AD597" s="111" t="s">
        <v>246</v>
      </c>
      <c r="AG597" s="167" t="n">
        <v>4.84</v>
      </c>
      <c r="AH597" s="111" t="s">
        <v>246</v>
      </c>
      <c r="AM597" s="167"/>
      <c r="BS597" s="167" t="n">
        <v>48.32</v>
      </c>
      <c r="BT597" s="111" t="s">
        <v>246</v>
      </c>
      <c r="BU597" s="164" t="n">
        <v>20.81</v>
      </c>
      <c r="BV597" s="111" t="s">
        <v>246</v>
      </c>
    </row>
    <row r="598" customFormat="false" ht="12.75" hidden="false" customHeight="false" outlineLevel="0" collapsed="false">
      <c r="A598" s="162" t="s">
        <v>567</v>
      </c>
      <c r="B598" s="172" t="s">
        <v>665</v>
      </c>
      <c r="C598" s="172" t="s">
        <v>761</v>
      </c>
      <c r="D598" s="172"/>
      <c r="E598" s="106" t="n">
        <v>16</v>
      </c>
      <c r="F598" s="173" t="n">
        <v>1</v>
      </c>
      <c r="S598" s="167" t="n">
        <v>1688.186317</v>
      </c>
      <c r="T598" s="111" t="s">
        <v>246</v>
      </c>
      <c r="Y598" s="167" t="n">
        <v>696.94</v>
      </c>
      <c r="Z598" s="111" t="s">
        <v>246</v>
      </c>
      <c r="AA598" s="167" t="n">
        <v>80844.17</v>
      </c>
      <c r="AB598" s="111" t="s">
        <v>246</v>
      </c>
      <c r="AC598" s="164" t="n">
        <v>34.71</v>
      </c>
      <c r="AD598" s="111" t="s">
        <v>246</v>
      </c>
      <c r="AG598" s="167" t="n">
        <v>4.29</v>
      </c>
      <c r="AH598" s="111" t="s">
        <v>246</v>
      </c>
      <c r="AM598" s="167"/>
      <c r="BS598" s="167" t="n">
        <v>48.63</v>
      </c>
      <c r="BT598" s="111" t="s">
        <v>246</v>
      </c>
      <c r="BU598" s="164" t="n">
        <v>20.08</v>
      </c>
      <c r="BV598" s="111" t="s">
        <v>246</v>
      </c>
    </row>
    <row r="599" customFormat="false" ht="12.75" hidden="false" customHeight="false" outlineLevel="0" collapsed="false">
      <c r="A599" s="162" t="s">
        <v>567</v>
      </c>
      <c r="B599" s="172" t="s">
        <v>668</v>
      </c>
      <c r="C599" s="172" t="s">
        <v>761</v>
      </c>
      <c r="D599" s="172"/>
      <c r="E599" s="106" t="n">
        <v>21</v>
      </c>
      <c r="F599" s="173" t="n">
        <v>22</v>
      </c>
      <c r="S599" s="167" t="n">
        <v>1677.799354</v>
      </c>
      <c r="T599" s="111" t="s">
        <v>246</v>
      </c>
      <c r="Y599" s="167" t="n">
        <v>765.19</v>
      </c>
      <c r="Z599" s="111" t="s">
        <v>246</v>
      </c>
      <c r="AA599" s="167" t="n">
        <v>75157.82</v>
      </c>
      <c r="AB599" s="111" t="s">
        <v>246</v>
      </c>
      <c r="AC599" s="164" t="n">
        <v>35.84</v>
      </c>
      <c r="AD599" s="111" t="s">
        <v>246</v>
      </c>
      <c r="AG599" s="167" t="n">
        <v>4.77</v>
      </c>
      <c r="AH599" s="111" t="s">
        <v>246</v>
      </c>
      <c r="AM599" s="167"/>
      <c r="BS599" s="167" t="n">
        <v>46.81</v>
      </c>
      <c r="BT599" s="111" t="s">
        <v>246</v>
      </c>
      <c r="BU599" s="164" t="n">
        <v>21.35</v>
      </c>
      <c r="BV599" s="111" t="s">
        <v>246</v>
      </c>
    </row>
    <row r="600" customFormat="false" ht="12.75" hidden="false" customHeight="false" outlineLevel="0" collapsed="false">
      <c r="A600" s="162" t="s">
        <v>567</v>
      </c>
      <c r="B600" s="172" t="s">
        <v>665</v>
      </c>
      <c r="C600" s="172" t="s">
        <v>762</v>
      </c>
      <c r="D600" s="172"/>
      <c r="E600" s="106" t="n">
        <v>4</v>
      </c>
      <c r="F600" s="173" t="n">
        <v>23</v>
      </c>
      <c r="S600" s="167" t="n">
        <v>1681.587251</v>
      </c>
      <c r="T600" s="111" t="s">
        <v>246</v>
      </c>
      <c r="Y600" s="167" t="n">
        <v>690.91</v>
      </c>
      <c r="Z600" s="111" t="s">
        <v>246</v>
      </c>
      <c r="AA600" s="167" t="n">
        <v>72127.68</v>
      </c>
      <c r="AB600" s="111" t="s">
        <v>246</v>
      </c>
      <c r="AC600" s="164" t="n">
        <v>34.51</v>
      </c>
      <c r="AD600" s="111" t="s">
        <v>246</v>
      </c>
      <c r="AG600" s="167" t="n">
        <v>4.78</v>
      </c>
      <c r="AH600" s="111" t="s">
        <v>246</v>
      </c>
      <c r="AM600" s="167"/>
      <c r="BS600" s="167" t="n">
        <v>48.73</v>
      </c>
      <c r="BT600" s="111" t="s">
        <v>246</v>
      </c>
      <c r="BU600" s="164" t="n">
        <v>20.02</v>
      </c>
      <c r="BV600" s="111" t="s">
        <v>246</v>
      </c>
    </row>
    <row r="601" customFormat="false" ht="12.75" hidden="false" customHeight="false" outlineLevel="0" collapsed="false">
      <c r="A601" s="162" t="s">
        <v>567</v>
      </c>
      <c r="B601" s="172" t="s">
        <v>668</v>
      </c>
      <c r="C601" s="172" t="s">
        <v>762</v>
      </c>
      <c r="D601" s="172"/>
      <c r="E601" s="106" t="n">
        <v>2</v>
      </c>
      <c r="F601" s="173" t="n">
        <v>49</v>
      </c>
      <c r="S601" s="167" t="n">
        <v>1561.148965</v>
      </c>
      <c r="T601" s="111" t="s">
        <v>246</v>
      </c>
      <c r="Y601" s="167" t="n">
        <v>723.56</v>
      </c>
      <c r="Z601" s="111" t="s">
        <v>246</v>
      </c>
      <c r="AA601" s="167" t="n">
        <v>73070.68</v>
      </c>
      <c r="AB601" s="111" t="s">
        <v>246</v>
      </c>
      <c r="AC601" s="164" t="n">
        <v>33.06</v>
      </c>
      <c r="AD601" s="111" t="s">
        <v>246</v>
      </c>
      <c r="AG601" s="167" t="n">
        <v>4.52</v>
      </c>
      <c r="AH601" s="111" t="s">
        <v>246</v>
      </c>
      <c r="AM601" s="167"/>
      <c r="BS601" s="167" t="n">
        <v>47.22</v>
      </c>
      <c r="BT601" s="111" t="s">
        <v>246</v>
      </c>
      <c r="BU601" s="164" t="n">
        <v>21.89</v>
      </c>
      <c r="BV601" s="111" t="s">
        <v>246</v>
      </c>
    </row>
    <row r="602" customFormat="false" ht="12.75" hidden="false" customHeight="false" outlineLevel="0" collapsed="false">
      <c r="A602" s="162" t="s">
        <v>569</v>
      </c>
      <c r="B602" s="172" t="s">
        <v>665</v>
      </c>
      <c r="C602" s="172" t="s">
        <v>758</v>
      </c>
      <c r="D602" s="172"/>
      <c r="E602" s="106" t="n">
        <v>7</v>
      </c>
      <c r="F602" s="173" t="n">
        <v>19</v>
      </c>
      <c r="S602" s="167" t="n">
        <v>1535.13624</v>
      </c>
      <c r="T602" s="111" t="s">
        <v>246</v>
      </c>
      <c r="Y602" s="167" t="n">
        <v>688.75</v>
      </c>
      <c r="Z602" s="111" t="s">
        <v>246</v>
      </c>
      <c r="AA602" s="167" t="n">
        <v>66803.84</v>
      </c>
      <c r="AB602" s="111" t="s">
        <v>246</v>
      </c>
      <c r="AC602" s="164" t="n">
        <v>32.72</v>
      </c>
      <c r="AD602" s="111" t="s">
        <v>246</v>
      </c>
      <c r="AG602" s="167" t="n">
        <v>4.9</v>
      </c>
      <c r="AH602" s="111" t="s">
        <v>246</v>
      </c>
      <c r="AM602" s="167"/>
      <c r="BS602" s="167" t="n">
        <v>46.92</v>
      </c>
      <c r="BT602" s="111" t="s">
        <v>246</v>
      </c>
      <c r="BU602" s="164" t="n">
        <v>21.05</v>
      </c>
      <c r="BV602" s="111" t="s">
        <v>246</v>
      </c>
    </row>
    <row r="603" customFormat="false" ht="12.75" hidden="false" customHeight="false" outlineLevel="0" collapsed="false">
      <c r="A603" s="162" t="s">
        <v>569</v>
      </c>
      <c r="B603" s="172" t="s">
        <v>668</v>
      </c>
      <c r="C603" s="172" t="s">
        <v>758</v>
      </c>
      <c r="D603" s="172"/>
      <c r="E603" s="106" t="n">
        <v>9</v>
      </c>
      <c r="F603" s="173" t="n">
        <v>11</v>
      </c>
      <c r="S603" s="167" t="n">
        <v>2099.505533</v>
      </c>
      <c r="T603" s="111" t="s">
        <v>246</v>
      </c>
      <c r="Y603" s="167" t="n">
        <v>901.43</v>
      </c>
      <c r="Z603" s="111" t="s">
        <v>246</v>
      </c>
      <c r="AA603" s="167" t="n">
        <v>96971.64</v>
      </c>
      <c r="AB603" s="111" t="s">
        <v>246</v>
      </c>
      <c r="AC603" s="164" t="n">
        <v>44.15</v>
      </c>
      <c r="AD603" s="111" t="s">
        <v>246</v>
      </c>
      <c r="AG603" s="167" t="n">
        <v>4.55</v>
      </c>
      <c r="AH603" s="111" t="s">
        <v>246</v>
      </c>
      <c r="AM603" s="167"/>
      <c r="BS603" s="167" t="n">
        <v>47.56</v>
      </c>
      <c r="BT603" s="111" t="s">
        <v>246</v>
      </c>
      <c r="BU603" s="164" t="n">
        <v>20.42</v>
      </c>
      <c r="BV603" s="111" t="s">
        <v>246</v>
      </c>
    </row>
    <row r="604" customFormat="false" ht="12.75" hidden="false" customHeight="false" outlineLevel="0" collapsed="false">
      <c r="A604" s="162" t="s">
        <v>569</v>
      </c>
      <c r="B604" s="172" t="s">
        <v>665</v>
      </c>
      <c r="C604" s="172" t="s">
        <v>760</v>
      </c>
      <c r="D604" s="172"/>
      <c r="E604" s="106" t="n">
        <v>12</v>
      </c>
      <c r="F604" s="173" t="n">
        <v>57</v>
      </c>
      <c r="S604" s="167" t="n">
        <v>1891.804556</v>
      </c>
      <c r="T604" s="111" t="s">
        <v>246</v>
      </c>
      <c r="Y604" s="167" t="n">
        <v>759.3</v>
      </c>
      <c r="Z604" s="111" t="s">
        <v>246</v>
      </c>
      <c r="AA604" s="167" t="n">
        <v>75586.31</v>
      </c>
      <c r="AB604" s="111" t="s">
        <v>246</v>
      </c>
      <c r="AC604" s="164" t="n">
        <v>38.84</v>
      </c>
      <c r="AD604" s="111" t="s">
        <v>246</v>
      </c>
      <c r="AG604" s="167" t="n">
        <v>5.14</v>
      </c>
      <c r="AH604" s="111" t="s">
        <v>246</v>
      </c>
      <c r="AM604" s="167"/>
      <c r="BS604" s="167" t="n">
        <v>48.71</v>
      </c>
      <c r="BT604" s="111" t="s">
        <v>246</v>
      </c>
      <c r="BU604" s="164" t="n">
        <v>19.55</v>
      </c>
      <c r="BV604" s="111" t="s">
        <v>246</v>
      </c>
    </row>
    <row r="605" customFormat="false" ht="12.75" hidden="false" customHeight="false" outlineLevel="0" collapsed="false">
      <c r="A605" s="162" t="s">
        <v>569</v>
      </c>
      <c r="B605" s="172" t="s">
        <v>668</v>
      </c>
      <c r="C605" s="172" t="s">
        <v>760</v>
      </c>
      <c r="D605" s="172"/>
      <c r="E605" s="106" t="n">
        <v>16</v>
      </c>
      <c r="F605" s="173" t="n">
        <v>56</v>
      </c>
      <c r="S605" s="167" t="n">
        <v>1235.521406</v>
      </c>
      <c r="T605" s="111" t="s">
        <v>246</v>
      </c>
      <c r="Y605" s="167" t="n">
        <v>601.98</v>
      </c>
      <c r="Z605" s="111" t="s">
        <v>246</v>
      </c>
      <c r="AA605" s="167" t="n">
        <v>58625.9</v>
      </c>
      <c r="AB605" s="111" t="s">
        <v>246</v>
      </c>
      <c r="AC605" s="164" t="n">
        <v>27.18</v>
      </c>
      <c r="AD605" s="111" t="s">
        <v>246</v>
      </c>
      <c r="AG605" s="167" t="n">
        <v>4.64</v>
      </c>
      <c r="AH605" s="111" t="s">
        <v>246</v>
      </c>
      <c r="AM605" s="167"/>
      <c r="BS605" s="167" t="n">
        <v>45.46</v>
      </c>
      <c r="BT605" s="111" t="s">
        <v>246</v>
      </c>
      <c r="BU605" s="164" t="n">
        <v>22.15</v>
      </c>
      <c r="BV605" s="111" t="s">
        <v>246</v>
      </c>
    </row>
    <row r="606" customFormat="false" ht="12.75" hidden="false" customHeight="false" outlineLevel="0" collapsed="false">
      <c r="A606" s="162" t="s">
        <v>569</v>
      </c>
      <c r="B606" s="172" t="s">
        <v>665</v>
      </c>
      <c r="C606" s="172" t="s">
        <v>761</v>
      </c>
      <c r="D606" s="172"/>
      <c r="E606" s="106" t="n">
        <v>16</v>
      </c>
      <c r="F606" s="173" t="n">
        <v>16</v>
      </c>
      <c r="S606" s="167" t="n">
        <v>1717.514182</v>
      </c>
      <c r="T606" s="111" t="s">
        <v>246</v>
      </c>
      <c r="Y606" s="167" t="n">
        <v>742.83</v>
      </c>
      <c r="Z606" s="111" t="s">
        <v>246</v>
      </c>
      <c r="AA606" s="167" t="n">
        <v>71073.46</v>
      </c>
      <c r="AB606" s="111" t="s">
        <v>246</v>
      </c>
      <c r="AC606" s="164" t="n">
        <v>36.2</v>
      </c>
      <c r="AD606" s="111" t="s">
        <v>246</v>
      </c>
      <c r="AG606" s="167" t="n">
        <v>5.09</v>
      </c>
      <c r="AH606" s="111" t="s">
        <v>246</v>
      </c>
      <c r="AM606" s="167"/>
      <c r="BS606" s="167" t="n">
        <v>47.45</v>
      </c>
      <c r="BT606" s="111" t="s">
        <v>246</v>
      </c>
      <c r="BU606" s="164" t="n">
        <v>20.52</v>
      </c>
      <c r="BV606" s="111" t="s">
        <v>246</v>
      </c>
    </row>
    <row r="607" customFormat="false" ht="12.75" hidden="false" customHeight="false" outlineLevel="0" collapsed="false">
      <c r="A607" s="162" t="s">
        <v>569</v>
      </c>
      <c r="B607" s="172" t="s">
        <v>668</v>
      </c>
      <c r="C607" s="172" t="s">
        <v>761</v>
      </c>
      <c r="D607" s="172"/>
      <c r="E607" s="106" t="n">
        <v>18</v>
      </c>
      <c r="F607" s="173" t="n">
        <v>18</v>
      </c>
      <c r="S607" s="167" t="n">
        <v>1707.914826</v>
      </c>
      <c r="T607" s="111" t="s">
        <v>246</v>
      </c>
      <c r="Y607" s="167" t="n">
        <v>780.66</v>
      </c>
      <c r="Z607" s="111" t="s">
        <v>246</v>
      </c>
      <c r="AA607" s="167" t="n">
        <v>77300</v>
      </c>
      <c r="AB607" s="111" t="s">
        <v>246</v>
      </c>
      <c r="AC607" s="164" t="n">
        <v>36.59</v>
      </c>
      <c r="AD607" s="111" t="s">
        <v>246</v>
      </c>
      <c r="AG607" s="167" t="n">
        <v>4.73</v>
      </c>
      <c r="AH607" s="111" t="s">
        <v>246</v>
      </c>
      <c r="AM607" s="167"/>
      <c r="BS607" s="167" t="n">
        <v>46.67</v>
      </c>
      <c r="BT607" s="111" t="s">
        <v>246</v>
      </c>
      <c r="BU607" s="164" t="n">
        <v>21.33</v>
      </c>
      <c r="BV607" s="111" t="s">
        <v>246</v>
      </c>
    </row>
    <row r="608" customFormat="false" ht="12.75" hidden="false" customHeight="false" outlineLevel="0" collapsed="false">
      <c r="A608" s="162" t="s">
        <v>569</v>
      </c>
      <c r="B608" s="172" t="s">
        <v>665</v>
      </c>
      <c r="C608" s="172" t="s">
        <v>762</v>
      </c>
      <c r="D608" s="172"/>
      <c r="E608" s="106" t="n">
        <v>2</v>
      </c>
      <c r="F608" s="173" t="n">
        <v>2</v>
      </c>
      <c r="S608" s="167" t="n">
        <v>1782.956234</v>
      </c>
      <c r="T608" s="111" t="s">
        <v>246</v>
      </c>
      <c r="Y608" s="167" t="n">
        <v>801.5</v>
      </c>
      <c r="Z608" s="111" t="s">
        <v>246</v>
      </c>
      <c r="AA608" s="167" t="n">
        <v>89116.3</v>
      </c>
      <c r="AB608" s="111" t="s">
        <v>246</v>
      </c>
      <c r="AC608" s="164" t="n">
        <v>37.98</v>
      </c>
      <c r="AD608" s="111" t="s">
        <v>246</v>
      </c>
      <c r="AG608" s="167" t="n">
        <v>4.26</v>
      </c>
      <c r="AH608" s="111" t="s">
        <v>246</v>
      </c>
      <c r="AM608" s="167"/>
      <c r="BS608" s="167" t="n">
        <v>46.94</v>
      </c>
      <c r="BT608" s="111" t="s">
        <v>246</v>
      </c>
      <c r="BU608" s="164" t="n">
        <v>21.1</v>
      </c>
      <c r="BV608" s="111" t="s">
        <v>246</v>
      </c>
    </row>
    <row r="609" customFormat="false" ht="12.75" hidden="false" customHeight="false" outlineLevel="0" collapsed="false">
      <c r="A609" s="162" t="s">
        <v>569</v>
      </c>
      <c r="B609" s="172" t="s">
        <v>668</v>
      </c>
      <c r="C609" s="172" t="s">
        <v>762</v>
      </c>
      <c r="D609" s="172"/>
      <c r="E609" s="106" t="n">
        <v>1</v>
      </c>
      <c r="F609" s="173" t="n">
        <v>40</v>
      </c>
      <c r="S609" s="167" t="n">
        <v>1500.247709</v>
      </c>
      <c r="T609" s="111" t="s">
        <v>246</v>
      </c>
      <c r="Y609" s="167" t="n">
        <v>720.76</v>
      </c>
      <c r="Z609" s="111" t="s">
        <v>246</v>
      </c>
      <c r="AA609" s="167" t="n">
        <v>74857.46</v>
      </c>
      <c r="AB609" s="111" t="s">
        <v>246</v>
      </c>
      <c r="AC609" s="164" t="n">
        <v>32.83</v>
      </c>
      <c r="AD609" s="111" t="s">
        <v>246</v>
      </c>
      <c r="AG609" s="167" t="n">
        <v>4.39</v>
      </c>
      <c r="AH609" s="111" t="s">
        <v>246</v>
      </c>
      <c r="AM609" s="167"/>
      <c r="BS609" s="167" t="n">
        <v>45.69</v>
      </c>
      <c r="BT609" s="111" t="s">
        <v>246</v>
      </c>
      <c r="BU609" s="164" t="n">
        <v>21.95</v>
      </c>
      <c r="BV609" s="111" t="s">
        <v>246</v>
      </c>
    </row>
    <row r="610" customFormat="false" ht="12.75" hidden="false" customHeight="false" outlineLevel="0" collapsed="false">
      <c r="A610" s="162" t="s">
        <v>571</v>
      </c>
      <c r="B610" s="172" t="s">
        <v>665</v>
      </c>
      <c r="C610" s="172" t="s">
        <v>758</v>
      </c>
      <c r="D610" s="172"/>
      <c r="E610" s="106" t="n">
        <v>7</v>
      </c>
      <c r="F610" s="173" t="n">
        <v>28</v>
      </c>
      <c r="S610" s="167" t="n">
        <v>1428.749265</v>
      </c>
      <c r="T610" s="111" t="s">
        <v>246</v>
      </c>
      <c r="Y610" s="167" t="n">
        <v>645.98</v>
      </c>
      <c r="Z610" s="111" t="s">
        <v>246</v>
      </c>
      <c r="AA610" s="167" t="n">
        <v>61876.32</v>
      </c>
      <c r="AB610" s="111" t="s">
        <v>246</v>
      </c>
      <c r="AC610" s="164" t="n">
        <v>30.34</v>
      </c>
      <c r="AD610" s="111" t="s">
        <v>246</v>
      </c>
      <c r="AG610" s="167" t="n">
        <v>4.9</v>
      </c>
      <c r="AH610" s="111" t="s">
        <v>246</v>
      </c>
      <c r="AM610" s="167"/>
      <c r="BS610" s="167" t="n">
        <v>47.09</v>
      </c>
      <c r="BT610" s="111" t="s">
        <v>246</v>
      </c>
      <c r="BU610" s="164" t="n">
        <v>21.29</v>
      </c>
      <c r="BV610" s="111" t="s">
        <v>246</v>
      </c>
    </row>
    <row r="611" customFormat="false" ht="12.75" hidden="false" customHeight="false" outlineLevel="0" collapsed="false">
      <c r="A611" s="162" t="s">
        <v>571</v>
      </c>
      <c r="B611" s="172" t="s">
        <v>668</v>
      </c>
      <c r="C611" s="172" t="s">
        <v>758</v>
      </c>
      <c r="D611" s="172"/>
      <c r="E611" s="106" t="n">
        <v>9</v>
      </c>
      <c r="F611" s="173" t="n">
        <v>24</v>
      </c>
      <c r="S611" s="167" t="n">
        <v>1745.38333</v>
      </c>
      <c r="T611" s="111" t="s">
        <v>246</v>
      </c>
      <c r="Y611" s="167" t="n">
        <v>767.91</v>
      </c>
      <c r="Z611" s="111" t="s">
        <v>246</v>
      </c>
      <c r="AA611" s="167" t="n">
        <v>72717.1</v>
      </c>
      <c r="AB611" s="111" t="s">
        <v>246</v>
      </c>
      <c r="AC611" s="164" t="n">
        <v>36.52</v>
      </c>
      <c r="AD611" s="111" t="s">
        <v>246</v>
      </c>
      <c r="AG611" s="167" t="n">
        <v>5.02</v>
      </c>
      <c r="AH611" s="111" t="s">
        <v>246</v>
      </c>
      <c r="AM611" s="167"/>
      <c r="BS611" s="167" t="n">
        <v>47.79</v>
      </c>
      <c r="BT611" s="111" t="s">
        <v>246</v>
      </c>
      <c r="BU611" s="164" t="n">
        <v>21.03</v>
      </c>
      <c r="BV611" s="111" t="s">
        <v>246</v>
      </c>
    </row>
    <row r="612" customFormat="false" ht="12.75" hidden="false" customHeight="false" outlineLevel="0" collapsed="false">
      <c r="A612" s="162" t="s">
        <v>571</v>
      </c>
      <c r="B612" s="172" t="s">
        <v>665</v>
      </c>
      <c r="C612" s="172" t="s">
        <v>760</v>
      </c>
      <c r="D612" s="172"/>
      <c r="E612" s="106" t="n">
        <v>11</v>
      </c>
      <c r="F612" s="173" t="n">
        <v>52</v>
      </c>
      <c r="S612" s="167" t="n">
        <v>1599.293835</v>
      </c>
      <c r="T612" s="111" t="s">
        <v>246</v>
      </c>
      <c r="Y612" s="167" t="n">
        <v>645.34</v>
      </c>
      <c r="Z612" s="111" t="s">
        <v>246</v>
      </c>
      <c r="AA612" s="167" t="n">
        <v>65506.96</v>
      </c>
      <c r="AB612" s="111" t="s">
        <v>246</v>
      </c>
      <c r="AC612" s="164" t="n">
        <v>32.82</v>
      </c>
      <c r="AD612" s="111" t="s">
        <v>246</v>
      </c>
      <c r="AG612" s="167" t="n">
        <v>5.01</v>
      </c>
      <c r="AH612" s="111" t="s">
        <v>246</v>
      </c>
      <c r="AM612" s="167"/>
      <c r="BS612" s="167" t="n">
        <v>48.72</v>
      </c>
      <c r="BT612" s="111" t="s">
        <v>246</v>
      </c>
      <c r="BU612" s="164" t="n">
        <v>19.66</v>
      </c>
      <c r="BV612" s="111" t="s">
        <v>246</v>
      </c>
    </row>
    <row r="613" customFormat="false" ht="12.75" hidden="false" customHeight="false" outlineLevel="0" collapsed="false">
      <c r="A613" s="162" t="s">
        <v>571</v>
      </c>
      <c r="B613" s="172" t="s">
        <v>668</v>
      </c>
      <c r="C613" s="172" t="s">
        <v>760</v>
      </c>
      <c r="D613" s="172"/>
      <c r="E613" s="106" t="n">
        <v>13</v>
      </c>
      <c r="F613" s="173" t="n">
        <v>62</v>
      </c>
      <c r="S613" s="167" t="n">
        <v>1327.619541</v>
      </c>
      <c r="T613" s="111" t="s">
        <v>246</v>
      </c>
      <c r="Y613" s="167" t="n">
        <v>611.32</v>
      </c>
      <c r="Z613" s="111" t="s">
        <v>246</v>
      </c>
      <c r="AA613" s="167" t="n">
        <v>58634.62</v>
      </c>
      <c r="AB613" s="111" t="s">
        <v>246</v>
      </c>
      <c r="AC613" s="164" t="n">
        <v>28.57</v>
      </c>
      <c r="AD613" s="111" t="s">
        <v>246</v>
      </c>
      <c r="AG613" s="167" t="n">
        <v>4.87</v>
      </c>
      <c r="AH613" s="111" t="s">
        <v>246</v>
      </c>
      <c r="AM613" s="167"/>
      <c r="BS613" s="167" t="n">
        <v>46.46</v>
      </c>
      <c r="BT613" s="111" t="s">
        <v>246</v>
      </c>
      <c r="BU613" s="164" t="n">
        <v>21.39</v>
      </c>
      <c r="BV613" s="111" t="s">
        <v>246</v>
      </c>
    </row>
    <row r="614" customFormat="false" ht="12.75" hidden="false" customHeight="false" outlineLevel="0" collapsed="false">
      <c r="A614" s="162" t="s">
        <v>571</v>
      </c>
      <c r="B614" s="172" t="s">
        <v>665</v>
      </c>
      <c r="C614" s="172" t="s">
        <v>761</v>
      </c>
      <c r="D614" s="172"/>
      <c r="E614" s="106" t="n">
        <v>14</v>
      </c>
      <c r="F614" s="173" t="n">
        <v>30</v>
      </c>
      <c r="S614" s="167" t="n">
        <v>1190.286808</v>
      </c>
      <c r="T614" s="111" t="s">
        <v>246</v>
      </c>
      <c r="Y614" s="167" t="n">
        <v>551.09</v>
      </c>
      <c r="Z614" s="111" t="s">
        <v>246</v>
      </c>
      <c r="AA614" s="167" t="n">
        <v>54928.88</v>
      </c>
      <c r="AB614" s="111" t="s">
        <v>246</v>
      </c>
      <c r="AC614" s="164" t="n">
        <v>25.6</v>
      </c>
      <c r="AD614" s="111" t="s">
        <v>246</v>
      </c>
      <c r="AG614" s="167" t="n">
        <v>4.66</v>
      </c>
      <c r="AH614" s="111" t="s">
        <v>246</v>
      </c>
      <c r="AM614" s="167"/>
      <c r="BS614" s="167" t="n">
        <v>46.49</v>
      </c>
      <c r="BT614" s="111" t="s">
        <v>246</v>
      </c>
      <c r="BU614" s="164" t="n">
        <v>21.53</v>
      </c>
      <c r="BV614" s="111" t="s">
        <v>246</v>
      </c>
    </row>
    <row r="615" customFormat="false" ht="12.75" hidden="false" customHeight="false" outlineLevel="0" collapsed="false">
      <c r="A615" s="162" t="s">
        <v>571</v>
      </c>
      <c r="B615" s="172" t="s">
        <v>668</v>
      </c>
      <c r="C615" s="172" t="s">
        <v>761</v>
      </c>
      <c r="D615" s="172"/>
      <c r="E615" s="106" t="n">
        <v>17</v>
      </c>
      <c r="F615" s="173" t="n">
        <v>4</v>
      </c>
      <c r="S615" s="167" t="n">
        <v>1577.81375</v>
      </c>
      <c r="T615" s="111" t="s">
        <v>246</v>
      </c>
      <c r="Y615" s="167" t="n">
        <v>785.75</v>
      </c>
      <c r="Z615" s="111" t="s">
        <v>246</v>
      </c>
      <c r="AA615" s="167" t="n">
        <v>69913.47</v>
      </c>
      <c r="AB615" s="111" t="s">
        <v>246</v>
      </c>
      <c r="AC615" s="164" t="n">
        <v>34.28</v>
      </c>
      <c r="AD615" s="111" t="s">
        <v>246</v>
      </c>
      <c r="AG615" s="167" t="n">
        <v>4.9</v>
      </c>
      <c r="AH615" s="111" t="s">
        <v>246</v>
      </c>
      <c r="AM615" s="167"/>
      <c r="BS615" s="167" t="n">
        <v>46.02</v>
      </c>
      <c r="BT615" s="111" t="s">
        <v>246</v>
      </c>
      <c r="BU615" s="164" t="n">
        <v>22.92</v>
      </c>
      <c r="BV615" s="111" t="s">
        <v>246</v>
      </c>
    </row>
    <row r="616" customFormat="false" ht="12.75" hidden="false" customHeight="false" outlineLevel="0" collapsed="false">
      <c r="A616" s="162" t="s">
        <v>571</v>
      </c>
      <c r="B616" s="172" t="s">
        <v>665</v>
      </c>
      <c r="C616" s="172" t="s">
        <v>762</v>
      </c>
      <c r="D616" s="172"/>
      <c r="E616" s="106" t="n">
        <v>2</v>
      </c>
      <c r="F616" s="173" t="n">
        <v>1</v>
      </c>
      <c r="S616" s="167" t="n">
        <v>1297.728601</v>
      </c>
      <c r="T616" s="111" t="s">
        <v>246</v>
      </c>
      <c r="Y616" s="167" t="n">
        <v>602.82</v>
      </c>
      <c r="Z616" s="111" t="s">
        <v>246</v>
      </c>
      <c r="AA616" s="167" t="n">
        <v>57878.3</v>
      </c>
      <c r="AB616" s="111" t="s">
        <v>246</v>
      </c>
      <c r="AC616" s="164" t="n">
        <v>27.92</v>
      </c>
      <c r="AD616" s="111" t="s">
        <v>246</v>
      </c>
      <c r="AG616" s="167" t="n">
        <v>4.82</v>
      </c>
      <c r="AH616" s="111" t="s">
        <v>246</v>
      </c>
      <c r="AM616" s="167"/>
      <c r="BS616" s="167" t="n">
        <v>46.48</v>
      </c>
      <c r="BT616" s="111" t="s">
        <v>246</v>
      </c>
      <c r="BU616" s="164" t="n">
        <v>21.59</v>
      </c>
      <c r="BV616" s="111" t="s">
        <v>246</v>
      </c>
    </row>
    <row r="617" customFormat="false" ht="12.75" hidden="false" customHeight="false" outlineLevel="0" collapsed="false">
      <c r="A617" s="162" t="s">
        <v>571</v>
      </c>
      <c r="B617" s="172" t="s">
        <v>668</v>
      </c>
      <c r="C617" s="172" t="s">
        <v>762</v>
      </c>
      <c r="D617" s="172"/>
      <c r="E617" s="106" t="n">
        <v>2</v>
      </c>
      <c r="F617" s="173" t="n">
        <v>43</v>
      </c>
      <c r="S617" s="167" t="n">
        <v>1059.694951</v>
      </c>
      <c r="T617" s="111" t="s">
        <v>246</v>
      </c>
      <c r="Y617" s="167" t="n">
        <v>559.49</v>
      </c>
      <c r="Z617" s="111" t="s">
        <v>246</v>
      </c>
      <c r="AA617" s="167" t="n">
        <v>44307.3</v>
      </c>
      <c r="AB617" s="111" t="s">
        <v>246</v>
      </c>
      <c r="AC617" s="164" t="n">
        <v>24.03</v>
      </c>
      <c r="AD617" s="111" t="s">
        <v>246</v>
      </c>
      <c r="AG617" s="167" t="n">
        <v>5.42</v>
      </c>
      <c r="AH617" s="111" t="s">
        <v>246</v>
      </c>
      <c r="AM617" s="167"/>
      <c r="BS617" s="167" t="n">
        <v>44.1</v>
      </c>
      <c r="BT617" s="111" t="s">
        <v>246</v>
      </c>
      <c r="BU617" s="164" t="n">
        <v>23.29</v>
      </c>
      <c r="BV617" s="111" t="s">
        <v>246</v>
      </c>
    </row>
    <row r="618" customFormat="false" ht="12.75" hidden="false" customHeight="false" outlineLevel="0" collapsed="false">
      <c r="A618" s="162" t="s">
        <v>573</v>
      </c>
      <c r="B618" s="172" t="s">
        <v>665</v>
      </c>
      <c r="C618" s="172" t="s">
        <v>758</v>
      </c>
      <c r="D618" s="172"/>
      <c r="E618" s="106" t="n">
        <v>8</v>
      </c>
      <c r="F618" s="173" t="n">
        <v>23</v>
      </c>
      <c r="S618" s="167" t="n">
        <v>1885.734072</v>
      </c>
      <c r="T618" s="111" t="s">
        <v>246</v>
      </c>
      <c r="Y618" s="167" t="n">
        <v>809.11</v>
      </c>
      <c r="Z618" s="111" t="s">
        <v>246</v>
      </c>
      <c r="AA618" s="167" t="n">
        <v>84729.73</v>
      </c>
      <c r="AB618" s="111" t="s">
        <v>246</v>
      </c>
      <c r="AC618" s="164" t="n">
        <v>38.58</v>
      </c>
      <c r="AD618" s="111" t="s">
        <v>246</v>
      </c>
      <c r="AG618" s="167" t="n">
        <v>4.55</v>
      </c>
      <c r="AH618" s="111" t="s">
        <v>246</v>
      </c>
      <c r="AM618" s="167"/>
      <c r="BS618" s="167" t="n">
        <v>48.88</v>
      </c>
      <c r="BT618" s="111" t="s">
        <v>246</v>
      </c>
      <c r="BU618" s="164" t="n">
        <v>20.97</v>
      </c>
      <c r="BV618" s="111" t="s">
        <v>246</v>
      </c>
    </row>
    <row r="619" customFormat="false" ht="12.75" hidden="false" customHeight="false" outlineLevel="0" collapsed="false">
      <c r="A619" s="162" t="s">
        <v>573</v>
      </c>
      <c r="B619" s="172" t="s">
        <v>668</v>
      </c>
      <c r="C619" s="172" t="s">
        <v>758</v>
      </c>
      <c r="D619" s="172"/>
      <c r="E619" s="106" t="n">
        <v>11</v>
      </c>
      <c r="F619" s="173" t="n">
        <v>26</v>
      </c>
      <c r="S619" s="167" t="n">
        <v>1620.552797</v>
      </c>
      <c r="T619" s="111" t="s">
        <v>246</v>
      </c>
      <c r="Y619" s="167" t="n">
        <v>827.99</v>
      </c>
      <c r="Z619" s="111" t="s">
        <v>246</v>
      </c>
      <c r="AA619" s="167" t="n">
        <v>85046.93</v>
      </c>
      <c r="AB619" s="111" t="s">
        <v>246</v>
      </c>
      <c r="AC619" s="164" t="n">
        <v>35.55</v>
      </c>
      <c r="AD619" s="111" t="s">
        <v>246</v>
      </c>
      <c r="AG619" s="167" t="n">
        <v>4.18</v>
      </c>
      <c r="AH619" s="111" t="s">
        <v>246</v>
      </c>
      <c r="AM619" s="167"/>
      <c r="BS619" s="167" t="n">
        <v>45.58</v>
      </c>
      <c r="BT619" s="111" t="s">
        <v>246</v>
      </c>
      <c r="BU619" s="164" t="n">
        <v>23.29</v>
      </c>
      <c r="BV619" s="111" t="s">
        <v>246</v>
      </c>
    </row>
    <row r="620" customFormat="false" ht="12.75" hidden="false" customHeight="false" outlineLevel="0" collapsed="false">
      <c r="A620" s="162" t="s">
        <v>573</v>
      </c>
      <c r="B620" s="172" t="s">
        <v>665</v>
      </c>
      <c r="C620" s="172" t="s">
        <v>760</v>
      </c>
      <c r="D620" s="172"/>
      <c r="E620" s="106" t="n">
        <v>9</v>
      </c>
      <c r="F620" s="173" t="n">
        <v>55</v>
      </c>
      <c r="S620" s="167" t="n">
        <v>1613.877224</v>
      </c>
      <c r="T620" s="111" t="s">
        <v>246</v>
      </c>
      <c r="Y620" s="167" t="n">
        <v>674.21</v>
      </c>
      <c r="Z620" s="111" t="s">
        <v>246</v>
      </c>
      <c r="AA620" s="167" t="n">
        <v>74026.9</v>
      </c>
      <c r="AB620" s="111" t="s">
        <v>246</v>
      </c>
      <c r="AC620" s="164" t="n">
        <v>33.32</v>
      </c>
      <c r="AD620" s="111" t="s">
        <v>246</v>
      </c>
      <c r="AG620" s="167" t="n">
        <v>4.5</v>
      </c>
      <c r="AH620" s="111" t="s">
        <v>246</v>
      </c>
      <c r="AM620" s="167"/>
      <c r="BS620" s="167" t="n">
        <v>48.44</v>
      </c>
      <c r="BT620" s="111" t="s">
        <v>246</v>
      </c>
      <c r="BU620" s="164" t="n">
        <v>20.23</v>
      </c>
      <c r="BV620" s="111" t="s">
        <v>246</v>
      </c>
    </row>
    <row r="621" customFormat="false" ht="12.75" hidden="false" customHeight="false" outlineLevel="0" collapsed="false">
      <c r="A621" s="162" t="s">
        <v>573</v>
      </c>
      <c r="B621" s="172" t="s">
        <v>668</v>
      </c>
      <c r="C621" s="172" t="s">
        <v>760</v>
      </c>
      <c r="D621" s="172"/>
      <c r="E621" s="106" t="n">
        <v>14</v>
      </c>
      <c r="F621" s="173" t="n">
        <v>48</v>
      </c>
      <c r="S621" s="167" t="n">
        <v>1464.060115</v>
      </c>
      <c r="T621" s="111" t="s">
        <v>246</v>
      </c>
      <c r="Y621" s="167" t="n">
        <v>739.88</v>
      </c>
      <c r="Z621" s="111" t="s">
        <v>246</v>
      </c>
      <c r="AA621" s="167" t="n">
        <v>75174.17</v>
      </c>
      <c r="AB621" s="111" t="s">
        <v>246</v>
      </c>
      <c r="AC621" s="164" t="n">
        <v>31.97</v>
      </c>
      <c r="AD621" s="111" t="s">
        <v>246</v>
      </c>
      <c r="AG621" s="167" t="n">
        <v>4.25</v>
      </c>
      <c r="AH621" s="111" t="s">
        <v>246</v>
      </c>
      <c r="AM621" s="167"/>
      <c r="BS621" s="167" t="n">
        <v>45.79</v>
      </c>
      <c r="BT621" s="111" t="s">
        <v>246</v>
      </c>
      <c r="BU621" s="164" t="n">
        <v>23.14</v>
      </c>
      <c r="BV621" s="111" t="s">
        <v>246</v>
      </c>
    </row>
    <row r="622" customFormat="false" ht="12.75" hidden="false" customHeight="false" outlineLevel="0" collapsed="false">
      <c r="A622" s="162" t="s">
        <v>573</v>
      </c>
      <c r="B622" s="172" t="s">
        <v>665</v>
      </c>
      <c r="C622" s="172" t="s">
        <v>761</v>
      </c>
      <c r="D622" s="172"/>
      <c r="E622" s="106" t="n">
        <v>14</v>
      </c>
      <c r="F622" s="173" t="n">
        <v>29</v>
      </c>
      <c r="S622" s="167" t="n">
        <v>1432.827877</v>
      </c>
      <c r="T622" s="111" t="s">
        <v>246</v>
      </c>
      <c r="Y622" s="167" t="n">
        <v>659.14</v>
      </c>
      <c r="Z622" s="111" t="s">
        <v>246</v>
      </c>
      <c r="AA622" s="167" t="n">
        <v>74153.63</v>
      </c>
      <c r="AB622" s="111" t="s">
        <v>246</v>
      </c>
      <c r="AC622" s="164" t="n">
        <v>30.36</v>
      </c>
      <c r="AD622" s="111" t="s">
        <v>246</v>
      </c>
      <c r="AG622" s="167" t="n">
        <v>4.09</v>
      </c>
      <c r="AH622" s="111" t="s">
        <v>246</v>
      </c>
      <c r="AM622" s="167"/>
      <c r="BS622" s="167" t="n">
        <v>47.2</v>
      </c>
      <c r="BT622" s="111" t="s">
        <v>246</v>
      </c>
      <c r="BU622" s="164" t="n">
        <v>21.71</v>
      </c>
      <c r="BV622" s="111" t="s">
        <v>246</v>
      </c>
    </row>
    <row r="623" customFormat="false" ht="12.75" hidden="false" customHeight="false" outlineLevel="0" collapsed="false">
      <c r="A623" s="162" t="s">
        <v>573</v>
      </c>
      <c r="B623" s="172" t="s">
        <v>668</v>
      </c>
      <c r="C623" s="172" t="s">
        <v>761</v>
      </c>
      <c r="D623" s="172"/>
      <c r="E623" s="106" t="n">
        <v>18</v>
      </c>
      <c r="F623" s="173" t="n">
        <v>7</v>
      </c>
      <c r="S623" s="167" t="n">
        <v>1511.711566</v>
      </c>
      <c r="T623" s="111" t="s">
        <v>246</v>
      </c>
      <c r="Y623" s="167" t="n">
        <v>748.87</v>
      </c>
      <c r="Z623" s="111" t="s">
        <v>246</v>
      </c>
      <c r="AA623" s="167" t="n">
        <v>75594.79</v>
      </c>
      <c r="AB623" s="111" t="s">
        <v>246</v>
      </c>
      <c r="AC623" s="164" t="n">
        <v>32.37</v>
      </c>
      <c r="AD623" s="111" t="s">
        <v>246</v>
      </c>
      <c r="AG623" s="167" t="n">
        <v>4.28</v>
      </c>
      <c r="AH623" s="111" t="s">
        <v>246</v>
      </c>
      <c r="AM623" s="167"/>
      <c r="BS623" s="167" t="n">
        <v>46.7</v>
      </c>
      <c r="BT623" s="111" t="s">
        <v>246</v>
      </c>
      <c r="BU623" s="164" t="n">
        <v>23.14</v>
      </c>
      <c r="BV623" s="111" t="s">
        <v>246</v>
      </c>
    </row>
    <row r="624" customFormat="false" ht="12.75" hidden="false" customHeight="false" outlineLevel="0" collapsed="false">
      <c r="A624" s="162" t="s">
        <v>573</v>
      </c>
      <c r="B624" s="172" t="s">
        <v>665</v>
      </c>
      <c r="C624" s="172" t="s">
        <v>762</v>
      </c>
      <c r="D624" s="172"/>
      <c r="E624" s="106" t="n">
        <v>1</v>
      </c>
      <c r="F624" s="173" t="n">
        <v>25</v>
      </c>
      <c r="S624" s="167" t="n">
        <v>1525.368939</v>
      </c>
      <c r="T624" s="111" t="s">
        <v>246</v>
      </c>
      <c r="Y624" s="167" t="n">
        <v>698.64</v>
      </c>
      <c r="Z624" s="111" t="s">
        <v>246</v>
      </c>
      <c r="AA624" s="167" t="n">
        <v>66927.2</v>
      </c>
      <c r="AB624" s="111" t="s">
        <v>246</v>
      </c>
      <c r="AC624" s="164" t="n">
        <v>32.12</v>
      </c>
      <c r="AD624" s="111" t="s">
        <v>246</v>
      </c>
      <c r="AG624" s="167" t="n">
        <v>4.8</v>
      </c>
      <c r="AH624" s="111" t="s">
        <v>246</v>
      </c>
      <c r="AM624" s="167"/>
      <c r="BS624" s="167" t="n">
        <v>47.49</v>
      </c>
      <c r="BT624" s="111" t="s">
        <v>246</v>
      </c>
      <c r="BU624" s="164" t="n">
        <v>21.75</v>
      </c>
      <c r="BV624" s="111" t="s">
        <v>246</v>
      </c>
    </row>
    <row r="625" customFormat="false" ht="12.75" hidden="false" customHeight="false" outlineLevel="0" collapsed="false">
      <c r="A625" s="162" t="s">
        <v>573</v>
      </c>
      <c r="B625" s="172" t="s">
        <v>668</v>
      </c>
      <c r="C625" s="172" t="s">
        <v>762</v>
      </c>
      <c r="D625" s="172"/>
      <c r="E625" s="106" t="n">
        <v>3</v>
      </c>
      <c r="F625" s="173" t="n">
        <v>52</v>
      </c>
      <c r="S625" s="167" t="n">
        <v>1335.148057</v>
      </c>
      <c r="T625" s="111" t="s">
        <v>246</v>
      </c>
      <c r="Y625" s="167" t="n">
        <v>692.14</v>
      </c>
      <c r="Z625" s="111" t="s">
        <v>246</v>
      </c>
      <c r="AA625" s="167" t="n">
        <v>65312.6</v>
      </c>
      <c r="AB625" s="111" t="s">
        <v>246</v>
      </c>
      <c r="AC625" s="164" t="n">
        <v>29.63</v>
      </c>
      <c r="AD625" s="111" t="s">
        <v>246</v>
      </c>
      <c r="AG625" s="167" t="n">
        <v>4.54</v>
      </c>
      <c r="AH625" s="111" t="s">
        <v>246</v>
      </c>
      <c r="AM625" s="167"/>
      <c r="BS625" s="167" t="n">
        <v>45.06</v>
      </c>
      <c r="BT625" s="111" t="s">
        <v>246</v>
      </c>
      <c r="BU625" s="164" t="n">
        <v>23.36</v>
      </c>
      <c r="BV625" s="111" t="s">
        <v>246</v>
      </c>
    </row>
    <row r="626" customFormat="false" ht="12.75" hidden="false" customHeight="false" outlineLevel="0" collapsed="false">
      <c r="A626" s="162" t="s">
        <v>575</v>
      </c>
      <c r="B626" s="172" t="s">
        <v>665</v>
      </c>
      <c r="C626" s="172" t="s">
        <v>758</v>
      </c>
      <c r="D626" s="172"/>
      <c r="E626" s="106" t="n">
        <v>7</v>
      </c>
      <c r="F626" s="173" t="n">
        <v>10</v>
      </c>
      <c r="S626" s="167" t="n">
        <v>1332.266432</v>
      </c>
      <c r="T626" s="111" t="s">
        <v>246</v>
      </c>
      <c r="Y626" s="167" t="n">
        <v>621.3</v>
      </c>
      <c r="Z626" s="111" t="s">
        <v>246</v>
      </c>
      <c r="AA626" s="167" t="n">
        <v>60707.45</v>
      </c>
      <c r="AB626" s="111" t="s">
        <v>246</v>
      </c>
      <c r="AC626" s="164" t="n">
        <v>27.83</v>
      </c>
      <c r="AD626" s="111" t="s">
        <v>246</v>
      </c>
      <c r="AG626" s="167" t="n">
        <v>4.59</v>
      </c>
      <c r="AH626" s="111" t="s">
        <v>246</v>
      </c>
      <c r="AM626" s="167"/>
      <c r="BS626" s="167" t="n">
        <v>47.86</v>
      </c>
      <c r="BT626" s="111" t="s">
        <v>246</v>
      </c>
      <c r="BU626" s="164" t="n">
        <v>22.32</v>
      </c>
      <c r="BV626" s="111" t="s">
        <v>246</v>
      </c>
    </row>
    <row r="627" customFormat="false" ht="12.75" hidden="false" customHeight="false" outlineLevel="0" collapsed="false">
      <c r="A627" s="162" t="s">
        <v>575</v>
      </c>
      <c r="B627" s="172" t="s">
        <v>668</v>
      </c>
      <c r="C627" s="172" t="s">
        <v>758</v>
      </c>
      <c r="D627" s="172"/>
      <c r="E627" s="106" t="n">
        <v>11</v>
      </c>
      <c r="F627" s="173" t="n">
        <v>31</v>
      </c>
      <c r="S627" s="167" t="n">
        <v>1453.072049</v>
      </c>
      <c r="T627" s="111" t="s">
        <v>246</v>
      </c>
      <c r="Y627" s="167" t="n">
        <v>672.69</v>
      </c>
      <c r="Z627" s="111" t="s">
        <v>246</v>
      </c>
      <c r="AA627" s="167" t="n">
        <v>68171.45</v>
      </c>
      <c r="AB627" s="111" t="s">
        <v>246</v>
      </c>
      <c r="AC627" s="164" t="n">
        <v>30.55</v>
      </c>
      <c r="AD627" s="111" t="s">
        <v>246</v>
      </c>
      <c r="AG627" s="167" t="n">
        <v>4.48</v>
      </c>
      <c r="AH627" s="111" t="s">
        <v>246</v>
      </c>
      <c r="AM627" s="167"/>
      <c r="BS627" s="167" t="n">
        <v>47.56</v>
      </c>
      <c r="BT627" s="111" t="s">
        <v>246</v>
      </c>
      <c r="BU627" s="164" t="n">
        <v>22.02</v>
      </c>
      <c r="BV627" s="111" t="s">
        <v>246</v>
      </c>
    </row>
    <row r="628" customFormat="false" ht="12.75" hidden="false" customHeight="false" outlineLevel="0" collapsed="false">
      <c r="A628" s="162" t="s">
        <v>575</v>
      </c>
      <c r="B628" s="172" t="s">
        <v>665</v>
      </c>
      <c r="C628" s="172" t="s">
        <v>760</v>
      </c>
      <c r="D628" s="172"/>
      <c r="E628" s="106" t="n">
        <v>12</v>
      </c>
      <c r="F628" s="173" t="n">
        <v>39</v>
      </c>
      <c r="S628" s="167" t="n">
        <v>1561.475987</v>
      </c>
      <c r="T628" s="111" t="s">
        <v>246</v>
      </c>
      <c r="Y628" s="167" t="n">
        <v>675.74</v>
      </c>
      <c r="Z628" s="111" t="s">
        <v>246</v>
      </c>
      <c r="AA628" s="167" t="n">
        <v>70954.6</v>
      </c>
      <c r="AB628" s="111" t="s">
        <v>246</v>
      </c>
      <c r="AC628" s="164" t="n">
        <v>32.45</v>
      </c>
      <c r="AD628" s="111" t="s">
        <v>246</v>
      </c>
      <c r="AG628" s="167" t="n">
        <v>4.57</v>
      </c>
      <c r="AH628" s="111" t="s">
        <v>246</v>
      </c>
      <c r="AM628" s="167"/>
      <c r="BS628" s="167" t="n">
        <v>48.12</v>
      </c>
      <c r="BT628" s="111" t="s">
        <v>246</v>
      </c>
      <c r="BU628" s="164" t="n">
        <v>20.83</v>
      </c>
      <c r="BV628" s="111" t="s">
        <v>246</v>
      </c>
    </row>
    <row r="629" customFormat="false" ht="12.75" hidden="false" customHeight="false" outlineLevel="0" collapsed="false">
      <c r="A629" s="162" t="s">
        <v>575</v>
      </c>
      <c r="B629" s="172" t="s">
        <v>668</v>
      </c>
      <c r="C629" s="172" t="s">
        <v>760</v>
      </c>
      <c r="D629" s="172"/>
      <c r="E629" s="106" t="n">
        <v>14</v>
      </c>
      <c r="F629" s="173" t="n">
        <v>44</v>
      </c>
      <c r="S629" s="167" t="n">
        <v>1336.442483</v>
      </c>
      <c r="T629" s="111" t="s">
        <v>246</v>
      </c>
      <c r="Y629" s="167" t="n">
        <v>603.09</v>
      </c>
      <c r="Z629" s="111" t="s">
        <v>246</v>
      </c>
      <c r="AA629" s="167" t="n">
        <v>62466.12</v>
      </c>
      <c r="AB629" s="111" t="s">
        <v>246</v>
      </c>
      <c r="AC629" s="164" t="n">
        <v>28.29</v>
      </c>
      <c r="AD629" s="111" t="s">
        <v>246</v>
      </c>
      <c r="AG629" s="167" t="n">
        <v>4.53</v>
      </c>
      <c r="AH629" s="111" t="s">
        <v>246</v>
      </c>
      <c r="AM629" s="167"/>
      <c r="BS629" s="167" t="n">
        <v>47.25</v>
      </c>
      <c r="BT629" s="111" t="s">
        <v>246</v>
      </c>
      <c r="BU629" s="164" t="n">
        <v>21.32</v>
      </c>
      <c r="BV629" s="111" t="s">
        <v>246</v>
      </c>
    </row>
    <row r="630" customFormat="false" ht="12.75" hidden="false" customHeight="false" outlineLevel="0" collapsed="false">
      <c r="A630" s="162" t="s">
        <v>575</v>
      </c>
      <c r="B630" s="172" t="s">
        <v>665</v>
      </c>
      <c r="C630" s="172" t="s">
        <v>761</v>
      </c>
      <c r="D630" s="172"/>
      <c r="E630" s="106" t="n">
        <v>15</v>
      </c>
      <c r="F630" s="173" t="n">
        <v>19</v>
      </c>
      <c r="S630" s="167" t="n">
        <v>1228.627928</v>
      </c>
      <c r="T630" s="111" t="s">
        <v>246</v>
      </c>
      <c r="Y630" s="167" t="n">
        <v>581.12</v>
      </c>
      <c r="Z630" s="111" t="s">
        <v>246</v>
      </c>
      <c r="AA630" s="167" t="n">
        <v>58941.9</v>
      </c>
      <c r="AB630" s="111" t="s">
        <v>246</v>
      </c>
      <c r="AC630" s="164" t="n">
        <v>26.37</v>
      </c>
      <c r="AD630" s="111" t="s">
        <v>246</v>
      </c>
      <c r="AG630" s="167" t="n">
        <v>4.47</v>
      </c>
      <c r="AH630" s="111" t="s">
        <v>246</v>
      </c>
      <c r="AM630" s="167"/>
      <c r="BS630" s="167" t="n">
        <v>46.59</v>
      </c>
      <c r="BT630" s="111" t="s">
        <v>246</v>
      </c>
      <c r="BU630" s="164" t="n">
        <v>22.03</v>
      </c>
      <c r="BV630" s="111" t="s">
        <v>246</v>
      </c>
    </row>
    <row r="631" customFormat="false" ht="12.75" hidden="false" customHeight="false" outlineLevel="0" collapsed="false">
      <c r="A631" s="162" t="s">
        <v>575</v>
      </c>
      <c r="B631" s="172" t="s">
        <v>668</v>
      </c>
      <c r="C631" s="172" t="s">
        <v>761</v>
      </c>
      <c r="D631" s="172"/>
      <c r="E631" s="106" t="n">
        <v>17</v>
      </c>
      <c r="F631" s="173" t="n">
        <v>1</v>
      </c>
      <c r="S631" s="167" t="n">
        <v>1284.00705</v>
      </c>
      <c r="T631" s="111" t="s">
        <v>246</v>
      </c>
      <c r="Y631" s="167" t="n">
        <v>655.43</v>
      </c>
      <c r="Z631" s="111" t="s">
        <v>246</v>
      </c>
      <c r="AA631" s="167" t="n">
        <v>66197.75</v>
      </c>
      <c r="AB631" s="111" t="s">
        <v>246</v>
      </c>
      <c r="AC631" s="164" t="n">
        <v>28.45</v>
      </c>
      <c r="AD631" s="111" t="s">
        <v>246</v>
      </c>
      <c r="AG631" s="167" t="n">
        <v>4.3</v>
      </c>
      <c r="AH631" s="111" t="s">
        <v>246</v>
      </c>
      <c r="AM631" s="167"/>
      <c r="BS631" s="167" t="n">
        <v>45.13</v>
      </c>
      <c r="BT631" s="111" t="s">
        <v>246</v>
      </c>
      <c r="BU631" s="164" t="n">
        <v>23.04</v>
      </c>
      <c r="BV631" s="111" t="s">
        <v>246</v>
      </c>
    </row>
    <row r="632" customFormat="false" ht="12.75" hidden="false" customHeight="false" outlineLevel="0" collapsed="false">
      <c r="A632" s="162" t="s">
        <v>575</v>
      </c>
      <c r="B632" s="172" t="s">
        <v>665</v>
      </c>
      <c r="C632" s="172" t="s">
        <v>762</v>
      </c>
      <c r="D632" s="172"/>
      <c r="E632" s="106" t="n">
        <v>1</v>
      </c>
      <c r="F632" s="173" t="n">
        <v>3</v>
      </c>
      <c r="S632" s="167" t="n">
        <v>1393.635847</v>
      </c>
      <c r="T632" s="111" t="s">
        <v>246</v>
      </c>
      <c r="Y632" s="167" t="n">
        <v>632.12</v>
      </c>
      <c r="Z632" s="111" t="s">
        <v>246</v>
      </c>
      <c r="AA632" s="167" t="n">
        <v>70361.79</v>
      </c>
      <c r="AB632" s="111" t="s">
        <v>246</v>
      </c>
      <c r="AC632" s="164" t="n">
        <v>29.44</v>
      </c>
      <c r="AD632" s="111" t="s">
        <v>246</v>
      </c>
      <c r="AG632" s="167" t="n">
        <v>4.18</v>
      </c>
      <c r="AH632" s="111" t="s">
        <v>246</v>
      </c>
      <c r="AM632" s="167"/>
      <c r="BS632" s="167" t="n">
        <v>47.34</v>
      </c>
      <c r="BT632" s="111" t="s">
        <v>246</v>
      </c>
      <c r="BU632" s="164" t="n">
        <v>21.47</v>
      </c>
      <c r="BV632" s="111" t="s">
        <v>246</v>
      </c>
    </row>
    <row r="633" customFormat="false" ht="12.75" hidden="false" customHeight="false" outlineLevel="0" collapsed="false">
      <c r="A633" s="162" t="s">
        <v>575</v>
      </c>
      <c r="B633" s="172" t="s">
        <v>668</v>
      </c>
      <c r="C633" s="172" t="s">
        <v>762</v>
      </c>
      <c r="D633" s="172"/>
      <c r="E633" s="106" t="n">
        <v>3</v>
      </c>
      <c r="F633" s="173" t="n">
        <v>37</v>
      </c>
      <c r="S633" s="167" t="n">
        <v>1282.796212</v>
      </c>
      <c r="T633" s="111" t="s">
        <v>246</v>
      </c>
      <c r="Y633" s="167" t="n">
        <v>648.21</v>
      </c>
      <c r="Z633" s="111" t="s">
        <v>246</v>
      </c>
      <c r="AA633" s="167" t="n">
        <v>62247.6</v>
      </c>
      <c r="AB633" s="111" t="s">
        <v>246</v>
      </c>
      <c r="AC633" s="164" t="n">
        <v>28.46</v>
      </c>
      <c r="AD633" s="111" t="s">
        <v>246</v>
      </c>
      <c r="AG633" s="167" t="n">
        <v>4.57</v>
      </c>
      <c r="AH633" s="111" t="s">
        <v>246</v>
      </c>
      <c r="AM633" s="167"/>
      <c r="BS633" s="167" t="n">
        <v>45.07</v>
      </c>
      <c r="BT633" s="111" t="s">
        <v>246</v>
      </c>
      <c r="BU633" s="164" t="n">
        <v>22.78</v>
      </c>
      <c r="BV633" s="111" t="s">
        <v>246</v>
      </c>
    </row>
    <row r="634" customFormat="false" ht="12.75" hidden="false" customHeight="false" outlineLevel="0" collapsed="false">
      <c r="A634" s="162" t="s">
        <v>577</v>
      </c>
      <c r="B634" s="172" t="s">
        <v>665</v>
      </c>
      <c r="C634" s="172" t="s">
        <v>758</v>
      </c>
      <c r="D634" s="172"/>
      <c r="E634" s="106" t="n">
        <v>6</v>
      </c>
      <c r="F634" s="173" t="n">
        <v>10</v>
      </c>
      <c r="S634" s="167" t="n">
        <v>1010.334941</v>
      </c>
      <c r="T634" s="111" t="s">
        <v>246</v>
      </c>
      <c r="Y634" s="167" t="n">
        <v>491.56</v>
      </c>
      <c r="Z634" s="111" t="s">
        <v>246</v>
      </c>
      <c r="AA634" s="167" t="n">
        <v>51484.04</v>
      </c>
      <c r="AB634" s="111" t="s">
        <v>246</v>
      </c>
      <c r="AC634" s="164" t="n">
        <v>22.24</v>
      </c>
      <c r="AD634" s="111" t="s">
        <v>246</v>
      </c>
      <c r="AG634" s="167" t="n">
        <v>4.32</v>
      </c>
      <c r="AH634" s="111" t="s">
        <v>246</v>
      </c>
      <c r="AM634" s="167"/>
      <c r="BS634" s="167" t="n">
        <v>45.42</v>
      </c>
      <c r="BT634" s="111" t="s">
        <v>246</v>
      </c>
      <c r="BU634" s="164" t="n">
        <v>22.1</v>
      </c>
      <c r="BV634" s="111" t="s">
        <v>246</v>
      </c>
    </row>
    <row r="635" customFormat="false" ht="12.75" hidden="false" customHeight="false" outlineLevel="0" collapsed="false">
      <c r="A635" s="162" t="s">
        <v>577</v>
      </c>
      <c r="B635" s="172" t="s">
        <v>668</v>
      </c>
      <c r="C635" s="172" t="s">
        <v>758</v>
      </c>
      <c r="D635" s="172"/>
      <c r="E635" s="106" t="n">
        <v>12</v>
      </c>
      <c r="F635" s="173" t="n">
        <v>7</v>
      </c>
      <c r="S635" s="167" t="n">
        <v>1213.84305</v>
      </c>
      <c r="T635" s="111" t="s">
        <v>246</v>
      </c>
      <c r="Y635" s="167" t="n">
        <v>638.27</v>
      </c>
      <c r="Z635" s="111" t="s">
        <v>246</v>
      </c>
      <c r="AA635" s="167" t="n">
        <v>63526.08</v>
      </c>
      <c r="AB635" s="111" t="s">
        <v>246</v>
      </c>
      <c r="AC635" s="164" t="n">
        <v>27.53</v>
      </c>
      <c r="AD635" s="111" t="s">
        <v>246</v>
      </c>
      <c r="AG635" s="167" t="n">
        <v>4.33</v>
      </c>
      <c r="AH635" s="111" t="s">
        <v>246</v>
      </c>
      <c r="AM635" s="167"/>
      <c r="BS635" s="167" t="n">
        <v>44.1</v>
      </c>
      <c r="BT635" s="111" t="s">
        <v>246</v>
      </c>
      <c r="BU635" s="164" t="n">
        <v>23.19</v>
      </c>
      <c r="BV635" s="111" t="s">
        <v>246</v>
      </c>
    </row>
    <row r="636" customFormat="false" ht="12.75" hidden="false" customHeight="false" outlineLevel="0" collapsed="false">
      <c r="A636" s="162" t="s">
        <v>577</v>
      </c>
      <c r="B636" s="172" t="s">
        <v>665</v>
      </c>
      <c r="C636" s="172" t="s">
        <v>760</v>
      </c>
      <c r="D636" s="172"/>
      <c r="E636" s="106" t="n">
        <v>10</v>
      </c>
      <c r="F636" s="173" t="n">
        <v>35</v>
      </c>
      <c r="S636" s="167" t="n">
        <v>1029.804328</v>
      </c>
      <c r="T636" s="111" t="s">
        <v>246</v>
      </c>
      <c r="Y636" s="167" t="n">
        <v>487.13</v>
      </c>
      <c r="Z636" s="111" t="s">
        <v>246</v>
      </c>
      <c r="AA636" s="167" t="n">
        <v>49599.91</v>
      </c>
      <c r="AB636" s="111" t="s">
        <v>246</v>
      </c>
      <c r="AC636" s="164" t="n">
        <v>22.41</v>
      </c>
      <c r="AD636" s="111" t="s">
        <v>246</v>
      </c>
      <c r="AG636" s="167" t="n">
        <v>4.52</v>
      </c>
      <c r="AH636" s="111" t="s">
        <v>246</v>
      </c>
      <c r="AM636" s="167"/>
      <c r="BS636" s="167" t="n">
        <v>45.95</v>
      </c>
      <c r="BT636" s="111" t="s">
        <v>246</v>
      </c>
      <c r="BU636" s="164" t="n">
        <v>21.73</v>
      </c>
      <c r="BV636" s="111" t="s">
        <v>246</v>
      </c>
    </row>
    <row r="637" customFormat="false" ht="12.75" hidden="false" customHeight="false" outlineLevel="0" collapsed="false">
      <c r="A637" s="162" t="s">
        <v>577</v>
      </c>
      <c r="B637" s="172" t="s">
        <v>668</v>
      </c>
      <c r="C637" s="172" t="s">
        <v>760</v>
      </c>
      <c r="D637" s="172"/>
      <c r="E637" s="106" t="n">
        <v>16</v>
      </c>
      <c r="F637" s="173" t="n">
        <v>45</v>
      </c>
      <c r="S637" s="167" t="n">
        <v>1073.408483</v>
      </c>
      <c r="T637" s="111" t="s">
        <v>246</v>
      </c>
      <c r="Y637" s="167" t="n">
        <v>542.65</v>
      </c>
      <c r="Z637" s="111" t="s">
        <v>246</v>
      </c>
      <c r="AA637" s="167" t="n">
        <v>57184.64</v>
      </c>
      <c r="AB637" s="111" t="s">
        <v>246</v>
      </c>
      <c r="AC637" s="164" t="n">
        <v>24.2</v>
      </c>
      <c r="AD637" s="111" t="s">
        <v>246</v>
      </c>
      <c r="AG637" s="167" t="n">
        <v>4.23</v>
      </c>
      <c r="AH637" s="111" t="s">
        <v>246</v>
      </c>
      <c r="AM637" s="167"/>
      <c r="BS637" s="167" t="n">
        <v>44.36</v>
      </c>
      <c r="BT637" s="111" t="s">
        <v>246</v>
      </c>
      <c r="BU637" s="164" t="n">
        <v>22.43</v>
      </c>
      <c r="BV637" s="111" t="s">
        <v>246</v>
      </c>
    </row>
    <row r="638" customFormat="false" ht="12.75" hidden="false" customHeight="false" outlineLevel="0" collapsed="false">
      <c r="A638" s="162" t="s">
        <v>577</v>
      </c>
      <c r="B638" s="172" t="s">
        <v>665</v>
      </c>
      <c r="C638" s="172" t="s">
        <v>761</v>
      </c>
      <c r="D638" s="172"/>
      <c r="E638" s="106" t="n">
        <v>15</v>
      </c>
      <c r="F638" s="173" t="n">
        <v>29</v>
      </c>
      <c r="S638" s="167" t="n">
        <v>1028.815617</v>
      </c>
      <c r="T638" s="111" t="s">
        <v>246</v>
      </c>
      <c r="Y638" s="167" t="n">
        <v>510.2</v>
      </c>
      <c r="Z638" s="111" t="s">
        <v>246</v>
      </c>
      <c r="AA638" s="167" t="n">
        <v>57081.42</v>
      </c>
      <c r="AB638" s="111" t="s">
        <v>246</v>
      </c>
      <c r="AC638" s="164" t="n">
        <v>23.08</v>
      </c>
      <c r="AD638" s="111" t="s">
        <v>246</v>
      </c>
      <c r="AG638" s="167" t="n">
        <v>4.04</v>
      </c>
      <c r="AH638" s="111" t="s">
        <v>246</v>
      </c>
      <c r="AM638" s="167"/>
      <c r="BS638" s="167" t="n">
        <v>44.58</v>
      </c>
      <c r="BT638" s="111" t="s">
        <v>246</v>
      </c>
      <c r="BU638" s="164" t="n">
        <v>22.11</v>
      </c>
      <c r="BV638" s="111" t="s">
        <v>246</v>
      </c>
    </row>
    <row r="639" customFormat="false" ht="12.75" hidden="false" customHeight="false" outlineLevel="0" collapsed="false">
      <c r="A639" s="162" t="s">
        <v>577</v>
      </c>
      <c r="B639" s="172" t="s">
        <v>668</v>
      </c>
      <c r="C639" s="172" t="s">
        <v>761</v>
      </c>
      <c r="D639" s="172"/>
      <c r="E639" s="106" t="n">
        <v>21</v>
      </c>
      <c r="F639" s="173" t="n">
        <v>24</v>
      </c>
      <c r="S639" s="167" t="n">
        <v>969.4921499</v>
      </c>
      <c r="T639" s="111" t="s">
        <v>246</v>
      </c>
      <c r="Y639" s="167" t="n">
        <v>496.8</v>
      </c>
      <c r="Z639" s="111" t="s">
        <v>246</v>
      </c>
      <c r="AA639" s="167" t="n">
        <v>49338.49</v>
      </c>
      <c r="AB639" s="111" t="s">
        <v>246</v>
      </c>
      <c r="AC639" s="164" t="n">
        <v>21.7</v>
      </c>
      <c r="AD639" s="111" t="s">
        <v>246</v>
      </c>
      <c r="AG639" s="167" t="n">
        <v>4.4</v>
      </c>
      <c r="AH639" s="111" t="s">
        <v>246</v>
      </c>
      <c r="AM639" s="167"/>
      <c r="BS639" s="167" t="n">
        <v>44.67</v>
      </c>
      <c r="BT639" s="111" t="s">
        <v>246</v>
      </c>
      <c r="BU639" s="164" t="n">
        <v>22.89</v>
      </c>
      <c r="BV639" s="111" t="s">
        <v>246</v>
      </c>
    </row>
    <row r="640" customFormat="false" ht="12.75" hidden="false" customHeight="false" outlineLevel="0" collapsed="false">
      <c r="A640" s="162" t="s">
        <v>577</v>
      </c>
      <c r="B640" s="172" t="s">
        <v>665</v>
      </c>
      <c r="C640" s="172" t="s">
        <v>762</v>
      </c>
      <c r="D640" s="172"/>
      <c r="E640" s="106" t="n">
        <v>4</v>
      </c>
      <c r="F640" s="173" t="n">
        <v>17</v>
      </c>
      <c r="S640" s="167" t="n">
        <v>975.105257</v>
      </c>
      <c r="T640" s="111" t="s">
        <v>246</v>
      </c>
      <c r="Y640" s="167" t="n">
        <v>488.07</v>
      </c>
      <c r="Z640" s="111" t="s">
        <v>246</v>
      </c>
      <c r="AA640" s="167" t="n">
        <v>48805.58</v>
      </c>
      <c r="AB640" s="111" t="s">
        <v>246</v>
      </c>
      <c r="AC640" s="164" t="n">
        <v>21.91</v>
      </c>
      <c r="AD640" s="111" t="s">
        <v>246</v>
      </c>
      <c r="AG640" s="167" t="n">
        <v>4.49</v>
      </c>
      <c r="AH640" s="111" t="s">
        <v>246</v>
      </c>
      <c r="AM640" s="167"/>
      <c r="BS640" s="167" t="n">
        <v>44.51</v>
      </c>
      <c r="BT640" s="111" t="s">
        <v>246</v>
      </c>
      <c r="BU640" s="164" t="n">
        <v>22.28</v>
      </c>
      <c r="BV640" s="111" t="s">
        <v>246</v>
      </c>
    </row>
    <row r="641" customFormat="false" ht="12.75" hidden="false" customHeight="false" outlineLevel="0" collapsed="false">
      <c r="A641" s="162" t="s">
        <v>577</v>
      </c>
      <c r="B641" s="172" t="s">
        <v>668</v>
      </c>
      <c r="C641" s="172" t="s">
        <v>762</v>
      </c>
      <c r="D641" s="172"/>
      <c r="E641" s="106" t="n">
        <v>1</v>
      </c>
      <c r="F641" s="173" t="n">
        <v>46</v>
      </c>
      <c r="S641" s="167" t="n">
        <v>877.2636395</v>
      </c>
      <c r="T641" s="111" t="s">
        <v>246</v>
      </c>
      <c r="Y641" s="167" t="n">
        <v>454.47</v>
      </c>
      <c r="Z641" s="111" t="s">
        <v>246</v>
      </c>
      <c r="AA641" s="167" t="n">
        <v>43397.71</v>
      </c>
      <c r="AB641" s="111" t="s">
        <v>246</v>
      </c>
      <c r="AC641" s="164" t="n">
        <v>19.6</v>
      </c>
      <c r="AD641" s="111" t="s">
        <v>246</v>
      </c>
      <c r="AG641" s="167" t="n">
        <v>4.52</v>
      </c>
      <c r="AH641" s="111" t="s">
        <v>246</v>
      </c>
      <c r="AM641" s="167"/>
      <c r="BS641" s="167" t="n">
        <v>44.77</v>
      </c>
      <c r="BT641" s="111" t="s">
        <v>246</v>
      </c>
      <c r="BU641" s="164" t="n">
        <v>23.19</v>
      </c>
      <c r="BV641" s="111" t="s">
        <v>246</v>
      </c>
    </row>
    <row r="642" customFormat="false" ht="12.75" hidden="false" customHeight="false" outlineLevel="0" collapsed="false">
      <c r="A642" s="162" t="s">
        <v>579</v>
      </c>
      <c r="B642" s="172" t="s">
        <v>665</v>
      </c>
      <c r="C642" s="172" t="s">
        <v>758</v>
      </c>
      <c r="D642" s="172"/>
      <c r="E642" s="106" t="n">
        <v>5</v>
      </c>
      <c r="F642" s="173" t="n">
        <v>31</v>
      </c>
      <c r="S642" s="167" t="n">
        <v>1595.424878</v>
      </c>
      <c r="T642" s="111" t="s">
        <v>246</v>
      </c>
      <c r="Y642" s="167" t="n">
        <v>655.22</v>
      </c>
      <c r="Z642" s="111" t="s">
        <v>246</v>
      </c>
      <c r="AA642" s="167" t="n">
        <v>77325.48</v>
      </c>
      <c r="AB642" s="111" t="s">
        <v>246</v>
      </c>
      <c r="AC642" s="164" t="n">
        <v>31.97</v>
      </c>
      <c r="AD642" s="111" t="s">
        <v>246</v>
      </c>
      <c r="AG642" s="167" t="n">
        <v>4.13</v>
      </c>
      <c r="AH642" s="111" t="s">
        <v>246</v>
      </c>
      <c r="AM642" s="167"/>
      <c r="BS642" s="167" t="n">
        <v>49.91</v>
      </c>
      <c r="BT642" s="111" t="s">
        <v>246</v>
      </c>
      <c r="BU642" s="164" t="n">
        <v>20.5</v>
      </c>
      <c r="BV642" s="111" t="s">
        <v>246</v>
      </c>
    </row>
    <row r="643" customFormat="false" ht="12.75" hidden="false" customHeight="false" outlineLevel="0" collapsed="false">
      <c r="A643" s="162" t="s">
        <v>579</v>
      </c>
      <c r="B643" s="172" t="s">
        <v>668</v>
      </c>
      <c r="C643" s="172" t="s">
        <v>758</v>
      </c>
      <c r="D643" s="172"/>
      <c r="E643" s="106" t="n">
        <v>10</v>
      </c>
      <c r="F643" s="173" t="n">
        <v>21</v>
      </c>
      <c r="S643" s="167" t="n">
        <v>1788.0722</v>
      </c>
      <c r="T643" s="111" t="s">
        <v>246</v>
      </c>
      <c r="Y643" s="167" t="n">
        <v>840.52</v>
      </c>
      <c r="Z643" s="111" t="s">
        <v>246</v>
      </c>
      <c r="AA643" s="167" t="n">
        <v>83029.69</v>
      </c>
      <c r="AB643" s="111" t="s">
        <v>246</v>
      </c>
      <c r="AC643" s="164" t="n">
        <v>36.9</v>
      </c>
      <c r="AD643" s="111" t="s">
        <v>246</v>
      </c>
      <c r="AG643" s="167" t="n">
        <v>4.44</v>
      </c>
      <c r="AH643" s="111" t="s">
        <v>246</v>
      </c>
      <c r="AM643" s="167"/>
      <c r="BS643" s="167" t="n">
        <v>48.45</v>
      </c>
      <c r="BT643" s="111" t="s">
        <v>246</v>
      </c>
      <c r="BU643" s="164" t="n">
        <v>22.78</v>
      </c>
      <c r="BV643" s="111" t="s">
        <v>246</v>
      </c>
    </row>
    <row r="644" customFormat="false" ht="12.75" hidden="false" customHeight="false" outlineLevel="0" collapsed="false">
      <c r="A644" s="162" t="s">
        <v>579</v>
      </c>
      <c r="B644" s="172" t="s">
        <v>665</v>
      </c>
      <c r="C644" s="172" t="s">
        <v>760</v>
      </c>
      <c r="D644" s="172"/>
      <c r="E644" s="106" t="n">
        <v>12</v>
      </c>
      <c r="F644" s="173" t="n">
        <v>42</v>
      </c>
      <c r="S644" s="167" t="n">
        <v>1686.204687</v>
      </c>
      <c r="T644" s="111" t="s">
        <v>246</v>
      </c>
      <c r="Y644" s="167" t="n">
        <v>613.89</v>
      </c>
      <c r="Z644" s="111" t="s">
        <v>246</v>
      </c>
      <c r="AA644" s="167" t="n">
        <v>80655.25</v>
      </c>
      <c r="AB644" s="111" t="s">
        <v>246</v>
      </c>
      <c r="AC644" s="164" t="n">
        <v>32.69</v>
      </c>
      <c r="AD644" s="111" t="s">
        <v>246</v>
      </c>
      <c r="AG644" s="167" t="n">
        <v>4.05</v>
      </c>
      <c r="AH644" s="111" t="s">
        <v>246</v>
      </c>
      <c r="AM644" s="167"/>
      <c r="BS644" s="167" t="n">
        <v>51.57</v>
      </c>
      <c r="BT644" s="111" t="s">
        <v>246</v>
      </c>
      <c r="BU644" s="164" t="n">
        <v>18.78</v>
      </c>
      <c r="BV644" s="111" t="s">
        <v>246</v>
      </c>
    </row>
    <row r="645" customFormat="false" ht="12.75" hidden="false" customHeight="false" outlineLevel="0" collapsed="false">
      <c r="A645" s="162" t="s">
        <v>579</v>
      </c>
      <c r="B645" s="172" t="s">
        <v>668</v>
      </c>
      <c r="C645" s="172" t="s">
        <v>760</v>
      </c>
      <c r="D645" s="172"/>
      <c r="E645" s="106" t="n">
        <v>13</v>
      </c>
      <c r="F645" s="173" t="n">
        <v>56</v>
      </c>
      <c r="S645" s="167" t="n">
        <v>1389.334688</v>
      </c>
      <c r="T645" s="111" t="s">
        <v>246</v>
      </c>
      <c r="Y645" s="167" t="n">
        <v>666.74</v>
      </c>
      <c r="Z645" s="111" t="s">
        <v>246</v>
      </c>
      <c r="AA645" s="167" t="n">
        <v>70559.79</v>
      </c>
      <c r="AB645" s="111" t="s">
        <v>246</v>
      </c>
      <c r="AC645" s="164" t="n">
        <v>29.45</v>
      </c>
      <c r="AD645" s="111" t="s">
        <v>246</v>
      </c>
      <c r="AG645" s="167" t="n">
        <v>4.17</v>
      </c>
      <c r="AH645" s="111" t="s">
        <v>246</v>
      </c>
      <c r="AM645" s="167"/>
      <c r="BS645" s="167" t="n">
        <v>47.17</v>
      </c>
      <c r="BT645" s="111" t="s">
        <v>246</v>
      </c>
      <c r="BU645" s="164" t="n">
        <v>22.64</v>
      </c>
      <c r="BV645" s="111" t="s">
        <v>246</v>
      </c>
    </row>
    <row r="646" customFormat="false" ht="12.75" hidden="false" customHeight="false" outlineLevel="0" collapsed="false">
      <c r="A646" s="162" t="s">
        <v>579</v>
      </c>
      <c r="B646" s="172" t="s">
        <v>665</v>
      </c>
      <c r="C646" s="172" t="s">
        <v>761</v>
      </c>
      <c r="D646" s="172"/>
      <c r="E646" s="106" t="n">
        <v>15</v>
      </c>
      <c r="F646" s="173" t="n">
        <v>10</v>
      </c>
      <c r="S646" s="167" t="n">
        <v>1442.752723</v>
      </c>
      <c r="T646" s="111" t="s">
        <v>246</v>
      </c>
      <c r="Y646" s="167" t="n">
        <v>633.73</v>
      </c>
      <c r="Z646" s="111" t="s">
        <v>246</v>
      </c>
      <c r="AA646" s="167" t="n">
        <v>73055.87</v>
      </c>
      <c r="AB646" s="111" t="s">
        <v>246</v>
      </c>
      <c r="AC646" s="164" t="n">
        <v>29.59</v>
      </c>
      <c r="AD646" s="111" t="s">
        <v>246</v>
      </c>
      <c r="AG646" s="167" t="n">
        <v>4.05</v>
      </c>
      <c r="AH646" s="111" t="s">
        <v>246</v>
      </c>
      <c r="AM646" s="167"/>
      <c r="BS646" s="167" t="n">
        <v>48.75</v>
      </c>
      <c r="BT646" s="111" t="s">
        <v>246</v>
      </c>
      <c r="BU646" s="164" t="n">
        <v>21.41</v>
      </c>
      <c r="BV646" s="111" t="s">
        <v>246</v>
      </c>
    </row>
    <row r="647" customFormat="false" ht="12.75" hidden="false" customHeight="false" outlineLevel="0" collapsed="false">
      <c r="A647" s="162" t="s">
        <v>579</v>
      </c>
      <c r="B647" s="172" t="s">
        <v>668</v>
      </c>
      <c r="C647" s="172" t="s">
        <v>761</v>
      </c>
      <c r="D647" s="172"/>
      <c r="E647" s="106" t="n">
        <v>20</v>
      </c>
      <c r="F647" s="173" t="n">
        <v>26</v>
      </c>
      <c r="S647" s="167" t="n">
        <v>1341.543478</v>
      </c>
      <c r="T647" s="111" t="s">
        <v>246</v>
      </c>
      <c r="Y647" s="167" t="n">
        <v>641.73</v>
      </c>
      <c r="Z647" s="111" t="s">
        <v>246</v>
      </c>
      <c r="AA647" s="167" t="n">
        <v>62913.47</v>
      </c>
      <c r="AB647" s="111" t="s">
        <v>246</v>
      </c>
      <c r="AC647" s="164" t="n">
        <v>28.1</v>
      </c>
      <c r="AD647" s="111" t="s">
        <v>246</v>
      </c>
      <c r="AG647" s="167" t="n">
        <v>4.47</v>
      </c>
      <c r="AH647" s="111" t="s">
        <v>246</v>
      </c>
      <c r="AM647" s="167"/>
      <c r="BS647" s="167" t="n">
        <v>47.75</v>
      </c>
      <c r="BT647" s="111" t="s">
        <v>246</v>
      </c>
      <c r="BU647" s="164" t="n">
        <v>22.84</v>
      </c>
      <c r="BV647" s="111" t="s">
        <v>246</v>
      </c>
    </row>
    <row r="648" customFormat="false" ht="12.75" hidden="false" customHeight="false" outlineLevel="0" collapsed="false">
      <c r="A648" s="162" t="s">
        <v>579</v>
      </c>
      <c r="B648" s="172" t="s">
        <v>665</v>
      </c>
      <c r="C648" s="172" t="s">
        <v>762</v>
      </c>
      <c r="D648" s="172"/>
      <c r="E648" s="106" t="n">
        <v>3</v>
      </c>
      <c r="F648" s="173" t="n">
        <v>8</v>
      </c>
      <c r="S648" s="167" t="n">
        <v>1348.603446</v>
      </c>
      <c r="T648" s="111" t="s">
        <v>246</v>
      </c>
      <c r="Y648" s="167" t="n">
        <v>572.78</v>
      </c>
      <c r="Z648" s="111" t="s">
        <v>246</v>
      </c>
      <c r="AA648" s="167" t="n">
        <v>65289.28</v>
      </c>
      <c r="AB648" s="111" t="s">
        <v>246</v>
      </c>
      <c r="AC648" s="164" t="n">
        <v>27.49</v>
      </c>
      <c r="AD648" s="111" t="s">
        <v>246</v>
      </c>
      <c r="AG648" s="167" t="n">
        <v>4.21</v>
      </c>
      <c r="AH648" s="111" t="s">
        <v>246</v>
      </c>
      <c r="AM648" s="167"/>
      <c r="BS648" s="167" t="n">
        <v>49.06</v>
      </c>
      <c r="BT648" s="111" t="s">
        <v>246</v>
      </c>
      <c r="BU648" s="164" t="n">
        <v>20.84</v>
      </c>
      <c r="BV648" s="111" t="s">
        <v>246</v>
      </c>
    </row>
    <row r="649" customFormat="false" ht="12.75" hidden="false" customHeight="false" outlineLevel="0" collapsed="false">
      <c r="A649" s="162" t="s">
        <v>579</v>
      </c>
      <c r="B649" s="172" t="s">
        <v>668</v>
      </c>
      <c r="C649" s="172" t="s">
        <v>762</v>
      </c>
      <c r="D649" s="172"/>
      <c r="E649" s="106" t="n">
        <v>2</v>
      </c>
      <c r="F649" s="173" t="n">
        <v>50</v>
      </c>
      <c r="S649" s="167" t="n">
        <v>1428.666053</v>
      </c>
      <c r="T649" s="111" t="s">
        <v>246</v>
      </c>
      <c r="Y649" s="167" t="n">
        <v>704.14</v>
      </c>
      <c r="Z649" s="111" t="s">
        <v>246</v>
      </c>
      <c r="AA649" s="167" t="n">
        <v>77929.53</v>
      </c>
      <c r="AB649" s="111" t="s">
        <v>246</v>
      </c>
      <c r="AC649" s="164" t="n">
        <v>30.84</v>
      </c>
      <c r="AD649" s="111" t="s">
        <v>246</v>
      </c>
      <c r="AG649" s="167" t="n">
        <v>3.96</v>
      </c>
      <c r="AH649" s="111" t="s">
        <v>246</v>
      </c>
      <c r="AM649" s="167"/>
      <c r="BS649" s="167" t="n">
        <v>46.32</v>
      </c>
      <c r="BT649" s="111" t="s">
        <v>246</v>
      </c>
      <c r="BU649" s="164" t="n">
        <v>22.83</v>
      </c>
      <c r="BV649" s="111" t="s">
        <v>246</v>
      </c>
    </row>
    <row r="650" customFormat="false" ht="12.75" hidden="false" customHeight="false" outlineLevel="0" collapsed="false">
      <c r="A650" s="162" t="s">
        <v>581</v>
      </c>
      <c r="B650" s="172" t="s">
        <v>665</v>
      </c>
      <c r="C650" s="172" t="s">
        <v>758</v>
      </c>
      <c r="D650" s="172"/>
      <c r="E650" s="106" t="n">
        <v>5</v>
      </c>
      <c r="F650" s="173" t="n">
        <v>2</v>
      </c>
      <c r="S650" s="167" t="n">
        <v>1785.431</v>
      </c>
      <c r="T650" s="111" t="s">
        <v>246</v>
      </c>
      <c r="Y650" s="167" t="n">
        <v>780.16</v>
      </c>
      <c r="Z650" s="111" t="s">
        <v>246</v>
      </c>
      <c r="AA650" s="167" t="n">
        <v>86452.34</v>
      </c>
      <c r="AB650" s="111" t="s">
        <v>246</v>
      </c>
      <c r="AC650" s="164" t="n">
        <v>36.59</v>
      </c>
      <c r="AD650" s="111" t="s">
        <v>246</v>
      </c>
      <c r="AG650" s="167" t="n">
        <v>4.23</v>
      </c>
      <c r="AH650" s="111" t="s">
        <v>246</v>
      </c>
      <c r="AM650" s="167"/>
      <c r="BS650" s="167" t="n">
        <v>48.79</v>
      </c>
      <c r="BT650" s="111" t="s">
        <v>246</v>
      </c>
      <c r="BU650" s="164" t="n">
        <v>21.32</v>
      </c>
      <c r="BV650" s="111" t="s">
        <v>246</v>
      </c>
    </row>
    <row r="651" customFormat="false" ht="12.75" hidden="false" customHeight="false" outlineLevel="0" collapsed="false">
      <c r="A651" s="162" t="s">
        <v>581</v>
      </c>
      <c r="B651" s="172" t="s">
        <v>668</v>
      </c>
      <c r="C651" s="172" t="s">
        <v>758</v>
      </c>
      <c r="D651" s="172"/>
      <c r="E651" s="106" t="n">
        <v>9</v>
      </c>
      <c r="F651" s="173" t="n">
        <v>25</v>
      </c>
      <c r="S651" s="167" t="n">
        <v>1560.745474</v>
      </c>
      <c r="T651" s="111" t="s">
        <v>246</v>
      </c>
      <c r="Y651" s="167" t="n">
        <v>663.96</v>
      </c>
      <c r="Z651" s="111" t="s">
        <v>246</v>
      </c>
      <c r="AA651" s="167" t="n">
        <v>76507.66</v>
      </c>
      <c r="AB651" s="111" t="s">
        <v>246</v>
      </c>
      <c r="AC651" s="164" t="n">
        <v>31.75</v>
      </c>
      <c r="AD651" s="111" t="s">
        <v>246</v>
      </c>
      <c r="AG651" s="167" t="n">
        <v>4.15</v>
      </c>
      <c r="AH651" s="111" t="s">
        <v>246</v>
      </c>
      <c r="AM651" s="167"/>
      <c r="BS651" s="167" t="n">
        <v>49.16</v>
      </c>
      <c r="BT651" s="111" t="s">
        <v>246</v>
      </c>
      <c r="BU651" s="164" t="n">
        <v>20.91</v>
      </c>
      <c r="BV651" s="111" t="s">
        <v>246</v>
      </c>
    </row>
    <row r="652" customFormat="false" ht="12.75" hidden="false" customHeight="false" outlineLevel="0" collapsed="false">
      <c r="A652" s="162" t="s">
        <v>581</v>
      </c>
      <c r="B652" s="172" t="s">
        <v>665</v>
      </c>
      <c r="C652" s="172" t="s">
        <v>760</v>
      </c>
      <c r="D652" s="172"/>
      <c r="E652" s="106" t="n">
        <v>12</v>
      </c>
      <c r="F652" s="173" t="n">
        <v>59</v>
      </c>
      <c r="S652" s="167" t="n">
        <v>1648.095915</v>
      </c>
      <c r="T652" s="111" t="s">
        <v>246</v>
      </c>
      <c r="Y652" s="167" t="n">
        <v>673.27</v>
      </c>
      <c r="Z652" s="111" t="s">
        <v>246</v>
      </c>
      <c r="AA652" s="167" t="n">
        <v>78483.82</v>
      </c>
      <c r="AB652" s="111" t="s">
        <v>246</v>
      </c>
      <c r="AC652" s="164" t="n">
        <v>32.96</v>
      </c>
      <c r="AD652" s="111" t="s">
        <v>246</v>
      </c>
      <c r="AG652" s="167" t="n">
        <v>4.2</v>
      </c>
      <c r="AH652" s="111" t="s">
        <v>246</v>
      </c>
      <c r="AM652" s="167"/>
      <c r="BS652" s="167" t="n">
        <v>50</v>
      </c>
      <c r="BT652" s="111" t="s">
        <v>246</v>
      </c>
      <c r="BU652" s="164" t="n">
        <v>20.43</v>
      </c>
      <c r="BV652" s="111" t="s">
        <v>246</v>
      </c>
    </row>
    <row r="653" customFormat="false" ht="12.75" hidden="false" customHeight="false" outlineLevel="0" collapsed="false">
      <c r="A653" s="162" t="s">
        <v>581</v>
      </c>
      <c r="B653" s="172" t="s">
        <v>668</v>
      </c>
      <c r="C653" s="172" t="s">
        <v>760</v>
      </c>
      <c r="D653" s="172"/>
      <c r="E653" s="106" t="n">
        <v>13</v>
      </c>
      <c r="F653" s="173" t="n">
        <v>55</v>
      </c>
      <c r="S653" s="167" t="n">
        <v>1399.501056</v>
      </c>
      <c r="T653" s="111" t="s">
        <v>246</v>
      </c>
      <c r="Y653" s="167" t="n">
        <v>608.33</v>
      </c>
      <c r="Z653" s="111" t="s">
        <v>246</v>
      </c>
      <c r="AA653" s="167" t="n">
        <v>68155.42</v>
      </c>
      <c r="AB653" s="111" t="s">
        <v>246</v>
      </c>
      <c r="AC653" s="164" t="n">
        <v>28.67</v>
      </c>
      <c r="AD653" s="111" t="s">
        <v>246</v>
      </c>
      <c r="AG653" s="167" t="n">
        <v>4.21</v>
      </c>
      <c r="AH653" s="111" t="s">
        <v>246</v>
      </c>
      <c r="AM653" s="167"/>
      <c r="BS653" s="167" t="n">
        <v>48.82</v>
      </c>
      <c r="BT653" s="111" t="s">
        <v>246</v>
      </c>
      <c r="BU653" s="164" t="n">
        <v>21.22</v>
      </c>
      <c r="BV653" s="111" t="s">
        <v>246</v>
      </c>
    </row>
    <row r="654" customFormat="false" ht="12.75" hidden="false" customHeight="false" outlineLevel="0" collapsed="false">
      <c r="A654" s="162" t="s">
        <v>581</v>
      </c>
      <c r="B654" s="172" t="s">
        <v>665</v>
      </c>
      <c r="C654" s="172" t="s">
        <v>761</v>
      </c>
      <c r="D654" s="172"/>
      <c r="E654" s="106" t="n">
        <v>13</v>
      </c>
      <c r="F654" s="173" t="n">
        <v>29</v>
      </c>
      <c r="S654" s="167" t="n">
        <v>1830.02153</v>
      </c>
      <c r="T654" s="111" t="s">
        <v>246</v>
      </c>
      <c r="Y654" s="167" t="n">
        <v>752.77</v>
      </c>
      <c r="Z654" s="111" t="s">
        <v>246</v>
      </c>
      <c r="AA654" s="167" t="n">
        <v>93364.85</v>
      </c>
      <c r="AB654" s="111" t="s">
        <v>246</v>
      </c>
      <c r="AC654" s="164" t="n">
        <v>37.04</v>
      </c>
      <c r="AD654" s="111" t="s">
        <v>246</v>
      </c>
      <c r="AG654" s="167" t="n">
        <v>3.97</v>
      </c>
      <c r="AH654" s="111" t="s">
        <v>246</v>
      </c>
      <c r="AM654" s="167"/>
      <c r="BS654" s="167" t="n">
        <v>49.4</v>
      </c>
      <c r="BT654" s="111" t="s">
        <v>246</v>
      </c>
      <c r="BU654" s="164" t="n">
        <v>20.32</v>
      </c>
      <c r="BV654" s="111" t="s">
        <v>246</v>
      </c>
    </row>
    <row r="655" customFormat="false" ht="12.75" hidden="false" customHeight="false" outlineLevel="0" collapsed="false">
      <c r="A655" s="162" t="s">
        <v>581</v>
      </c>
      <c r="B655" s="172" t="s">
        <v>668</v>
      </c>
      <c r="C655" s="172" t="s">
        <v>761</v>
      </c>
      <c r="D655" s="172"/>
      <c r="E655" s="106" t="n">
        <v>18</v>
      </c>
      <c r="F655" s="173" t="n">
        <v>2</v>
      </c>
      <c r="S655" s="167" t="n">
        <v>1492.963517</v>
      </c>
      <c r="T655" s="111" t="s">
        <v>246</v>
      </c>
      <c r="Y655" s="167" t="n">
        <v>710.01</v>
      </c>
      <c r="Z655" s="111" t="s">
        <v>246</v>
      </c>
      <c r="AA655" s="167" t="n">
        <v>73993.67</v>
      </c>
      <c r="AB655" s="111" t="s">
        <v>246</v>
      </c>
      <c r="AC655" s="164" t="n">
        <v>31.48</v>
      </c>
      <c r="AD655" s="111" t="s">
        <v>246</v>
      </c>
      <c r="AG655" s="167" t="n">
        <v>4.25</v>
      </c>
      <c r="AH655" s="111" t="s">
        <v>246</v>
      </c>
      <c r="AM655" s="167"/>
      <c r="BS655" s="167" t="n">
        <v>47.43</v>
      </c>
      <c r="BT655" s="111" t="s">
        <v>246</v>
      </c>
      <c r="BU655" s="164" t="n">
        <v>22.55</v>
      </c>
      <c r="BV655" s="111" t="s">
        <v>246</v>
      </c>
    </row>
    <row r="656" customFormat="false" ht="12.75" hidden="false" customHeight="false" outlineLevel="0" collapsed="false">
      <c r="A656" s="162" t="s">
        <v>581</v>
      </c>
      <c r="B656" s="172" t="s">
        <v>665</v>
      </c>
      <c r="C656" s="172" t="s">
        <v>762</v>
      </c>
      <c r="D656" s="172"/>
      <c r="E656" s="106" t="n">
        <v>2</v>
      </c>
      <c r="F656" s="173" t="n">
        <v>24</v>
      </c>
      <c r="S656" s="167" t="n">
        <v>1664.517436</v>
      </c>
      <c r="T656" s="111" t="s">
        <v>246</v>
      </c>
      <c r="Y656" s="167" t="n">
        <v>704.54</v>
      </c>
      <c r="Z656" s="111" t="s">
        <v>246</v>
      </c>
      <c r="AA656" s="167" t="n">
        <v>85344.66</v>
      </c>
      <c r="AB656" s="111" t="s">
        <v>246</v>
      </c>
      <c r="AC656" s="164" t="n">
        <v>33.78</v>
      </c>
      <c r="AD656" s="111" t="s">
        <v>246</v>
      </c>
      <c r="AG656" s="167" t="n">
        <v>3.96</v>
      </c>
      <c r="AH656" s="111" t="s">
        <v>246</v>
      </c>
      <c r="AM656" s="167"/>
      <c r="BS656" s="167" t="n">
        <v>49.28</v>
      </c>
      <c r="BT656" s="111" t="s">
        <v>246</v>
      </c>
      <c r="BU656" s="164" t="n">
        <v>20.86</v>
      </c>
      <c r="BV656" s="111" t="s">
        <v>246</v>
      </c>
    </row>
    <row r="657" customFormat="false" ht="12.75" hidden="false" customHeight="false" outlineLevel="0" collapsed="false">
      <c r="A657" s="162" t="s">
        <v>581</v>
      </c>
      <c r="B657" s="172" t="s">
        <v>668</v>
      </c>
      <c r="C657" s="172" t="s">
        <v>762</v>
      </c>
      <c r="D657" s="172"/>
      <c r="E657" s="106" t="n">
        <v>4</v>
      </c>
      <c r="F657" s="173" t="n">
        <v>41</v>
      </c>
      <c r="S657" s="167" t="n">
        <v>1406.89559</v>
      </c>
      <c r="T657" s="111" t="s">
        <v>246</v>
      </c>
      <c r="Y657" s="167" t="n">
        <v>682.62</v>
      </c>
      <c r="Z657" s="111" t="s">
        <v>246</v>
      </c>
      <c r="AA657" s="167" t="n">
        <v>70536.44</v>
      </c>
      <c r="AB657" s="111" t="s">
        <v>246</v>
      </c>
      <c r="AC657" s="164" t="n">
        <v>29.76</v>
      </c>
      <c r="AD657" s="111" t="s">
        <v>246</v>
      </c>
      <c r="AG657" s="167" t="n">
        <v>4.22</v>
      </c>
      <c r="AH657" s="111" t="s">
        <v>246</v>
      </c>
      <c r="AM657" s="167"/>
      <c r="BS657" s="167" t="n">
        <v>47.28</v>
      </c>
      <c r="BT657" s="111" t="s">
        <v>246</v>
      </c>
      <c r="BU657" s="164" t="n">
        <v>22.94</v>
      </c>
      <c r="BV657" s="111" t="s">
        <v>246</v>
      </c>
    </row>
    <row r="658" customFormat="false" ht="12.75" hidden="false" customHeight="false" outlineLevel="0" collapsed="false">
      <c r="A658" s="162" t="s">
        <v>583</v>
      </c>
      <c r="B658" s="172" t="s">
        <v>665</v>
      </c>
      <c r="C658" s="172" t="s">
        <v>758</v>
      </c>
      <c r="D658" s="172"/>
      <c r="E658" s="106" t="n">
        <v>7</v>
      </c>
      <c r="F658" s="173" t="n">
        <v>3</v>
      </c>
      <c r="S658" s="167" t="n">
        <v>1715.604954</v>
      </c>
      <c r="T658" s="111" t="s">
        <v>246</v>
      </c>
      <c r="Y658" s="167" t="n">
        <v>772.5</v>
      </c>
      <c r="Z658" s="111" t="s">
        <v>246</v>
      </c>
      <c r="AA658" s="167" t="n">
        <v>72777.87</v>
      </c>
      <c r="AB658" s="111" t="s">
        <v>246</v>
      </c>
      <c r="AC658" s="164" t="n">
        <v>36.11</v>
      </c>
      <c r="AD658" s="111" t="s">
        <v>246</v>
      </c>
      <c r="AG658" s="167" t="n">
        <v>4.96</v>
      </c>
      <c r="AH658" s="111" t="s">
        <v>246</v>
      </c>
      <c r="AM658" s="167"/>
      <c r="BS658" s="167" t="n">
        <v>47.51</v>
      </c>
      <c r="BT658" s="111" t="s">
        <v>246</v>
      </c>
      <c r="BU658" s="164" t="n">
        <v>21.39</v>
      </c>
      <c r="BV658" s="111" t="s">
        <v>246</v>
      </c>
    </row>
    <row r="659" customFormat="false" ht="12.75" hidden="false" customHeight="false" outlineLevel="0" collapsed="false">
      <c r="A659" s="162" t="s">
        <v>583</v>
      </c>
      <c r="B659" s="172" t="s">
        <v>668</v>
      </c>
      <c r="C659" s="172" t="s">
        <v>758</v>
      </c>
      <c r="D659" s="172"/>
      <c r="E659" s="106" t="n">
        <v>12</v>
      </c>
      <c r="F659" s="173" t="n">
        <v>10</v>
      </c>
      <c r="S659" s="167" t="n">
        <v>1329.534209</v>
      </c>
      <c r="T659" s="111" t="s">
        <v>246</v>
      </c>
      <c r="Y659" s="167" t="n">
        <v>623.22</v>
      </c>
      <c r="Z659" s="111" t="s">
        <v>246</v>
      </c>
      <c r="AA659" s="167" t="n">
        <v>60310.74</v>
      </c>
      <c r="AB659" s="111" t="s">
        <v>246</v>
      </c>
      <c r="AC659" s="164" t="n">
        <v>28.61</v>
      </c>
      <c r="AD659" s="111" t="s">
        <v>246</v>
      </c>
      <c r="AG659" s="167" t="n">
        <v>4.74</v>
      </c>
      <c r="AH659" s="111" t="s">
        <v>246</v>
      </c>
      <c r="AM659" s="167"/>
      <c r="BS659" s="167" t="n">
        <v>46.47</v>
      </c>
      <c r="BT659" s="111" t="s">
        <v>246</v>
      </c>
      <c r="BU659" s="164" t="n">
        <v>21.78</v>
      </c>
      <c r="BV659" s="111" t="s">
        <v>246</v>
      </c>
    </row>
    <row r="660" customFormat="false" ht="12.75" hidden="false" customHeight="false" outlineLevel="0" collapsed="false">
      <c r="A660" s="162" t="s">
        <v>583</v>
      </c>
      <c r="B660" s="172" t="s">
        <v>665</v>
      </c>
      <c r="C660" s="172" t="s">
        <v>760</v>
      </c>
      <c r="D660" s="172"/>
      <c r="E660" s="106" t="n">
        <v>9</v>
      </c>
      <c r="F660" s="173" t="n">
        <v>35</v>
      </c>
      <c r="S660" s="167" t="n">
        <v>1601.295026</v>
      </c>
      <c r="T660" s="111" t="s">
        <v>246</v>
      </c>
      <c r="Y660" s="167" t="n">
        <v>684.61</v>
      </c>
      <c r="Z660" s="111" t="s">
        <v>246</v>
      </c>
      <c r="AA660" s="167" t="n">
        <v>67963.28</v>
      </c>
      <c r="AB660" s="111" t="s">
        <v>246</v>
      </c>
      <c r="AC660" s="164" t="n">
        <v>33.23</v>
      </c>
      <c r="AD660" s="111" t="s">
        <v>246</v>
      </c>
      <c r="AG660" s="167" t="n">
        <v>4.89</v>
      </c>
      <c r="AH660" s="111" t="s">
        <v>246</v>
      </c>
      <c r="AM660" s="167"/>
      <c r="BS660" s="167" t="n">
        <v>48.19</v>
      </c>
      <c r="BT660" s="111" t="s">
        <v>246</v>
      </c>
      <c r="BU660" s="164" t="n">
        <v>20.6</v>
      </c>
      <c r="BV660" s="111" t="s">
        <v>246</v>
      </c>
    </row>
    <row r="661" customFormat="false" ht="12.75" hidden="false" customHeight="false" outlineLevel="0" collapsed="false">
      <c r="A661" s="162" t="s">
        <v>583</v>
      </c>
      <c r="B661" s="172" t="s">
        <v>668</v>
      </c>
      <c r="C661" s="172" t="s">
        <v>760</v>
      </c>
      <c r="D661" s="172"/>
      <c r="E661" s="106" t="n">
        <v>13</v>
      </c>
      <c r="F661" s="173" t="n">
        <v>47</v>
      </c>
      <c r="S661" s="167" t="n">
        <v>1238.291383</v>
      </c>
      <c r="T661" s="111" t="s">
        <v>246</v>
      </c>
      <c r="Y661" s="167" t="n">
        <v>612.44</v>
      </c>
      <c r="Z661" s="111" t="s">
        <v>246</v>
      </c>
      <c r="AA661" s="167" t="n">
        <v>58535.8</v>
      </c>
      <c r="AB661" s="111" t="s">
        <v>246</v>
      </c>
      <c r="AC661" s="164" t="n">
        <v>26.96</v>
      </c>
      <c r="AD661" s="111" t="s">
        <v>246</v>
      </c>
      <c r="AG661" s="167" t="n">
        <v>4.61</v>
      </c>
      <c r="AH661" s="111" t="s">
        <v>246</v>
      </c>
      <c r="AM661" s="167"/>
      <c r="BS661" s="167" t="n">
        <v>45.93</v>
      </c>
      <c r="BT661" s="111" t="s">
        <v>246</v>
      </c>
      <c r="BU661" s="164" t="n">
        <v>22.72</v>
      </c>
      <c r="BV661" s="111" t="s">
        <v>246</v>
      </c>
    </row>
    <row r="662" customFormat="false" ht="12.75" hidden="false" customHeight="false" outlineLevel="0" collapsed="false">
      <c r="A662" s="162" t="s">
        <v>583</v>
      </c>
      <c r="B662" s="172" t="s">
        <v>665</v>
      </c>
      <c r="C662" s="172" t="s">
        <v>761</v>
      </c>
      <c r="D662" s="172"/>
      <c r="E662" s="106" t="n">
        <v>15</v>
      </c>
      <c r="F662" s="173" t="n">
        <v>31</v>
      </c>
      <c r="S662" s="167" t="n">
        <v>1466.97965</v>
      </c>
      <c r="T662" s="111" t="s">
        <v>246</v>
      </c>
      <c r="Y662" s="167" t="n">
        <v>638.08</v>
      </c>
      <c r="Z662" s="111" t="s">
        <v>246</v>
      </c>
      <c r="AA662" s="167" t="n">
        <v>67151.42</v>
      </c>
      <c r="AB662" s="111" t="s">
        <v>246</v>
      </c>
      <c r="AC662" s="164" t="n">
        <v>30.67</v>
      </c>
      <c r="AD662" s="111" t="s">
        <v>246</v>
      </c>
      <c r="AG662" s="167" t="n">
        <v>4.57</v>
      </c>
      <c r="AH662" s="111" t="s">
        <v>246</v>
      </c>
      <c r="AM662" s="167"/>
      <c r="BS662" s="167" t="n">
        <v>47.83</v>
      </c>
      <c r="BT662" s="111" t="s">
        <v>246</v>
      </c>
      <c r="BU662" s="164" t="n">
        <v>20.81</v>
      </c>
      <c r="BV662" s="111" t="s">
        <v>246</v>
      </c>
    </row>
    <row r="663" customFormat="false" ht="12.75" hidden="false" customHeight="false" outlineLevel="0" collapsed="false">
      <c r="A663" s="162" t="s">
        <v>583</v>
      </c>
      <c r="B663" s="172" t="s">
        <v>668</v>
      </c>
      <c r="C663" s="172" t="s">
        <v>761</v>
      </c>
      <c r="D663" s="172"/>
      <c r="E663" s="106" t="n">
        <v>19</v>
      </c>
      <c r="F663" s="173" t="n">
        <v>7</v>
      </c>
      <c r="S663" s="167" t="n">
        <v>1618.021565</v>
      </c>
      <c r="T663" s="111" t="s">
        <v>246</v>
      </c>
      <c r="Y663" s="167" t="n">
        <v>726.58</v>
      </c>
      <c r="Z663" s="111" t="s">
        <v>246</v>
      </c>
      <c r="AA663" s="167" t="n">
        <v>70166.03</v>
      </c>
      <c r="AB663" s="111" t="s">
        <v>246</v>
      </c>
      <c r="AC663" s="164" t="n">
        <v>34.15</v>
      </c>
      <c r="AD663" s="111" t="s">
        <v>246</v>
      </c>
      <c r="AG663" s="167" t="n">
        <v>4.87</v>
      </c>
      <c r="AH663" s="111" t="s">
        <v>246</v>
      </c>
      <c r="AM663" s="167"/>
      <c r="BS663" s="167" t="n">
        <v>47.38</v>
      </c>
      <c r="BT663" s="111" t="s">
        <v>246</v>
      </c>
      <c r="BU663" s="164" t="n">
        <v>21.28</v>
      </c>
      <c r="BV663" s="111" t="s">
        <v>246</v>
      </c>
    </row>
    <row r="664" customFormat="false" ht="12.75" hidden="false" customHeight="false" outlineLevel="0" collapsed="false">
      <c r="A664" s="162" t="s">
        <v>583</v>
      </c>
      <c r="B664" s="172" t="s">
        <v>665</v>
      </c>
      <c r="C664" s="172" t="s">
        <v>762</v>
      </c>
      <c r="D664" s="172"/>
      <c r="E664" s="106" t="n">
        <v>1</v>
      </c>
      <c r="F664" s="173" t="n">
        <v>1</v>
      </c>
      <c r="S664" s="167" t="n">
        <v>1470.489671</v>
      </c>
      <c r="T664" s="111" t="s">
        <v>246</v>
      </c>
      <c r="Y664" s="167" t="n">
        <v>619.84</v>
      </c>
      <c r="Z664" s="111" t="s">
        <v>246</v>
      </c>
      <c r="AA664" s="167" t="n">
        <v>63773.91</v>
      </c>
      <c r="AB664" s="111" t="s">
        <v>246</v>
      </c>
      <c r="AC664" s="164" t="n">
        <v>30.37</v>
      </c>
      <c r="AD664" s="111" t="s">
        <v>246</v>
      </c>
      <c r="AG664" s="167" t="n">
        <v>4.76</v>
      </c>
      <c r="AH664" s="111" t="s">
        <v>246</v>
      </c>
      <c r="AM664" s="167"/>
      <c r="BS664" s="167" t="n">
        <v>48.41</v>
      </c>
      <c r="BT664" s="111" t="s">
        <v>246</v>
      </c>
      <c r="BU664" s="164" t="n">
        <v>20.41</v>
      </c>
      <c r="BV664" s="111" t="s">
        <v>246</v>
      </c>
    </row>
    <row r="665" customFormat="false" ht="12.75" hidden="false" customHeight="false" outlineLevel="0" collapsed="false">
      <c r="A665" s="162" t="s">
        <v>583</v>
      </c>
      <c r="B665" s="172" t="s">
        <v>668</v>
      </c>
      <c r="C665" s="172" t="s">
        <v>762</v>
      </c>
      <c r="D665" s="172"/>
      <c r="E665" s="106" t="n">
        <v>3</v>
      </c>
      <c r="F665" s="173" t="n">
        <v>60</v>
      </c>
      <c r="S665" s="167" t="n">
        <v>1286.812782</v>
      </c>
      <c r="T665" s="111" t="s">
        <v>246</v>
      </c>
      <c r="Y665" s="167" t="n">
        <v>647.57</v>
      </c>
      <c r="Z665" s="111" t="s">
        <v>246</v>
      </c>
      <c r="AA665" s="167" t="n">
        <v>65045.5</v>
      </c>
      <c r="AB665" s="111" t="s">
        <v>246</v>
      </c>
      <c r="AC665" s="164" t="n">
        <v>28.62</v>
      </c>
      <c r="AD665" s="111" t="s">
        <v>246</v>
      </c>
      <c r="AG665" s="167" t="n">
        <v>4.4</v>
      </c>
      <c r="AH665" s="111" t="s">
        <v>246</v>
      </c>
      <c r="AM665" s="167"/>
      <c r="BS665" s="167" t="n">
        <v>44.97</v>
      </c>
      <c r="BT665" s="111" t="s">
        <v>246</v>
      </c>
      <c r="BU665" s="164" t="n">
        <v>22.63</v>
      </c>
      <c r="BV665" s="111" t="s">
        <v>246</v>
      </c>
    </row>
    <row r="666" customFormat="false" ht="12.75" hidden="false" customHeight="false" outlineLevel="0" collapsed="false">
      <c r="A666" s="162" t="s">
        <v>585</v>
      </c>
      <c r="B666" s="172" t="s">
        <v>665</v>
      </c>
      <c r="C666" s="172" t="s">
        <v>758</v>
      </c>
      <c r="D666" s="172"/>
      <c r="E666" s="106" t="n">
        <v>6</v>
      </c>
      <c r="F666" s="173" t="n">
        <v>16</v>
      </c>
      <c r="S666" s="167" t="n">
        <v>1593.538443</v>
      </c>
      <c r="T666" s="111" t="s">
        <v>246</v>
      </c>
      <c r="Y666" s="167" t="n">
        <v>711.73</v>
      </c>
      <c r="Z666" s="111" t="s">
        <v>246</v>
      </c>
      <c r="AA666" s="167" t="n">
        <v>69759.61</v>
      </c>
      <c r="AB666" s="111" t="s">
        <v>246</v>
      </c>
      <c r="AC666" s="164" t="n">
        <v>33.9</v>
      </c>
      <c r="AD666" s="111" t="s">
        <v>246</v>
      </c>
      <c r="AG666" s="167" t="n">
        <v>4.86</v>
      </c>
      <c r="AH666" s="111" t="s">
        <v>246</v>
      </c>
      <c r="AM666" s="167"/>
      <c r="BS666" s="167" t="n">
        <v>47.01</v>
      </c>
      <c r="BT666" s="111" t="s">
        <v>246</v>
      </c>
      <c r="BU666" s="164" t="n">
        <v>21</v>
      </c>
      <c r="BV666" s="111" t="s">
        <v>246</v>
      </c>
    </row>
    <row r="667" customFormat="false" ht="12.75" hidden="false" customHeight="false" outlineLevel="0" collapsed="false">
      <c r="A667" s="162" t="s">
        <v>585</v>
      </c>
      <c r="B667" s="172" t="s">
        <v>668</v>
      </c>
      <c r="C667" s="172" t="s">
        <v>758</v>
      </c>
      <c r="D667" s="172"/>
      <c r="E667" s="106" t="n">
        <v>9</v>
      </c>
      <c r="F667" s="173" t="n">
        <v>8</v>
      </c>
      <c r="S667" s="167" t="n">
        <v>1591.119982</v>
      </c>
      <c r="T667" s="111" t="s">
        <v>246</v>
      </c>
      <c r="Y667" s="167" t="n">
        <v>697.34</v>
      </c>
      <c r="Z667" s="111" t="s">
        <v>246</v>
      </c>
      <c r="AA667" s="167" t="n">
        <v>77387.75</v>
      </c>
      <c r="AB667" s="111" t="s">
        <v>246</v>
      </c>
      <c r="AC667" s="164" t="n">
        <v>33.73</v>
      </c>
      <c r="AD667" s="111" t="s">
        <v>246</v>
      </c>
      <c r="AG667" s="167" t="n">
        <v>4.36</v>
      </c>
      <c r="AH667" s="111" t="s">
        <v>246</v>
      </c>
      <c r="AM667" s="167"/>
      <c r="BS667" s="167" t="n">
        <v>47.17</v>
      </c>
      <c r="BT667" s="111" t="s">
        <v>246</v>
      </c>
      <c r="BU667" s="164" t="n">
        <v>20.67</v>
      </c>
      <c r="BV667" s="111" t="s">
        <v>246</v>
      </c>
    </row>
    <row r="668" customFormat="false" ht="12.75" hidden="false" customHeight="false" outlineLevel="0" collapsed="false">
      <c r="A668" s="162" t="s">
        <v>585</v>
      </c>
      <c r="B668" s="172" t="s">
        <v>665</v>
      </c>
      <c r="C668" s="172" t="s">
        <v>760</v>
      </c>
      <c r="D668" s="172"/>
      <c r="E668" s="106" t="n">
        <v>9</v>
      </c>
      <c r="F668" s="173" t="n">
        <v>48</v>
      </c>
      <c r="S668" s="167" t="n">
        <v>1500.656553</v>
      </c>
      <c r="T668" s="111" t="s">
        <v>246</v>
      </c>
      <c r="Y668" s="167" t="n">
        <v>600.42</v>
      </c>
      <c r="Z668" s="111" t="s">
        <v>246</v>
      </c>
      <c r="AA668" s="167" t="n">
        <v>62571.09</v>
      </c>
      <c r="AB668" s="111" t="s">
        <v>246</v>
      </c>
      <c r="AC668" s="164" t="n">
        <v>30.95</v>
      </c>
      <c r="AD668" s="111" t="s">
        <v>246</v>
      </c>
      <c r="AG668" s="167" t="n">
        <v>4.95</v>
      </c>
      <c r="AH668" s="111" t="s">
        <v>246</v>
      </c>
      <c r="AM668" s="167"/>
      <c r="BS668" s="167" t="n">
        <v>48.49</v>
      </c>
      <c r="BT668" s="111" t="s">
        <v>246</v>
      </c>
      <c r="BU668" s="164" t="n">
        <v>19.4</v>
      </c>
      <c r="BV668" s="111" t="s">
        <v>246</v>
      </c>
    </row>
    <row r="669" customFormat="false" ht="12.75" hidden="false" customHeight="false" outlineLevel="0" collapsed="false">
      <c r="A669" s="162" t="s">
        <v>585</v>
      </c>
      <c r="B669" s="172" t="s">
        <v>668</v>
      </c>
      <c r="C669" s="172" t="s">
        <v>760</v>
      </c>
      <c r="D669" s="172"/>
      <c r="E669" s="106" t="n">
        <v>13</v>
      </c>
      <c r="F669" s="173" t="n">
        <v>51</v>
      </c>
      <c r="S669" s="167" t="n">
        <v>1547.94494</v>
      </c>
      <c r="T669" s="111" t="s">
        <v>246</v>
      </c>
      <c r="Y669" s="167" t="n">
        <v>718.43</v>
      </c>
      <c r="Z669" s="111" t="s">
        <v>246</v>
      </c>
      <c r="AA669" s="167" t="n">
        <v>78547.02</v>
      </c>
      <c r="AB669" s="111" t="s">
        <v>246</v>
      </c>
      <c r="AC669" s="164" t="n">
        <v>33.6</v>
      </c>
      <c r="AD669" s="111" t="s">
        <v>246</v>
      </c>
      <c r="AG669" s="167" t="n">
        <v>4.28</v>
      </c>
      <c r="AH669" s="111" t="s">
        <v>246</v>
      </c>
      <c r="AM669" s="167"/>
      <c r="BS669" s="167" t="n">
        <v>46.07</v>
      </c>
      <c r="BT669" s="111" t="s">
        <v>246</v>
      </c>
      <c r="BU669" s="164" t="n">
        <v>21.38</v>
      </c>
      <c r="BV669" s="111" t="s">
        <v>246</v>
      </c>
    </row>
    <row r="670" customFormat="false" ht="12.75" hidden="false" customHeight="false" outlineLevel="0" collapsed="false">
      <c r="A670" s="162" t="s">
        <v>585</v>
      </c>
      <c r="B670" s="172" t="s">
        <v>665</v>
      </c>
      <c r="C670" s="172" t="s">
        <v>761</v>
      </c>
      <c r="D670" s="172"/>
      <c r="E670" s="106" t="n">
        <v>16</v>
      </c>
      <c r="F670" s="173" t="n">
        <v>27</v>
      </c>
      <c r="S670" s="167" t="n">
        <v>1308.988176</v>
      </c>
      <c r="T670" s="111" t="s">
        <v>246</v>
      </c>
      <c r="Y670" s="167" t="n">
        <v>628.45</v>
      </c>
      <c r="Z670" s="111" t="s">
        <v>246</v>
      </c>
      <c r="AA670" s="167" t="n">
        <v>65184.82</v>
      </c>
      <c r="AB670" s="111" t="s">
        <v>246</v>
      </c>
      <c r="AC670" s="164" t="n">
        <v>28.76</v>
      </c>
      <c r="AD670" s="111" t="s">
        <v>246</v>
      </c>
      <c r="AG670" s="167" t="n">
        <v>4.41</v>
      </c>
      <c r="AH670" s="111" t="s">
        <v>246</v>
      </c>
      <c r="AM670" s="167"/>
      <c r="BS670" s="167" t="n">
        <v>45.51</v>
      </c>
      <c r="BT670" s="111" t="s">
        <v>246</v>
      </c>
      <c r="BU670" s="164" t="n">
        <v>21.85</v>
      </c>
      <c r="BV670" s="111" t="s">
        <v>246</v>
      </c>
    </row>
    <row r="671" customFormat="false" ht="12.75" hidden="false" customHeight="false" outlineLevel="0" collapsed="false">
      <c r="A671" s="162" t="s">
        <v>585</v>
      </c>
      <c r="B671" s="172" t="s">
        <v>668</v>
      </c>
      <c r="C671" s="172" t="s">
        <v>761</v>
      </c>
      <c r="D671" s="172"/>
      <c r="E671" s="106" t="n">
        <v>17</v>
      </c>
      <c r="F671" s="173" t="n">
        <v>25</v>
      </c>
      <c r="S671" s="167" t="n">
        <v>1474.776881</v>
      </c>
      <c r="T671" s="111" t="s">
        <v>246</v>
      </c>
      <c r="Y671" s="167" t="n">
        <v>740.06</v>
      </c>
      <c r="Z671" s="111" t="s">
        <v>246</v>
      </c>
      <c r="AA671" s="167" t="n">
        <v>77926.97</v>
      </c>
      <c r="AB671" s="111" t="s">
        <v>246</v>
      </c>
      <c r="AC671" s="164" t="n">
        <v>32.68</v>
      </c>
      <c r="AD671" s="111" t="s">
        <v>246</v>
      </c>
      <c r="AG671" s="167" t="n">
        <v>4.19</v>
      </c>
      <c r="AH671" s="111" t="s">
        <v>246</v>
      </c>
      <c r="AM671" s="167"/>
      <c r="BS671" s="167" t="n">
        <v>45.12</v>
      </c>
      <c r="BT671" s="111" t="s">
        <v>246</v>
      </c>
      <c r="BU671" s="164" t="n">
        <v>22.64</v>
      </c>
      <c r="BV671" s="111" t="s">
        <v>246</v>
      </c>
    </row>
    <row r="672" customFormat="false" ht="12.75" hidden="false" customHeight="false" outlineLevel="0" collapsed="false">
      <c r="A672" s="162" t="s">
        <v>585</v>
      </c>
      <c r="B672" s="172" t="s">
        <v>665</v>
      </c>
      <c r="C672" s="172" t="s">
        <v>762</v>
      </c>
      <c r="D672" s="172"/>
      <c r="E672" s="106" t="n">
        <v>18</v>
      </c>
      <c r="F672" s="173" t="n">
        <v>1</v>
      </c>
      <c r="S672" s="167" t="n">
        <v>1459.835198</v>
      </c>
      <c r="T672" s="111" t="s">
        <v>246</v>
      </c>
      <c r="Y672" s="167" t="n">
        <v>630.29</v>
      </c>
      <c r="Z672" s="111" t="s">
        <v>246</v>
      </c>
      <c r="AA672" s="167" t="n">
        <v>64975.46</v>
      </c>
      <c r="AB672" s="111" t="s">
        <v>246</v>
      </c>
      <c r="AC672" s="164" t="n">
        <v>31.12</v>
      </c>
      <c r="AD672" s="111" t="s">
        <v>246</v>
      </c>
      <c r="AG672" s="167" t="n">
        <v>4.79</v>
      </c>
      <c r="AH672" s="111" t="s">
        <v>246</v>
      </c>
      <c r="AM672" s="167"/>
      <c r="BS672" s="167" t="n">
        <v>46.91</v>
      </c>
      <c r="BT672" s="111" t="s">
        <v>246</v>
      </c>
      <c r="BU672" s="164" t="n">
        <v>20.25</v>
      </c>
      <c r="BV672" s="111" t="s">
        <v>246</v>
      </c>
    </row>
    <row r="673" customFormat="false" ht="12.75" hidden="false" customHeight="false" outlineLevel="0" collapsed="false">
      <c r="A673" s="162" t="s">
        <v>585</v>
      </c>
      <c r="B673" s="172" t="s">
        <v>668</v>
      </c>
      <c r="C673" s="172" t="s">
        <v>762</v>
      </c>
      <c r="D673" s="172"/>
      <c r="E673" s="106" t="n">
        <v>1</v>
      </c>
      <c r="F673" s="173" t="n">
        <v>17</v>
      </c>
      <c r="S673" s="167" t="n">
        <v>1371.807702</v>
      </c>
      <c r="T673" s="111" t="s">
        <v>246</v>
      </c>
      <c r="Y673" s="167" t="n">
        <v>680.3</v>
      </c>
      <c r="Z673" s="111" t="s">
        <v>246</v>
      </c>
      <c r="AA673" s="167" t="n">
        <v>79705.32</v>
      </c>
      <c r="AB673" s="111" t="s">
        <v>246</v>
      </c>
      <c r="AC673" s="164" t="n">
        <v>30.4</v>
      </c>
      <c r="AD673" s="111" t="s">
        <v>246</v>
      </c>
      <c r="AG673" s="167" t="n">
        <v>3.81</v>
      </c>
      <c r="AH673" s="111" t="s">
        <v>246</v>
      </c>
      <c r="AM673" s="167"/>
      <c r="BS673" s="167" t="n">
        <v>45.13</v>
      </c>
      <c r="BT673" s="111" t="s">
        <v>246</v>
      </c>
      <c r="BU673" s="164" t="n">
        <v>22.38</v>
      </c>
      <c r="BV673" s="111" t="s">
        <v>246</v>
      </c>
    </row>
    <row r="674" customFormat="false" ht="12.75" hidden="false" customHeight="false" outlineLevel="0" collapsed="false">
      <c r="A674" s="162" t="s">
        <v>587</v>
      </c>
      <c r="B674" s="172" t="s">
        <v>665</v>
      </c>
      <c r="C674" s="172" t="s">
        <v>758</v>
      </c>
      <c r="D674" s="172"/>
      <c r="E674" s="106" t="n">
        <v>6</v>
      </c>
      <c r="F674" s="173" t="n">
        <v>41</v>
      </c>
      <c r="S674" s="167" t="n">
        <v>1687.772282</v>
      </c>
      <c r="T674" s="111" t="s">
        <v>246</v>
      </c>
      <c r="Y674" s="167" t="n">
        <v>735.87</v>
      </c>
      <c r="Z674" s="111" t="s">
        <v>246</v>
      </c>
      <c r="AA674" s="167" t="n">
        <v>69549.05</v>
      </c>
      <c r="AB674" s="111" t="s">
        <v>246</v>
      </c>
      <c r="AC674" s="164" t="n">
        <v>34.77</v>
      </c>
      <c r="AD674" s="111" t="s">
        <v>246</v>
      </c>
      <c r="AG674" s="167" t="n">
        <v>5</v>
      </c>
      <c r="AH674" s="111" t="s">
        <v>246</v>
      </c>
      <c r="AM674" s="167"/>
      <c r="BS674" s="167" t="n">
        <v>48.53</v>
      </c>
      <c r="BT674" s="111" t="s">
        <v>246</v>
      </c>
      <c r="BU674" s="164" t="n">
        <v>21.16</v>
      </c>
      <c r="BV674" s="111" t="s">
        <v>246</v>
      </c>
    </row>
    <row r="675" customFormat="false" ht="12.75" hidden="false" customHeight="false" outlineLevel="0" collapsed="false">
      <c r="A675" s="162" t="s">
        <v>587</v>
      </c>
      <c r="B675" s="172" t="s">
        <v>668</v>
      </c>
      <c r="C675" s="172" t="s">
        <v>758</v>
      </c>
      <c r="D675" s="172"/>
      <c r="E675" s="106" t="n">
        <v>5</v>
      </c>
      <c r="F675" s="173" t="n">
        <v>25</v>
      </c>
      <c r="S675" s="167" t="n">
        <v>1608.304714</v>
      </c>
      <c r="T675" s="111" t="s">
        <v>246</v>
      </c>
      <c r="Y675" s="167" t="n">
        <v>726.32</v>
      </c>
      <c r="Z675" s="111" t="s">
        <v>246</v>
      </c>
      <c r="AA675" s="167" t="n">
        <v>69361.23</v>
      </c>
      <c r="AB675" s="111" t="s">
        <v>246</v>
      </c>
      <c r="AC675" s="164" t="n">
        <v>33.55</v>
      </c>
      <c r="AD675" s="111" t="s">
        <v>246</v>
      </c>
      <c r="AG675" s="167" t="n">
        <v>4.84</v>
      </c>
      <c r="AH675" s="111" t="s">
        <v>246</v>
      </c>
      <c r="AM675" s="167"/>
      <c r="BS675" s="167" t="n">
        <v>47.94</v>
      </c>
      <c r="BT675" s="111" t="s">
        <v>246</v>
      </c>
      <c r="BU675" s="164" t="n">
        <v>21.65</v>
      </c>
      <c r="BV675" s="111" t="s">
        <v>246</v>
      </c>
    </row>
    <row r="676" customFormat="false" ht="12.75" hidden="false" customHeight="false" outlineLevel="0" collapsed="false">
      <c r="A676" s="162" t="s">
        <v>587</v>
      </c>
      <c r="B676" s="172" t="s">
        <v>665</v>
      </c>
      <c r="C676" s="172" t="s">
        <v>760</v>
      </c>
      <c r="D676" s="172"/>
      <c r="E676" s="106" t="n">
        <v>12</v>
      </c>
      <c r="F676" s="173" t="n">
        <v>22</v>
      </c>
      <c r="S676" s="167" t="n">
        <v>1448.377299</v>
      </c>
      <c r="T676" s="111" t="s">
        <v>246</v>
      </c>
      <c r="Y676" s="167" t="n">
        <v>618.35</v>
      </c>
      <c r="Z676" s="111" t="s">
        <v>246</v>
      </c>
      <c r="AA676" s="167" t="n">
        <v>57413.76</v>
      </c>
      <c r="AB676" s="111" t="s">
        <v>246</v>
      </c>
      <c r="AC676" s="164" t="n">
        <v>29.7</v>
      </c>
      <c r="AD676" s="111" t="s">
        <v>246</v>
      </c>
      <c r="AG676" s="167" t="n">
        <v>5.17</v>
      </c>
      <c r="AH676" s="111" t="s">
        <v>246</v>
      </c>
      <c r="AM676" s="167"/>
      <c r="BS676" s="167" t="n">
        <v>48.77</v>
      </c>
      <c r="BT676" s="111" t="s">
        <v>246</v>
      </c>
      <c r="BU676" s="164" t="n">
        <v>20.82</v>
      </c>
      <c r="BV676" s="111" t="s">
        <v>246</v>
      </c>
    </row>
    <row r="677" customFormat="false" ht="12.75" hidden="false" customHeight="false" outlineLevel="0" collapsed="false">
      <c r="A677" s="162" t="s">
        <v>587</v>
      </c>
      <c r="B677" s="172" t="s">
        <v>668</v>
      </c>
      <c r="C677" s="172" t="s">
        <v>760</v>
      </c>
      <c r="D677" s="172"/>
      <c r="E677" s="106" t="n">
        <v>10</v>
      </c>
      <c r="F677" s="173" t="n">
        <v>34</v>
      </c>
      <c r="S677" s="167" t="n">
        <v>1567.222414</v>
      </c>
      <c r="T677" s="111" t="s">
        <v>246</v>
      </c>
      <c r="Y677" s="167" t="n">
        <v>742.09</v>
      </c>
      <c r="Z677" s="111" t="s">
        <v>246</v>
      </c>
      <c r="AA677" s="167" t="n">
        <v>71045.24</v>
      </c>
      <c r="AB677" s="111" t="s">
        <v>246</v>
      </c>
      <c r="AC677" s="164" t="n">
        <v>33.41</v>
      </c>
      <c r="AD677" s="111" t="s">
        <v>246</v>
      </c>
      <c r="AG677" s="167" t="n">
        <v>4.7</v>
      </c>
      <c r="AH677" s="111" t="s">
        <v>246</v>
      </c>
      <c r="AM677" s="167"/>
      <c r="BS677" s="167" t="n">
        <v>46.91</v>
      </c>
      <c r="BT677" s="111" t="s">
        <v>246</v>
      </c>
      <c r="BU677" s="164" t="n">
        <v>22.21</v>
      </c>
      <c r="BV677" s="111" t="s">
        <v>246</v>
      </c>
    </row>
    <row r="678" customFormat="false" ht="12.75" hidden="false" customHeight="false" outlineLevel="0" collapsed="false">
      <c r="A678" s="162" t="s">
        <v>587</v>
      </c>
      <c r="B678" s="172" t="s">
        <v>665</v>
      </c>
      <c r="C678" s="172" t="s">
        <v>761</v>
      </c>
      <c r="D678" s="172"/>
      <c r="E678" s="106" t="n">
        <v>14</v>
      </c>
      <c r="F678" s="173" t="n">
        <v>63</v>
      </c>
      <c r="S678" s="167" t="n">
        <v>1698.421657</v>
      </c>
      <c r="T678" s="111" t="s">
        <v>246</v>
      </c>
      <c r="Y678" s="167" t="n">
        <v>793.06</v>
      </c>
      <c r="Z678" s="111" t="s">
        <v>246</v>
      </c>
      <c r="AA678" s="167" t="n">
        <v>70199.2</v>
      </c>
      <c r="AB678" s="111" t="s">
        <v>246</v>
      </c>
      <c r="AC678" s="164" t="n">
        <v>36.27</v>
      </c>
      <c r="AD678" s="111" t="s">
        <v>246</v>
      </c>
      <c r="AG678" s="167" t="n">
        <v>5.17</v>
      </c>
      <c r="AH678" s="111" t="s">
        <v>246</v>
      </c>
      <c r="AM678" s="167"/>
      <c r="BS678" s="167" t="n">
        <v>46.83</v>
      </c>
      <c r="BT678" s="111" t="s">
        <v>246</v>
      </c>
      <c r="BU678" s="164" t="n">
        <v>21.87</v>
      </c>
      <c r="BV678" s="111" t="s">
        <v>246</v>
      </c>
    </row>
    <row r="679" customFormat="false" ht="12.75" hidden="false" customHeight="false" outlineLevel="0" collapsed="false">
      <c r="A679" s="162" t="s">
        <v>587</v>
      </c>
      <c r="B679" s="172" t="s">
        <v>668</v>
      </c>
      <c r="C679" s="172" t="s">
        <v>761</v>
      </c>
      <c r="D679" s="172"/>
      <c r="E679" s="106" t="n">
        <v>14</v>
      </c>
      <c r="F679" s="173" t="n">
        <v>32</v>
      </c>
      <c r="S679" s="167" t="n">
        <v>1538.923629</v>
      </c>
      <c r="T679" s="111" t="s">
        <v>246</v>
      </c>
      <c r="Y679" s="167" t="n">
        <v>735.97</v>
      </c>
      <c r="Z679" s="111" t="s">
        <v>246</v>
      </c>
      <c r="AA679" s="167" t="n">
        <v>72410.07</v>
      </c>
      <c r="AB679" s="111" t="s">
        <v>246</v>
      </c>
      <c r="AC679" s="164" t="n">
        <v>32.89</v>
      </c>
      <c r="AD679" s="111" t="s">
        <v>246</v>
      </c>
      <c r="AG679" s="167" t="n">
        <v>4.54</v>
      </c>
      <c r="AH679" s="111" t="s">
        <v>246</v>
      </c>
      <c r="AM679" s="167"/>
      <c r="BS679" s="167" t="n">
        <v>46.79</v>
      </c>
      <c r="BT679" s="111" t="s">
        <v>246</v>
      </c>
      <c r="BU679" s="164" t="n">
        <v>22.38</v>
      </c>
      <c r="BV679" s="111" t="s">
        <v>246</v>
      </c>
    </row>
    <row r="680" customFormat="false" ht="12.75" hidden="false" customHeight="false" outlineLevel="0" collapsed="false">
      <c r="A680" s="162" t="s">
        <v>587</v>
      </c>
      <c r="B680" s="172" t="s">
        <v>665</v>
      </c>
      <c r="C680" s="172" t="s">
        <v>762</v>
      </c>
      <c r="D680" s="172"/>
      <c r="E680" s="106" t="n">
        <v>21</v>
      </c>
      <c r="F680" s="173" t="n">
        <v>8</v>
      </c>
      <c r="S680" s="167" t="n">
        <v>1503.894011</v>
      </c>
      <c r="T680" s="111" t="s">
        <v>246</v>
      </c>
      <c r="Y680" s="167" t="n">
        <v>726.62</v>
      </c>
      <c r="Z680" s="111" t="s">
        <v>246</v>
      </c>
      <c r="AA680" s="167" t="n">
        <v>65432.4</v>
      </c>
      <c r="AB680" s="111" t="s">
        <v>246</v>
      </c>
      <c r="AC680" s="164" t="n">
        <v>32.3</v>
      </c>
      <c r="AD680" s="111" t="s">
        <v>246</v>
      </c>
      <c r="AG680" s="167" t="n">
        <v>4.94</v>
      </c>
      <c r="AH680" s="111" t="s">
        <v>246</v>
      </c>
      <c r="AM680" s="167"/>
      <c r="BS680" s="167" t="n">
        <v>46.56</v>
      </c>
      <c r="BT680" s="111" t="s">
        <v>246</v>
      </c>
      <c r="BU680" s="164" t="n">
        <v>22.5</v>
      </c>
      <c r="BV680" s="111" t="s">
        <v>246</v>
      </c>
    </row>
    <row r="681" customFormat="false" ht="12.75" hidden="false" customHeight="false" outlineLevel="0" collapsed="false">
      <c r="A681" s="162" t="s">
        <v>587</v>
      </c>
      <c r="B681" s="172" t="s">
        <v>668</v>
      </c>
      <c r="C681" s="172" t="s">
        <v>762</v>
      </c>
      <c r="D681" s="172"/>
      <c r="E681" s="106" t="n">
        <v>3</v>
      </c>
      <c r="F681" s="173" t="n">
        <v>14</v>
      </c>
      <c r="S681" s="167" t="n">
        <v>1756.331837</v>
      </c>
      <c r="T681" s="111" t="s">
        <v>246</v>
      </c>
      <c r="Y681" s="167" t="n">
        <v>885.98</v>
      </c>
      <c r="Z681" s="111" t="s">
        <v>246</v>
      </c>
      <c r="AA681" s="167" t="n">
        <v>76339.08</v>
      </c>
      <c r="AB681" s="111" t="s">
        <v>246</v>
      </c>
      <c r="AC681" s="164" t="n">
        <v>38.09</v>
      </c>
      <c r="AD681" s="111" t="s">
        <v>246</v>
      </c>
      <c r="AG681" s="167" t="n">
        <v>4.99</v>
      </c>
      <c r="AH681" s="111" t="s">
        <v>246</v>
      </c>
      <c r="AM681" s="167"/>
      <c r="BS681" s="167" t="n">
        <v>46.11</v>
      </c>
      <c r="BT681" s="111" t="s">
        <v>246</v>
      </c>
      <c r="BU681" s="164" t="n">
        <v>23.26</v>
      </c>
      <c r="BV681" s="111" t="s">
        <v>246</v>
      </c>
    </row>
    <row r="682" customFormat="false" ht="12.75" hidden="false" customHeight="false" outlineLevel="0" collapsed="false">
      <c r="A682" s="162" t="s">
        <v>589</v>
      </c>
      <c r="B682" s="172" t="s">
        <v>665</v>
      </c>
      <c r="C682" s="172" t="s">
        <v>758</v>
      </c>
      <c r="D682" s="172"/>
      <c r="E682" s="106" t="n">
        <v>6</v>
      </c>
      <c r="F682" s="173" t="n">
        <v>42</v>
      </c>
      <c r="S682" s="167" t="n">
        <v>1922.835611</v>
      </c>
      <c r="T682" s="111" t="s">
        <v>246</v>
      </c>
      <c r="Y682" s="167" t="n">
        <v>806.06</v>
      </c>
      <c r="Z682" s="111" t="s">
        <v>246</v>
      </c>
      <c r="AA682" s="167" t="n">
        <v>76562.87</v>
      </c>
      <c r="AB682" s="111" t="s">
        <v>246</v>
      </c>
      <c r="AC682" s="164" t="n">
        <v>39.64</v>
      </c>
      <c r="AD682" s="111" t="s">
        <v>246</v>
      </c>
      <c r="AG682" s="167" t="n">
        <v>5.18</v>
      </c>
      <c r="AH682" s="111" t="s">
        <v>246</v>
      </c>
      <c r="AM682" s="167"/>
      <c r="BS682" s="167" t="n">
        <v>48.51</v>
      </c>
      <c r="BT682" s="111" t="s">
        <v>246</v>
      </c>
      <c r="BU682" s="164" t="n">
        <v>20.33</v>
      </c>
      <c r="BV682" s="111" t="s">
        <v>246</v>
      </c>
    </row>
    <row r="683" customFormat="false" ht="12.75" hidden="false" customHeight="false" outlineLevel="0" collapsed="false">
      <c r="A683" s="162" t="s">
        <v>589</v>
      </c>
      <c r="B683" s="172" t="s">
        <v>668</v>
      </c>
      <c r="C683" s="172" t="s">
        <v>758</v>
      </c>
      <c r="D683" s="172"/>
      <c r="E683" s="106" t="n">
        <v>6</v>
      </c>
      <c r="F683" s="173" t="n">
        <v>26</v>
      </c>
      <c r="S683" s="167" t="n">
        <v>1770.57126</v>
      </c>
      <c r="T683" s="111" t="s">
        <v>246</v>
      </c>
      <c r="Y683" s="167" t="n">
        <v>816.9</v>
      </c>
      <c r="Z683" s="111" t="s">
        <v>246</v>
      </c>
      <c r="AA683" s="167" t="n">
        <v>75948.48</v>
      </c>
      <c r="AB683" s="111" t="s">
        <v>246</v>
      </c>
      <c r="AC683" s="164" t="n">
        <v>37.56</v>
      </c>
      <c r="AD683" s="111" t="s">
        <v>246</v>
      </c>
      <c r="AG683" s="167" t="n">
        <v>4.95</v>
      </c>
      <c r="AH683" s="111" t="s">
        <v>246</v>
      </c>
      <c r="AM683" s="167"/>
      <c r="BS683" s="167" t="n">
        <v>47.14</v>
      </c>
      <c r="BT683" s="111" t="s">
        <v>246</v>
      </c>
      <c r="BU683" s="164" t="n">
        <v>21.75</v>
      </c>
      <c r="BV683" s="111" t="s">
        <v>246</v>
      </c>
    </row>
    <row r="684" customFormat="false" ht="12.75" hidden="false" customHeight="false" outlineLevel="0" collapsed="false">
      <c r="A684" s="162" t="s">
        <v>589</v>
      </c>
      <c r="B684" s="172" t="s">
        <v>665</v>
      </c>
      <c r="C684" s="172" t="s">
        <v>760</v>
      </c>
      <c r="D684" s="172"/>
      <c r="E684" s="106" t="n">
        <v>11</v>
      </c>
      <c r="F684" s="173" t="n">
        <v>3</v>
      </c>
      <c r="S684" s="167" t="n">
        <v>1700.277855</v>
      </c>
      <c r="T684" s="111" t="s">
        <v>246</v>
      </c>
      <c r="Y684" s="167" t="n">
        <v>725.37</v>
      </c>
      <c r="Z684" s="111" t="s">
        <v>246</v>
      </c>
      <c r="AA684" s="167" t="n">
        <v>68654.27</v>
      </c>
      <c r="AB684" s="111" t="s">
        <v>246</v>
      </c>
      <c r="AC684" s="164" t="n">
        <v>35.28</v>
      </c>
      <c r="AD684" s="111" t="s">
        <v>246</v>
      </c>
      <c r="AG684" s="167" t="n">
        <v>5.14</v>
      </c>
      <c r="AH684" s="111" t="s">
        <v>246</v>
      </c>
      <c r="AM684" s="167"/>
      <c r="BS684" s="167" t="n">
        <v>48.19</v>
      </c>
      <c r="BT684" s="111" t="s">
        <v>246</v>
      </c>
      <c r="BU684" s="164" t="n">
        <v>20.56</v>
      </c>
      <c r="BV684" s="111" t="s">
        <v>246</v>
      </c>
    </row>
    <row r="685" customFormat="false" ht="12.75" hidden="false" customHeight="false" outlineLevel="0" collapsed="false">
      <c r="A685" s="162" t="s">
        <v>589</v>
      </c>
      <c r="B685" s="172" t="s">
        <v>668</v>
      </c>
      <c r="C685" s="172" t="s">
        <v>760</v>
      </c>
      <c r="D685" s="172"/>
      <c r="E685" s="106" t="n">
        <v>11</v>
      </c>
      <c r="F685" s="173" t="n">
        <v>61</v>
      </c>
      <c r="S685" s="167" t="n">
        <v>1806.22046</v>
      </c>
      <c r="T685" s="111" t="s">
        <v>246</v>
      </c>
      <c r="Y685" s="167" t="n">
        <v>817.93</v>
      </c>
      <c r="Z685" s="111" t="s">
        <v>246</v>
      </c>
      <c r="AA685" s="167" t="n">
        <v>81144.31</v>
      </c>
      <c r="AB685" s="111" t="s">
        <v>246</v>
      </c>
      <c r="AC685" s="164" t="n">
        <v>38.38</v>
      </c>
      <c r="AD685" s="111" t="s">
        <v>246</v>
      </c>
      <c r="AG685" s="167" t="n">
        <v>4.73</v>
      </c>
      <c r="AH685" s="111" t="s">
        <v>246</v>
      </c>
      <c r="AM685" s="167"/>
      <c r="BS685" s="167" t="n">
        <v>47.06</v>
      </c>
      <c r="BT685" s="111" t="s">
        <v>246</v>
      </c>
      <c r="BU685" s="164" t="n">
        <v>21.31</v>
      </c>
      <c r="BV685" s="111" t="s">
        <v>246</v>
      </c>
    </row>
    <row r="686" customFormat="false" ht="12.75" hidden="false" customHeight="false" outlineLevel="0" collapsed="false">
      <c r="A686" s="162" t="s">
        <v>589</v>
      </c>
      <c r="B686" s="172" t="s">
        <v>665</v>
      </c>
      <c r="C686" s="172" t="s">
        <v>761</v>
      </c>
      <c r="D686" s="172"/>
      <c r="E686" s="106" t="n">
        <v>16</v>
      </c>
      <c r="F686" s="173" t="n">
        <v>50</v>
      </c>
      <c r="S686" s="167" t="n">
        <v>1479.71433</v>
      </c>
      <c r="T686" s="111" t="s">
        <v>246</v>
      </c>
      <c r="Y686" s="167" t="n">
        <v>691.15</v>
      </c>
      <c r="Z686" s="111" t="s">
        <v>246</v>
      </c>
      <c r="AA686" s="167" t="n">
        <v>62393.26</v>
      </c>
      <c r="AB686" s="111" t="s">
        <v>246</v>
      </c>
      <c r="AC686" s="164" t="n">
        <v>31.78</v>
      </c>
      <c r="AD686" s="111" t="s">
        <v>246</v>
      </c>
      <c r="AG686" s="167" t="n">
        <v>5.09</v>
      </c>
      <c r="AH686" s="111" t="s">
        <v>246</v>
      </c>
      <c r="AM686" s="167"/>
      <c r="BS686" s="167" t="n">
        <v>46.56</v>
      </c>
      <c r="BT686" s="111" t="s">
        <v>246</v>
      </c>
      <c r="BU686" s="164" t="n">
        <v>21.75</v>
      </c>
      <c r="BV686" s="111" t="s">
        <v>246</v>
      </c>
    </row>
    <row r="687" customFormat="false" ht="12.75" hidden="false" customHeight="false" outlineLevel="0" collapsed="false">
      <c r="A687" s="162" t="s">
        <v>589</v>
      </c>
      <c r="B687" s="172" t="s">
        <v>668</v>
      </c>
      <c r="C687" s="172" t="s">
        <v>761</v>
      </c>
      <c r="D687" s="172"/>
      <c r="E687" s="106" t="n">
        <v>14</v>
      </c>
      <c r="F687" s="173" t="n">
        <v>5</v>
      </c>
      <c r="S687" s="167" t="n">
        <v>1249.370179</v>
      </c>
      <c r="T687" s="111" t="s">
        <v>246</v>
      </c>
      <c r="Y687" s="167" t="n">
        <v>587.1</v>
      </c>
      <c r="Z687" s="111" t="s">
        <v>246</v>
      </c>
      <c r="AA687" s="167" t="n">
        <v>55390.57</v>
      </c>
      <c r="AB687" s="111" t="s">
        <v>246</v>
      </c>
      <c r="AC687" s="164" t="n">
        <v>26.82</v>
      </c>
      <c r="AD687" s="111" t="s">
        <v>246</v>
      </c>
      <c r="AG687" s="167" t="n">
        <v>4.84</v>
      </c>
      <c r="AH687" s="111" t="s">
        <v>246</v>
      </c>
      <c r="AM687" s="167"/>
      <c r="BS687" s="167" t="n">
        <v>46.58</v>
      </c>
      <c r="BT687" s="111" t="s">
        <v>246</v>
      </c>
      <c r="BU687" s="164" t="n">
        <v>21.89</v>
      </c>
      <c r="BV687" s="111" t="s">
        <v>246</v>
      </c>
    </row>
    <row r="688" customFormat="false" ht="12.75" hidden="false" customHeight="false" outlineLevel="0" collapsed="false">
      <c r="A688" s="162" t="s">
        <v>589</v>
      </c>
      <c r="B688" s="172" t="s">
        <v>665</v>
      </c>
      <c r="C688" s="172" t="s">
        <v>762</v>
      </c>
      <c r="D688" s="172"/>
      <c r="E688" s="106" t="n">
        <v>18</v>
      </c>
      <c r="F688" s="173" t="n">
        <v>3</v>
      </c>
      <c r="S688" s="167" t="n">
        <v>1715.104025</v>
      </c>
      <c r="T688" s="111" t="s">
        <v>246</v>
      </c>
      <c r="Y688" s="167" t="n">
        <v>734.92</v>
      </c>
      <c r="Z688" s="111" t="s">
        <v>246</v>
      </c>
      <c r="AA688" s="167" t="n">
        <v>71113.85</v>
      </c>
      <c r="AB688" s="111" t="s">
        <v>246</v>
      </c>
      <c r="AC688" s="164" t="n">
        <v>35.83</v>
      </c>
      <c r="AD688" s="111" t="s">
        <v>246</v>
      </c>
      <c r="AG688" s="167" t="n">
        <v>5.04</v>
      </c>
      <c r="AH688" s="111" t="s">
        <v>246</v>
      </c>
      <c r="AM688" s="167"/>
      <c r="BS688" s="167" t="n">
        <v>47.87</v>
      </c>
      <c r="BT688" s="111" t="s">
        <v>246</v>
      </c>
      <c r="BU688" s="164" t="n">
        <v>20.51</v>
      </c>
      <c r="BV688" s="111" t="s">
        <v>246</v>
      </c>
    </row>
    <row r="689" customFormat="false" ht="12.75" hidden="false" customHeight="false" outlineLevel="0" collapsed="false">
      <c r="A689" s="162" t="s">
        <v>589</v>
      </c>
      <c r="B689" s="172" t="s">
        <v>668</v>
      </c>
      <c r="C689" s="172" t="s">
        <v>762</v>
      </c>
      <c r="D689" s="172"/>
      <c r="E689" s="106" t="n">
        <v>2</v>
      </c>
      <c r="F689" s="173" t="n">
        <v>20</v>
      </c>
      <c r="S689" s="167" t="n">
        <v>1131.177562</v>
      </c>
      <c r="T689" s="111" t="s">
        <v>246</v>
      </c>
      <c r="Y689" s="167" t="n">
        <v>600.73</v>
      </c>
      <c r="Z689" s="111" t="s">
        <v>246</v>
      </c>
      <c r="AA689" s="167" t="n">
        <v>56972.45</v>
      </c>
      <c r="AB689" s="111" t="s">
        <v>246</v>
      </c>
      <c r="AC689" s="164" t="n">
        <v>25.78</v>
      </c>
      <c r="AD689" s="111" t="s">
        <v>246</v>
      </c>
      <c r="AG689" s="167" t="n">
        <v>4.52</v>
      </c>
      <c r="AH689" s="111" t="s">
        <v>246</v>
      </c>
      <c r="AM689" s="167"/>
      <c r="BS689" s="167" t="n">
        <v>43.88</v>
      </c>
      <c r="BT689" s="111" t="s">
        <v>246</v>
      </c>
      <c r="BU689" s="164" t="n">
        <v>23.3</v>
      </c>
      <c r="BV689" s="111" t="s">
        <v>246</v>
      </c>
    </row>
    <row r="690" customFormat="false" ht="12.75" hidden="false" customHeight="false" outlineLevel="0" collapsed="false">
      <c r="A690" s="162" t="s">
        <v>591</v>
      </c>
      <c r="B690" s="172" t="s">
        <v>665</v>
      </c>
      <c r="C690" s="172" t="s">
        <v>758</v>
      </c>
      <c r="D690" s="172"/>
      <c r="E690" s="106" t="n">
        <v>8</v>
      </c>
      <c r="F690" s="173" t="n">
        <v>57</v>
      </c>
      <c r="S690" s="167" t="n">
        <v>1369.924921</v>
      </c>
      <c r="T690" s="111" t="s">
        <v>246</v>
      </c>
      <c r="Y690" s="167" t="n">
        <v>622.63</v>
      </c>
      <c r="Z690" s="111" t="s">
        <v>246</v>
      </c>
      <c r="AA690" s="167" t="n">
        <v>61368.03</v>
      </c>
      <c r="AB690" s="111" t="s">
        <v>246</v>
      </c>
      <c r="AC690" s="164" t="n">
        <v>29.26</v>
      </c>
      <c r="AD690" s="111" t="s">
        <v>246</v>
      </c>
      <c r="AG690" s="167" t="n">
        <v>4.77</v>
      </c>
      <c r="AH690" s="111" t="s">
        <v>246</v>
      </c>
      <c r="AM690" s="167"/>
      <c r="BS690" s="167" t="n">
        <v>46.81</v>
      </c>
      <c r="BT690" s="111" t="s">
        <v>246</v>
      </c>
      <c r="BU690" s="164" t="n">
        <v>21.28</v>
      </c>
      <c r="BV690" s="111" t="s">
        <v>246</v>
      </c>
    </row>
    <row r="691" customFormat="false" ht="12.75" hidden="false" customHeight="false" outlineLevel="0" collapsed="false">
      <c r="A691" s="162" t="s">
        <v>591</v>
      </c>
      <c r="B691" s="172" t="s">
        <v>668</v>
      </c>
      <c r="C691" s="172" t="s">
        <v>758</v>
      </c>
      <c r="D691" s="172"/>
      <c r="E691" s="106" t="n">
        <v>7</v>
      </c>
      <c r="F691" s="173" t="n">
        <v>29</v>
      </c>
      <c r="S691" s="167" t="n">
        <v>1568.193759</v>
      </c>
      <c r="T691" s="111" t="s">
        <v>246</v>
      </c>
      <c r="Y691" s="167" t="n">
        <v>678.6</v>
      </c>
      <c r="Z691" s="111" t="s">
        <v>246</v>
      </c>
      <c r="AA691" s="167" t="n">
        <v>69646.78</v>
      </c>
      <c r="AB691" s="111" t="s">
        <v>246</v>
      </c>
      <c r="AC691" s="164" t="n">
        <v>32.65</v>
      </c>
      <c r="AD691" s="111" t="s">
        <v>246</v>
      </c>
      <c r="AG691" s="167" t="n">
        <v>4.69</v>
      </c>
      <c r="AH691" s="111" t="s">
        <v>246</v>
      </c>
      <c r="AM691" s="167"/>
      <c r="BS691" s="167" t="n">
        <v>48.03</v>
      </c>
      <c r="BT691" s="111" t="s">
        <v>246</v>
      </c>
      <c r="BU691" s="164" t="n">
        <v>20.78</v>
      </c>
      <c r="BV691" s="111" t="s">
        <v>246</v>
      </c>
    </row>
    <row r="692" customFormat="false" ht="12.75" hidden="false" customHeight="false" outlineLevel="0" collapsed="false">
      <c r="A692" s="162" t="s">
        <v>591</v>
      </c>
      <c r="B692" s="172" t="s">
        <v>665</v>
      </c>
      <c r="C692" s="172" t="s">
        <v>760</v>
      </c>
      <c r="D692" s="172"/>
      <c r="E692" s="106" t="n">
        <v>9</v>
      </c>
      <c r="F692" s="173" t="n">
        <v>12</v>
      </c>
      <c r="S692" s="167" t="n">
        <v>1515.465923</v>
      </c>
      <c r="T692" s="111" t="s">
        <v>246</v>
      </c>
      <c r="Y692" s="167" t="n">
        <v>657.05</v>
      </c>
      <c r="Z692" s="111" t="s">
        <v>246</v>
      </c>
      <c r="AA692" s="167" t="n">
        <v>65933.14</v>
      </c>
      <c r="AB692" s="111" t="s">
        <v>246</v>
      </c>
      <c r="AC692" s="164" t="n">
        <v>31.61</v>
      </c>
      <c r="AD692" s="111" t="s">
        <v>246</v>
      </c>
      <c r="AG692" s="167" t="n">
        <v>4.79</v>
      </c>
      <c r="AH692" s="111" t="s">
        <v>246</v>
      </c>
      <c r="AM692" s="167"/>
      <c r="BS692" s="167" t="n">
        <v>47.94</v>
      </c>
      <c r="BT692" s="111" t="s">
        <v>246</v>
      </c>
      <c r="BU692" s="164" t="n">
        <v>20.78</v>
      </c>
      <c r="BV692" s="111" t="s">
        <v>246</v>
      </c>
    </row>
    <row r="693" customFormat="false" ht="12.75" hidden="false" customHeight="false" outlineLevel="0" collapsed="false">
      <c r="A693" s="162" t="s">
        <v>591</v>
      </c>
      <c r="B693" s="172" t="s">
        <v>668</v>
      </c>
      <c r="C693" s="172" t="s">
        <v>760</v>
      </c>
      <c r="D693" s="172"/>
      <c r="E693" s="106" t="n">
        <v>9</v>
      </c>
      <c r="F693" s="173" t="n">
        <v>45</v>
      </c>
      <c r="S693" s="167" t="n">
        <v>1350.897086</v>
      </c>
      <c r="T693" s="111" t="s">
        <v>246</v>
      </c>
      <c r="Y693" s="167" t="n">
        <v>636.02</v>
      </c>
      <c r="Z693" s="111" t="s">
        <v>246</v>
      </c>
      <c r="AA693" s="167" t="n">
        <v>62405.12</v>
      </c>
      <c r="AB693" s="111" t="s">
        <v>246</v>
      </c>
      <c r="AC693" s="164" t="n">
        <v>29.22</v>
      </c>
      <c r="AD693" s="111" t="s">
        <v>246</v>
      </c>
      <c r="AG693" s="167" t="n">
        <v>4.68</v>
      </c>
      <c r="AH693" s="111" t="s">
        <v>246</v>
      </c>
      <c r="AM693" s="167"/>
      <c r="BS693" s="167" t="n">
        <v>46.24</v>
      </c>
      <c r="BT693" s="111" t="s">
        <v>246</v>
      </c>
      <c r="BU693" s="164" t="n">
        <v>21.77</v>
      </c>
      <c r="BV693" s="111" t="s">
        <v>246</v>
      </c>
    </row>
    <row r="694" customFormat="false" ht="12.75" hidden="false" customHeight="false" outlineLevel="0" collapsed="false">
      <c r="A694" s="162" t="s">
        <v>591</v>
      </c>
      <c r="B694" s="172" t="s">
        <v>665</v>
      </c>
      <c r="C694" s="172" t="s">
        <v>761</v>
      </c>
      <c r="D694" s="172"/>
      <c r="E694" s="106" t="n">
        <v>16</v>
      </c>
      <c r="F694" s="173" t="n">
        <v>55</v>
      </c>
      <c r="S694" s="167" t="n">
        <v>1259.081829</v>
      </c>
      <c r="T694" s="111" t="s">
        <v>246</v>
      </c>
      <c r="Y694" s="167" t="n">
        <v>553.53</v>
      </c>
      <c r="Z694" s="111" t="s">
        <v>246</v>
      </c>
      <c r="AA694" s="167" t="n">
        <v>56166.63</v>
      </c>
      <c r="AB694" s="111" t="s">
        <v>246</v>
      </c>
      <c r="AC694" s="164" t="n">
        <v>26.59</v>
      </c>
      <c r="AD694" s="111" t="s">
        <v>246</v>
      </c>
      <c r="AG694" s="167" t="n">
        <v>4.73</v>
      </c>
      <c r="AH694" s="111" t="s">
        <v>246</v>
      </c>
      <c r="AM694" s="167"/>
      <c r="BS694" s="167" t="n">
        <v>47.35</v>
      </c>
      <c r="BT694" s="111" t="s">
        <v>246</v>
      </c>
      <c r="BU694" s="164" t="n">
        <v>20.82</v>
      </c>
      <c r="BV694" s="111" t="s">
        <v>246</v>
      </c>
    </row>
    <row r="695" customFormat="false" ht="12.75" hidden="false" customHeight="false" outlineLevel="0" collapsed="false">
      <c r="A695" s="162" t="s">
        <v>591</v>
      </c>
      <c r="B695" s="172" t="s">
        <v>668</v>
      </c>
      <c r="C695" s="172" t="s">
        <v>761</v>
      </c>
      <c r="D695" s="172"/>
      <c r="E695" s="106" t="n">
        <v>16</v>
      </c>
      <c r="F695" s="173" t="n">
        <v>8</v>
      </c>
      <c r="S695" s="167" t="n">
        <v>1379.05203</v>
      </c>
      <c r="T695" s="111" t="s">
        <v>246</v>
      </c>
      <c r="Y695" s="167" t="n">
        <v>666.55</v>
      </c>
      <c r="Z695" s="111" t="s">
        <v>246</v>
      </c>
      <c r="AA695" s="167" t="n">
        <v>66694.67</v>
      </c>
      <c r="AB695" s="111" t="s">
        <v>246</v>
      </c>
      <c r="AC695" s="164" t="n">
        <v>29.96</v>
      </c>
      <c r="AD695" s="111" t="s">
        <v>246</v>
      </c>
      <c r="AG695" s="167" t="n">
        <v>4.49</v>
      </c>
      <c r="AH695" s="111" t="s">
        <v>246</v>
      </c>
      <c r="AM695" s="167"/>
      <c r="BS695" s="167" t="n">
        <v>46.03</v>
      </c>
      <c r="BT695" s="111" t="s">
        <v>246</v>
      </c>
      <c r="BU695" s="164" t="n">
        <v>22.25</v>
      </c>
      <c r="BV695" s="111" t="s">
        <v>246</v>
      </c>
    </row>
    <row r="696" customFormat="false" ht="12.75" hidden="false" customHeight="false" outlineLevel="0" collapsed="false">
      <c r="A696" s="162" t="s">
        <v>591</v>
      </c>
      <c r="B696" s="172" t="s">
        <v>665</v>
      </c>
      <c r="C696" s="172" t="s">
        <v>762</v>
      </c>
      <c r="D696" s="172"/>
      <c r="E696" s="106" t="n">
        <v>19</v>
      </c>
      <c r="F696" s="173" t="n">
        <v>22</v>
      </c>
      <c r="S696" s="167" t="n">
        <v>1326.859062</v>
      </c>
      <c r="T696" s="111" t="s">
        <v>246</v>
      </c>
      <c r="Y696" s="167" t="n">
        <v>601.61</v>
      </c>
      <c r="Z696" s="111" t="s">
        <v>246</v>
      </c>
      <c r="AA696" s="167" t="n">
        <v>62147.42</v>
      </c>
      <c r="AB696" s="111" t="s">
        <v>246</v>
      </c>
      <c r="AC696" s="164" t="n">
        <v>28.54</v>
      </c>
      <c r="AD696" s="111" t="s">
        <v>246</v>
      </c>
      <c r="AG696" s="167" t="n">
        <v>4.59</v>
      </c>
      <c r="AH696" s="111" t="s">
        <v>246</v>
      </c>
      <c r="AM696" s="167"/>
      <c r="BS696" s="167" t="n">
        <v>46.49</v>
      </c>
      <c r="BT696" s="111" t="s">
        <v>246</v>
      </c>
      <c r="BU696" s="164" t="n">
        <v>21.08</v>
      </c>
      <c r="BV696" s="111" t="s">
        <v>246</v>
      </c>
    </row>
    <row r="697" customFormat="false" ht="12.75" hidden="false" customHeight="false" outlineLevel="0" collapsed="false">
      <c r="A697" s="162" t="s">
        <v>591</v>
      </c>
      <c r="B697" s="172" t="s">
        <v>668</v>
      </c>
      <c r="C697" s="172" t="s">
        <v>762</v>
      </c>
      <c r="D697" s="172"/>
      <c r="E697" s="106" t="n">
        <v>2</v>
      </c>
      <c r="F697" s="173" t="n">
        <v>28</v>
      </c>
      <c r="S697" s="167" t="n">
        <v>1354.792275</v>
      </c>
      <c r="T697" s="111" t="s">
        <v>246</v>
      </c>
      <c r="Y697" s="167" t="n">
        <v>709.16</v>
      </c>
      <c r="Z697" s="111" t="s">
        <v>246</v>
      </c>
      <c r="AA697" s="167" t="n">
        <v>62337.71</v>
      </c>
      <c r="AB697" s="111" t="s">
        <v>246</v>
      </c>
      <c r="AC697" s="164" t="n">
        <v>30.68</v>
      </c>
      <c r="AD697" s="111" t="s">
        <v>246</v>
      </c>
      <c r="AG697" s="167" t="n">
        <v>4.92</v>
      </c>
      <c r="AH697" s="111" t="s">
        <v>246</v>
      </c>
      <c r="AM697" s="167"/>
      <c r="BS697" s="167" t="n">
        <v>44.17</v>
      </c>
      <c r="BT697" s="111" t="s">
        <v>246</v>
      </c>
      <c r="BU697" s="164" t="n">
        <v>23.12</v>
      </c>
      <c r="BV697" s="111" t="s">
        <v>246</v>
      </c>
    </row>
    <row r="698" customFormat="false" ht="12.75" hidden="false" customHeight="false" outlineLevel="0" collapsed="false">
      <c r="A698" s="162" t="s">
        <v>593</v>
      </c>
      <c r="B698" s="172" t="s">
        <v>665</v>
      </c>
      <c r="C698" s="172" t="s">
        <v>758</v>
      </c>
      <c r="D698" s="173"/>
      <c r="E698" s="106" t="n">
        <v>6</v>
      </c>
      <c r="F698" s="173" t="n">
        <v>19</v>
      </c>
      <c r="S698" s="167" t="n">
        <v>1857.931766</v>
      </c>
      <c r="T698" s="111" t="s">
        <v>246</v>
      </c>
      <c r="Y698" s="167" t="n">
        <v>786.97</v>
      </c>
      <c r="Z698" s="111" t="s">
        <v>246</v>
      </c>
      <c r="AA698" s="167" t="n">
        <v>80063.15</v>
      </c>
      <c r="AB698" s="111" t="s">
        <v>246</v>
      </c>
      <c r="AC698" s="164" t="n">
        <v>37.72</v>
      </c>
      <c r="AD698" s="111" t="s">
        <v>246</v>
      </c>
      <c r="AG698" s="167" t="n">
        <v>4.71</v>
      </c>
      <c r="AH698" s="111" t="s">
        <v>246</v>
      </c>
      <c r="AM698" s="167"/>
      <c r="BS698" s="167" t="n">
        <v>49.26</v>
      </c>
      <c r="BT698" s="111" t="s">
        <v>246</v>
      </c>
      <c r="BU698" s="164" t="n">
        <v>20.87</v>
      </c>
      <c r="BV698" s="111" t="s">
        <v>246</v>
      </c>
    </row>
    <row r="699" customFormat="false" ht="12.75" hidden="false" customHeight="false" outlineLevel="0" collapsed="false">
      <c r="A699" s="162" t="s">
        <v>593</v>
      </c>
      <c r="B699" s="172" t="s">
        <v>668</v>
      </c>
      <c r="C699" s="172" t="s">
        <v>758</v>
      </c>
      <c r="D699" s="173"/>
      <c r="E699" s="106" t="n">
        <v>12</v>
      </c>
      <c r="F699" s="173" t="n">
        <v>21</v>
      </c>
      <c r="S699" s="167" t="n">
        <v>1631.459879</v>
      </c>
      <c r="T699" s="111" t="s">
        <v>246</v>
      </c>
      <c r="Y699" s="167" t="n">
        <v>768.97</v>
      </c>
      <c r="Z699" s="111" t="s">
        <v>246</v>
      </c>
      <c r="AA699" s="167" t="n">
        <v>71166.91</v>
      </c>
      <c r="AB699" s="111" t="s">
        <v>246</v>
      </c>
      <c r="AC699" s="164" t="n">
        <v>34.03</v>
      </c>
      <c r="AD699" s="111" t="s">
        <v>246</v>
      </c>
      <c r="AG699" s="167" t="n">
        <v>4.78</v>
      </c>
      <c r="AH699" s="111" t="s">
        <v>246</v>
      </c>
      <c r="AM699" s="167"/>
      <c r="BS699" s="167" t="n">
        <v>47.94</v>
      </c>
      <c r="BT699" s="111" t="s">
        <v>246</v>
      </c>
      <c r="BU699" s="164" t="n">
        <v>22.59</v>
      </c>
      <c r="BV699" s="111" t="s">
        <v>246</v>
      </c>
    </row>
    <row r="700" customFormat="false" ht="12.75" hidden="false" customHeight="false" outlineLevel="0" collapsed="false">
      <c r="A700" s="162" t="s">
        <v>593</v>
      </c>
      <c r="B700" s="172" t="s">
        <v>665</v>
      </c>
      <c r="C700" s="172" t="s">
        <v>760</v>
      </c>
      <c r="D700" s="173"/>
      <c r="E700" s="106" t="n">
        <v>11</v>
      </c>
      <c r="F700" s="173" t="n">
        <v>54</v>
      </c>
      <c r="S700" s="167" t="n">
        <v>1774.204761</v>
      </c>
      <c r="T700" s="111" t="s">
        <v>246</v>
      </c>
      <c r="Y700" s="167" t="n">
        <v>727.4</v>
      </c>
      <c r="Z700" s="111" t="s">
        <v>246</v>
      </c>
      <c r="AA700" s="167" t="n">
        <v>75818.9</v>
      </c>
      <c r="AB700" s="111" t="s">
        <v>246</v>
      </c>
      <c r="AC700" s="164" t="n">
        <v>35.6</v>
      </c>
      <c r="AD700" s="111" t="s">
        <v>246</v>
      </c>
      <c r="AG700" s="167" t="n">
        <v>4.7</v>
      </c>
      <c r="AH700" s="111" t="s">
        <v>246</v>
      </c>
      <c r="AM700" s="167"/>
      <c r="BS700" s="167" t="n">
        <v>49.84</v>
      </c>
      <c r="BT700" s="111" t="s">
        <v>246</v>
      </c>
      <c r="BU700" s="164" t="n">
        <v>20.43</v>
      </c>
      <c r="BV700" s="111" t="s">
        <v>246</v>
      </c>
    </row>
    <row r="701" customFormat="false" ht="12.75" hidden="false" customHeight="false" outlineLevel="0" collapsed="false">
      <c r="A701" s="162" t="s">
        <v>593</v>
      </c>
      <c r="B701" s="172" t="s">
        <v>668</v>
      </c>
      <c r="C701" s="172" t="s">
        <v>760</v>
      </c>
      <c r="D701" s="173"/>
      <c r="E701" s="106" t="n">
        <v>13</v>
      </c>
      <c r="F701" s="173" t="n">
        <v>45</v>
      </c>
      <c r="S701" s="167" t="n">
        <v>1963.103672</v>
      </c>
      <c r="T701" s="111" t="s">
        <v>246</v>
      </c>
      <c r="Y701" s="167" t="n">
        <v>862.28</v>
      </c>
      <c r="Z701" s="111" t="s">
        <v>246</v>
      </c>
      <c r="AA701" s="167" t="n">
        <v>88559.27</v>
      </c>
      <c r="AB701" s="111" t="s">
        <v>246</v>
      </c>
      <c r="AC701" s="164" t="n">
        <v>40.14</v>
      </c>
      <c r="AD701" s="111" t="s">
        <v>246</v>
      </c>
      <c r="AG701" s="167" t="n">
        <v>4.53</v>
      </c>
      <c r="AH701" s="111" t="s">
        <v>246</v>
      </c>
      <c r="AM701" s="167"/>
      <c r="BS701" s="167" t="n">
        <v>48.91</v>
      </c>
      <c r="BT701" s="111" t="s">
        <v>246</v>
      </c>
      <c r="BU701" s="164" t="n">
        <v>21.48</v>
      </c>
      <c r="BV701" s="111" t="s">
        <v>246</v>
      </c>
    </row>
    <row r="702" customFormat="false" ht="12.75" hidden="false" customHeight="false" outlineLevel="0" collapsed="false">
      <c r="A702" s="162" t="s">
        <v>593</v>
      </c>
      <c r="B702" s="172" t="s">
        <v>665</v>
      </c>
      <c r="C702" s="172" t="s">
        <v>761</v>
      </c>
      <c r="D702" s="173"/>
      <c r="E702" s="106" t="n">
        <v>15</v>
      </c>
      <c r="F702" s="173" t="n">
        <v>14</v>
      </c>
      <c r="S702" s="167" t="n">
        <v>1745.783432</v>
      </c>
      <c r="T702" s="111" t="s">
        <v>246</v>
      </c>
      <c r="Y702" s="167" t="n">
        <v>774.4</v>
      </c>
      <c r="Z702" s="111" t="s">
        <v>246</v>
      </c>
      <c r="AA702" s="167" t="n">
        <v>78992.73</v>
      </c>
      <c r="AB702" s="111" t="s">
        <v>246</v>
      </c>
      <c r="AC702" s="164" t="n">
        <v>35.63</v>
      </c>
      <c r="AD702" s="111" t="s">
        <v>246</v>
      </c>
      <c r="AG702" s="167" t="n">
        <v>4.51</v>
      </c>
      <c r="AH702" s="111" t="s">
        <v>246</v>
      </c>
      <c r="AM702" s="167"/>
      <c r="BS702" s="167" t="n">
        <v>49</v>
      </c>
      <c r="BT702" s="111" t="s">
        <v>246</v>
      </c>
      <c r="BU702" s="164" t="n">
        <v>21.73</v>
      </c>
      <c r="BV702" s="111" t="s">
        <v>246</v>
      </c>
    </row>
    <row r="703" customFormat="false" ht="12.75" hidden="false" customHeight="false" outlineLevel="0" collapsed="false">
      <c r="A703" s="162" t="s">
        <v>593</v>
      </c>
      <c r="B703" s="172" t="s">
        <v>668</v>
      </c>
      <c r="C703" s="172" t="s">
        <v>761</v>
      </c>
      <c r="D703" s="173"/>
      <c r="E703" s="106" t="n">
        <v>21</v>
      </c>
      <c r="F703" s="173" t="n">
        <v>23</v>
      </c>
      <c r="S703" s="167" t="n">
        <v>1552.157352</v>
      </c>
      <c r="T703" s="111" t="s">
        <v>246</v>
      </c>
      <c r="Y703" s="167" t="n">
        <v>770.76</v>
      </c>
      <c r="Z703" s="111" t="s">
        <v>246</v>
      </c>
      <c r="AA703" s="167" t="n">
        <v>71993.05</v>
      </c>
      <c r="AB703" s="111" t="s">
        <v>246</v>
      </c>
      <c r="AC703" s="164" t="n">
        <v>33.54</v>
      </c>
      <c r="AD703" s="111" t="s">
        <v>246</v>
      </c>
      <c r="AG703" s="167" t="n">
        <v>4.66</v>
      </c>
      <c r="AH703" s="111" t="s">
        <v>246</v>
      </c>
      <c r="AM703" s="167"/>
      <c r="BS703" s="167" t="n">
        <v>46.28</v>
      </c>
      <c r="BT703" s="111" t="s">
        <v>246</v>
      </c>
      <c r="BU703" s="164" t="n">
        <v>22.98</v>
      </c>
      <c r="BV703" s="111" t="s">
        <v>246</v>
      </c>
    </row>
    <row r="704" customFormat="false" ht="12.75" hidden="false" customHeight="false" outlineLevel="0" collapsed="false">
      <c r="A704" s="162" t="s">
        <v>593</v>
      </c>
      <c r="B704" s="157" t="s">
        <v>665</v>
      </c>
      <c r="C704" s="157" t="s">
        <v>762</v>
      </c>
      <c r="D704" s="172"/>
      <c r="E704" s="106" t="n">
        <v>1</v>
      </c>
      <c r="F704" s="106" t="n">
        <v>8</v>
      </c>
      <c r="S704" s="167" t="n">
        <v>1775.434847</v>
      </c>
      <c r="T704" s="166" t="n">
        <v>40725</v>
      </c>
      <c r="Y704" s="167" t="n">
        <v>741.31</v>
      </c>
      <c r="Z704" s="166" t="n">
        <v>40725</v>
      </c>
      <c r="AA704" s="167" t="n">
        <v>81949.61</v>
      </c>
      <c r="AB704" s="166" t="n">
        <v>40725</v>
      </c>
      <c r="AC704" s="164" t="n">
        <v>35.87</v>
      </c>
      <c r="AD704" s="166" t="n">
        <v>40725</v>
      </c>
      <c r="AG704" s="167" t="n">
        <v>4.38</v>
      </c>
      <c r="AH704" s="166" t="n">
        <v>40725</v>
      </c>
      <c r="AM704" s="167" t="n">
        <v>89</v>
      </c>
      <c r="AN704" s="165" t="n">
        <v>40630</v>
      </c>
      <c r="BS704" s="167" t="n">
        <v>49.49</v>
      </c>
      <c r="BT704" s="166" t="n">
        <v>40725</v>
      </c>
      <c r="BU704" s="164" t="n">
        <v>20.67</v>
      </c>
      <c r="BV704" s="166" t="n">
        <v>40725</v>
      </c>
    </row>
    <row r="705" customFormat="false" ht="12.75" hidden="false" customHeight="false" outlineLevel="0" collapsed="false">
      <c r="A705" s="162" t="s">
        <v>593</v>
      </c>
      <c r="B705" s="157" t="s">
        <v>668</v>
      </c>
      <c r="C705" s="157" t="s">
        <v>762</v>
      </c>
      <c r="D705" s="172"/>
      <c r="E705" s="106" t="n">
        <v>3</v>
      </c>
      <c r="F705" s="106" t="n">
        <v>53</v>
      </c>
      <c r="S705" s="167" t="s">
        <v>759</v>
      </c>
      <c r="T705" s="166" t="n">
        <v>40725</v>
      </c>
      <c r="Y705" s="167" t="s">
        <v>759</v>
      </c>
      <c r="Z705" s="166" t="n">
        <v>40725</v>
      </c>
      <c r="AA705" s="167" t="s">
        <v>759</v>
      </c>
      <c r="AB705" s="166" t="n">
        <v>40725</v>
      </c>
      <c r="AC705" s="164" t="s">
        <v>759</v>
      </c>
      <c r="AD705" s="166" t="n">
        <v>40725</v>
      </c>
      <c r="AG705" s="167" t="s">
        <v>759</v>
      </c>
      <c r="AH705" s="166" t="n">
        <v>40725</v>
      </c>
      <c r="AM705" s="167" t="n">
        <v>85</v>
      </c>
      <c r="AN705" s="165" t="n">
        <v>40630</v>
      </c>
      <c r="BS705" s="167" t="s">
        <v>759</v>
      </c>
      <c r="BT705" s="166" t="n">
        <v>40725</v>
      </c>
      <c r="BU705" s="164" t="s">
        <v>759</v>
      </c>
      <c r="BV705" s="166" t="n">
        <v>40725</v>
      </c>
    </row>
    <row r="706" customFormat="false" ht="12.75" hidden="false" customHeight="false" outlineLevel="0" collapsed="false">
      <c r="A706" s="162" t="s">
        <v>595</v>
      </c>
      <c r="B706" s="157" t="s">
        <v>665</v>
      </c>
      <c r="C706" s="157" t="s">
        <v>758</v>
      </c>
      <c r="E706" s="106" t="n">
        <v>7</v>
      </c>
      <c r="F706" s="106" t="n">
        <v>16</v>
      </c>
      <c r="S706" s="165" t="n">
        <v>1507.573149</v>
      </c>
      <c r="Y706" s="164" t="n">
        <v>610.78</v>
      </c>
      <c r="AA706" s="165" t="n">
        <v>58986.13</v>
      </c>
      <c r="AC706" s="164" t="n">
        <v>30.57</v>
      </c>
      <c r="AG706" s="167" t="n">
        <v>5.18</v>
      </c>
      <c r="BS706" s="165" t="n">
        <v>49.31</v>
      </c>
      <c r="BU706" s="164" t="n">
        <v>19.98</v>
      </c>
    </row>
    <row r="707" customFormat="false" ht="12.75" hidden="false" customHeight="false" outlineLevel="0" collapsed="false">
      <c r="A707" s="162" t="s">
        <v>595</v>
      </c>
      <c r="B707" s="157" t="s">
        <v>668</v>
      </c>
      <c r="C707" s="157" t="s">
        <v>758</v>
      </c>
      <c r="E707" s="106" t="n">
        <v>9</v>
      </c>
      <c r="F707" s="106" t="n">
        <v>27</v>
      </c>
      <c r="S707" s="165" t="n">
        <v>1508.219394</v>
      </c>
      <c r="Y707" s="164" t="n">
        <v>629.52</v>
      </c>
      <c r="AA707" s="165" t="n">
        <v>58898.11</v>
      </c>
      <c r="AC707" s="164" t="n">
        <v>30.74</v>
      </c>
      <c r="AG707" s="167" t="n">
        <v>5.22</v>
      </c>
      <c r="BS707" s="165" t="n">
        <v>49.07</v>
      </c>
      <c r="BU707" s="164" t="n">
        <v>20.48</v>
      </c>
    </row>
    <row r="708" customFormat="false" ht="12.75" hidden="false" customHeight="false" outlineLevel="0" collapsed="false">
      <c r="A708" s="162" t="s">
        <v>595</v>
      </c>
      <c r="B708" s="157" t="s">
        <v>665</v>
      </c>
      <c r="C708" s="157" t="s">
        <v>760</v>
      </c>
      <c r="E708" s="106" t="n">
        <v>10</v>
      </c>
      <c r="F708" s="106" t="n">
        <v>60</v>
      </c>
      <c r="S708" s="165" t="n">
        <v>2056.974568</v>
      </c>
      <c r="Y708" s="164" t="n">
        <v>799.45</v>
      </c>
      <c r="AA708" s="165" t="n">
        <v>84487.14</v>
      </c>
      <c r="AC708" s="164" t="n">
        <v>41.21</v>
      </c>
      <c r="AG708" s="167" t="n">
        <v>4.88</v>
      </c>
      <c r="BS708" s="165" t="n">
        <v>49.91</v>
      </c>
      <c r="BU708" s="164" t="n">
        <v>19.4</v>
      </c>
    </row>
    <row r="709" customFormat="false" ht="12.75" hidden="false" customHeight="false" outlineLevel="0" collapsed="false">
      <c r="A709" s="162" t="s">
        <v>595</v>
      </c>
      <c r="B709" s="157" t="s">
        <v>668</v>
      </c>
      <c r="C709" s="157" t="s">
        <v>760</v>
      </c>
      <c r="E709" s="106" t="n">
        <v>14</v>
      </c>
      <c r="F709" s="106" t="n">
        <v>34</v>
      </c>
      <c r="S709" s="165" t="n">
        <v>1863.30943</v>
      </c>
      <c r="Y709" s="164" t="n">
        <v>785.47</v>
      </c>
      <c r="AA709" s="165" t="n">
        <v>77615.49</v>
      </c>
      <c r="AC709" s="164" t="n">
        <v>38.11</v>
      </c>
      <c r="AG709" s="167" t="n">
        <v>4.91</v>
      </c>
      <c r="BS709" s="165" t="n">
        <v>48.9</v>
      </c>
      <c r="BU709" s="164" t="n">
        <v>20.61</v>
      </c>
    </row>
    <row r="710" customFormat="false" ht="12.75" hidden="false" customHeight="false" outlineLevel="0" collapsed="false">
      <c r="A710" s="162" t="s">
        <v>595</v>
      </c>
      <c r="B710" s="157" t="s">
        <v>665</v>
      </c>
      <c r="C710" s="157" t="s">
        <v>761</v>
      </c>
      <c r="E710" s="106" t="n">
        <v>16</v>
      </c>
      <c r="F710" s="106" t="n">
        <v>19</v>
      </c>
      <c r="S710" s="165" t="n">
        <v>1850.564872</v>
      </c>
      <c r="Y710" s="164" t="n">
        <v>787.54</v>
      </c>
      <c r="AA710" s="165" t="n">
        <v>83317.09</v>
      </c>
      <c r="AC710" s="164" t="n">
        <v>38.43</v>
      </c>
      <c r="AG710" s="167" t="n">
        <v>4.61</v>
      </c>
      <c r="BS710" s="165" t="n">
        <v>48.16</v>
      </c>
      <c r="BU710" s="164" t="n">
        <v>20.49</v>
      </c>
    </row>
    <row r="711" customFormat="false" ht="12.75" hidden="false" customHeight="false" outlineLevel="0" collapsed="false">
      <c r="A711" s="162" t="s">
        <v>595</v>
      </c>
      <c r="B711" s="157" t="s">
        <v>668</v>
      </c>
      <c r="C711" s="157" t="s">
        <v>761</v>
      </c>
      <c r="E711" s="106" t="n">
        <v>18</v>
      </c>
      <c r="F711" s="106" t="n">
        <v>16</v>
      </c>
      <c r="S711" s="165" t="n">
        <v>1479.733796</v>
      </c>
      <c r="Y711" s="164" t="n">
        <v>721.56</v>
      </c>
      <c r="AA711" s="165" t="n">
        <v>63513.22</v>
      </c>
      <c r="AC711" s="164" t="n">
        <v>31.72</v>
      </c>
      <c r="AG711" s="167" t="n">
        <v>4.99</v>
      </c>
      <c r="BS711" s="165" t="n">
        <v>46.65</v>
      </c>
      <c r="BU711" s="164" t="n">
        <v>22.75</v>
      </c>
    </row>
    <row r="712" customFormat="false" ht="12.75" hidden="false" customHeight="false" outlineLevel="0" collapsed="false">
      <c r="A712" s="162" t="s">
        <v>595</v>
      </c>
      <c r="B712" s="157" t="s">
        <v>665</v>
      </c>
      <c r="C712" s="157" t="s">
        <v>762</v>
      </c>
      <c r="E712" s="106" t="n">
        <v>3</v>
      </c>
      <c r="F712" s="106" t="n">
        <v>30</v>
      </c>
      <c r="S712" s="165" t="n">
        <v>1748.824859</v>
      </c>
      <c r="Y712" s="164" t="n">
        <v>728.12</v>
      </c>
      <c r="AA712" s="165" t="n">
        <v>74134.75</v>
      </c>
      <c r="AC712" s="164" t="n">
        <v>35.64</v>
      </c>
      <c r="AG712" s="167" t="n">
        <v>4.81</v>
      </c>
      <c r="BS712" s="165" t="n">
        <v>49.07</v>
      </c>
      <c r="BU712" s="164" t="n">
        <v>20.43</v>
      </c>
    </row>
    <row r="713" customFormat="false" ht="12.75" hidden="false" customHeight="false" outlineLevel="0" collapsed="false">
      <c r="A713" s="162" t="s">
        <v>595</v>
      </c>
      <c r="B713" s="157" t="s">
        <v>668</v>
      </c>
      <c r="C713" s="157" t="s">
        <v>762</v>
      </c>
      <c r="E713" s="106" t="n">
        <v>4</v>
      </c>
      <c r="F713" s="106" t="n">
        <v>59</v>
      </c>
      <c r="S713" s="165" t="n">
        <v>1494.172269</v>
      </c>
      <c r="Y713" s="164" t="n">
        <v>734.21</v>
      </c>
      <c r="AA713" s="165" t="n">
        <v>69187.63</v>
      </c>
      <c r="AC713" s="164" t="n">
        <v>32.24</v>
      </c>
      <c r="AG713" s="167" t="n">
        <v>4.66</v>
      </c>
      <c r="BS713" s="165" t="n">
        <v>46.34</v>
      </c>
      <c r="BU713" s="164" t="n">
        <v>22.77</v>
      </c>
    </row>
    <row r="714" customFormat="false" ht="12.75" hidden="false" customHeight="false" outlineLevel="0" collapsed="false">
      <c r="A714" s="162" t="s">
        <v>597</v>
      </c>
      <c r="B714" s="157" t="s">
        <v>665</v>
      </c>
      <c r="C714" s="157" t="s">
        <v>758</v>
      </c>
      <c r="E714" s="106" t="n">
        <v>5</v>
      </c>
      <c r="F714" s="106" t="n">
        <v>22</v>
      </c>
      <c r="S714" s="165" t="n">
        <v>1753.054492</v>
      </c>
      <c r="Y714" s="164" t="n">
        <v>764.96</v>
      </c>
      <c r="AA714" s="165" t="n">
        <v>80227.41</v>
      </c>
      <c r="AC714" s="164" t="n">
        <v>36.55</v>
      </c>
      <c r="AG714" s="167" t="n">
        <v>4.56</v>
      </c>
      <c r="BS714" s="165" t="n">
        <v>47.97</v>
      </c>
      <c r="BU714" s="164" t="n">
        <v>20.93</v>
      </c>
    </row>
    <row r="715" customFormat="false" ht="12.75" hidden="false" customHeight="false" outlineLevel="0" collapsed="false">
      <c r="A715" s="162" t="s">
        <v>597</v>
      </c>
      <c r="B715" s="157" t="s">
        <v>668</v>
      </c>
      <c r="C715" s="157" t="s">
        <v>758</v>
      </c>
      <c r="E715" s="106" t="n">
        <v>10</v>
      </c>
      <c r="F715" s="106" t="n">
        <v>4</v>
      </c>
      <c r="S715" s="165" t="n">
        <v>1806.29296</v>
      </c>
      <c r="Y715" s="164" t="n">
        <v>776.44</v>
      </c>
      <c r="AA715" s="165" t="n">
        <v>89033.4</v>
      </c>
      <c r="AC715" s="164" t="n">
        <v>37.51</v>
      </c>
      <c r="AG715" s="167" t="n">
        <v>4.21</v>
      </c>
      <c r="BS715" s="165" t="n">
        <v>48.15</v>
      </c>
      <c r="BU715" s="164" t="n">
        <v>20.7</v>
      </c>
    </row>
    <row r="716" customFormat="false" ht="12.75" hidden="false" customHeight="false" outlineLevel="0" collapsed="false">
      <c r="A716" s="162" t="s">
        <v>597</v>
      </c>
      <c r="B716" s="157" t="s">
        <v>665</v>
      </c>
      <c r="C716" s="157" t="s">
        <v>760</v>
      </c>
      <c r="E716" s="106" t="n">
        <v>11</v>
      </c>
      <c r="F716" s="106" t="n">
        <v>40</v>
      </c>
      <c r="S716" s="165" t="n">
        <v>1617.978434</v>
      </c>
      <c r="Y716" s="164" t="n">
        <v>674.24</v>
      </c>
      <c r="AA716" s="165" t="n">
        <v>74564.39</v>
      </c>
      <c r="AC716" s="164" t="n">
        <v>33.44</v>
      </c>
      <c r="AG716" s="167" t="n">
        <v>4.48</v>
      </c>
      <c r="BS716" s="165" t="n">
        <v>48.38</v>
      </c>
      <c r="BU716" s="164" t="n">
        <v>20.16</v>
      </c>
    </row>
    <row r="717" customFormat="false" ht="12.75" hidden="false" customHeight="false" outlineLevel="0" collapsed="false">
      <c r="A717" s="162" t="s">
        <v>597</v>
      </c>
      <c r="B717" s="157" t="s">
        <v>668</v>
      </c>
      <c r="C717" s="157" t="s">
        <v>760</v>
      </c>
      <c r="E717" s="106" t="n">
        <v>16</v>
      </c>
      <c r="F717" s="106" t="n">
        <v>63</v>
      </c>
      <c r="S717" s="165" t="n">
        <v>1754.649803</v>
      </c>
      <c r="Y717" s="164" t="n">
        <v>780.45</v>
      </c>
      <c r="AA717" s="165" t="n">
        <v>81629.84</v>
      </c>
      <c r="AC717" s="164" t="n">
        <v>36.91</v>
      </c>
      <c r="AG717" s="167" t="n">
        <v>4.52</v>
      </c>
      <c r="BS717" s="165" t="n">
        <v>47.54</v>
      </c>
      <c r="BU717" s="164" t="n">
        <v>21.15</v>
      </c>
    </row>
    <row r="718" customFormat="false" ht="12.75" hidden="false" customHeight="false" outlineLevel="0" collapsed="false">
      <c r="A718" s="162" t="s">
        <v>597</v>
      </c>
      <c r="B718" s="157" t="s">
        <v>665</v>
      </c>
      <c r="C718" s="157" t="s">
        <v>761</v>
      </c>
      <c r="E718" s="106" t="n">
        <v>13</v>
      </c>
      <c r="F718" s="106" t="n">
        <v>26</v>
      </c>
      <c r="S718" s="165" t="n">
        <v>1515.55092</v>
      </c>
      <c r="Y718" s="164" t="n">
        <v>666.29</v>
      </c>
      <c r="AA718" s="165" t="n">
        <v>70611.99</v>
      </c>
      <c r="AC718" s="164" t="n">
        <v>31.91</v>
      </c>
      <c r="AG718" s="167" t="n">
        <v>4.52</v>
      </c>
      <c r="BS718" s="165" t="n">
        <v>47.49</v>
      </c>
      <c r="BU718" s="164" t="n">
        <v>20.88</v>
      </c>
    </row>
    <row r="719" customFormat="false" ht="12.75" hidden="false" customHeight="false" outlineLevel="0" collapsed="false">
      <c r="A719" s="162" t="s">
        <v>597</v>
      </c>
      <c r="B719" s="157" t="s">
        <v>668</v>
      </c>
      <c r="C719" s="157" t="s">
        <v>761</v>
      </c>
      <c r="E719" s="106" t="n">
        <v>19</v>
      </c>
      <c r="F719" s="106" t="n">
        <v>13</v>
      </c>
      <c r="S719" s="165" t="n">
        <v>1467.490447</v>
      </c>
      <c r="Y719" s="164" t="n">
        <v>695.87</v>
      </c>
      <c r="AA719" s="165" t="n">
        <v>70165.23</v>
      </c>
      <c r="AC719" s="164" t="n">
        <v>31.82</v>
      </c>
      <c r="AG719" s="167" t="n">
        <v>4.54</v>
      </c>
      <c r="BS719" s="165" t="n">
        <v>46.11</v>
      </c>
      <c r="BU719" s="164" t="n">
        <v>21.87</v>
      </c>
    </row>
    <row r="720" customFormat="false" ht="12.75" hidden="false" customHeight="false" outlineLevel="0" collapsed="false">
      <c r="A720" s="162" t="s">
        <v>597</v>
      </c>
      <c r="B720" s="157" t="s">
        <v>665</v>
      </c>
      <c r="C720" s="157" t="s">
        <v>762</v>
      </c>
      <c r="E720" s="106" t="n">
        <v>1</v>
      </c>
      <c r="F720" s="106" t="n">
        <v>5</v>
      </c>
      <c r="S720" s="165" t="n">
        <v>1519.042407</v>
      </c>
      <c r="Y720" s="164" t="n">
        <v>691.04</v>
      </c>
      <c r="AA720" s="165" t="n">
        <v>73095.93</v>
      </c>
      <c r="AC720" s="164" t="n">
        <v>32.21</v>
      </c>
      <c r="AG720" s="167" t="n">
        <v>4.41</v>
      </c>
      <c r="BS720" s="165" t="n">
        <v>47.16</v>
      </c>
      <c r="BU720" s="164" t="n">
        <v>21.45</v>
      </c>
    </row>
    <row r="721" customFormat="false" ht="12.75" hidden="false" customHeight="false" outlineLevel="0" collapsed="false">
      <c r="A721" s="162" t="s">
        <v>597</v>
      </c>
      <c r="B721" s="157" t="s">
        <v>668</v>
      </c>
      <c r="C721" s="157" t="s">
        <v>762</v>
      </c>
      <c r="E721" s="106" t="n">
        <v>1</v>
      </c>
      <c r="F721" s="106" t="n">
        <v>37</v>
      </c>
      <c r="S721" s="165" t="n">
        <v>1403.528875</v>
      </c>
      <c r="Y721" s="164" t="n">
        <v>681.7</v>
      </c>
      <c r="AA721" s="165" t="n">
        <v>73757.68</v>
      </c>
      <c r="AC721" s="164" t="n">
        <v>30.71</v>
      </c>
      <c r="AG721" s="167" t="n">
        <v>4.16</v>
      </c>
      <c r="BS721" s="165" t="n">
        <v>45.7</v>
      </c>
      <c r="BU721" s="164" t="n">
        <v>22.2</v>
      </c>
    </row>
    <row r="722" customFormat="false" ht="12.75" hidden="false" customHeight="false" outlineLevel="0" collapsed="false">
      <c r="A722" s="162" t="s">
        <v>599</v>
      </c>
      <c r="B722" s="157" t="s">
        <v>665</v>
      </c>
      <c r="C722" s="157" t="s">
        <v>758</v>
      </c>
      <c r="E722" s="106" t="n">
        <v>6</v>
      </c>
      <c r="F722" s="106" t="n">
        <v>3</v>
      </c>
      <c r="S722" s="165" t="n">
        <v>1222.195843</v>
      </c>
      <c r="Y722" s="164" t="n">
        <v>654.49</v>
      </c>
      <c r="AA722" s="165" t="n">
        <v>56354.44</v>
      </c>
      <c r="AC722" s="164" t="n">
        <v>28.34</v>
      </c>
      <c r="AG722" s="167" t="n">
        <v>5.03</v>
      </c>
      <c r="BS722" s="165" t="n">
        <v>43.13</v>
      </c>
      <c r="BU722" s="164" t="n">
        <v>23.1</v>
      </c>
    </row>
    <row r="723" customFormat="false" ht="12.75" hidden="false" customHeight="false" outlineLevel="0" collapsed="false">
      <c r="A723" s="162" t="s">
        <v>599</v>
      </c>
      <c r="B723" s="157" t="s">
        <v>668</v>
      </c>
      <c r="C723" s="157" t="s">
        <v>758</v>
      </c>
      <c r="E723" s="106" t="n">
        <v>12</v>
      </c>
      <c r="F723" s="106" t="n">
        <v>14</v>
      </c>
      <c r="S723" s="165" t="n">
        <v>1455.97875</v>
      </c>
      <c r="Y723" s="164" t="n">
        <v>734.39</v>
      </c>
      <c r="AA723" s="165" t="n">
        <v>63623.85</v>
      </c>
      <c r="AC723" s="164" t="n">
        <v>32.9</v>
      </c>
      <c r="AG723" s="167" t="n">
        <v>5.17</v>
      </c>
      <c r="BS723" s="165" t="n">
        <v>44.26</v>
      </c>
      <c r="BU723" s="164" t="n">
        <v>22.32</v>
      </c>
    </row>
    <row r="724" customFormat="false" ht="12.75" hidden="false" customHeight="false" outlineLevel="0" collapsed="false">
      <c r="A724" s="162" t="s">
        <v>599</v>
      </c>
      <c r="B724" s="157" t="s">
        <v>665</v>
      </c>
      <c r="C724" s="157" t="s">
        <v>760</v>
      </c>
      <c r="E724" s="106" t="n">
        <v>11</v>
      </c>
      <c r="F724" s="106" t="n">
        <v>59</v>
      </c>
      <c r="S724" s="165" t="n">
        <v>1293.425747</v>
      </c>
      <c r="Y724" s="164" t="n">
        <v>678.19</v>
      </c>
      <c r="AA724" s="165" t="n">
        <v>62717.34</v>
      </c>
      <c r="AC724" s="164" t="n">
        <v>29.83</v>
      </c>
      <c r="AG724" s="167" t="n">
        <v>4.76</v>
      </c>
      <c r="BS724" s="165" t="n">
        <v>43.35</v>
      </c>
      <c r="BU724" s="164" t="n">
        <v>22.73</v>
      </c>
    </row>
    <row r="725" customFormat="false" ht="12.75" hidden="false" customHeight="false" outlineLevel="0" collapsed="false">
      <c r="A725" s="162" t="s">
        <v>599</v>
      </c>
      <c r="B725" s="157" t="s">
        <v>668</v>
      </c>
      <c r="C725" s="157" t="s">
        <v>760</v>
      </c>
      <c r="E725" s="106" t="n">
        <v>15</v>
      </c>
      <c r="F725" s="106" t="n">
        <v>48</v>
      </c>
      <c r="S725" s="165" t="n">
        <v>1152.843688</v>
      </c>
      <c r="Y725" s="164" t="n">
        <v>614.79</v>
      </c>
      <c r="AA725" s="165" t="n">
        <v>53591.8</v>
      </c>
      <c r="AC725" s="164" t="n">
        <v>26.65</v>
      </c>
      <c r="AG725" s="167" t="n">
        <v>4.97</v>
      </c>
      <c r="BS725" s="165" t="n">
        <v>43.26</v>
      </c>
      <c r="BU725" s="164" t="n">
        <v>23.07</v>
      </c>
    </row>
    <row r="726" customFormat="false" ht="12.75" hidden="false" customHeight="false" outlineLevel="0" collapsed="false">
      <c r="A726" s="162" t="s">
        <v>599</v>
      </c>
      <c r="B726" s="157" t="s">
        <v>665</v>
      </c>
      <c r="C726" s="157" t="s">
        <v>761</v>
      </c>
      <c r="E726" s="106" t="n">
        <v>13</v>
      </c>
      <c r="F726" s="106" t="n">
        <v>28</v>
      </c>
      <c r="S726" s="165" t="n">
        <v>1440.678651</v>
      </c>
      <c r="Y726" s="164" t="n">
        <v>785</v>
      </c>
      <c r="AA726" s="165" t="n">
        <v>71135.74</v>
      </c>
      <c r="AC726" s="164" t="n">
        <v>33.97</v>
      </c>
      <c r="AG726" s="167" t="n">
        <v>4.78</v>
      </c>
      <c r="BS726" s="165" t="n">
        <v>42.41</v>
      </c>
      <c r="BU726" s="164" t="n">
        <v>23.11</v>
      </c>
    </row>
    <row r="727" customFormat="false" ht="12.75" hidden="false" customHeight="false" outlineLevel="0" collapsed="false">
      <c r="A727" s="162" t="s">
        <v>599</v>
      </c>
      <c r="B727" s="157" t="s">
        <v>668</v>
      </c>
      <c r="C727" s="157" t="s">
        <v>761</v>
      </c>
      <c r="E727" s="106" t="n">
        <v>21</v>
      </c>
      <c r="F727" s="106" t="n">
        <v>27</v>
      </c>
      <c r="S727" s="165" t="n">
        <v>911.5711275</v>
      </c>
      <c r="Y727" s="164" t="n">
        <v>496.98</v>
      </c>
      <c r="AA727" s="165" t="n">
        <v>41219.63</v>
      </c>
      <c r="AC727" s="164" t="n">
        <v>21.12</v>
      </c>
      <c r="AG727" s="167" t="n">
        <v>5.12</v>
      </c>
      <c r="BS727" s="165" t="n">
        <v>43.17</v>
      </c>
      <c r="BU727" s="164" t="n">
        <v>23.54</v>
      </c>
    </row>
    <row r="728" customFormat="false" ht="12.75" hidden="false" customHeight="false" outlineLevel="0" collapsed="false">
      <c r="A728" s="162" t="s">
        <v>599</v>
      </c>
      <c r="B728" s="157" t="s">
        <v>665</v>
      </c>
      <c r="C728" s="157" t="s">
        <v>762</v>
      </c>
      <c r="E728" s="106" t="n">
        <v>4</v>
      </c>
      <c r="F728" s="106" t="n">
        <v>25</v>
      </c>
      <c r="S728" s="165" t="n">
        <v>1460.703498</v>
      </c>
      <c r="Y728" s="164" t="n">
        <v>751.72</v>
      </c>
      <c r="AA728" s="165" t="n">
        <v>73083.18</v>
      </c>
      <c r="AC728" s="164" t="n">
        <v>33.65</v>
      </c>
      <c r="AG728" s="167" t="n">
        <v>4.6</v>
      </c>
      <c r="BS728" s="165" t="n">
        <v>43.41</v>
      </c>
      <c r="BU728" s="164" t="n">
        <v>22.34</v>
      </c>
    </row>
    <row r="729" customFormat="false" ht="12.75" hidden="false" customHeight="false" outlineLevel="0" collapsed="false">
      <c r="A729" s="162" t="s">
        <v>599</v>
      </c>
      <c r="B729" s="157" t="s">
        <v>668</v>
      </c>
      <c r="C729" s="157" t="s">
        <v>762</v>
      </c>
      <c r="E729" s="106" t="n">
        <v>3</v>
      </c>
      <c r="F729" s="106" t="n">
        <v>62</v>
      </c>
      <c r="S729" s="165" t="n">
        <v>707.5289382</v>
      </c>
      <c r="Y729" s="164" t="n">
        <v>407.15</v>
      </c>
      <c r="AA729" s="165" t="n">
        <v>36175.05</v>
      </c>
      <c r="AC729" s="164" t="n">
        <v>16.92</v>
      </c>
      <c r="AG729" s="167" t="n">
        <v>4.68</v>
      </c>
      <c r="BS729" s="165" t="n">
        <v>41.82</v>
      </c>
      <c r="BU729" s="164" t="n">
        <v>24.07</v>
      </c>
    </row>
    <row r="730" customFormat="false" ht="12.75" hidden="false" customHeight="false" outlineLevel="0" collapsed="false">
      <c r="A730" s="162" t="s">
        <v>601</v>
      </c>
      <c r="B730" s="157" t="s">
        <v>665</v>
      </c>
      <c r="C730" s="157" t="s">
        <v>758</v>
      </c>
      <c r="E730" s="106" t="n">
        <v>8</v>
      </c>
      <c r="F730" s="106" t="n">
        <v>24</v>
      </c>
      <c r="S730" s="165" t="n">
        <v>1340.548001</v>
      </c>
      <c r="Y730" s="164" t="n">
        <v>546.31</v>
      </c>
      <c r="AA730" s="165" t="n">
        <v>54881.41</v>
      </c>
      <c r="AC730" s="164" t="n">
        <v>27.38</v>
      </c>
      <c r="AG730" s="167" t="n">
        <v>4.99</v>
      </c>
      <c r="BS730" s="165" t="n">
        <v>48.96</v>
      </c>
      <c r="BU730" s="164" t="n">
        <v>19.95</v>
      </c>
    </row>
    <row r="731" customFormat="false" ht="12.75" hidden="false" customHeight="false" outlineLevel="0" collapsed="false">
      <c r="A731" s="162" t="s">
        <v>601</v>
      </c>
      <c r="B731" s="157" t="s">
        <v>668</v>
      </c>
      <c r="C731" s="157" t="s">
        <v>758</v>
      </c>
      <c r="E731" s="106" t="n">
        <v>12</v>
      </c>
      <c r="F731" s="106" t="n">
        <v>4</v>
      </c>
      <c r="S731" s="165" t="n">
        <v>1540.276102</v>
      </c>
      <c r="Y731" s="164" t="n">
        <v>614.79</v>
      </c>
      <c r="AA731" s="165" t="n">
        <v>64828.3</v>
      </c>
      <c r="AC731" s="164" t="n">
        <v>31.26</v>
      </c>
      <c r="AG731" s="167" t="n">
        <v>4.82</v>
      </c>
      <c r="BS731" s="165" t="n">
        <v>49.27</v>
      </c>
      <c r="BU731" s="164" t="n">
        <v>19.66</v>
      </c>
    </row>
    <row r="732" customFormat="false" ht="12.75" hidden="false" customHeight="false" outlineLevel="0" collapsed="false">
      <c r="A732" s="162" t="s">
        <v>601</v>
      </c>
      <c r="B732" s="157" t="s">
        <v>665</v>
      </c>
      <c r="C732" s="157" t="s">
        <v>760</v>
      </c>
      <c r="E732" s="106" t="n">
        <v>9</v>
      </c>
      <c r="F732" s="106" t="n">
        <v>36</v>
      </c>
      <c r="S732" s="165" t="n">
        <v>1266.31127</v>
      </c>
      <c r="Y732" s="164" t="n">
        <v>519.13</v>
      </c>
      <c r="AA732" s="165" t="n">
        <v>55909.56</v>
      </c>
      <c r="AC732" s="164" t="n">
        <v>26.03</v>
      </c>
      <c r="AG732" s="167" t="n">
        <v>4.66</v>
      </c>
      <c r="BS732" s="165" t="n">
        <v>48.64</v>
      </c>
      <c r="BU732" s="164" t="n">
        <v>19.94</v>
      </c>
    </row>
    <row r="733" customFormat="false" ht="12.75" hidden="false" customHeight="false" outlineLevel="0" collapsed="false">
      <c r="A733" s="162" t="s">
        <v>601</v>
      </c>
      <c r="B733" s="157" t="s">
        <v>668</v>
      </c>
      <c r="C733" s="157" t="s">
        <v>760</v>
      </c>
      <c r="E733" s="106" t="n">
        <v>13</v>
      </c>
      <c r="F733" s="106" t="n">
        <v>57</v>
      </c>
      <c r="S733" s="165" t="n">
        <v>994.3181781</v>
      </c>
      <c r="Y733" s="164" t="n">
        <v>425.63</v>
      </c>
      <c r="AA733" s="165" t="n">
        <v>43137.88</v>
      </c>
      <c r="AC733" s="164" t="n">
        <v>20.46</v>
      </c>
      <c r="AG733" s="167" t="n">
        <v>4.74</v>
      </c>
      <c r="BS733" s="165" t="n">
        <v>48.59</v>
      </c>
      <c r="BU733" s="164" t="n">
        <v>20.8</v>
      </c>
    </row>
    <row r="734" customFormat="false" ht="12.75" hidden="false" customHeight="false" outlineLevel="0" collapsed="false">
      <c r="A734" s="162" t="s">
        <v>601</v>
      </c>
      <c r="B734" s="157" t="s">
        <v>665</v>
      </c>
      <c r="C734" s="157" t="s">
        <v>761</v>
      </c>
      <c r="E734" s="106" t="n">
        <v>14</v>
      </c>
      <c r="F734" s="106" t="n">
        <v>15</v>
      </c>
      <c r="S734" s="165" t="n">
        <v>1219.761833</v>
      </c>
      <c r="Y734" s="164" t="n">
        <v>518.68</v>
      </c>
      <c r="AA734" s="165" t="n">
        <v>59009.7</v>
      </c>
      <c r="AC734" s="164" t="n">
        <v>25.4</v>
      </c>
      <c r="AG734" s="167" t="n">
        <v>4.3</v>
      </c>
      <c r="BS734" s="165" t="n">
        <v>48.02</v>
      </c>
      <c r="BU734" s="164" t="n">
        <v>20.42</v>
      </c>
    </row>
    <row r="735" customFormat="false" ht="12.75" hidden="false" customHeight="false" outlineLevel="0" collapsed="false">
      <c r="A735" s="162" t="s">
        <v>601</v>
      </c>
      <c r="B735" s="157" t="s">
        <v>668</v>
      </c>
      <c r="C735" s="157" t="s">
        <v>761</v>
      </c>
      <c r="E735" s="106" t="n">
        <v>18</v>
      </c>
      <c r="F735" s="106" t="n">
        <v>11</v>
      </c>
      <c r="S735" s="165" t="n">
        <v>1260.983051</v>
      </c>
      <c r="Y735" s="164" t="n">
        <v>586.22</v>
      </c>
      <c r="AA735" s="165" t="n">
        <v>57013.28</v>
      </c>
      <c r="AC735" s="164" t="n">
        <v>26.94</v>
      </c>
      <c r="AG735" s="167" t="n">
        <v>4.72</v>
      </c>
      <c r="BS735" s="165" t="n">
        <v>46.81</v>
      </c>
      <c r="BU735" s="164" t="n">
        <v>21.76</v>
      </c>
    </row>
    <row r="736" customFormat="false" ht="12.75" hidden="false" customHeight="false" outlineLevel="0" collapsed="false">
      <c r="A736" s="162" t="s">
        <v>601</v>
      </c>
      <c r="B736" s="157" t="s">
        <v>665</v>
      </c>
      <c r="C736" s="157" t="s">
        <v>762</v>
      </c>
      <c r="E736" s="106" t="n">
        <v>1</v>
      </c>
      <c r="F736" s="106" t="n">
        <v>31</v>
      </c>
      <c r="S736" s="165" t="n">
        <v>1564.410351</v>
      </c>
      <c r="Y736" s="164" t="n">
        <v>642.41</v>
      </c>
      <c r="AA736" s="165" t="n">
        <v>64590.89</v>
      </c>
      <c r="AC736" s="164" t="n">
        <v>32.06</v>
      </c>
      <c r="AG736" s="167" t="n">
        <v>4.96</v>
      </c>
      <c r="BS736" s="165" t="n">
        <v>48.8</v>
      </c>
      <c r="BU736" s="164" t="n">
        <v>20.04</v>
      </c>
    </row>
    <row r="737" customFormat="false" ht="12.75" hidden="false" customHeight="false" outlineLevel="0" collapsed="false">
      <c r="A737" s="162" t="s">
        <v>601</v>
      </c>
      <c r="B737" s="157" t="s">
        <v>668</v>
      </c>
      <c r="C737" s="157" t="s">
        <v>762</v>
      </c>
      <c r="E737" s="106" t="n">
        <v>3</v>
      </c>
      <c r="F737" s="106" t="n">
        <v>47</v>
      </c>
      <c r="S737" s="165" t="n">
        <v>995.611466</v>
      </c>
      <c r="Y737" s="164" t="n">
        <v>465.08</v>
      </c>
      <c r="AA737" s="165" t="n">
        <v>43468.47</v>
      </c>
      <c r="AC737" s="164" t="n">
        <v>21.53</v>
      </c>
      <c r="AG737" s="167" t="n">
        <v>4.95</v>
      </c>
      <c r="BS737" s="165" t="n">
        <v>46.25</v>
      </c>
      <c r="BU737" s="164" t="n">
        <v>21.6</v>
      </c>
    </row>
    <row r="738" customFormat="false" ht="12.75" hidden="false" customHeight="false" outlineLevel="0" collapsed="false">
      <c r="A738" s="162" t="s">
        <v>603</v>
      </c>
      <c r="B738" s="157" t="s">
        <v>665</v>
      </c>
      <c r="C738" s="157" t="s">
        <v>758</v>
      </c>
      <c r="E738" s="106" t="n">
        <v>7</v>
      </c>
      <c r="F738" s="106" t="n">
        <v>1</v>
      </c>
      <c r="S738" s="165" t="n">
        <v>1796.829328</v>
      </c>
      <c r="Y738" s="164" t="n">
        <v>725.59</v>
      </c>
      <c r="AA738" s="165" t="n">
        <v>70869.8</v>
      </c>
      <c r="AC738" s="164" t="n">
        <v>35.95</v>
      </c>
      <c r="AG738" s="167" t="n">
        <v>5.07</v>
      </c>
      <c r="BS738" s="165" t="n">
        <v>49.99</v>
      </c>
      <c r="BU738" s="164" t="n">
        <v>20.19</v>
      </c>
    </row>
    <row r="739" customFormat="false" ht="12.75" hidden="false" customHeight="false" outlineLevel="0" collapsed="false">
      <c r="A739" s="162" t="s">
        <v>603</v>
      </c>
      <c r="B739" s="157" t="s">
        <v>668</v>
      </c>
      <c r="C739" s="157" t="s">
        <v>758</v>
      </c>
      <c r="E739" s="106" t="n">
        <v>11</v>
      </c>
      <c r="F739" s="106" t="n">
        <v>22</v>
      </c>
      <c r="S739" s="165" t="n">
        <v>2073.070715</v>
      </c>
      <c r="Y739" s="164" t="n">
        <v>914.39</v>
      </c>
      <c r="AA739" s="165" t="n">
        <v>92433.91</v>
      </c>
      <c r="AC739" s="164" t="n">
        <v>42.37</v>
      </c>
      <c r="AG739" s="167" t="n">
        <v>4.58</v>
      </c>
      <c r="BS739" s="165" t="n">
        <v>48.93</v>
      </c>
      <c r="BU739" s="164" t="n">
        <v>21.58</v>
      </c>
    </row>
    <row r="740" customFormat="false" ht="12.75" hidden="false" customHeight="false" outlineLevel="0" collapsed="false">
      <c r="A740" s="162" t="s">
        <v>603</v>
      </c>
      <c r="B740" s="157" t="s">
        <v>665</v>
      </c>
      <c r="C740" s="157" t="s">
        <v>760</v>
      </c>
      <c r="E740" s="106" t="n">
        <v>10</v>
      </c>
      <c r="F740" s="106" t="n">
        <v>36</v>
      </c>
      <c r="S740" s="165" t="n">
        <v>1891.915664</v>
      </c>
      <c r="Y740" s="164" t="n">
        <v>721.28</v>
      </c>
      <c r="AA740" s="165" t="n">
        <v>73770.67</v>
      </c>
      <c r="AC740" s="164" t="n">
        <v>37.2</v>
      </c>
      <c r="AG740" s="167" t="n">
        <v>5.04</v>
      </c>
      <c r="BS740" s="165" t="n">
        <v>50.85</v>
      </c>
      <c r="BU740" s="164" t="n">
        <v>19.39</v>
      </c>
    </row>
    <row r="741" customFormat="false" ht="12.75" hidden="false" customHeight="false" outlineLevel="0" collapsed="false">
      <c r="A741" s="162" t="s">
        <v>603</v>
      </c>
      <c r="B741" s="157" t="s">
        <v>668</v>
      </c>
      <c r="C741" s="157" t="s">
        <v>760</v>
      </c>
      <c r="E741" s="106" t="n">
        <v>13</v>
      </c>
      <c r="F741" s="106" t="n">
        <v>40</v>
      </c>
      <c r="S741" s="165" t="n">
        <v>1820.584632</v>
      </c>
      <c r="Y741" s="164" t="n">
        <v>875.64</v>
      </c>
      <c r="AA741" s="165" t="n">
        <v>78426.75</v>
      </c>
      <c r="AC741" s="164" t="n">
        <v>38.18</v>
      </c>
      <c r="AG741" s="167" t="n">
        <v>4.87</v>
      </c>
      <c r="BS741" s="165" t="n">
        <v>47.69</v>
      </c>
      <c r="BU741" s="164" t="n">
        <v>22.94</v>
      </c>
    </row>
    <row r="742" customFormat="false" ht="12.75" hidden="false" customHeight="false" outlineLevel="0" collapsed="false">
      <c r="A742" s="162" t="s">
        <v>603</v>
      </c>
      <c r="B742" s="157" t="s">
        <v>665</v>
      </c>
      <c r="C742" s="157" t="s">
        <v>761</v>
      </c>
      <c r="E742" s="106" t="n">
        <v>15</v>
      </c>
      <c r="F742" s="106" t="n">
        <v>25</v>
      </c>
      <c r="S742" s="165" t="n">
        <v>1975.62827</v>
      </c>
      <c r="Y742" s="164" t="n">
        <v>824.45</v>
      </c>
      <c r="AA742" s="165" t="n">
        <v>83972.69</v>
      </c>
      <c r="AC742" s="164" t="n">
        <v>40.21</v>
      </c>
      <c r="AG742" s="167" t="n">
        <v>4.79</v>
      </c>
      <c r="BS742" s="165" t="n">
        <v>49.13</v>
      </c>
      <c r="BU742" s="164" t="n">
        <v>20.5</v>
      </c>
    </row>
    <row r="743" customFormat="false" ht="12.75" hidden="false" customHeight="false" outlineLevel="0" collapsed="false">
      <c r="A743" s="162" t="s">
        <v>603</v>
      </c>
      <c r="B743" s="157" t="s">
        <v>668</v>
      </c>
      <c r="C743" s="157" t="s">
        <v>761</v>
      </c>
      <c r="E743" s="106" t="n">
        <v>17</v>
      </c>
      <c r="F743" s="106" t="n">
        <v>2</v>
      </c>
      <c r="S743" s="165" t="n">
        <v>1658.095697</v>
      </c>
      <c r="Y743" s="164" t="n">
        <v>785.03</v>
      </c>
      <c r="AA743" s="165" t="n">
        <v>74852.54</v>
      </c>
      <c r="AC743" s="164" t="n">
        <v>34.97</v>
      </c>
      <c r="AG743" s="167" t="n">
        <v>4.67</v>
      </c>
      <c r="BS743" s="165" t="n">
        <v>47.42</v>
      </c>
      <c r="BU743" s="164" t="n">
        <v>22.45</v>
      </c>
    </row>
    <row r="744" customFormat="false" ht="12.75" hidden="false" customHeight="false" outlineLevel="0" collapsed="false">
      <c r="A744" s="162" t="s">
        <v>603</v>
      </c>
      <c r="B744" s="157" t="s">
        <v>665</v>
      </c>
      <c r="C744" s="157" t="s">
        <v>762</v>
      </c>
      <c r="E744" s="106" t="n">
        <v>4</v>
      </c>
      <c r="F744" s="106" t="n">
        <v>29</v>
      </c>
      <c r="S744" s="165" t="n">
        <v>1957.224541</v>
      </c>
      <c r="Y744" s="164" t="n">
        <v>805.45</v>
      </c>
      <c r="AA744" s="165" t="n">
        <v>77926.62</v>
      </c>
      <c r="AC744" s="164" t="n">
        <v>39.42</v>
      </c>
      <c r="AG744" s="167" t="n">
        <v>5.06</v>
      </c>
      <c r="BS744" s="165" t="n">
        <v>49.65</v>
      </c>
      <c r="BU744" s="164" t="n">
        <v>20.43</v>
      </c>
    </row>
    <row r="745" customFormat="false" ht="12.75" hidden="false" customHeight="false" outlineLevel="0" collapsed="false">
      <c r="A745" s="162" t="s">
        <v>603</v>
      </c>
      <c r="B745" s="157" t="s">
        <v>668</v>
      </c>
      <c r="C745" s="157" t="s">
        <v>762</v>
      </c>
      <c r="E745" s="106" t="n">
        <v>2</v>
      </c>
      <c r="F745" s="106" t="n">
        <v>46</v>
      </c>
      <c r="S745" s="165" t="n">
        <v>1712.858227</v>
      </c>
      <c r="Y745" s="164" t="n">
        <v>855.37</v>
      </c>
      <c r="AA745" s="165" t="n">
        <v>78024.53</v>
      </c>
      <c r="AC745" s="164" t="n">
        <v>36.55</v>
      </c>
      <c r="AG745" s="167" t="n">
        <v>4.68</v>
      </c>
      <c r="BS745" s="165" t="n">
        <v>46.86</v>
      </c>
      <c r="BU745" s="164" t="n">
        <v>23.4</v>
      </c>
    </row>
    <row r="746" customFormat="false" ht="12.75" hidden="false" customHeight="false" outlineLevel="0" collapsed="false">
      <c r="A746" s="162" t="s">
        <v>605</v>
      </c>
      <c r="B746" s="157" t="s">
        <v>665</v>
      </c>
      <c r="C746" s="157" t="s">
        <v>758</v>
      </c>
      <c r="E746" s="106" t="n">
        <v>6</v>
      </c>
      <c r="F746" s="106" t="n">
        <v>18</v>
      </c>
      <c r="S746" s="165" t="n">
        <v>1777.810536</v>
      </c>
      <c r="Y746" s="164" t="n">
        <v>776.36</v>
      </c>
      <c r="AA746" s="165" t="n">
        <v>75945.51</v>
      </c>
      <c r="AC746" s="164" t="n">
        <v>37.01</v>
      </c>
      <c r="AG746" s="167" t="n">
        <v>4.87</v>
      </c>
      <c r="BS746" s="165" t="n">
        <v>48.04</v>
      </c>
      <c r="BU746" s="164" t="n">
        <v>20.98</v>
      </c>
    </row>
    <row r="747" customFormat="false" ht="12.75" hidden="false" customHeight="false" outlineLevel="0" collapsed="false">
      <c r="A747" s="162" t="s">
        <v>605</v>
      </c>
      <c r="B747" s="157" t="s">
        <v>668</v>
      </c>
      <c r="C747" s="157" t="s">
        <v>758</v>
      </c>
      <c r="E747" s="106" t="n">
        <v>12</v>
      </c>
      <c r="F747" s="106" t="n">
        <v>8</v>
      </c>
      <c r="S747" s="165" t="n">
        <v>1573.919937</v>
      </c>
      <c r="Y747" s="164" t="n">
        <v>720.57</v>
      </c>
      <c r="AA747" s="165" t="n">
        <v>73766.88</v>
      </c>
      <c r="AC747" s="164" t="n">
        <v>33.34</v>
      </c>
      <c r="AG747" s="167" t="n">
        <v>4.52</v>
      </c>
      <c r="BS747" s="165" t="n">
        <v>47.21</v>
      </c>
      <c r="BU747" s="164" t="n">
        <v>21.61</v>
      </c>
    </row>
    <row r="748" customFormat="false" ht="12.75" hidden="false" customHeight="false" outlineLevel="0" collapsed="false">
      <c r="A748" s="162" t="s">
        <v>605</v>
      </c>
      <c r="B748" s="157" t="s">
        <v>665</v>
      </c>
      <c r="C748" s="157" t="s">
        <v>760</v>
      </c>
      <c r="E748" s="106" t="n">
        <v>9</v>
      </c>
      <c r="F748" s="106" t="n">
        <v>34</v>
      </c>
      <c r="S748" s="165" t="s">
        <v>759</v>
      </c>
      <c r="Y748" s="164" t="s">
        <v>759</v>
      </c>
      <c r="AA748" s="165" t="s">
        <v>759</v>
      </c>
      <c r="AC748" s="164" t="s">
        <v>759</v>
      </c>
      <c r="AG748" s="167" t="s">
        <v>759</v>
      </c>
      <c r="BS748" s="165" t="s">
        <v>759</v>
      </c>
      <c r="BU748" s="164" t="s">
        <v>759</v>
      </c>
    </row>
    <row r="749" customFormat="false" ht="12.75" hidden="false" customHeight="false" outlineLevel="0" collapsed="false">
      <c r="A749" s="162" t="s">
        <v>605</v>
      </c>
      <c r="B749" s="157" t="s">
        <v>668</v>
      </c>
      <c r="C749" s="157" t="s">
        <v>760</v>
      </c>
      <c r="E749" s="106" t="n">
        <v>16</v>
      </c>
      <c r="F749" s="106" t="n">
        <v>54</v>
      </c>
      <c r="S749" s="165" t="n">
        <v>1173.093478</v>
      </c>
      <c r="Y749" s="164" t="n">
        <v>565.79</v>
      </c>
      <c r="AA749" s="165" t="n">
        <v>59099.95</v>
      </c>
      <c r="AC749" s="164" t="n">
        <v>25.5</v>
      </c>
      <c r="AG749" s="167" t="n">
        <v>4.32</v>
      </c>
      <c r="BS749" s="165" t="n">
        <v>46</v>
      </c>
      <c r="BU749" s="164" t="n">
        <v>22.19</v>
      </c>
    </row>
    <row r="750" customFormat="false" ht="12.75" hidden="false" customHeight="false" outlineLevel="0" collapsed="false">
      <c r="A750" s="162" t="s">
        <v>605</v>
      </c>
      <c r="B750" s="157" t="s">
        <v>665</v>
      </c>
      <c r="C750" s="157" t="s">
        <v>761</v>
      </c>
      <c r="E750" s="106" t="n">
        <v>14</v>
      </c>
      <c r="F750" s="106" t="n">
        <v>12</v>
      </c>
      <c r="S750" s="165" t="n">
        <v>1723.211374</v>
      </c>
      <c r="Y750" s="164" t="n">
        <v>775.61</v>
      </c>
      <c r="AA750" s="165" t="n">
        <v>77040.11</v>
      </c>
      <c r="AC750" s="164" t="n">
        <v>36.48</v>
      </c>
      <c r="AG750" s="167" t="n">
        <v>4.74</v>
      </c>
      <c r="BS750" s="165" t="n">
        <v>47.24</v>
      </c>
      <c r="BU750" s="164" t="n">
        <v>21.26</v>
      </c>
    </row>
    <row r="751" customFormat="false" ht="12.75" hidden="false" customHeight="false" outlineLevel="0" collapsed="false">
      <c r="A751" s="162" t="s">
        <v>605</v>
      </c>
      <c r="B751" s="157" t="s">
        <v>668</v>
      </c>
      <c r="C751" s="157" t="s">
        <v>761</v>
      </c>
      <c r="E751" s="106" t="n">
        <v>17</v>
      </c>
      <c r="F751" s="106" t="n">
        <v>11</v>
      </c>
      <c r="S751" s="165" t="n">
        <v>1004.522778</v>
      </c>
      <c r="Y751" s="164" t="n">
        <v>484.72</v>
      </c>
      <c r="AA751" s="165" t="n">
        <v>47873.49</v>
      </c>
      <c r="AC751" s="164" t="n">
        <v>21.78</v>
      </c>
      <c r="AG751" s="167" t="n">
        <v>4.55</v>
      </c>
      <c r="BS751" s="165" t="n">
        <v>46.12</v>
      </c>
      <c r="BU751" s="164" t="n">
        <v>22.25</v>
      </c>
    </row>
    <row r="752" customFormat="false" ht="12.75" hidden="false" customHeight="false" outlineLevel="0" collapsed="false">
      <c r="A752" s="162" t="s">
        <v>605</v>
      </c>
      <c r="B752" s="157" t="s">
        <v>665</v>
      </c>
      <c r="C752" s="157" t="s">
        <v>762</v>
      </c>
      <c r="E752" s="106" t="n">
        <v>2</v>
      </c>
      <c r="F752" s="106" t="n">
        <v>8</v>
      </c>
      <c r="S752" s="165" t="n">
        <v>1407.546451</v>
      </c>
      <c r="Y752" s="164" t="n">
        <v>628.53</v>
      </c>
      <c r="AA752" s="165" t="n">
        <v>64865.17</v>
      </c>
      <c r="AC752" s="164" t="n">
        <v>29.66</v>
      </c>
      <c r="AG752" s="167" t="n">
        <v>4.57</v>
      </c>
      <c r="BS752" s="165" t="n">
        <v>47.46</v>
      </c>
      <c r="BU752" s="164" t="n">
        <v>21.19</v>
      </c>
    </row>
    <row r="753" customFormat="false" ht="12.75" hidden="false" customHeight="false" outlineLevel="0" collapsed="false">
      <c r="A753" s="162" t="s">
        <v>605</v>
      </c>
      <c r="B753" s="157" t="s">
        <v>668</v>
      </c>
      <c r="C753" s="157" t="s">
        <v>762</v>
      </c>
      <c r="E753" s="106" t="n">
        <v>3</v>
      </c>
      <c r="F753" s="106" t="n">
        <v>44</v>
      </c>
      <c r="S753" s="165" t="n">
        <v>1261.206481</v>
      </c>
      <c r="Y753" s="164" t="n">
        <v>612.9</v>
      </c>
      <c r="AA753" s="165" t="n">
        <v>62698.26</v>
      </c>
      <c r="AC753" s="164" t="n">
        <v>27.53</v>
      </c>
      <c r="AG753" s="167" t="n">
        <v>4.39</v>
      </c>
      <c r="BS753" s="165" t="n">
        <v>45.81</v>
      </c>
      <c r="BU753" s="164" t="n">
        <v>22.26</v>
      </c>
    </row>
    <row r="754" customFormat="false" ht="12.75" hidden="false" customHeight="false" outlineLevel="0" collapsed="false">
      <c r="A754" s="162" t="s">
        <v>607</v>
      </c>
      <c r="B754" s="157" t="s">
        <v>665</v>
      </c>
      <c r="C754" s="157" t="s">
        <v>758</v>
      </c>
      <c r="E754" s="106" t="n">
        <v>6</v>
      </c>
      <c r="F754" s="106" t="n">
        <v>13</v>
      </c>
      <c r="S754" s="165" t="n">
        <v>1616.860183</v>
      </c>
      <c r="Y754" s="164" t="n">
        <v>696.22</v>
      </c>
      <c r="AA754" s="165" t="n">
        <v>77838.06</v>
      </c>
      <c r="AC754" s="164" t="n">
        <v>33.12</v>
      </c>
      <c r="AG754" s="167" t="n">
        <v>4.26</v>
      </c>
      <c r="BS754" s="165" t="n">
        <v>48.82</v>
      </c>
      <c r="BU754" s="164" t="n">
        <v>21.02</v>
      </c>
    </row>
    <row r="755" customFormat="false" ht="12.75" hidden="false" customHeight="false" outlineLevel="0" collapsed="false">
      <c r="A755" s="162" t="s">
        <v>607</v>
      </c>
      <c r="B755" s="157" t="s">
        <v>668</v>
      </c>
      <c r="C755" s="157" t="s">
        <v>758</v>
      </c>
      <c r="E755" s="106" t="n">
        <v>11</v>
      </c>
      <c r="F755" s="106" t="n">
        <v>20</v>
      </c>
      <c r="S755" s="165" t="n">
        <v>1776.925182</v>
      </c>
      <c r="Y755" s="164" t="n">
        <v>809.22</v>
      </c>
      <c r="AA755" s="165" t="n">
        <v>82724.9</v>
      </c>
      <c r="AC755" s="164" t="n">
        <v>37</v>
      </c>
      <c r="AG755" s="167" t="n">
        <v>4.47</v>
      </c>
      <c r="BS755" s="165" t="n">
        <v>48.03</v>
      </c>
      <c r="BU755" s="164" t="n">
        <v>21.87</v>
      </c>
    </row>
    <row r="756" customFormat="false" ht="12.75" hidden="false" customHeight="false" outlineLevel="0" collapsed="false">
      <c r="A756" s="162" t="s">
        <v>607</v>
      </c>
      <c r="B756" s="157" t="s">
        <v>665</v>
      </c>
      <c r="C756" s="157" t="s">
        <v>760</v>
      </c>
      <c r="E756" s="106" t="n">
        <v>11</v>
      </c>
      <c r="F756" s="106" t="n">
        <v>50</v>
      </c>
      <c r="S756" s="165" t="n">
        <v>1775.081811</v>
      </c>
      <c r="Y756" s="164" t="n">
        <v>794.91</v>
      </c>
      <c r="AA756" s="165" t="n">
        <v>83574.04</v>
      </c>
      <c r="AC756" s="164" t="n">
        <v>36.38</v>
      </c>
      <c r="AG756" s="167" t="n">
        <v>4.35</v>
      </c>
      <c r="BS756" s="165" t="n">
        <v>48.79</v>
      </c>
      <c r="BU756" s="164" t="n">
        <v>21.85</v>
      </c>
    </row>
    <row r="757" customFormat="false" ht="12.75" hidden="false" customHeight="false" outlineLevel="0" collapsed="false">
      <c r="A757" s="162" t="s">
        <v>607</v>
      </c>
      <c r="B757" s="157" t="s">
        <v>668</v>
      </c>
      <c r="C757" s="157" t="s">
        <v>760</v>
      </c>
      <c r="E757" s="106" t="n">
        <v>15</v>
      </c>
      <c r="F757" s="106" t="n">
        <v>53</v>
      </c>
      <c r="S757" s="165" t="n">
        <v>1338.97473</v>
      </c>
      <c r="Y757" s="164" t="n">
        <v>664.05</v>
      </c>
      <c r="AA757" s="165" t="n">
        <v>70312.71</v>
      </c>
      <c r="AC757" s="164" t="n">
        <v>29.2</v>
      </c>
      <c r="AG757" s="167" t="n">
        <v>4.15</v>
      </c>
      <c r="BS757" s="165" t="n">
        <v>45.86</v>
      </c>
      <c r="BU757" s="164" t="n">
        <v>22.74</v>
      </c>
    </row>
    <row r="758" customFormat="false" ht="12.75" hidden="false" customHeight="false" outlineLevel="0" collapsed="false">
      <c r="A758" s="162" t="s">
        <v>607</v>
      </c>
      <c r="B758" s="157" t="s">
        <v>665</v>
      </c>
      <c r="C758" s="157" t="s">
        <v>761</v>
      </c>
      <c r="E758" s="106" t="n">
        <v>13</v>
      </c>
      <c r="F758" s="106" t="n">
        <v>12</v>
      </c>
      <c r="S758" s="165" t="n">
        <v>1438.751885</v>
      </c>
      <c r="Y758" s="164" t="n">
        <v>660.57</v>
      </c>
      <c r="AA758" s="165" t="n">
        <v>70480.47</v>
      </c>
      <c r="AC758" s="164" t="n">
        <v>30.38</v>
      </c>
      <c r="AG758" s="167" t="n">
        <v>4.31</v>
      </c>
      <c r="BS758" s="165" t="n">
        <v>47.35</v>
      </c>
      <c r="BU758" s="164" t="n">
        <v>21.74</v>
      </c>
    </row>
    <row r="759" customFormat="false" ht="12.75" hidden="false" customHeight="false" outlineLevel="0" collapsed="false">
      <c r="A759" s="162" t="s">
        <v>607</v>
      </c>
      <c r="B759" s="157" t="s">
        <v>668</v>
      </c>
      <c r="C759" s="157" t="s">
        <v>761</v>
      </c>
      <c r="E759" s="106" t="n">
        <v>20</v>
      </c>
      <c r="F759" s="106" t="n">
        <v>21</v>
      </c>
      <c r="S759" s="165" t="n">
        <v>1306.777299</v>
      </c>
      <c r="Y759" s="164" t="n">
        <v>670.37</v>
      </c>
      <c r="AA759" s="165" t="n">
        <v>64975.18</v>
      </c>
      <c r="AC759" s="164" t="n">
        <v>28.78</v>
      </c>
      <c r="AG759" s="167" t="n">
        <v>4.43</v>
      </c>
      <c r="BS759" s="165" t="n">
        <v>45.4</v>
      </c>
      <c r="BU759" s="164" t="n">
        <v>23.29</v>
      </c>
    </row>
    <row r="760" customFormat="false" ht="12.75" hidden="false" customHeight="false" outlineLevel="0" collapsed="false">
      <c r="A760" s="162" t="s">
        <v>607</v>
      </c>
      <c r="B760" s="157" t="s">
        <v>665</v>
      </c>
      <c r="C760" s="157" t="s">
        <v>762</v>
      </c>
      <c r="E760" s="106" t="n">
        <v>2</v>
      </c>
      <c r="F760" s="106" t="n">
        <v>25</v>
      </c>
      <c r="S760" s="165" t="n">
        <v>1575.297291</v>
      </c>
      <c r="Y760" s="164" t="n">
        <v>704.57</v>
      </c>
      <c r="AA760" s="165" t="n">
        <v>75343.38</v>
      </c>
      <c r="AC760" s="164" t="n">
        <v>32.5</v>
      </c>
      <c r="AG760" s="167" t="n">
        <v>4.31</v>
      </c>
      <c r="BS760" s="165" t="n">
        <v>48.47</v>
      </c>
      <c r="BU760" s="164" t="n">
        <v>21.68</v>
      </c>
    </row>
    <row r="761" customFormat="false" ht="12.75" hidden="false" customHeight="false" outlineLevel="0" collapsed="false">
      <c r="A761" s="162" t="s">
        <v>607</v>
      </c>
      <c r="B761" s="157" t="s">
        <v>668</v>
      </c>
      <c r="C761" s="157" t="s">
        <v>762</v>
      </c>
      <c r="E761" s="106" t="n">
        <v>2</v>
      </c>
      <c r="F761" s="106" t="n">
        <v>56</v>
      </c>
      <c r="S761" s="165" t="n">
        <v>1226.359331</v>
      </c>
      <c r="Y761" s="164" t="n">
        <v>659.65</v>
      </c>
      <c r="AA761" s="165" t="n">
        <v>61882.71</v>
      </c>
      <c r="AC761" s="164" t="n">
        <v>27.62</v>
      </c>
      <c r="AG761" s="167" t="n">
        <v>4.46</v>
      </c>
      <c r="BS761" s="165" t="n">
        <v>44.4</v>
      </c>
      <c r="BU761" s="164" t="n">
        <v>23.88</v>
      </c>
    </row>
    <row r="762" customFormat="false" ht="12.75" hidden="false" customHeight="false" outlineLevel="0" collapsed="false">
      <c r="A762" s="162" t="s">
        <v>609</v>
      </c>
      <c r="B762" s="157" t="s">
        <v>665</v>
      </c>
      <c r="C762" s="157" t="s">
        <v>758</v>
      </c>
      <c r="E762" s="106" t="n">
        <v>7</v>
      </c>
      <c r="F762" s="106" t="n">
        <v>6</v>
      </c>
      <c r="S762" s="165" t="n">
        <v>1463.044683</v>
      </c>
      <c r="Y762" s="164" t="n">
        <v>678.19</v>
      </c>
      <c r="AA762" s="165" t="n">
        <v>64764.86</v>
      </c>
      <c r="AC762" s="164" t="n">
        <v>30.75</v>
      </c>
      <c r="AG762" s="167" t="n">
        <v>4.75</v>
      </c>
      <c r="BS762" s="165" t="n">
        <v>47.58</v>
      </c>
      <c r="BU762" s="164" t="n">
        <v>22.06</v>
      </c>
    </row>
    <row r="763" customFormat="false" ht="12.75" hidden="false" customHeight="false" outlineLevel="0" collapsed="false">
      <c r="A763" s="162" t="s">
        <v>609</v>
      </c>
      <c r="B763" s="157" t="s">
        <v>668</v>
      </c>
      <c r="C763" s="157" t="s">
        <v>758</v>
      </c>
      <c r="E763" s="106" t="n">
        <v>11</v>
      </c>
      <c r="F763" s="106" t="n">
        <v>14</v>
      </c>
      <c r="S763" s="165" t="n">
        <v>1556.379842</v>
      </c>
      <c r="Y763" s="164" t="n">
        <v>741.87</v>
      </c>
      <c r="AA763" s="165" t="n">
        <v>69208.98</v>
      </c>
      <c r="AC763" s="164" t="n">
        <v>33.12</v>
      </c>
      <c r="AG763" s="167" t="n">
        <v>4.78</v>
      </c>
      <c r="BS763" s="165" t="n">
        <v>47</v>
      </c>
      <c r="BU763" s="164" t="n">
        <v>22.4</v>
      </c>
    </row>
    <row r="764" customFormat="false" ht="12.75" hidden="false" customHeight="false" outlineLevel="0" collapsed="false">
      <c r="A764" s="162" t="s">
        <v>609</v>
      </c>
      <c r="B764" s="157" t="s">
        <v>665</v>
      </c>
      <c r="C764" s="157" t="s">
        <v>760</v>
      </c>
      <c r="E764" s="106" t="n">
        <v>9</v>
      </c>
      <c r="F764" s="106" t="n">
        <v>49</v>
      </c>
      <c r="S764" s="165" t="n">
        <v>1553.669739</v>
      </c>
      <c r="Y764" s="164" t="n">
        <v>773</v>
      </c>
      <c r="AA764" s="165" t="n">
        <v>70770.23</v>
      </c>
      <c r="AC764" s="164" t="n">
        <v>33.5</v>
      </c>
      <c r="AG764" s="167" t="n">
        <v>4.73</v>
      </c>
      <c r="BS764" s="165" t="n">
        <v>46.38</v>
      </c>
      <c r="BU764" s="164" t="n">
        <v>23.08</v>
      </c>
    </row>
    <row r="765" customFormat="false" ht="12.75" hidden="false" customHeight="false" outlineLevel="0" collapsed="false">
      <c r="A765" s="162" t="s">
        <v>609</v>
      </c>
      <c r="B765" s="157" t="s">
        <v>668</v>
      </c>
      <c r="C765" s="157" t="s">
        <v>760</v>
      </c>
      <c r="E765" s="106" t="n">
        <v>14</v>
      </c>
      <c r="F765" s="106" t="n">
        <v>61</v>
      </c>
      <c r="S765" s="165" t="n">
        <v>1427.472478</v>
      </c>
      <c r="Y765" s="164" t="n">
        <v>715.5</v>
      </c>
      <c r="AA765" s="165" t="n">
        <v>69094.38</v>
      </c>
      <c r="AC765" s="164" t="n">
        <v>31.23</v>
      </c>
      <c r="AG765" s="167" t="n">
        <v>4.52</v>
      </c>
      <c r="BS765" s="165" t="n">
        <v>45.71</v>
      </c>
      <c r="BU765" s="164" t="n">
        <v>22.91</v>
      </c>
    </row>
    <row r="766" customFormat="false" ht="12.75" hidden="false" customHeight="false" outlineLevel="0" collapsed="false">
      <c r="A766" s="162" t="s">
        <v>609</v>
      </c>
      <c r="B766" s="157" t="s">
        <v>665</v>
      </c>
      <c r="C766" s="157" t="s">
        <v>761</v>
      </c>
      <c r="E766" s="106" t="n">
        <v>15</v>
      </c>
      <c r="F766" s="106" t="n">
        <v>20</v>
      </c>
      <c r="S766" s="165" t="n">
        <v>1312.586764</v>
      </c>
      <c r="Y766" s="164" t="n">
        <v>676.53</v>
      </c>
      <c r="AA766" s="165" t="n">
        <v>62015.28</v>
      </c>
      <c r="AC766" s="164" t="n">
        <v>28.87</v>
      </c>
      <c r="AG766" s="167" t="n">
        <v>4.66</v>
      </c>
      <c r="BS766" s="165" t="n">
        <v>45.46</v>
      </c>
      <c r="BU766" s="164" t="n">
        <v>23.43</v>
      </c>
    </row>
    <row r="767" customFormat="false" ht="12.75" hidden="false" customHeight="false" outlineLevel="0" collapsed="false">
      <c r="A767" s="162" t="s">
        <v>609</v>
      </c>
      <c r="B767" s="157" t="s">
        <v>668</v>
      </c>
      <c r="C767" s="157" t="s">
        <v>761</v>
      </c>
      <c r="E767" s="106" t="n">
        <v>21</v>
      </c>
      <c r="F767" s="106" t="n">
        <v>21</v>
      </c>
      <c r="S767" s="165" t="n">
        <v>1416.396787</v>
      </c>
      <c r="Y767" s="164" t="n">
        <v>722.03</v>
      </c>
      <c r="AA767" s="165" t="n">
        <v>70077.55</v>
      </c>
      <c r="AC767" s="164" t="n">
        <v>31.08</v>
      </c>
      <c r="AG767" s="167" t="n">
        <v>4.43</v>
      </c>
      <c r="BS767" s="165" t="n">
        <v>45.58</v>
      </c>
      <c r="BU767" s="164" t="n">
        <v>23.23</v>
      </c>
    </row>
    <row r="768" customFormat="false" ht="12.75" hidden="false" customHeight="false" outlineLevel="0" collapsed="false">
      <c r="A768" s="162" t="s">
        <v>609</v>
      </c>
      <c r="B768" s="157" t="s">
        <v>665</v>
      </c>
      <c r="C768" s="157" t="s">
        <v>762</v>
      </c>
      <c r="E768" s="106" t="n">
        <v>1</v>
      </c>
      <c r="F768" s="106" t="n">
        <v>2</v>
      </c>
      <c r="S768" s="165" t="n">
        <v>1481.29634</v>
      </c>
      <c r="Y768" s="164" t="n">
        <v>720.32</v>
      </c>
      <c r="AA768" s="165" t="n">
        <v>63126.32</v>
      </c>
      <c r="AC768" s="164" t="n">
        <v>31.94</v>
      </c>
      <c r="AG768" s="167" t="n">
        <v>5.06</v>
      </c>
      <c r="BS768" s="165" t="n">
        <v>46.38</v>
      </c>
      <c r="BU768" s="164" t="n">
        <v>22.55</v>
      </c>
    </row>
    <row r="769" customFormat="false" ht="12.75" hidden="false" customHeight="false" outlineLevel="0" collapsed="false">
      <c r="A769" s="162" t="s">
        <v>609</v>
      </c>
      <c r="B769" s="157" t="s">
        <v>668</v>
      </c>
      <c r="C769" s="157" t="s">
        <v>762</v>
      </c>
      <c r="E769" s="106" t="n">
        <v>1</v>
      </c>
      <c r="F769" s="106" t="n">
        <v>42</v>
      </c>
      <c r="S769" s="165" t="n">
        <v>1448.619127</v>
      </c>
      <c r="Y769" s="164" t="n">
        <v>764.64</v>
      </c>
      <c r="AA769" s="165" t="n">
        <v>74715.19</v>
      </c>
      <c r="AC769" s="164" t="n">
        <v>32.36</v>
      </c>
      <c r="AG769" s="167" t="n">
        <v>4.33</v>
      </c>
      <c r="BS769" s="165" t="n">
        <v>44.77</v>
      </c>
      <c r="BU769" s="164" t="n">
        <v>23.63</v>
      </c>
    </row>
    <row r="770" customFormat="false" ht="12.75" hidden="false" customHeight="false" outlineLevel="0" collapsed="false">
      <c r="A770" s="162" t="s">
        <v>611</v>
      </c>
      <c r="B770" s="157" t="s">
        <v>665</v>
      </c>
      <c r="C770" s="157" t="s">
        <v>758</v>
      </c>
      <c r="E770" s="106" t="n">
        <v>7</v>
      </c>
      <c r="F770" s="106" t="n">
        <v>5</v>
      </c>
      <c r="S770" s="165" t="n">
        <v>1391.593273</v>
      </c>
      <c r="Y770" s="164" t="n">
        <v>598</v>
      </c>
      <c r="AA770" s="165" t="n">
        <v>60370.82</v>
      </c>
      <c r="AC770" s="164" t="n">
        <v>28.66</v>
      </c>
      <c r="AG770" s="167" t="n">
        <v>4.75</v>
      </c>
      <c r="BS770" s="165" t="n">
        <v>48.55</v>
      </c>
      <c r="BU770" s="164" t="n">
        <v>20.86</v>
      </c>
    </row>
    <row r="771" customFormat="false" ht="12.75" hidden="false" customHeight="false" outlineLevel="0" collapsed="false">
      <c r="A771" s="162" t="s">
        <v>611</v>
      </c>
      <c r="B771" s="157" t="s">
        <v>668</v>
      </c>
      <c r="C771" s="157" t="s">
        <v>758</v>
      </c>
      <c r="E771" s="106" t="n">
        <v>10</v>
      </c>
      <c r="F771" s="106" t="n">
        <v>27</v>
      </c>
      <c r="S771" s="165" t="n">
        <v>1975.227611</v>
      </c>
      <c r="Y771" s="164" t="n">
        <v>866.68</v>
      </c>
      <c r="AA771" s="165" t="n">
        <v>89596.07</v>
      </c>
      <c r="AC771" s="164" t="n">
        <v>41</v>
      </c>
      <c r="AG771" s="167" t="n">
        <v>4.58</v>
      </c>
      <c r="BS771" s="165" t="n">
        <v>48.17</v>
      </c>
      <c r="BU771" s="164" t="n">
        <v>21.14</v>
      </c>
    </row>
    <row r="772" customFormat="false" ht="12.75" hidden="false" customHeight="false" outlineLevel="0" collapsed="false">
      <c r="A772" s="162" t="s">
        <v>611</v>
      </c>
      <c r="B772" s="157" t="s">
        <v>665</v>
      </c>
      <c r="C772" s="157" t="s">
        <v>760</v>
      </c>
      <c r="E772" s="106" t="n">
        <v>11</v>
      </c>
      <c r="F772" s="106" t="n">
        <v>37</v>
      </c>
      <c r="S772" s="165" t="n">
        <v>1970.230656</v>
      </c>
      <c r="Y772" s="164" t="n">
        <v>799.12</v>
      </c>
      <c r="AA772" s="165" t="n">
        <v>81106.8</v>
      </c>
      <c r="AC772" s="164" t="n">
        <v>40.08</v>
      </c>
      <c r="AG772" s="167" t="n">
        <v>4.94</v>
      </c>
      <c r="BS772" s="165" t="n">
        <v>49.16</v>
      </c>
      <c r="BU772" s="164" t="n">
        <v>19.94</v>
      </c>
    </row>
    <row r="773" customFormat="false" ht="12.75" hidden="false" customHeight="false" outlineLevel="0" collapsed="false">
      <c r="A773" s="162" t="s">
        <v>611</v>
      </c>
      <c r="B773" s="157" t="s">
        <v>668</v>
      </c>
      <c r="C773" s="157" t="s">
        <v>760</v>
      </c>
      <c r="E773" s="106" t="n">
        <v>15</v>
      </c>
      <c r="F773" s="106" t="n">
        <v>61</v>
      </c>
      <c r="S773" s="165" t="n">
        <v>1330.350592</v>
      </c>
      <c r="Y773" s="164" t="n">
        <v>605.65</v>
      </c>
      <c r="AA773" s="165" t="n">
        <v>59364.38</v>
      </c>
      <c r="AC773" s="164" t="n">
        <v>28.28</v>
      </c>
      <c r="AG773" s="167" t="n">
        <v>4.76</v>
      </c>
      <c r="BS773" s="165" t="n">
        <v>47.04</v>
      </c>
      <c r="BU773" s="164" t="n">
        <v>21.41</v>
      </c>
    </row>
    <row r="774" customFormat="false" ht="12.75" hidden="false" customHeight="false" outlineLevel="0" collapsed="false">
      <c r="A774" s="162" t="s">
        <v>611</v>
      </c>
      <c r="B774" s="157" t="s">
        <v>665</v>
      </c>
      <c r="C774" s="157" t="s">
        <v>761</v>
      </c>
      <c r="E774" s="106" t="n">
        <v>13</v>
      </c>
      <c r="F774" s="106" t="n">
        <v>15</v>
      </c>
      <c r="S774" s="165" t="n">
        <v>1487.969384</v>
      </c>
      <c r="Y774" s="164" t="n">
        <v>645.26</v>
      </c>
      <c r="AA774" s="165" t="n">
        <v>65268.77</v>
      </c>
      <c r="AC774" s="164" t="n">
        <v>31.32</v>
      </c>
      <c r="AG774" s="167" t="n">
        <v>4.8</v>
      </c>
      <c r="BS774" s="165" t="n">
        <v>47.52</v>
      </c>
      <c r="BU774" s="164" t="n">
        <v>20.61</v>
      </c>
    </row>
    <row r="775" customFormat="false" ht="12.75" hidden="false" customHeight="false" outlineLevel="0" collapsed="false">
      <c r="A775" s="162" t="s">
        <v>611</v>
      </c>
      <c r="B775" s="157" t="s">
        <v>668</v>
      </c>
      <c r="C775" s="157" t="s">
        <v>761</v>
      </c>
      <c r="E775" s="106" t="n">
        <v>21</v>
      </c>
      <c r="F775" s="106" t="n">
        <v>7</v>
      </c>
      <c r="S775" s="165" t="n">
        <v>1841.975555</v>
      </c>
      <c r="Y775" s="164" t="n">
        <v>817.3</v>
      </c>
      <c r="AA775" s="165" t="n">
        <v>77210.22</v>
      </c>
      <c r="AC775" s="164" t="n">
        <v>38.56</v>
      </c>
      <c r="AG775" s="167" t="n">
        <v>4.99</v>
      </c>
      <c r="BS775" s="165" t="n">
        <v>47.76</v>
      </c>
      <c r="BU775" s="164" t="n">
        <v>21.19</v>
      </c>
    </row>
    <row r="776" customFormat="false" ht="12.75" hidden="false" customHeight="false" outlineLevel="0" collapsed="false">
      <c r="A776" s="162" t="s">
        <v>611</v>
      </c>
      <c r="B776" s="157" t="s">
        <v>665</v>
      </c>
      <c r="C776" s="157" t="s">
        <v>762</v>
      </c>
      <c r="E776" s="106" t="n">
        <v>1</v>
      </c>
      <c r="F776" s="106" t="n">
        <v>11</v>
      </c>
      <c r="S776" s="165" t="n">
        <v>1646.294344</v>
      </c>
      <c r="Y776" s="164" t="n">
        <v>691.52</v>
      </c>
      <c r="AA776" s="165" t="n">
        <v>77856.34</v>
      </c>
      <c r="AC776" s="164" t="n">
        <v>33.71</v>
      </c>
      <c r="AG776" s="167" t="n">
        <v>4.33</v>
      </c>
      <c r="BS776" s="165" t="n">
        <v>48.84</v>
      </c>
      <c r="BU776" s="164" t="n">
        <v>20.52</v>
      </c>
    </row>
    <row r="777" customFormat="false" ht="12.75" hidden="false" customHeight="false" outlineLevel="0" collapsed="false">
      <c r="A777" s="162" t="s">
        <v>611</v>
      </c>
      <c r="B777" s="157" t="s">
        <v>668</v>
      </c>
      <c r="C777" s="157" t="s">
        <v>762</v>
      </c>
      <c r="E777" s="106" t="n">
        <v>3</v>
      </c>
      <c r="F777" s="106" t="n">
        <v>38</v>
      </c>
      <c r="S777" s="165" t="n">
        <v>1597.736187</v>
      </c>
      <c r="Y777" s="164" t="n">
        <v>816.26</v>
      </c>
      <c r="AA777" s="165" t="n">
        <v>81744.31</v>
      </c>
      <c r="AC777" s="164" t="n">
        <v>35.49</v>
      </c>
      <c r="AG777" s="167" t="n">
        <v>4.34</v>
      </c>
      <c r="BS777" s="165" t="n">
        <v>45.02</v>
      </c>
      <c r="BU777" s="164" t="n">
        <v>23</v>
      </c>
    </row>
    <row r="778" customFormat="false" ht="12.75" hidden="false" customHeight="false" outlineLevel="0" collapsed="false">
      <c r="A778" s="162" t="s">
        <v>613</v>
      </c>
      <c r="B778" s="157" t="s">
        <v>665</v>
      </c>
      <c r="C778" s="157" t="s">
        <v>758</v>
      </c>
      <c r="E778" s="106" t="n">
        <v>5</v>
      </c>
      <c r="F778" s="106" t="n">
        <v>32</v>
      </c>
      <c r="S778" s="165" t="n">
        <v>1463.434435</v>
      </c>
      <c r="Y778" s="164" t="n">
        <v>629.43</v>
      </c>
      <c r="AA778" s="165" t="n">
        <v>68165.49</v>
      </c>
      <c r="AC778" s="164" t="n">
        <v>30.5</v>
      </c>
      <c r="AG778" s="167" t="n">
        <v>4.47</v>
      </c>
      <c r="BS778" s="165" t="n">
        <v>47.99</v>
      </c>
      <c r="BU778" s="164" t="n">
        <v>20.64</v>
      </c>
    </row>
    <row r="779" customFormat="false" ht="12.75" hidden="false" customHeight="false" outlineLevel="0" collapsed="false">
      <c r="A779" s="162" t="s">
        <v>613</v>
      </c>
      <c r="B779" s="157" t="s">
        <v>668</v>
      </c>
      <c r="C779" s="157" t="s">
        <v>758</v>
      </c>
      <c r="E779" s="106" t="n">
        <v>12</v>
      </c>
      <c r="F779" s="106" t="n">
        <v>17</v>
      </c>
      <c r="S779" s="165" t="n">
        <v>1635.402193</v>
      </c>
      <c r="Y779" s="164" t="n">
        <v>745.05</v>
      </c>
      <c r="AA779" s="165" t="n">
        <v>78028.77</v>
      </c>
      <c r="AC779" s="164" t="n">
        <v>34.31</v>
      </c>
      <c r="AG779" s="167" t="n">
        <v>4.4</v>
      </c>
      <c r="BS779" s="165" t="n">
        <v>47.66</v>
      </c>
      <c r="BU779" s="164" t="n">
        <v>21.71</v>
      </c>
    </row>
    <row r="780" customFormat="false" ht="12.75" hidden="false" customHeight="false" outlineLevel="0" collapsed="false">
      <c r="A780" s="162" t="s">
        <v>613</v>
      </c>
      <c r="B780" s="157" t="s">
        <v>665</v>
      </c>
      <c r="C780" s="157" t="s">
        <v>760</v>
      </c>
      <c r="E780" s="106" t="n">
        <v>9</v>
      </c>
      <c r="F780" s="106" t="n">
        <v>60</v>
      </c>
      <c r="S780" s="165" t="n">
        <v>1460.788687</v>
      </c>
      <c r="Y780" s="164" t="n">
        <v>623.63</v>
      </c>
      <c r="AA780" s="165" t="n">
        <v>66182.18</v>
      </c>
      <c r="AC780" s="164" t="n">
        <v>30.3</v>
      </c>
      <c r="AG780" s="167" t="n">
        <v>4.58</v>
      </c>
      <c r="BS780" s="165" t="n">
        <v>48.21</v>
      </c>
      <c r="BU780" s="164" t="n">
        <v>20.58</v>
      </c>
    </row>
    <row r="781" customFormat="false" ht="12.75" hidden="false" customHeight="false" outlineLevel="0" collapsed="false">
      <c r="A781" s="162" t="s">
        <v>613</v>
      </c>
      <c r="B781" s="157" t="s">
        <v>668</v>
      </c>
      <c r="C781" s="157" t="s">
        <v>760</v>
      </c>
      <c r="E781" s="106" t="n">
        <v>15</v>
      </c>
      <c r="F781" s="106" t="n">
        <v>52</v>
      </c>
      <c r="S781" s="165" t="n">
        <v>1296.899842</v>
      </c>
      <c r="Y781" s="164" t="n">
        <v>606.79</v>
      </c>
      <c r="AA781" s="165" t="n">
        <v>61542.72</v>
      </c>
      <c r="AC781" s="164" t="n">
        <v>28.11</v>
      </c>
      <c r="AG781" s="167" t="n">
        <v>4.57</v>
      </c>
      <c r="BS781" s="165" t="n">
        <v>46.14</v>
      </c>
      <c r="BU781" s="164" t="n">
        <v>21.59</v>
      </c>
    </row>
    <row r="782" customFormat="false" ht="12.75" hidden="false" customHeight="false" outlineLevel="0" collapsed="false">
      <c r="A782" s="162" t="s">
        <v>613</v>
      </c>
      <c r="B782" s="157" t="s">
        <v>665</v>
      </c>
      <c r="C782" s="157" t="s">
        <v>761</v>
      </c>
      <c r="E782" s="106" t="n">
        <v>15</v>
      </c>
      <c r="F782" s="106" t="n">
        <v>22</v>
      </c>
      <c r="S782" s="165" t="n">
        <v>1600.75087</v>
      </c>
      <c r="Y782" s="164" t="n">
        <v>755.15</v>
      </c>
      <c r="AA782" s="165" t="n">
        <v>80875.49</v>
      </c>
      <c r="AC782" s="164" t="n">
        <v>34.79</v>
      </c>
      <c r="AG782" s="167" t="n">
        <v>4.3</v>
      </c>
      <c r="BS782" s="165" t="n">
        <v>46.01</v>
      </c>
      <c r="BU782" s="164" t="n">
        <v>21.71</v>
      </c>
    </row>
    <row r="783" customFormat="false" ht="12.75" hidden="false" customHeight="false" outlineLevel="0" collapsed="false">
      <c r="A783" s="162" t="s">
        <v>613</v>
      </c>
      <c r="B783" s="157" t="s">
        <v>668</v>
      </c>
      <c r="C783" s="157" t="s">
        <v>761</v>
      </c>
      <c r="E783" s="106" t="n">
        <v>21</v>
      </c>
      <c r="F783" s="106" t="n">
        <v>4</v>
      </c>
      <c r="S783" s="165" t="n">
        <v>1983.989706</v>
      </c>
      <c r="Y783" s="164" t="n">
        <v>935.18</v>
      </c>
      <c r="AA783" s="165" t="n">
        <v>94951.94</v>
      </c>
      <c r="AC783" s="164" t="n">
        <v>42.61</v>
      </c>
      <c r="AG783" s="167" t="n">
        <v>4.49</v>
      </c>
      <c r="BS783" s="165" t="n">
        <v>46.57</v>
      </c>
      <c r="BU783" s="164" t="n">
        <v>21.95</v>
      </c>
    </row>
    <row r="784" customFormat="false" ht="12.75" hidden="false" customHeight="false" outlineLevel="0" collapsed="false">
      <c r="A784" s="162" t="s">
        <v>613</v>
      </c>
      <c r="B784" s="157" t="s">
        <v>665</v>
      </c>
      <c r="C784" s="157" t="s">
        <v>762</v>
      </c>
      <c r="E784" s="106" t="n">
        <v>4</v>
      </c>
      <c r="F784" s="106" t="n">
        <v>6</v>
      </c>
      <c r="S784" s="165" t="n">
        <v>1633.791731</v>
      </c>
      <c r="Y784" s="164" t="n">
        <v>705.04</v>
      </c>
      <c r="AA784" s="165" t="n">
        <v>78830.72</v>
      </c>
      <c r="AC784" s="164" t="n">
        <v>34.49</v>
      </c>
      <c r="AG784" s="167" t="n">
        <v>4.38</v>
      </c>
      <c r="BS784" s="165" t="n">
        <v>47.37</v>
      </c>
      <c r="BU784" s="164" t="n">
        <v>20.44</v>
      </c>
    </row>
    <row r="785" customFormat="false" ht="12.75" hidden="false" customHeight="false" outlineLevel="0" collapsed="false">
      <c r="A785" s="162" t="s">
        <v>613</v>
      </c>
      <c r="B785" s="157" t="s">
        <v>668</v>
      </c>
      <c r="C785" s="157" t="s">
        <v>762</v>
      </c>
      <c r="E785" s="106" t="n">
        <v>4</v>
      </c>
      <c r="F785" s="106" t="n">
        <v>47</v>
      </c>
      <c r="S785" s="165" t="n">
        <v>1371.13695</v>
      </c>
      <c r="Y785" s="164" t="n">
        <v>704.14</v>
      </c>
      <c r="AA785" s="165" t="n">
        <v>70468.42</v>
      </c>
      <c r="AC785" s="164" t="n">
        <v>30.58</v>
      </c>
      <c r="AG785" s="167" t="n">
        <v>4.34</v>
      </c>
      <c r="BS785" s="165" t="n">
        <v>44.83</v>
      </c>
      <c r="BU785" s="164" t="n">
        <v>23.02</v>
      </c>
    </row>
    <row r="786" customFormat="false" ht="12.75" hidden="false" customHeight="false" outlineLevel="0" collapsed="false">
      <c r="A786" s="162" t="s">
        <v>615</v>
      </c>
      <c r="B786" s="157" t="s">
        <v>665</v>
      </c>
      <c r="C786" s="157" t="s">
        <v>758</v>
      </c>
      <c r="E786" s="106" t="n">
        <v>8</v>
      </c>
      <c r="F786" s="106" t="n">
        <v>32</v>
      </c>
      <c r="S786" s="165" t="n">
        <v>1474.970076</v>
      </c>
      <c r="Y786" s="164" t="n">
        <v>651.5</v>
      </c>
      <c r="AA786" s="165" t="n">
        <v>65232.42</v>
      </c>
      <c r="AC786" s="164" t="n">
        <v>31.18</v>
      </c>
      <c r="AG786" s="167" t="n">
        <v>4.78</v>
      </c>
      <c r="BS786" s="165" t="n">
        <v>47.3</v>
      </c>
      <c r="BU786" s="164" t="n">
        <v>20.89</v>
      </c>
    </row>
    <row r="787" customFormat="false" ht="12.75" hidden="false" customHeight="false" outlineLevel="0" collapsed="false">
      <c r="A787" s="162" t="s">
        <v>615</v>
      </c>
      <c r="B787" s="157" t="s">
        <v>668</v>
      </c>
      <c r="C787" s="157" t="s">
        <v>758</v>
      </c>
      <c r="E787" s="106" t="n">
        <v>11</v>
      </c>
      <c r="F787" s="106" t="n">
        <v>9</v>
      </c>
      <c r="S787" s="165" t="n">
        <v>1333.787335</v>
      </c>
      <c r="Y787" s="164" t="n">
        <v>625.48</v>
      </c>
      <c r="AA787" s="165" t="n">
        <v>55195.02</v>
      </c>
      <c r="AC787" s="164" t="n">
        <v>28.69</v>
      </c>
      <c r="AG787" s="167" t="n">
        <v>5.2</v>
      </c>
      <c r="BS787" s="165" t="n">
        <v>46.49</v>
      </c>
      <c r="BU787" s="164" t="n">
        <v>21.8</v>
      </c>
    </row>
    <row r="788" customFormat="false" ht="12.75" hidden="false" customHeight="false" outlineLevel="0" collapsed="false">
      <c r="A788" s="162" t="s">
        <v>615</v>
      </c>
      <c r="B788" s="157" t="s">
        <v>665</v>
      </c>
      <c r="C788" s="157" t="s">
        <v>760</v>
      </c>
      <c r="E788" s="106" t="n">
        <v>10</v>
      </c>
      <c r="F788" s="106" t="n">
        <v>54</v>
      </c>
      <c r="S788" s="165" t="n">
        <v>1430.060213</v>
      </c>
      <c r="Y788" s="164" t="n">
        <v>599.45</v>
      </c>
      <c r="AA788" s="165" t="n">
        <v>61866.66</v>
      </c>
      <c r="AC788" s="164" t="n">
        <v>30.12</v>
      </c>
      <c r="AG788" s="167" t="n">
        <v>4.87</v>
      </c>
      <c r="BS788" s="165" t="n">
        <v>47.48</v>
      </c>
      <c r="BU788" s="164" t="n">
        <v>19.9</v>
      </c>
    </row>
    <row r="789" customFormat="false" ht="12.75" hidden="false" customHeight="false" outlineLevel="0" collapsed="false">
      <c r="A789" s="162" t="s">
        <v>615</v>
      </c>
      <c r="B789" s="157" t="s">
        <v>668</v>
      </c>
      <c r="C789" s="157" t="s">
        <v>760</v>
      </c>
      <c r="E789" s="106" t="n">
        <v>15</v>
      </c>
      <c r="F789" s="106" t="n">
        <v>41</v>
      </c>
      <c r="S789" s="165" t="n">
        <v>1484.861586</v>
      </c>
      <c r="Y789" s="164" t="n">
        <v>732.07</v>
      </c>
      <c r="AA789" s="165" t="n">
        <v>67178.6</v>
      </c>
      <c r="AC789" s="164" t="n">
        <v>32.95</v>
      </c>
      <c r="AG789" s="167" t="n">
        <v>4.9</v>
      </c>
      <c r="BS789" s="165" t="n">
        <v>45.07</v>
      </c>
      <c r="BU789" s="164" t="n">
        <v>22.22</v>
      </c>
    </row>
    <row r="790" customFormat="false" ht="12.75" hidden="false" customHeight="false" outlineLevel="0" collapsed="false">
      <c r="A790" s="162" t="s">
        <v>615</v>
      </c>
      <c r="B790" s="157" t="s">
        <v>665</v>
      </c>
      <c r="C790" s="157" t="s">
        <v>761</v>
      </c>
      <c r="E790" s="106" t="n">
        <v>13</v>
      </c>
      <c r="F790" s="106" t="n">
        <v>1</v>
      </c>
      <c r="S790" s="165" t="n">
        <v>1481.325466</v>
      </c>
      <c r="Y790" s="164" t="n">
        <v>717.1</v>
      </c>
      <c r="AA790" s="165" t="n">
        <v>63737.86</v>
      </c>
      <c r="AC790" s="164" t="n">
        <v>32.43</v>
      </c>
      <c r="AG790" s="167" t="n">
        <v>5.09</v>
      </c>
      <c r="BS790" s="165" t="n">
        <v>45.67</v>
      </c>
      <c r="BU790" s="164" t="n">
        <v>22.11</v>
      </c>
    </row>
    <row r="791" customFormat="false" ht="12.75" hidden="false" customHeight="false" outlineLevel="0" collapsed="false">
      <c r="A791" s="162" t="s">
        <v>615</v>
      </c>
      <c r="B791" s="157" t="s">
        <v>668</v>
      </c>
      <c r="C791" s="157" t="s">
        <v>761</v>
      </c>
      <c r="E791" s="106" t="n">
        <v>19</v>
      </c>
      <c r="F791" s="106" t="n">
        <v>24</v>
      </c>
      <c r="S791" s="165" t="n">
        <v>1352.373863</v>
      </c>
      <c r="Y791" s="164" t="n">
        <v>650.54</v>
      </c>
      <c r="AA791" s="165" t="n">
        <v>60977.76</v>
      </c>
      <c r="AC791" s="164" t="n">
        <v>29.65</v>
      </c>
      <c r="AG791" s="167" t="n">
        <v>4.86</v>
      </c>
      <c r="BS791" s="165" t="n">
        <v>45.62</v>
      </c>
      <c r="BU791" s="164" t="n">
        <v>21.94</v>
      </c>
    </row>
    <row r="792" customFormat="false" ht="12.75" hidden="false" customHeight="false" outlineLevel="0" collapsed="false">
      <c r="A792" s="162" t="s">
        <v>615</v>
      </c>
      <c r="B792" s="157" t="s">
        <v>665</v>
      </c>
      <c r="C792" s="157" t="s">
        <v>762</v>
      </c>
      <c r="E792" s="106" t="n">
        <v>4</v>
      </c>
      <c r="F792" s="106" t="n">
        <v>28</v>
      </c>
      <c r="S792" s="165" t="n">
        <v>1424.45139</v>
      </c>
      <c r="Y792" s="164" t="n">
        <v>657.72</v>
      </c>
      <c r="AA792" s="165" t="n">
        <v>64633.27</v>
      </c>
      <c r="AC792" s="164" t="n">
        <v>30.71</v>
      </c>
      <c r="AG792" s="167" t="n">
        <v>4.75</v>
      </c>
      <c r="BS792" s="165" t="n">
        <v>46.39</v>
      </c>
      <c r="BU792" s="164" t="n">
        <v>21.42</v>
      </c>
    </row>
    <row r="793" customFormat="false" ht="12.75" hidden="false" customHeight="false" outlineLevel="0" collapsed="false">
      <c r="A793" s="162" t="s">
        <v>615</v>
      </c>
      <c r="B793" s="157" t="s">
        <v>668</v>
      </c>
      <c r="C793" s="157" t="s">
        <v>762</v>
      </c>
      <c r="E793" s="106" t="n">
        <v>2</v>
      </c>
      <c r="F793" s="106" t="n">
        <v>54</v>
      </c>
      <c r="S793" s="165" t="n">
        <v>1454.771516</v>
      </c>
      <c r="Y793" s="164" t="n">
        <v>730.02</v>
      </c>
      <c r="AA793" s="165" t="n">
        <v>71649.52</v>
      </c>
      <c r="AC793" s="164" t="n">
        <v>32.44</v>
      </c>
      <c r="AG793" s="167" t="n">
        <v>4.53</v>
      </c>
      <c r="BS793" s="165" t="n">
        <v>44.84</v>
      </c>
      <c r="BU793" s="164" t="n">
        <v>22.5</v>
      </c>
    </row>
    <row r="794" customFormat="false" ht="12.75" hidden="false" customHeight="false" outlineLevel="0" collapsed="false">
      <c r="A794" s="162" t="s">
        <v>617</v>
      </c>
      <c r="B794" s="157" t="s">
        <v>665</v>
      </c>
      <c r="C794" s="157" t="s">
        <v>758</v>
      </c>
      <c r="E794" s="106" t="n">
        <v>5</v>
      </c>
      <c r="F794" s="106" t="n">
        <v>8</v>
      </c>
      <c r="S794" s="165" t="n">
        <v>1575.775889</v>
      </c>
      <c r="Y794" s="164" t="n">
        <v>634.87</v>
      </c>
      <c r="AA794" s="165" t="n">
        <v>69358.68</v>
      </c>
      <c r="AC794" s="164" t="n">
        <v>32.28</v>
      </c>
      <c r="AG794" s="167" t="n">
        <v>4.65</v>
      </c>
      <c r="BS794" s="165" t="n">
        <v>48.82</v>
      </c>
      <c r="BU794" s="164" t="n">
        <v>19.67</v>
      </c>
    </row>
    <row r="795" customFormat="false" ht="12.75" hidden="false" customHeight="false" outlineLevel="0" collapsed="false">
      <c r="A795" s="162" t="s">
        <v>617</v>
      </c>
      <c r="B795" s="157" t="s">
        <v>668</v>
      </c>
      <c r="C795" s="157" t="s">
        <v>758</v>
      </c>
      <c r="E795" s="106" t="n">
        <v>12</v>
      </c>
      <c r="F795" s="106" t="n">
        <v>16</v>
      </c>
      <c r="S795" s="165" t="n">
        <v>1690.996033</v>
      </c>
      <c r="Y795" s="164" t="n">
        <v>719.94</v>
      </c>
      <c r="AA795" s="165" t="n">
        <v>74722.41</v>
      </c>
      <c r="AC795" s="164" t="n">
        <v>34.89</v>
      </c>
      <c r="AG795" s="167" t="n">
        <v>4.67</v>
      </c>
      <c r="BS795" s="165" t="n">
        <v>48.47</v>
      </c>
      <c r="BU795" s="164" t="n">
        <v>20.63</v>
      </c>
    </row>
    <row r="796" customFormat="false" ht="12.75" hidden="false" customHeight="false" outlineLevel="0" collapsed="false">
      <c r="A796" s="162" t="s">
        <v>617</v>
      </c>
      <c r="B796" s="157" t="s">
        <v>665</v>
      </c>
      <c r="C796" s="157" t="s">
        <v>760</v>
      </c>
      <c r="E796" s="106" t="n">
        <v>12</v>
      </c>
      <c r="F796" s="106" t="n">
        <v>51</v>
      </c>
      <c r="S796" s="165" t="n">
        <v>1342.572498</v>
      </c>
      <c r="Y796" s="164" t="n">
        <v>517.27</v>
      </c>
      <c r="AA796" s="165" t="n">
        <v>55852.05</v>
      </c>
      <c r="AC796" s="164" t="n">
        <v>27.05</v>
      </c>
      <c r="AG796" s="167" t="n">
        <v>4.84</v>
      </c>
      <c r="BS796" s="165" t="n">
        <v>49.63</v>
      </c>
      <c r="BU796" s="164" t="n">
        <v>19.12</v>
      </c>
    </row>
    <row r="797" customFormat="false" ht="12.75" hidden="false" customHeight="false" outlineLevel="0" collapsed="false">
      <c r="A797" s="162" t="s">
        <v>617</v>
      </c>
      <c r="B797" s="157" t="s">
        <v>668</v>
      </c>
      <c r="C797" s="157" t="s">
        <v>760</v>
      </c>
      <c r="E797" s="106" t="n">
        <v>14</v>
      </c>
      <c r="F797" s="106" t="n">
        <v>64</v>
      </c>
      <c r="S797" s="165" t="n">
        <v>1208.231191</v>
      </c>
      <c r="Y797" s="164" t="n">
        <v>524.76</v>
      </c>
      <c r="AA797" s="165" t="n">
        <v>56156.34</v>
      </c>
      <c r="AC797" s="164" t="n">
        <v>25.25</v>
      </c>
      <c r="AG797" s="167" t="n">
        <v>4.5</v>
      </c>
      <c r="BS797" s="165" t="n">
        <v>47.85</v>
      </c>
      <c r="BU797" s="164" t="n">
        <v>20.78</v>
      </c>
    </row>
    <row r="798" customFormat="false" ht="12.75" hidden="false" customHeight="false" outlineLevel="0" collapsed="false">
      <c r="A798" s="162" t="s">
        <v>617</v>
      </c>
      <c r="B798" s="157" t="s">
        <v>665</v>
      </c>
      <c r="C798" s="157" t="s">
        <v>761</v>
      </c>
      <c r="E798" s="106" t="n">
        <v>15</v>
      </c>
      <c r="F798" s="106" t="n">
        <v>3</v>
      </c>
      <c r="S798" s="165" t="n">
        <v>1403.494555</v>
      </c>
      <c r="Y798" s="164" t="n">
        <v>664.49</v>
      </c>
      <c r="AA798" s="165" t="n">
        <v>66471.48</v>
      </c>
      <c r="AC798" s="164" t="n">
        <v>30.27</v>
      </c>
      <c r="AG798" s="167" t="n">
        <v>4.55</v>
      </c>
      <c r="BS798" s="165" t="n">
        <v>46.36</v>
      </c>
      <c r="BU798" s="164" t="n">
        <v>21.95</v>
      </c>
    </row>
    <row r="799" customFormat="false" ht="12.75" hidden="false" customHeight="false" outlineLevel="0" collapsed="false">
      <c r="A799" s="162" t="s">
        <v>617</v>
      </c>
      <c r="B799" s="157" t="s">
        <v>668</v>
      </c>
      <c r="C799" s="157" t="s">
        <v>761</v>
      </c>
      <c r="E799" s="106" t="n">
        <v>17</v>
      </c>
      <c r="F799" s="106" t="n">
        <v>9</v>
      </c>
      <c r="S799" s="165" t="n">
        <v>1251.808296</v>
      </c>
      <c r="Y799" s="164" t="n">
        <v>576.32</v>
      </c>
      <c r="AA799" s="165" t="n">
        <v>56499.11</v>
      </c>
      <c r="AC799" s="164" t="n">
        <v>26.82</v>
      </c>
      <c r="AG799" s="167" t="n">
        <v>4.75</v>
      </c>
      <c r="BS799" s="165" t="n">
        <v>46.67</v>
      </c>
      <c r="BU799" s="164" t="n">
        <v>21.49</v>
      </c>
    </row>
    <row r="800" customFormat="false" ht="12.75" hidden="false" customHeight="false" outlineLevel="0" collapsed="false">
      <c r="A800" s="162" t="s">
        <v>617</v>
      </c>
      <c r="B800" s="157" t="s">
        <v>665</v>
      </c>
      <c r="C800" s="157" t="s">
        <v>762</v>
      </c>
      <c r="E800" s="106" t="n">
        <v>1</v>
      </c>
      <c r="F800" s="106" t="n">
        <v>21</v>
      </c>
      <c r="S800" s="165" t="n">
        <v>1502.46071</v>
      </c>
      <c r="Y800" s="164" t="n">
        <v>651.78</v>
      </c>
      <c r="AA800" s="165" t="n">
        <v>63039.74</v>
      </c>
      <c r="AC800" s="164" t="n">
        <v>31.15</v>
      </c>
      <c r="AG800" s="167" t="n">
        <v>4.94</v>
      </c>
      <c r="BS800" s="165" t="n">
        <v>48.23</v>
      </c>
      <c r="BU800" s="164" t="n">
        <v>20.92</v>
      </c>
    </row>
    <row r="801" customFormat="false" ht="12.75" hidden="false" customHeight="false" outlineLevel="0" collapsed="false">
      <c r="A801" s="162" t="s">
        <v>617</v>
      </c>
      <c r="B801" s="157" t="s">
        <v>668</v>
      </c>
      <c r="C801" s="157" t="s">
        <v>762</v>
      </c>
      <c r="E801" s="106" t="n">
        <v>1</v>
      </c>
      <c r="F801" s="106" t="n">
        <v>35</v>
      </c>
      <c r="S801" s="165" t="n">
        <v>1284.694903</v>
      </c>
      <c r="Y801" s="164" t="n">
        <v>590.74</v>
      </c>
      <c r="AA801" s="165" t="n">
        <v>60040.08</v>
      </c>
      <c r="AC801" s="164" t="n">
        <v>27.23</v>
      </c>
      <c r="AG801" s="167" t="n">
        <v>4.53</v>
      </c>
      <c r="BS801" s="165" t="n">
        <v>47.18</v>
      </c>
      <c r="BU801" s="164" t="n">
        <v>21.7</v>
      </c>
    </row>
    <row r="802" customFormat="false" ht="12.75" hidden="false" customHeight="false" outlineLevel="0" collapsed="false">
      <c r="A802" s="162" t="s">
        <v>619</v>
      </c>
      <c r="B802" s="157" t="s">
        <v>665</v>
      </c>
      <c r="C802" s="157" t="s">
        <v>758</v>
      </c>
      <c r="E802" s="106" t="n">
        <v>7</v>
      </c>
      <c r="F802" s="106" t="n">
        <v>4</v>
      </c>
      <c r="S802" s="165" t="n">
        <v>1482.507912</v>
      </c>
      <c r="Y802" s="164" t="n">
        <v>649.68</v>
      </c>
      <c r="AA802" s="165" t="n">
        <v>62236.45</v>
      </c>
      <c r="AC802" s="164" t="n">
        <v>30.75</v>
      </c>
      <c r="AG802" s="167" t="n">
        <v>4.94</v>
      </c>
      <c r="BS802" s="165" t="n">
        <v>48.21</v>
      </c>
      <c r="BU802" s="164" t="n">
        <v>21.13</v>
      </c>
    </row>
    <row r="803" customFormat="false" ht="12.75" hidden="false" customHeight="false" outlineLevel="0" collapsed="false">
      <c r="A803" s="162" t="s">
        <v>619</v>
      </c>
      <c r="B803" s="157" t="s">
        <v>668</v>
      </c>
      <c r="C803" s="157" t="s">
        <v>758</v>
      </c>
      <c r="E803" s="106" t="n">
        <v>9</v>
      </c>
      <c r="F803" s="106" t="n">
        <v>26</v>
      </c>
      <c r="S803" s="165" t="n">
        <v>1628.679851</v>
      </c>
      <c r="Y803" s="164" t="n">
        <v>718.58</v>
      </c>
      <c r="AA803" s="165" t="n">
        <v>68332.86</v>
      </c>
      <c r="AC803" s="164" t="n">
        <v>33.91</v>
      </c>
      <c r="AG803" s="167" t="n">
        <v>4.96</v>
      </c>
      <c r="BS803" s="165" t="n">
        <v>48.03</v>
      </c>
      <c r="BU803" s="164" t="n">
        <v>21.19</v>
      </c>
    </row>
    <row r="804" customFormat="false" ht="12.75" hidden="false" customHeight="false" outlineLevel="0" collapsed="false">
      <c r="A804" s="162" t="s">
        <v>619</v>
      </c>
      <c r="B804" s="157" t="s">
        <v>665</v>
      </c>
      <c r="C804" s="157" t="s">
        <v>760</v>
      </c>
      <c r="E804" s="106" t="n">
        <v>11</v>
      </c>
      <c r="F804" s="106" t="n">
        <v>63</v>
      </c>
      <c r="S804" s="165" t="n">
        <v>1465.843066</v>
      </c>
      <c r="Y804" s="164" t="n">
        <v>611.17</v>
      </c>
      <c r="AA804" s="165" t="n">
        <v>60681.39</v>
      </c>
      <c r="AC804" s="164" t="n">
        <v>29.86</v>
      </c>
      <c r="AG804" s="167" t="n">
        <v>4.92</v>
      </c>
      <c r="BS804" s="165" t="n">
        <v>49.1</v>
      </c>
      <c r="BU804" s="164" t="n">
        <v>20.47</v>
      </c>
    </row>
    <row r="805" customFormat="false" ht="12.75" hidden="false" customHeight="false" outlineLevel="0" collapsed="false">
      <c r="A805" s="162" t="s">
        <v>619</v>
      </c>
      <c r="B805" s="157" t="s">
        <v>668</v>
      </c>
      <c r="C805" s="157" t="s">
        <v>760</v>
      </c>
      <c r="E805" s="106" t="n">
        <v>15</v>
      </c>
      <c r="F805" s="106" t="n">
        <v>54</v>
      </c>
      <c r="S805" s="165" t="n">
        <v>1383.902017</v>
      </c>
      <c r="Y805" s="164" t="n">
        <v>645.76</v>
      </c>
      <c r="AA805" s="165" t="n">
        <v>61358.16</v>
      </c>
      <c r="AC805" s="164" t="n">
        <v>29.65</v>
      </c>
      <c r="AG805" s="167" t="n">
        <v>4.83</v>
      </c>
      <c r="BS805" s="165" t="n">
        <v>46.68</v>
      </c>
      <c r="BU805" s="164" t="n">
        <v>21.78</v>
      </c>
    </row>
    <row r="806" customFormat="false" ht="12.75" hidden="false" customHeight="false" outlineLevel="0" collapsed="false">
      <c r="A806" s="162" t="s">
        <v>619</v>
      </c>
      <c r="B806" s="157" t="s">
        <v>665</v>
      </c>
      <c r="C806" s="157" t="s">
        <v>761</v>
      </c>
      <c r="E806" s="106" t="n">
        <v>14</v>
      </c>
      <c r="F806" s="106" t="n">
        <v>14</v>
      </c>
      <c r="S806" s="165" t="n">
        <v>1620.243385</v>
      </c>
      <c r="Y806" s="164" t="n">
        <v>749.72</v>
      </c>
      <c r="AA806" s="165" t="n">
        <v>73454.7</v>
      </c>
      <c r="AC806" s="164" t="n">
        <v>34.44</v>
      </c>
      <c r="AG806" s="167" t="n">
        <v>4.69</v>
      </c>
      <c r="BS806" s="165" t="n">
        <v>47.05</v>
      </c>
      <c r="BU806" s="164" t="n">
        <v>21.77</v>
      </c>
    </row>
    <row r="807" customFormat="false" ht="12.75" hidden="false" customHeight="false" outlineLevel="0" collapsed="false">
      <c r="A807" s="162" t="s">
        <v>619</v>
      </c>
      <c r="B807" s="157" t="s">
        <v>668</v>
      </c>
      <c r="C807" s="157" t="s">
        <v>761</v>
      </c>
      <c r="E807" s="106" t="n">
        <v>17</v>
      </c>
      <c r="F807" s="106" t="n">
        <v>23</v>
      </c>
      <c r="S807" s="165" t="n">
        <v>1536.165546</v>
      </c>
      <c r="Y807" s="164" t="n">
        <v>727.14</v>
      </c>
      <c r="AA807" s="165" t="n">
        <v>64821.19</v>
      </c>
      <c r="AC807" s="164" t="n">
        <v>33.05</v>
      </c>
      <c r="AG807" s="167" t="n">
        <v>5.1</v>
      </c>
      <c r="BS807" s="165" t="n">
        <v>46.49</v>
      </c>
      <c r="BU807" s="164" t="n">
        <v>22</v>
      </c>
    </row>
    <row r="808" customFormat="false" ht="12.75" hidden="false" customHeight="false" outlineLevel="0" collapsed="false">
      <c r="A808" s="162" t="s">
        <v>619</v>
      </c>
      <c r="B808" s="157" t="s">
        <v>665</v>
      </c>
      <c r="C808" s="157" t="s">
        <v>762</v>
      </c>
      <c r="E808" s="106" t="n">
        <v>1</v>
      </c>
      <c r="F808" s="106" t="n">
        <v>29</v>
      </c>
      <c r="S808" s="165" t="n">
        <v>1815.311405</v>
      </c>
      <c r="Y808" s="164" t="n">
        <v>749.8</v>
      </c>
      <c r="AA808" s="165" t="n">
        <v>86418.74</v>
      </c>
      <c r="AC808" s="164" t="n">
        <v>37.66</v>
      </c>
      <c r="AG808" s="167" t="n">
        <v>4.36</v>
      </c>
      <c r="BS808" s="165" t="n">
        <v>48.21</v>
      </c>
      <c r="BU808" s="164" t="n">
        <v>19.91</v>
      </c>
    </row>
    <row r="809" customFormat="false" ht="12.75" hidden="false" customHeight="false" outlineLevel="0" collapsed="false">
      <c r="A809" s="162" t="s">
        <v>619</v>
      </c>
      <c r="B809" s="157" t="s">
        <v>668</v>
      </c>
      <c r="C809" s="157" t="s">
        <v>762</v>
      </c>
      <c r="E809" s="106" t="n">
        <v>4</v>
      </c>
      <c r="F809" s="106" t="n">
        <v>35</v>
      </c>
      <c r="S809" s="165" t="n">
        <v>1291.153646</v>
      </c>
      <c r="Y809" s="164" t="n">
        <v>660.19</v>
      </c>
      <c r="AA809" s="165" t="n">
        <v>56609.83</v>
      </c>
      <c r="AC809" s="164" t="n">
        <v>28.8</v>
      </c>
      <c r="AG809" s="167" t="n">
        <v>5.09</v>
      </c>
      <c r="BS809" s="165" t="n">
        <v>44.84</v>
      </c>
      <c r="BU809" s="164" t="n">
        <v>22.93</v>
      </c>
    </row>
    <row r="810" customFormat="false" ht="12.75" hidden="false" customHeight="false" outlineLevel="0" collapsed="false">
      <c r="A810" s="162" t="s">
        <v>621</v>
      </c>
      <c r="B810" s="157" t="s">
        <v>665</v>
      </c>
      <c r="C810" s="157" t="s">
        <v>758</v>
      </c>
      <c r="E810" s="106" t="n">
        <v>5</v>
      </c>
      <c r="F810" s="106" t="n">
        <v>23</v>
      </c>
      <c r="S810" s="165" t="n">
        <v>1429.659059</v>
      </c>
      <c r="Y810" s="164" t="n">
        <v>638.47</v>
      </c>
      <c r="AA810" s="165" t="n">
        <v>67472.97</v>
      </c>
      <c r="AC810" s="164" t="n">
        <v>30.06</v>
      </c>
      <c r="AG810" s="167" t="n">
        <v>4.46</v>
      </c>
      <c r="BS810" s="165" t="n">
        <v>47.56</v>
      </c>
      <c r="BU810" s="164" t="n">
        <v>21.24</v>
      </c>
    </row>
    <row r="811" customFormat="false" ht="12.75" hidden="false" customHeight="false" outlineLevel="0" collapsed="false">
      <c r="A811" s="162" t="s">
        <v>621</v>
      </c>
      <c r="B811" s="157" t="s">
        <v>668</v>
      </c>
      <c r="C811" s="157" t="s">
        <v>758</v>
      </c>
      <c r="E811" s="106" t="n">
        <v>10</v>
      </c>
      <c r="F811" s="106" t="n">
        <v>19</v>
      </c>
      <c r="S811" s="165" t="n">
        <v>1816.279888</v>
      </c>
      <c r="Y811" s="164" t="n">
        <v>823.33</v>
      </c>
      <c r="AA811" s="165" t="n">
        <v>90625.18</v>
      </c>
      <c r="AC811" s="164" t="n">
        <v>38.19</v>
      </c>
      <c r="AG811" s="167" t="n">
        <v>4.21</v>
      </c>
      <c r="BS811" s="165" t="n">
        <v>47.56</v>
      </c>
      <c r="BU811" s="164" t="n">
        <v>21.56</v>
      </c>
    </row>
    <row r="812" customFormat="false" ht="12.75" hidden="false" customHeight="false" outlineLevel="0" collapsed="false">
      <c r="A812" s="162" t="s">
        <v>621</v>
      </c>
      <c r="B812" s="157" t="s">
        <v>665</v>
      </c>
      <c r="C812" s="157" t="s">
        <v>760</v>
      </c>
      <c r="E812" s="106" t="n">
        <v>10</v>
      </c>
      <c r="F812" s="106" t="n">
        <v>43</v>
      </c>
      <c r="S812" s="165" t="n">
        <v>1757.053344</v>
      </c>
      <c r="Y812" s="164" t="n">
        <v>738.38</v>
      </c>
      <c r="AA812" s="165" t="n">
        <v>76095.6</v>
      </c>
      <c r="AC812" s="164" t="n">
        <v>35.92</v>
      </c>
      <c r="AG812" s="167" t="n">
        <v>4.72</v>
      </c>
      <c r="BS812" s="165" t="n">
        <v>48.91</v>
      </c>
      <c r="BU812" s="164" t="n">
        <v>20.55</v>
      </c>
    </row>
    <row r="813" customFormat="false" ht="12.75" hidden="false" customHeight="false" outlineLevel="0" collapsed="false">
      <c r="A813" s="162" t="s">
        <v>621</v>
      </c>
      <c r="B813" s="157" t="s">
        <v>668</v>
      </c>
      <c r="C813" s="157" t="s">
        <v>760</v>
      </c>
      <c r="E813" s="106" t="n">
        <v>14</v>
      </c>
      <c r="F813" s="106" t="n">
        <v>37</v>
      </c>
      <c r="S813" s="165" t="n">
        <v>1435.838258</v>
      </c>
      <c r="Y813" s="164" t="n">
        <v>653.1</v>
      </c>
      <c r="AA813" s="165" t="n">
        <v>72492.48</v>
      </c>
      <c r="AC813" s="164" t="n">
        <v>30.49</v>
      </c>
      <c r="AG813" s="167" t="n">
        <v>4.21</v>
      </c>
      <c r="BS813" s="165" t="n">
        <v>47.1</v>
      </c>
      <c r="BU813" s="164" t="n">
        <v>21.42</v>
      </c>
    </row>
    <row r="814" customFormat="false" ht="12.75" hidden="false" customHeight="false" outlineLevel="0" collapsed="false">
      <c r="A814" s="162" t="s">
        <v>621</v>
      </c>
      <c r="B814" s="157" t="s">
        <v>665</v>
      </c>
      <c r="C814" s="157" t="s">
        <v>761</v>
      </c>
      <c r="E814" s="106" t="n">
        <v>16</v>
      </c>
      <c r="F814" s="106" t="n">
        <v>26</v>
      </c>
      <c r="S814" s="165" t="n">
        <v>1706.988987</v>
      </c>
      <c r="Y814" s="164" t="n">
        <v>736.06</v>
      </c>
      <c r="AA814" s="165" t="n">
        <v>80844.93</v>
      </c>
      <c r="AC814" s="164" t="n">
        <v>35.67</v>
      </c>
      <c r="AG814" s="167" t="n">
        <v>4.41</v>
      </c>
      <c r="BS814" s="165" t="n">
        <v>47.85</v>
      </c>
      <c r="BU814" s="164" t="n">
        <v>20.63</v>
      </c>
    </row>
    <row r="815" customFormat="false" ht="12.75" hidden="false" customHeight="false" outlineLevel="0" collapsed="false">
      <c r="A815" s="162" t="s">
        <v>621</v>
      </c>
      <c r="B815" s="157" t="s">
        <v>668</v>
      </c>
      <c r="C815" s="157" t="s">
        <v>761</v>
      </c>
      <c r="E815" s="106" t="n">
        <v>17</v>
      </c>
      <c r="F815" s="106" t="n">
        <v>7</v>
      </c>
      <c r="S815" s="165" t="n">
        <v>1381.922247</v>
      </c>
      <c r="Y815" s="164" t="n">
        <v>669.79</v>
      </c>
      <c r="AA815" s="165" t="n">
        <v>69657.17</v>
      </c>
      <c r="AC815" s="164" t="n">
        <v>29.66</v>
      </c>
      <c r="AG815" s="167" t="n">
        <v>4.26</v>
      </c>
      <c r="BS815" s="165" t="n">
        <v>46.59</v>
      </c>
      <c r="BU815" s="164" t="n">
        <v>22.58</v>
      </c>
    </row>
    <row r="816" customFormat="false" ht="12.75" hidden="false" customHeight="false" outlineLevel="0" collapsed="false">
      <c r="A816" s="162" t="s">
        <v>621</v>
      </c>
      <c r="B816" s="157" t="s">
        <v>665</v>
      </c>
      <c r="C816" s="157" t="s">
        <v>762</v>
      </c>
      <c r="E816" s="106" t="n">
        <v>4</v>
      </c>
      <c r="F816" s="106" t="n">
        <v>12</v>
      </c>
      <c r="S816" s="165" t="n">
        <v>1617.915624</v>
      </c>
      <c r="Y816" s="164" t="n">
        <v>699.18</v>
      </c>
      <c r="AA816" s="165" t="n">
        <v>67226.25</v>
      </c>
      <c r="AC816" s="164" t="n">
        <v>33.61</v>
      </c>
      <c r="AG816" s="167" t="n">
        <v>5</v>
      </c>
      <c r="BS816" s="165" t="n">
        <v>48.13</v>
      </c>
      <c r="BU816" s="164" t="n">
        <v>20.8</v>
      </c>
    </row>
    <row r="817" customFormat="false" ht="12.75" hidden="false" customHeight="false" outlineLevel="0" collapsed="false">
      <c r="A817" s="162" t="s">
        <v>621</v>
      </c>
      <c r="B817" s="157" t="s">
        <v>668</v>
      </c>
      <c r="C817" s="157" t="s">
        <v>762</v>
      </c>
      <c r="E817" s="106" t="n">
        <v>4</v>
      </c>
      <c r="F817" s="106" t="n">
        <v>60</v>
      </c>
      <c r="S817" s="165" t="n">
        <v>1640.966015</v>
      </c>
      <c r="Y817" s="164" t="n">
        <v>748.24</v>
      </c>
      <c r="AA817" s="165" t="n">
        <v>75838.2</v>
      </c>
      <c r="AC817" s="164" t="n">
        <v>34.88</v>
      </c>
      <c r="AG817" s="167" t="n">
        <v>4.6</v>
      </c>
      <c r="BS817" s="165" t="n">
        <v>47.05</v>
      </c>
      <c r="BU817" s="164" t="n">
        <v>21.45</v>
      </c>
    </row>
    <row r="818" customFormat="false" ht="12.75" hidden="false" customHeight="false" outlineLevel="0" collapsed="false">
      <c r="A818" s="162" t="s">
        <v>623</v>
      </c>
      <c r="B818" s="157" t="s">
        <v>665</v>
      </c>
      <c r="C818" s="157" t="s">
        <v>758</v>
      </c>
      <c r="E818" s="106" t="n">
        <v>7</v>
      </c>
      <c r="F818" s="106" t="n">
        <v>18</v>
      </c>
      <c r="S818" s="165" t="n">
        <v>1486.721693</v>
      </c>
      <c r="Y818" s="164" t="n">
        <v>621.67</v>
      </c>
      <c r="AA818" s="165" t="n">
        <v>63988.37</v>
      </c>
      <c r="AC818" s="164" t="n">
        <v>30.4</v>
      </c>
      <c r="AG818" s="167" t="n">
        <v>4.75</v>
      </c>
      <c r="BS818" s="165" t="n">
        <v>48.9</v>
      </c>
      <c r="BU818" s="164" t="n">
        <v>20.45</v>
      </c>
    </row>
    <row r="819" customFormat="false" ht="12.75" hidden="false" customHeight="false" outlineLevel="0" collapsed="false">
      <c r="A819" s="162" t="s">
        <v>623</v>
      </c>
      <c r="B819" s="157" t="s">
        <v>668</v>
      </c>
      <c r="C819" s="157" t="s">
        <v>758</v>
      </c>
      <c r="E819" s="106" t="n">
        <v>9</v>
      </c>
      <c r="F819" s="106" t="n">
        <v>14</v>
      </c>
      <c r="S819" s="165" t="n">
        <v>1409.014117</v>
      </c>
      <c r="Y819" s="164" t="n">
        <v>607.3417664</v>
      </c>
      <c r="AA819" s="165" t="n">
        <v>61193.30012</v>
      </c>
      <c r="AC819" s="164" t="n">
        <v>28.84</v>
      </c>
      <c r="AG819" s="167" t="n">
        <v>4.712525667</v>
      </c>
      <c r="BS819" s="165" t="n">
        <v>48.8604813</v>
      </c>
      <c r="BU819" s="164" t="n">
        <v>21.060833</v>
      </c>
    </row>
    <row r="820" customFormat="false" ht="12.75" hidden="false" customHeight="false" outlineLevel="0" collapsed="false">
      <c r="A820" s="162" t="s">
        <v>623</v>
      </c>
      <c r="B820" s="157" t="s">
        <v>665</v>
      </c>
      <c r="C820" s="157" t="s">
        <v>760</v>
      </c>
      <c r="E820" s="106" t="n">
        <v>11</v>
      </c>
      <c r="F820" s="106" t="n">
        <v>62</v>
      </c>
      <c r="S820" s="165" t="n">
        <v>1270.476012</v>
      </c>
      <c r="Y820" s="164" t="n">
        <v>526.08</v>
      </c>
      <c r="AA820" s="165" t="n">
        <v>55669.19</v>
      </c>
      <c r="AC820" s="164" t="n">
        <v>25.93</v>
      </c>
      <c r="AG820" s="167" t="n">
        <v>4.66</v>
      </c>
      <c r="BS820" s="165" t="n">
        <v>48.99</v>
      </c>
      <c r="BU820" s="164" t="n">
        <v>20.29</v>
      </c>
    </row>
    <row r="821" customFormat="false" ht="12.75" hidden="false" customHeight="false" outlineLevel="0" collapsed="false">
      <c r="A821" s="162" t="s">
        <v>623</v>
      </c>
      <c r="B821" s="157" t="s">
        <v>668</v>
      </c>
      <c r="C821" s="157" t="s">
        <v>760</v>
      </c>
      <c r="E821" s="106" t="n">
        <v>16</v>
      </c>
      <c r="F821" s="106" t="n">
        <v>52</v>
      </c>
      <c r="S821" s="165" t="n">
        <v>1311.66996</v>
      </c>
      <c r="Y821" s="164" t="n">
        <v>576.7812469</v>
      </c>
      <c r="AA821" s="165" t="n">
        <v>60087.68771</v>
      </c>
      <c r="AC821" s="164" t="n">
        <v>27.5</v>
      </c>
      <c r="AG821" s="167" t="n">
        <v>4.575936884</v>
      </c>
      <c r="BS821" s="165" t="n">
        <v>47.7044678</v>
      </c>
      <c r="BU821" s="164" t="n">
        <v>20.977108</v>
      </c>
    </row>
    <row r="822" customFormat="false" ht="12.75" hidden="false" customHeight="false" outlineLevel="0" collapsed="false">
      <c r="A822" s="162" t="s">
        <v>623</v>
      </c>
      <c r="B822" s="157" t="s">
        <v>665</v>
      </c>
      <c r="C822" s="157" t="s">
        <v>761</v>
      </c>
      <c r="E822" s="106" t="n">
        <v>15</v>
      </c>
      <c r="F822" s="106" t="n">
        <v>24</v>
      </c>
      <c r="S822" s="165" t="n">
        <v>1587.458208</v>
      </c>
      <c r="Y822" s="164" t="n">
        <v>721.9</v>
      </c>
      <c r="AA822" s="165" t="n">
        <v>67366.68</v>
      </c>
      <c r="AC822" s="164" t="n">
        <v>33.47</v>
      </c>
      <c r="AG822" s="167" t="n">
        <v>4.97</v>
      </c>
      <c r="BS822" s="165" t="n">
        <v>47.43</v>
      </c>
      <c r="BU822" s="164" t="n">
        <v>21.57</v>
      </c>
    </row>
    <row r="823" customFormat="false" ht="12.75" hidden="false" customHeight="false" outlineLevel="0" collapsed="false">
      <c r="A823" s="162" t="s">
        <v>623</v>
      </c>
      <c r="B823" s="157" t="s">
        <v>668</v>
      </c>
      <c r="C823" s="157" t="s">
        <v>761</v>
      </c>
      <c r="E823" s="106" t="n">
        <v>19</v>
      </c>
      <c r="F823" s="106" t="n">
        <v>23</v>
      </c>
      <c r="S823" s="165" t="n">
        <v>1221.116768</v>
      </c>
      <c r="Y823" s="164" t="n">
        <v>554.0328527</v>
      </c>
      <c r="AA823" s="165" t="n">
        <v>61097.11611</v>
      </c>
      <c r="AC823" s="164" t="n">
        <v>25.61</v>
      </c>
      <c r="AG823" s="167" t="n">
        <v>4.191780822</v>
      </c>
      <c r="BS823" s="165" t="n">
        <v>47.6801834</v>
      </c>
      <c r="BU823" s="164" t="n">
        <v>21.6329746</v>
      </c>
    </row>
    <row r="824" customFormat="false" ht="12.75" hidden="false" customHeight="false" outlineLevel="0" collapsed="false">
      <c r="A824" s="162" t="s">
        <v>623</v>
      </c>
      <c r="B824" s="157" t="s">
        <v>665</v>
      </c>
      <c r="C824" s="157" t="s">
        <v>762</v>
      </c>
      <c r="E824" s="106" t="n">
        <v>3</v>
      </c>
      <c r="F824" s="106" t="n">
        <v>7</v>
      </c>
      <c r="S824" s="165" t="n">
        <v>1630.554676</v>
      </c>
      <c r="Y824" s="164" t="n">
        <v>701.5058882</v>
      </c>
      <c r="AA824" s="165" t="n">
        <v>72375.12243</v>
      </c>
      <c r="AC824" s="164" t="n">
        <v>33.51</v>
      </c>
      <c r="AG824" s="167" t="n">
        <v>4.629812438</v>
      </c>
      <c r="BS824" s="165" t="n">
        <v>48.6611824</v>
      </c>
      <c r="BU824" s="164" t="n">
        <v>20.9352722</v>
      </c>
    </row>
    <row r="825" customFormat="false" ht="12.75" hidden="false" customHeight="false" outlineLevel="0" collapsed="false">
      <c r="A825" s="162" t="s">
        <v>623</v>
      </c>
      <c r="B825" s="157" t="s">
        <v>668</v>
      </c>
      <c r="C825" s="157" t="s">
        <v>762</v>
      </c>
      <c r="E825" s="106" t="n">
        <v>3</v>
      </c>
      <c r="F825" s="106" t="n">
        <v>45</v>
      </c>
      <c r="S825" s="165" t="n">
        <v>1348.491102</v>
      </c>
      <c r="Y825" s="164" t="n">
        <v>626.2795303</v>
      </c>
      <c r="AA825" s="165" t="n">
        <v>65994.55916</v>
      </c>
      <c r="AC825" s="164" t="n">
        <v>28.79</v>
      </c>
      <c r="AG825" s="167" t="n">
        <v>4.362790698</v>
      </c>
      <c r="BS825" s="165" t="n">
        <v>46.8355446</v>
      </c>
      <c r="BU825" s="164" t="n">
        <v>21.7518253</v>
      </c>
    </row>
    <row r="826" customFormat="false" ht="12.75" hidden="false" customHeight="false" outlineLevel="0" collapsed="false">
      <c r="A826" s="162" t="s">
        <v>625</v>
      </c>
      <c r="B826" s="157" t="s">
        <v>665</v>
      </c>
      <c r="C826" s="157" t="s">
        <v>758</v>
      </c>
      <c r="E826" s="106" t="n">
        <v>7</v>
      </c>
      <c r="F826" s="106" t="n">
        <v>13</v>
      </c>
      <c r="S826" s="165" t="n">
        <v>1488.524639</v>
      </c>
      <c r="Y826" s="164" t="n">
        <v>658.81</v>
      </c>
      <c r="AA826" s="165" t="n">
        <v>64136.23</v>
      </c>
      <c r="AC826" s="164" t="n">
        <v>30.87</v>
      </c>
      <c r="AG826" s="167" t="n">
        <v>4.812834225</v>
      </c>
      <c r="BS826" s="165" t="n">
        <v>48.22</v>
      </c>
      <c r="BU826" s="164" t="n">
        <v>21.34</v>
      </c>
    </row>
    <row r="827" customFormat="false" ht="12.75" hidden="false" customHeight="false" outlineLevel="0" collapsed="false">
      <c r="A827" s="162" t="s">
        <v>625</v>
      </c>
      <c r="B827" s="157" t="s">
        <v>668</v>
      </c>
      <c r="C827" s="157" t="s">
        <v>758</v>
      </c>
      <c r="E827" s="106" t="n">
        <v>9</v>
      </c>
      <c r="F827" s="106" t="n">
        <v>10</v>
      </c>
      <c r="S827" s="165" t="n">
        <v>1461.736432</v>
      </c>
      <c r="Y827" s="164" t="n">
        <v>704.08</v>
      </c>
      <c r="AA827" s="165" t="n">
        <v>74844.15</v>
      </c>
      <c r="AC827" s="164" t="n">
        <v>31.36</v>
      </c>
      <c r="AG827" s="167" t="n">
        <v>4.189944134</v>
      </c>
      <c r="BS827" s="165" t="n">
        <v>46.61</v>
      </c>
      <c r="BU827" s="164" t="n">
        <v>22.45</v>
      </c>
    </row>
    <row r="828" customFormat="false" ht="12.75" hidden="false" customHeight="false" outlineLevel="0" collapsed="false">
      <c r="A828" s="162" t="s">
        <v>625</v>
      </c>
      <c r="B828" s="157" t="s">
        <v>665</v>
      </c>
      <c r="C828" s="157" t="s">
        <v>760</v>
      </c>
      <c r="E828" s="106" t="n">
        <v>12</v>
      </c>
      <c r="F828" s="106" t="n">
        <v>37</v>
      </c>
      <c r="S828" s="165" t="n">
        <v>1517.015167</v>
      </c>
      <c r="Y828" s="164" t="n">
        <v>662.22</v>
      </c>
      <c r="AA828" s="165" t="n">
        <v>65536.28</v>
      </c>
      <c r="AC828" s="164" t="n">
        <v>31.58</v>
      </c>
      <c r="AG828" s="167" t="n">
        <v>4.81827622</v>
      </c>
      <c r="BS828" s="165" t="n">
        <v>48.04</v>
      </c>
      <c r="BU828" s="164" t="n">
        <v>20.97</v>
      </c>
    </row>
    <row r="829" customFormat="false" ht="12.75" hidden="false" customHeight="false" outlineLevel="0" collapsed="false">
      <c r="A829" s="162" t="s">
        <v>625</v>
      </c>
      <c r="B829" s="157" t="s">
        <v>668</v>
      </c>
      <c r="C829" s="157" t="s">
        <v>760</v>
      </c>
      <c r="E829" s="106" t="n">
        <v>16</v>
      </c>
      <c r="F829" s="106" t="n">
        <v>43</v>
      </c>
      <c r="S829" s="165" t="n">
        <v>1275.807611</v>
      </c>
      <c r="Y829" s="164" t="n">
        <v>604.04</v>
      </c>
      <c r="AA829" s="165" t="n">
        <v>66277.67</v>
      </c>
      <c r="AC829" s="164" t="n">
        <v>27.34</v>
      </c>
      <c r="AG829" s="167" t="n">
        <v>4.124444444</v>
      </c>
      <c r="BS829" s="165" t="n">
        <v>46.67</v>
      </c>
      <c r="BU829" s="164" t="n">
        <v>22.1</v>
      </c>
    </row>
    <row r="830" customFormat="false" ht="12.75" hidden="false" customHeight="false" outlineLevel="0" collapsed="false">
      <c r="A830" s="162" t="s">
        <v>625</v>
      </c>
      <c r="B830" s="157" t="s">
        <v>665</v>
      </c>
      <c r="C830" s="157" t="s">
        <v>761</v>
      </c>
      <c r="E830" s="106" t="n">
        <v>14</v>
      </c>
      <c r="F830" s="106" t="n">
        <v>3</v>
      </c>
      <c r="S830" s="165" t="n">
        <v>1147.074326</v>
      </c>
      <c r="Y830" s="164" t="n">
        <v>531</v>
      </c>
      <c r="AA830" s="165" t="n">
        <v>54467.42</v>
      </c>
      <c r="AC830" s="164" t="n">
        <v>24.37</v>
      </c>
      <c r="AG830" s="167" t="n">
        <v>4.473684211</v>
      </c>
      <c r="BS830" s="165" t="n">
        <v>47.07</v>
      </c>
      <c r="BU830" s="164" t="n">
        <v>21.79</v>
      </c>
    </row>
    <row r="831" customFormat="false" ht="12.75" hidden="false" customHeight="false" outlineLevel="0" collapsed="false">
      <c r="A831" s="162" t="s">
        <v>625</v>
      </c>
      <c r="B831" s="157" t="s">
        <v>668</v>
      </c>
      <c r="C831" s="157" t="s">
        <v>761</v>
      </c>
      <c r="E831" s="106" t="n">
        <v>17</v>
      </c>
      <c r="F831" s="106" t="n">
        <v>15</v>
      </c>
      <c r="S831" s="165" t="n">
        <v>1280.380822</v>
      </c>
      <c r="Y831" s="164" t="n">
        <v>636.59</v>
      </c>
      <c r="AA831" s="165" t="n">
        <v>64163.32</v>
      </c>
      <c r="AC831" s="164" t="n">
        <v>27.88</v>
      </c>
      <c r="AG831" s="167" t="n">
        <v>4.345794393</v>
      </c>
      <c r="BS831" s="165" t="n">
        <v>45.92</v>
      </c>
      <c r="BU831" s="164" t="n">
        <v>22.83</v>
      </c>
    </row>
    <row r="832" customFormat="false" ht="12.75" hidden="false" customHeight="false" outlineLevel="0" collapsed="false">
      <c r="A832" s="162" t="s">
        <v>625</v>
      </c>
      <c r="B832" s="157" t="s">
        <v>665</v>
      </c>
      <c r="C832" s="157" t="s">
        <v>762</v>
      </c>
      <c r="E832" s="106" t="n">
        <v>2</v>
      </c>
      <c r="F832" s="106" t="n">
        <v>22</v>
      </c>
      <c r="S832" s="165" t="n">
        <v>1354.516882</v>
      </c>
      <c r="Y832" s="164" t="n">
        <v>584.38</v>
      </c>
      <c r="AA832" s="165" t="n">
        <v>56742.54</v>
      </c>
      <c r="AC832" s="164" t="n">
        <v>28.01</v>
      </c>
      <c r="AG832" s="167" t="n">
        <v>4.936708861</v>
      </c>
      <c r="BS832" s="165" t="n">
        <v>48.35</v>
      </c>
      <c r="BU832" s="164" t="n">
        <v>20.86</v>
      </c>
    </row>
    <row r="833" customFormat="false" ht="12.75" hidden="false" customHeight="false" outlineLevel="0" collapsed="false">
      <c r="A833" s="162" t="s">
        <v>625</v>
      </c>
      <c r="B833" s="157" t="s">
        <v>668</v>
      </c>
      <c r="C833" s="157" t="s">
        <v>762</v>
      </c>
      <c r="E833" s="106" t="n">
        <v>2</v>
      </c>
      <c r="F833" s="106" t="n">
        <v>40</v>
      </c>
      <c r="S833" s="165" t="n">
        <v>1083.244956</v>
      </c>
      <c r="Y833" s="164" t="n">
        <v>569.94</v>
      </c>
      <c r="AA833" s="165" t="n">
        <v>66248.71</v>
      </c>
      <c r="AC833" s="164" t="n">
        <v>24.41</v>
      </c>
      <c r="AG833" s="167" t="n">
        <v>3.68503937</v>
      </c>
      <c r="BS833" s="165" t="n">
        <v>44.37</v>
      </c>
      <c r="BU833" s="164" t="n">
        <v>23.35</v>
      </c>
    </row>
    <row r="834" customFormat="false" ht="12.75" hidden="false" customHeight="false" outlineLevel="0" collapsed="false">
      <c r="A834" s="162" t="s">
        <v>627</v>
      </c>
      <c r="B834" s="157" t="s">
        <v>665</v>
      </c>
      <c r="C834" s="157" t="s">
        <v>758</v>
      </c>
      <c r="E834" s="106" t="n">
        <v>7</v>
      </c>
      <c r="F834" s="106" t="n">
        <v>2</v>
      </c>
      <c r="S834" s="165" t="n">
        <v>1664.79742</v>
      </c>
      <c r="Y834" s="164" t="n">
        <v>726.08</v>
      </c>
      <c r="AA834" s="165" t="n">
        <v>80667.58</v>
      </c>
      <c r="AC834" s="164" t="n">
        <v>34.83</v>
      </c>
      <c r="AG834" s="167" t="n">
        <v>4.317548747</v>
      </c>
      <c r="BS834" s="165" t="n">
        <v>47.8</v>
      </c>
      <c r="BU834" s="164" t="n">
        <v>20.85</v>
      </c>
    </row>
    <row r="835" customFormat="false" ht="12.75" hidden="false" customHeight="false" outlineLevel="0" collapsed="false">
      <c r="A835" s="162" t="s">
        <v>627</v>
      </c>
      <c r="B835" s="157" t="s">
        <v>668</v>
      </c>
      <c r="C835" s="157" t="s">
        <v>758</v>
      </c>
      <c r="E835" s="106" t="n">
        <v>12</v>
      </c>
      <c r="F835" s="106" t="n">
        <v>31</v>
      </c>
      <c r="S835" s="165" t="n">
        <v>1998.278994</v>
      </c>
      <c r="Y835" s="164" t="n">
        <v>896.91</v>
      </c>
      <c r="AA835" s="165" t="n">
        <v>88903.55</v>
      </c>
      <c r="AC835" s="164" t="n">
        <v>41.58</v>
      </c>
      <c r="AG835" s="167" t="n">
        <v>4.676923077</v>
      </c>
      <c r="BS835" s="165" t="n">
        <v>48.06</v>
      </c>
      <c r="BU835" s="164" t="n">
        <v>21.57</v>
      </c>
    </row>
    <row r="836" customFormat="false" ht="12.75" hidden="false" customHeight="false" outlineLevel="0" collapsed="false">
      <c r="A836" s="162" t="s">
        <v>627</v>
      </c>
      <c r="B836" s="157" t="s">
        <v>665</v>
      </c>
      <c r="C836" s="157" t="s">
        <v>760</v>
      </c>
      <c r="E836" s="106" t="n">
        <v>9</v>
      </c>
      <c r="F836" s="106" t="n">
        <v>44</v>
      </c>
      <c r="S836" s="165" t="n">
        <v>1714.604782</v>
      </c>
      <c r="Y836" s="164" t="n">
        <v>694.76</v>
      </c>
      <c r="AA836" s="165" t="n">
        <v>75933.83</v>
      </c>
      <c r="AC836" s="164" t="n">
        <v>35.01</v>
      </c>
      <c r="AG836" s="167" t="n">
        <v>4.61</v>
      </c>
      <c r="BS836" s="165" t="n">
        <v>48.98</v>
      </c>
      <c r="BU836" s="164" t="n">
        <v>19.85</v>
      </c>
    </row>
    <row r="837" customFormat="false" ht="12.75" hidden="false" customHeight="false" outlineLevel="0" collapsed="false">
      <c r="A837" s="162" t="s">
        <v>627</v>
      </c>
      <c r="B837" s="157" t="s">
        <v>668</v>
      </c>
      <c r="C837" s="157" t="s">
        <v>760</v>
      </c>
      <c r="E837" s="106" t="n">
        <v>15</v>
      </c>
      <c r="F837" s="106" t="n">
        <v>56</v>
      </c>
      <c r="S837" s="165" t="n">
        <v>1551.475295</v>
      </c>
      <c r="Y837" s="164" t="n">
        <v>735.26</v>
      </c>
      <c r="AA837" s="165" t="n">
        <v>78783.75</v>
      </c>
      <c r="AC837" s="164" t="n">
        <v>33.76</v>
      </c>
      <c r="AG837" s="167" t="n">
        <v>4.285714286</v>
      </c>
      <c r="BS837" s="165" t="n">
        <v>45.95</v>
      </c>
      <c r="BU837" s="164" t="n">
        <v>21.78</v>
      </c>
    </row>
    <row r="838" customFormat="false" ht="12.75" hidden="false" customHeight="false" outlineLevel="0" collapsed="false">
      <c r="A838" s="162" t="s">
        <v>627</v>
      </c>
      <c r="B838" s="157" t="s">
        <v>665</v>
      </c>
      <c r="C838" s="157" t="s">
        <v>761</v>
      </c>
      <c r="E838" s="106" t="n">
        <v>14</v>
      </c>
      <c r="F838" s="106" t="n">
        <v>11</v>
      </c>
      <c r="S838" s="165" t="n">
        <v>1664.208016</v>
      </c>
      <c r="Y838" s="164" t="n">
        <v>734.15</v>
      </c>
      <c r="AA838" s="165" t="n">
        <v>78378.04</v>
      </c>
      <c r="AC838" s="164" t="n">
        <v>34.85</v>
      </c>
      <c r="AG838" s="167" t="n">
        <v>4.446583253</v>
      </c>
      <c r="BS838" s="165" t="n">
        <v>47.75</v>
      </c>
      <c r="BU838" s="164" t="n">
        <v>21.07</v>
      </c>
    </row>
    <row r="839" customFormat="false" ht="12.75" hidden="false" customHeight="false" outlineLevel="0" collapsed="false">
      <c r="A839" s="162" t="s">
        <v>627</v>
      </c>
      <c r="B839" s="157" t="s">
        <v>668</v>
      </c>
      <c r="C839" s="157" t="s">
        <v>761</v>
      </c>
      <c r="E839" s="106" t="n">
        <v>18</v>
      </c>
      <c r="F839" s="106" t="n">
        <v>19</v>
      </c>
      <c r="S839" s="165" t="n">
        <v>1937.831768</v>
      </c>
      <c r="Y839" s="164" t="n">
        <v>835.38</v>
      </c>
      <c r="AA839" s="165" t="n">
        <v>92850.27</v>
      </c>
      <c r="AC839" s="164" t="n">
        <v>40.22</v>
      </c>
      <c r="AG839" s="167" t="n">
        <v>4.331450094</v>
      </c>
      <c r="BS839" s="165" t="n">
        <v>48.18</v>
      </c>
      <c r="BU839" s="164" t="n">
        <v>20.77</v>
      </c>
    </row>
    <row r="840" customFormat="false" ht="12.75" hidden="false" customHeight="false" outlineLevel="0" collapsed="false">
      <c r="A840" s="162" t="s">
        <v>627</v>
      </c>
      <c r="B840" s="157" t="s">
        <v>665</v>
      </c>
      <c r="C840" s="157" t="s">
        <v>762</v>
      </c>
      <c r="E840" s="106" t="n">
        <v>4</v>
      </c>
      <c r="F840" s="106" t="n">
        <v>7</v>
      </c>
      <c r="S840" s="165" t="n">
        <v>1866.067913</v>
      </c>
      <c r="Y840" s="164" t="n">
        <v>796.46</v>
      </c>
      <c r="AA840" s="165" t="n">
        <v>86471.52</v>
      </c>
      <c r="AC840" s="164" t="n">
        <v>39.09</v>
      </c>
      <c r="AG840" s="167" t="n">
        <v>4.521072797</v>
      </c>
      <c r="BS840" s="165" t="n">
        <v>47.73</v>
      </c>
      <c r="BU840" s="164" t="n">
        <v>20.37</v>
      </c>
    </row>
    <row r="841" customFormat="false" ht="12.75" hidden="false" customHeight="false" outlineLevel="0" collapsed="false">
      <c r="A841" s="162" t="s">
        <v>627</v>
      </c>
      <c r="B841" s="157" t="s">
        <v>668</v>
      </c>
      <c r="C841" s="157" t="s">
        <v>762</v>
      </c>
      <c r="E841" s="106" t="n">
        <v>4</v>
      </c>
      <c r="F841" s="106" t="n">
        <v>55</v>
      </c>
      <c r="S841" s="165" t="n">
        <v>1673.403692</v>
      </c>
      <c r="Y841" s="164" t="n">
        <v>834.61</v>
      </c>
      <c r="AA841" s="165" t="n">
        <v>85458.94</v>
      </c>
      <c r="AC841" s="164" t="n">
        <v>36.82</v>
      </c>
      <c r="AG841" s="167" t="n">
        <v>4.308263695</v>
      </c>
      <c r="BS841" s="165" t="n">
        <v>45.45</v>
      </c>
      <c r="BU841" s="164" t="n">
        <v>22.67</v>
      </c>
    </row>
    <row r="842" customFormat="false" ht="12.75" hidden="false" customHeight="false" outlineLevel="0" collapsed="false">
      <c r="A842" s="162" t="s">
        <v>629</v>
      </c>
      <c r="B842" s="157" t="s">
        <v>665</v>
      </c>
      <c r="C842" s="157" t="s">
        <v>758</v>
      </c>
      <c r="E842" s="106" t="n">
        <v>6</v>
      </c>
      <c r="F842" s="106" t="n">
        <v>20</v>
      </c>
      <c r="S842" s="165" t="n">
        <v>1553.080258</v>
      </c>
      <c r="Y842" s="164" t="n">
        <v>716.32</v>
      </c>
      <c r="AA842" s="165" t="n">
        <v>71828.94</v>
      </c>
      <c r="AC842" s="164" t="n">
        <v>32.77</v>
      </c>
      <c r="AG842" s="167" t="n">
        <v>4.561752988</v>
      </c>
      <c r="BS842" s="165" t="n">
        <v>47.4</v>
      </c>
      <c r="BU842" s="164" t="n">
        <v>21.86</v>
      </c>
    </row>
    <row r="843" customFormat="false" ht="12.75" hidden="false" customHeight="false" outlineLevel="0" collapsed="false">
      <c r="A843" s="162" t="s">
        <v>629</v>
      </c>
      <c r="B843" s="157" t="s">
        <v>668</v>
      </c>
      <c r="C843" s="157" t="s">
        <v>758</v>
      </c>
      <c r="E843" s="106" t="n">
        <v>9</v>
      </c>
      <c r="F843" s="106" t="n">
        <v>16</v>
      </c>
      <c r="S843" s="165" t="n">
        <v>1771.355447</v>
      </c>
      <c r="Y843" s="164" t="n">
        <v>792.48</v>
      </c>
      <c r="AA843" s="165" t="n">
        <v>88392.34</v>
      </c>
      <c r="AC843" s="164" t="n">
        <v>36.64</v>
      </c>
      <c r="AG843" s="167" t="n">
        <v>4.14479638</v>
      </c>
      <c r="BS843" s="165" t="n">
        <v>48.35</v>
      </c>
      <c r="BU843" s="164" t="n">
        <v>21.63</v>
      </c>
    </row>
    <row r="844" customFormat="false" ht="12.75" hidden="false" customHeight="false" outlineLevel="0" collapsed="false">
      <c r="A844" s="162" t="s">
        <v>629</v>
      </c>
      <c r="B844" s="157" t="s">
        <v>665</v>
      </c>
      <c r="C844" s="157" t="s">
        <v>760</v>
      </c>
      <c r="E844" s="106" t="n">
        <v>11</v>
      </c>
      <c r="F844" s="106" t="n">
        <v>58</v>
      </c>
      <c r="S844" s="165" t="n">
        <v>1289.866991</v>
      </c>
      <c r="Y844" s="164" t="n">
        <v>562.15</v>
      </c>
      <c r="AA844" s="165" t="n">
        <v>55347.28</v>
      </c>
      <c r="AC844" s="164" t="n">
        <v>26.52</v>
      </c>
      <c r="AG844" s="167" t="n">
        <v>4.791666667</v>
      </c>
      <c r="BS844" s="165" t="n">
        <v>48.64</v>
      </c>
      <c r="BU844" s="164" t="n">
        <v>21.2</v>
      </c>
    </row>
    <row r="845" customFormat="false" ht="12.75" hidden="false" customHeight="false" outlineLevel="0" collapsed="false">
      <c r="A845" s="162" t="s">
        <v>629</v>
      </c>
      <c r="B845" s="157" t="s">
        <v>668</v>
      </c>
      <c r="C845" s="157" t="s">
        <v>760</v>
      </c>
      <c r="E845" s="106" t="n">
        <v>13</v>
      </c>
      <c r="F845" s="106" t="n">
        <v>61</v>
      </c>
      <c r="S845" s="165" t="n">
        <v>1466.096388</v>
      </c>
      <c r="Y845" s="164" t="n">
        <v>623.96</v>
      </c>
      <c r="AA845" s="165" t="n">
        <v>64203.26</v>
      </c>
      <c r="AC845" s="164" t="n">
        <v>29.98</v>
      </c>
      <c r="AG845" s="167" t="n">
        <v>4.669338677</v>
      </c>
      <c r="BS845" s="165" t="n">
        <v>48.9</v>
      </c>
      <c r="BU845" s="164" t="n">
        <v>20.81</v>
      </c>
    </row>
    <row r="846" customFormat="false" ht="12.75" hidden="false" customHeight="false" outlineLevel="0" collapsed="false">
      <c r="A846" s="162" t="s">
        <v>629</v>
      </c>
      <c r="B846" s="157" t="s">
        <v>665</v>
      </c>
      <c r="C846" s="157" t="s">
        <v>761</v>
      </c>
      <c r="E846" s="106" t="n">
        <v>14</v>
      </c>
      <c r="F846" s="106" t="n">
        <v>9</v>
      </c>
      <c r="S846" s="165" t="n">
        <v>1425.613931</v>
      </c>
      <c r="Y846" s="164" t="n">
        <v>644.88</v>
      </c>
      <c r="AA846" s="165" t="n">
        <v>64806.74</v>
      </c>
      <c r="AC846" s="164" t="n">
        <v>30.24</v>
      </c>
      <c r="AG846" s="167" t="n">
        <v>4.665991903</v>
      </c>
      <c r="BS846" s="165" t="n">
        <v>47.15</v>
      </c>
      <c r="BU846" s="164" t="n">
        <v>21.33</v>
      </c>
    </row>
    <row r="847" customFormat="false" ht="12.75" hidden="false" customHeight="false" outlineLevel="0" collapsed="false">
      <c r="A847" s="162" t="s">
        <v>629</v>
      </c>
      <c r="B847" s="157" t="s">
        <v>668</v>
      </c>
      <c r="C847" s="157" t="s">
        <v>761</v>
      </c>
      <c r="E847" s="106" t="n">
        <v>21</v>
      </c>
      <c r="F847" s="106" t="n">
        <v>6</v>
      </c>
      <c r="S847" s="165" t="n">
        <v>1707.505983</v>
      </c>
      <c r="Y847" s="164" t="n">
        <v>802.89</v>
      </c>
      <c r="AA847" s="165" t="n">
        <v>76208.19</v>
      </c>
      <c r="AC847" s="164" t="n">
        <v>36.13</v>
      </c>
      <c r="AG847" s="167" t="n">
        <v>4.741116751</v>
      </c>
      <c r="BS847" s="165" t="n">
        <v>47.26</v>
      </c>
      <c r="BU847" s="164" t="n">
        <v>22.22</v>
      </c>
    </row>
    <row r="848" customFormat="false" ht="12.75" hidden="false" customHeight="false" outlineLevel="0" collapsed="false">
      <c r="A848" s="162" t="s">
        <v>629</v>
      </c>
      <c r="B848" s="157" t="s">
        <v>665</v>
      </c>
      <c r="C848" s="157" t="s">
        <v>762</v>
      </c>
      <c r="E848" s="106" t="n">
        <v>3</v>
      </c>
      <c r="F848" s="106" t="n">
        <v>17</v>
      </c>
      <c r="S848" s="165" t="n">
        <v>1354.428656</v>
      </c>
      <c r="Y848" s="164" t="n">
        <v>642.82</v>
      </c>
      <c r="AA848" s="165" t="n">
        <v>65583.22</v>
      </c>
      <c r="AC848" s="164" t="n">
        <v>28.72</v>
      </c>
      <c r="AG848" s="167" t="n">
        <v>4.379699248</v>
      </c>
      <c r="BS848" s="165" t="n">
        <v>47.15</v>
      </c>
      <c r="BU848" s="164" t="n">
        <v>22.38</v>
      </c>
    </row>
    <row r="849" customFormat="false" ht="12.75" hidden="false" customHeight="false" outlineLevel="0" collapsed="false">
      <c r="A849" s="162" t="s">
        <v>629</v>
      </c>
      <c r="B849" s="157" t="s">
        <v>668</v>
      </c>
      <c r="C849" s="157" t="s">
        <v>762</v>
      </c>
      <c r="E849" s="106" t="n">
        <v>1</v>
      </c>
      <c r="F849" s="106" t="n">
        <v>53</v>
      </c>
      <c r="S849" s="165" t="n">
        <v>1590.186466</v>
      </c>
      <c r="Y849" s="164" t="n">
        <v>775.89</v>
      </c>
      <c r="AA849" s="165" t="n">
        <v>75153.03</v>
      </c>
      <c r="AC849" s="164" t="n">
        <v>34.17</v>
      </c>
      <c r="AG849" s="167" t="n">
        <v>4.546341463</v>
      </c>
      <c r="BS849" s="165" t="n">
        <v>46.54</v>
      </c>
      <c r="BU849" s="164" t="n">
        <v>22.71</v>
      </c>
    </row>
    <row r="850" customFormat="false" ht="12.75" hidden="false" customHeight="false" outlineLevel="0" collapsed="false">
      <c r="A850" s="162" t="s">
        <v>631</v>
      </c>
      <c r="B850" s="157" t="s">
        <v>665</v>
      </c>
      <c r="C850" s="157" t="s">
        <v>758</v>
      </c>
      <c r="E850" s="106" t="n">
        <v>7</v>
      </c>
      <c r="F850" s="106" t="n">
        <v>8</v>
      </c>
      <c r="S850" s="165" t="n">
        <v>1325.713296</v>
      </c>
      <c r="Y850" s="164" t="n">
        <v>563.2</v>
      </c>
      <c r="AA850" s="165" t="n">
        <v>55926.38</v>
      </c>
      <c r="AC850" s="164" t="n">
        <v>27.51</v>
      </c>
      <c r="AG850" s="167" t="n">
        <v>4.91926803</v>
      </c>
      <c r="BS850" s="165" t="n">
        <v>48.19</v>
      </c>
      <c r="BU850" s="164" t="n">
        <v>20.47</v>
      </c>
    </row>
    <row r="851" customFormat="false" ht="12.75" hidden="false" customHeight="false" outlineLevel="0" collapsed="false">
      <c r="A851" s="162" t="s">
        <v>631</v>
      </c>
      <c r="B851" s="157" t="s">
        <v>668</v>
      </c>
      <c r="C851" s="157" t="s">
        <v>758</v>
      </c>
      <c r="E851" s="106" t="n">
        <v>11</v>
      </c>
      <c r="F851" s="106" t="n">
        <v>15</v>
      </c>
      <c r="S851" s="165" t="n">
        <v>1493.966166</v>
      </c>
      <c r="Y851" s="164" t="n">
        <v>625.28</v>
      </c>
      <c r="AA851" s="165" t="n">
        <v>62582.34</v>
      </c>
      <c r="AC851" s="164" t="n">
        <v>30.41</v>
      </c>
      <c r="AG851" s="167" t="n">
        <v>4.858638743</v>
      </c>
      <c r="BS851" s="165" t="n">
        <v>49.13</v>
      </c>
      <c r="BU851" s="164" t="n">
        <v>20.56</v>
      </c>
    </row>
    <row r="852" customFormat="false" ht="12.75" hidden="false" customHeight="false" outlineLevel="0" collapsed="false">
      <c r="A852" s="162" t="s">
        <v>631</v>
      </c>
      <c r="B852" s="157" t="s">
        <v>665</v>
      </c>
      <c r="C852" s="157" t="s">
        <v>760</v>
      </c>
      <c r="E852" s="106" t="n">
        <v>11</v>
      </c>
      <c r="F852" s="106" t="n">
        <v>33</v>
      </c>
      <c r="S852" s="165" t="n">
        <v>1369.385683</v>
      </c>
      <c r="Y852" s="164" t="n">
        <v>572.65</v>
      </c>
      <c r="AA852" s="165" t="n">
        <v>54670.92</v>
      </c>
      <c r="AC852" s="164" t="n">
        <v>28.3</v>
      </c>
      <c r="AG852" s="167" t="n">
        <v>5.17699115</v>
      </c>
      <c r="BS852" s="165" t="n">
        <v>48.38</v>
      </c>
      <c r="BU852" s="164" t="n">
        <v>20.23</v>
      </c>
    </row>
    <row r="853" customFormat="false" ht="12.75" hidden="false" customHeight="false" outlineLevel="0" collapsed="false">
      <c r="A853" s="162" t="s">
        <v>631</v>
      </c>
      <c r="B853" s="157" t="s">
        <v>668</v>
      </c>
      <c r="C853" s="157" t="s">
        <v>760</v>
      </c>
      <c r="E853" s="106" t="n">
        <v>13</v>
      </c>
      <c r="F853" s="106" t="n">
        <v>58</v>
      </c>
      <c r="S853" s="165" t="n">
        <v>1586.822731</v>
      </c>
      <c r="Y853" s="164" t="n">
        <v>707.52</v>
      </c>
      <c r="AA853" s="165" t="n">
        <v>67924.44</v>
      </c>
      <c r="AC853" s="164" t="n">
        <v>32.88</v>
      </c>
      <c r="AG853" s="167" t="n">
        <v>4.840764331</v>
      </c>
      <c r="BS853" s="165" t="n">
        <v>48.26</v>
      </c>
      <c r="BU853" s="164" t="n">
        <v>21.52</v>
      </c>
    </row>
    <row r="854" customFormat="false" ht="12.75" hidden="false" customHeight="false" outlineLevel="0" collapsed="false">
      <c r="A854" s="162" t="s">
        <v>631</v>
      </c>
      <c r="B854" s="157" t="s">
        <v>665</v>
      </c>
      <c r="C854" s="157" t="s">
        <v>761</v>
      </c>
      <c r="E854" s="106" t="n">
        <v>13</v>
      </c>
      <c r="F854" s="106" t="n">
        <v>25</v>
      </c>
      <c r="S854" s="165" t="n">
        <v>1374.737286</v>
      </c>
      <c r="Y854" s="164" t="n">
        <v>595.5</v>
      </c>
      <c r="AA854" s="165" t="n">
        <v>57915.8</v>
      </c>
      <c r="AC854" s="164" t="n">
        <v>28.62</v>
      </c>
      <c r="AG854" s="167" t="n">
        <v>4.94142705</v>
      </c>
      <c r="BS854" s="165" t="n">
        <v>48.04</v>
      </c>
      <c r="BU854" s="164" t="n">
        <v>20.81</v>
      </c>
    </row>
    <row r="855" customFormat="false" ht="12.75" hidden="false" customHeight="false" outlineLevel="0" collapsed="false">
      <c r="A855" s="162" t="s">
        <v>631</v>
      </c>
      <c r="B855" s="157" t="s">
        <v>668</v>
      </c>
      <c r="C855" s="157" t="s">
        <v>761</v>
      </c>
      <c r="E855" s="106" t="n">
        <v>17</v>
      </c>
      <c r="F855" s="106" t="n">
        <v>10</v>
      </c>
      <c r="S855" s="165" t="n">
        <v>1445.279689</v>
      </c>
      <c r="Y855" s="164" t="n">
        <v>693.2</v>
      </c>
      <c r="AA855" s="165" t="n">
        <v>64628.21</v>
      </c>
      <c r="AC855" s="164" t="n">
        <v>31.14</v>
      </c>
      <c r="AG855" s="167" t="n">
        <v>4.81827622</v>
      </c>
      <c r="BS855" s="165" t="n">
        <v>46.41</v>
      </c>
      <c r="BU855" s="164" t="n">
        <v>22.26</v>
      </c>
    </row>
    <row r="856" customFormat="false" ht="12.75" hidden="false" customHeight="false" outlineLevel="0" collapsed="false">
      <c r="A856" s="162" t="s">
        <v>631</v>
      </c>
      <c r="B856" s="157" t="s">
        <v>665</v>
      </c>
      <c r="C856" s="157" t="s">
        <v>762</v>
      </c>
      <c r="E856" s="106" t="n">
        <v>1</v>
      </c>
      <c r="F856" s="106" t="n">
        <v>12</v>
      </c>
      <c r="S856" s="165" t="n">
        <v>1349.631427</v>
      </c>
      <c r="Y856" s="164" t="n">
        <v>607.3</v>
      </c>
      <c r="AA856" s="165" t="n">
        <v>64442.77</v>
      </c>
      <c r="AC856" s="164" t="n">
        <v>28.3</v>
      </c>
      <c r="AG856" s="167" t="n">
        <v>4.391829155</v>
      </c>
      <c r="BS856" s="165" t="n">
        <v>47.69</v>
      </c>
      <c r="BU856" s="164" t="n">
        <v>21.46</v>
      </c>
    </row>
    <row r="857" customFormat="false" ht="12.75" hidden="false" customHeight="false" outlineLevel="0" collapsed="false">
      <c r="A857" s="162" t="s">
        <v>631</v>
      </c>
      <c r="B857" s="157" t="s">
        <v>668</v>
      </c>
      <c r="C857" s="157" t="s">
        <v>762</v>
      </c>
      <c r="E857" s="106" t="n">
        <v>1</v>
      </c>
      <c r="F857" s="106" t="n">
        <v>58</v>
      </c>
      <c r="S857" s="165" t="n">
        <v>1380.165698</v>
      </c>
      <c r="Y857" s="164" t="n">
        <v>676.3</v>
      </c>
      <c r="AA857" s="165" t="n">
        <v>62355.4</v>
      </c>
      <c r="AC857" s="164" t="n">
        <v>30.05</v>
      </c>
      <c r="AG857" s="167" t="n">
        <v>4.819401445</v>
      </c>
      <c r="BS857" s="165" t="n">
        <v>45.93</v>
      </c>
      <c r="BU857" s="164" t="n">
        <v>22.5</v>
      </c>
    </row>
    <row r="858" customFormat="false" ht="12.75" hidden="false" customHeight="false" outlineLevel="0" collapsed="false">
      <c r="A858" s="162" t="s">
        <v>633</v>
      </c>
      <c r="B858" s="157" t="s">
        <v>665</v>
      </c>
      <c r="C858" s="157" t="s">
        <v>758</v>
      </c>
      <c r="E858" s="106" t="n">
        <v>6</v>
      </c>
      <c r="F858" s="106" t="n">
        <v>32</v>
      </c>
      <c r="S858" s="165" t="n">
        <v>1447.056717</v>
      </c>
      <c r="Y858" s="164" t="n">
        <v>654.91</v>
      </c>
      <c r="AA858" s="165" t="n">
        <v>60164.67</v>
      </c>
      <c r="AC858" s="164" t="n">
        <v>30.83</v>
      </c>
      <c r="AG858" s="167" t="n">
        <v>5.123873874</v>
      </c>
      <c r="BS858" s="165" t="n">
        <v>46.94</v>
      </c>
      <c r="BU858" s="164" t="n">
        <v>21.24</v>
      </c>
    </row>
    <row r="859" customFormat="false" ht="12.75" hidden="false" customHeight="false" outlineLevel="0" collapsed="false">
      <c r="A859" s="162" t="s">
        <v>633</v>
      </c>
      <c r="B859" s="157" t="s">
        <v>668</v>
      </c>
      <c r="C859" s="157" t="s">
        <v>758</v>
      </c>
      <c r="E859" s="106" t="n">
        <v>9</v>
      </c>
      <c r="F859" s="106" t="n">
        <v>23</v>
      </c>
      <c r="S859" s="165" t="n">
        <v>1382.920617</v>
      </c>
      <c r="Y859" s="164" t="n">
        <v>664.2</v>
      </c>
      <c r="AA859" s="165" t="n">
        <v>58479.93</v>
      </c>
      <c r="AC859" s="164" t="n">
        <v>30.09</v>
      </c>
      <c r="AG859" s="167" t="n">
        <v>5.146067416</v>
      </c>
      <c r="BS859" s="165" t="n">
        <v>45.95</v>
      </c>
      <c r="BU859" s="164" t="n">
        <v>22.07</v>
      </c>
    </row>
    <row r="860" customFormat="false" ht="12.75" hidden="false" customHeight="false" outlineLevel="0" collapsed="false">
      <c r="A860" s="162" t="s">
        <v>633</v>
      </c>
      <c r="B860" s="157" t="s">
        <v>665</v>
      </c>
      <c r="C860" s="157" t="s">
        <v>760</v>
      </c>
      <c r="E860" s="106" t="n">
        <v>11</v>
      </c>
      <c r="F860" s="106" t="n">
        <v>45</v>
      </c>
      <c r="S860" s="165" t="n">
        <v>1218.002443</v>
      </c>
      <c r="Y860" s="164" t="n">
        <v>555.3</v>
      </c>
      <c r="AA860" s="165" t="n">
        <v>49759.06</v>
      </c>
      <c r="AC860" s="164" t="n">
        <v>26.19</v>
      </c>
      <c r="AG860" s="167" t="n">
        <v>5.263761468</v>
      </c>
      <c r="BS860" s="165" t="n">
        <v>46.5</v>
      </c>
      <c r="BU860" s="164" t="n">
        <v>21.2</v>
      </c>
    </row>
    <row r="861" customFormat="false" ht="12.75" hidden="false" customHeight="false" outlineLevel="0" collapsed="false">
      <c r="A861" s="162" t="s">
        <v>633</v>
      </c>
      <c r="B861" s="157" t="s">
        <v>668</v>
      </c>
      <c r="C861" s="157" t="s">
        <v>760</v>
      </c>
      <c r="E861" s="106" t="n">
        <v>14</v>
      </c>
      <c r="F861" s="106" t="n">
        <v>53</v>
      </c>
      <c r="S861" s="165" t="n">
        <v>1430.863568</v>
      </c>
      <c r="Y861" s="164" t="n">
        <v>661.78</v>
      </c>
      <c r="AA861" s="165" t="n">
        <v>61837.59</v>
      </c>
      <c r="AC861" s="164" t="n">
        <v>30.99</v>
      </c>
      <c r="AG861" s="167" t="n">
        <v>5.010799136</v>
      </c>
      <c r="BS861" s="165" t="n">
        <v>46.18</v>
      </c>
      <c r="BU861" s="164" t="n">
        <v>21.36</v>
      </c>
    </row>
    <row r="862" customFormat="false" ht="12.75" hidden="false" customHeight="false" outlineLevel="0" collapsed="false">
      <c r="A862" s="162" t="s">
        <v>633</v>
      </c>
      <c r="B862" s="157" t="s">
        <v>665</v>
      </c>
      <c r="C862" s="157" t="s">
        <v>761</v>
      </c>
      <c r="E862" s="106" t="n">
        <v>16</v>
      </c>
      <c r="F862" s="106" t="n">
        <v>2</v>
      </c>
      <c r="S862" s="165" t="n">
        <v>1291.460752</v>
      </c>
      <c r="Y862" s="164" t="n">
        <v>617.83</v>
      </c>
      <c r="AA862" s="165" t="n">
        <v>55388.13</v>
      </c>
      <c r="AC862" s="164" t="n">
        <v>28.21</v>
      </c>
      <c r="AG862" s="167" t="n">
        <v>5.093509351</v>
      </c>
      <c r="BS862" s="165" t="n">
        <v>45.78</v>
      </c>
      <c r="BU862" s="164" t="n">
        <v>21.9</v>
      </c>
    </row>
    <row r="863" customFormat="false" ht="12.75" hidden="false" customHeight="false" outlineLevel="0" collapsed="false">
      <c r="A863" s="162" t="s">
        <v>633</v>
      </c>
      <c r="B863" s="157" t="s">
        <v>668</v>
      </c>
      <c r="C863" s="157" t="s">
        <v>761</v>
      </c>
      <c r="E863" s="106" t="n">
        <v>21</v>
      </c>
      <c r="F863" s="106" t="n">
        <v>20</v>
      </c>
      <c r="S863" s="165" t="n">
        <v>1308.362768</v>
      </c>
      <c r="Y863" s="164" t="n">
        <v>647.8</v>
      </c>
      <c r="AA863" s="165" t="n">
        <v>58734.97</v>
      </c>
      <c r="AC863" s="164" t="n">
        <v>28.99</v>
      </c>
      <c r="AG863" s="167" t="n">
        <v>4.936170213</v>
      </c>
      <c r="BS863" s="165" t="n">
        <v>45.13</v>
      </c>
      <c r="BU863" s="164" t="n">
        <v>22.34</v>
      </c>
    </row>
    <row r="864" customFormat="false" ht="12.75" hidden="false" customHeight="false" outlineLevel="0" collapsed="false">
      <c r="A864" s="162" t="s">
        <v>633</v>
      </c>
      <c r="B864" s="157" t="s">
        <v>665</v>
      </c>
      <c r="C864" s="157" t="s">
        <v>762</v>
      </c>
      <c r="E864" s="106" t="n">
        <v>4</v>
      </c>
      <c r="F864" s="106" t="n">
        <v>27</v>
      </c>
      <c r="S864" s="165" t="n">
        <v>1357.739745</v>
      </c>
      <c r="Y864" s="164" t="n">
        <v>634.65</v>
      </c>
      <c r="AA864" s="165" t="n">
        <v>67970.96</v>
      </c>
      <c r="AC864" s="164" t="n">
        <v>29.81</v>
      </c>
      <c r="AG864" s="167" t="n">
        <v>4.384976526</v>
      </c>
      <c r="BS864" s="165" t="n">
        <v>45.55</v>
      </c>
      <c r="BU864" s="164" t="n">
        <v>21.29</v>
      </c>
    </row>
    <row r="865" customFormat="false" ht="12.75" hidden="false" customHeight="false" outlineLevel="0" collapsed="false">
      <c r="A865" s="162" t="s">
        <v>633</v>
      </c>
      <c r="B865" s="157" t="s">
        <v>668</v>
      </c>
      <c r="C865" s="157" t="s">
        <v>762</v>
      </c>
      <c r="E865" s="106" t="n">
        <v>1</v>
      </c>
      <c r="F865" s="106" t="n">
        <v>62</v>
      </c>
      <c r="S865" s="165" t="n">
        <v>1140.706544</v>
      </c>
      <c r="Y865" s="164" t="n">
        <v>599.72</v>
      </c>
      <c r="AA865" s="165" t="n">
        <v>53278.61</v>
      </c>
      <c r="AC865" s="164" t="n">
        <v>25.76</v>
      </c>
      <c r="AG865" s="167" t="n">
        <v>4.834710744</v>
      </c>
      <c r="BS865" s="165" t="n">
        <v>44.28</v>
      </c>
      <c r="BU865" s="164" t="n">
        <v>23.28</v>
      </c>
    </row>
    <row r="866" customFormat="false" ht="12.75" hidden="false" customHeight="false" outlineLevel="0" collapsed="false">
      <c r="A866" s="162" t="s">
        <v>635</v>
      </c>
      <c r="B866" s="157" t="s">
        <v>665</v>
      </c>
      <c r="C866" s="157" t="s">
        <v>758</v>
      </c>
      <c r="E866" s="106" t="n">
        <v>5</v>
      </c>
      <c r="F866" s="106" t="n">
        <v>19</v>
      </c>
      <c r="S866" s="165" t="n">
        <v>1393.634058</v>
      </c>
      <c r="Y866" s="164" t="n">
        <v>620.03</v>
      </c>
      <c r="AA866" s="165" t="n">
        <v>57658.83</v>
      </c>
      <c r="AC866" s="164" t="n">
        <v>28.7</v>
      </c>
      <c r="AG866" s="167" t="n">
        <v>4.978165939</v>
      </c>
      <c r="BS866" s="165" t="n">
        <v>48.55</v>
      </c>
      <c r="BU866" s="164" t="n">
        <v>21.6</v>
      </c>
    </row>
    <row r="867" customFormat="false" ht="12.75" hidden="false" customHeight="false" outlineLevel="0" collapsed="false">
      <c r="A867" s="162" t="s">
        <v>635</v>
      </c>
      <c r="B867" s="157" t="s">
        <v>668</v>
      </c>
      <c r="C867" s="157" t="s">
        <v>758</v>
      </c>
      <c r="E867" s="106" t="n">
        <v>10</v>
      </c>
      <c r="F867" s="106" t="n">
        <v>16</v>
      </c>
      <c r="S867" s="165" t="n">
        <v>1932.709927</v>
      </c>
      <c r="Y867" s="164" t="n">
        <v>845.84</v>
      </c>
      <c r="AA867" s="165" t="n">
        <v>80119.57</v>
      </c>
      <c r="AC867" s="164" t="n">
        <v>39.55</v>
      </c>
      <c r="AG867" s="167" t="n">
        <v>4.935760171</v>
      </c>
      <c r="BS867" s="165" t="n">
        <v>48.87</v>
      </c>
      <c r="BU867" s="164" t="n">
        <v>21.39</v>
      </c>
    </row>
    <row r="868" customFormat="false" ht="12.75" hidden="false" customHeight="false" outlineLevel="0" collapsed="false">
      <c r="A868" s="162" t="s">
        <v>635</v>
      </c>
      <c r="B868" s="157" t="s">
        <v>665</v>
      </c>
      <c r="C868" s="157" t="s">
        <v>760</v>
      </c>
      <c r="E868" s="106" t="n">
        <v>9</v>
      </c>
      <c r="F868" s="106" t="n">
        <v>33</v>
      </c>
      <c r="S868" s="165" t="n">
        <v>1607.180899</v>
      </c>
      <c r="Y868" s="164" t="n">
        <v>696.47</v>
      </c>
      <c r="AA868" s="165" t="n">
        <v>63245.83</v>
      </c>
      <c r="AC868" s="164" t="n">
        <v>32.99</v>
      </c>
      <c r="AG868" s="167" t="n">
        <v>5.216400911</v>
      </c>
      <c r="BS868" s="165" t="n">
        <v>48.71</v>
      </c>
      <c r="BU868" s="164" t="n">
        <v>21.11</v>
      </c>
    </row>
    <row r="869" customFormat="false" ht="12.75" hidden="false" customHeight="false" outlineLevel="0" collapsed="false">
      <c r="A869" s="162" t="s">
        <v>635</v>
      </c>
      <c r="B869" s="157" t="s">
        <v>668</v>
      </c>
      <c r="C869" s="157" t="s">
        <v>760</v>
      </c>
      <c r="E869" s="106" t="n">
        <v>16</v>
      </c>
      <c r="F869" s="106" t="n">
        <v>53</v>
      </c>
      <c r="S869" s="165" t="n">
        <v>1240.898799</v>
      </c>
      <c r="Y869" s="164" t="n">
        <v>583.81</v>
      </c>
      <c r="AA869" s="165" t="n">
        <v>48757.73</v>
      </c>
      <c r="AC869" s="164" t="n">
        <v>25.84</v>
      </c>
      <c r="AG869" s="167" t="n">
        <v>5.299647474</v>
      </c>
      <c r="BS869" s="165" t="n">
        <v>48.02</v>
      </c>
      <c r="BU869" s="164" t="n">
        <v>22.59</v>
      </c>
    </row>
    <row r="870" customFormat="false" ht="12.75" hidden="false" customHeight="false" outlineLevel="0" collapsed="false">
      <c r="A870" s="162" t="s">
        <v>635</v>
      </c>
      <c r="B870" s="157" t="s">
        <v>665</v>
      </c>
      <c r="C870" s="157" t="s">
        <v>761</v>
      </c>
      <c r="E870" s="106" t="n">
        <v>13</v>
      </c>
      <c r="F870" s="106" t="n">
        <v>24</v>
      </c>
      <c r="S870" s="165" t="n">
        <v>1396.145991</v>
      </c>
      <c r="Y870" s="164" t="n">
        <v>601.96</v>
      </c>
      <c r="AA870" s="165" t="n">
        <v>58950.73</v>
      </c>
      <c r="AC870" s="164" t="n">
        <v>28.58</v>
      </c>
      <c r="AG870" s="167" t="n">
        <v>4.848800834</v>
      </c>
      <c r="BS870" s="165" t="n">
        <v>48.84</v>
      </c>
      <c r="BU870" s="164" t="n">
        <v>21.06</v>
      </c>
    </row>
    <row r="871" customFormat="false" ht="12.75" hidden="false" customHeight="false" outlineLevel="0" collapsed="false">
      <c r="A871" s="162" t="s">
        <v>635</v>
      </c>
      <c r="B871" s="157" t="s">
        <v>668</v>
      </c>
      <c r="C871" s="157" t="s">
        <v>761</v>
      </c>
      <c r="E871" s="106" t="n">
        <v>18</v>
      </c>
      <c r="F871" s="106" t="n">
        <v>6</v>
      </c>
      <c r="S871" s="165" t="n">
        <v>1489.784165</v>
      </c>
      <c r="Y871" s="164" t="n">
        <v>728.58</v>
      </c>
      <c r="AA871" s="165" t="n">
        <v>59784.25</v>
      </c>
      <c r="AC871" s="164" t="n">
        <v>31.44</v>
      </c>
      <c r="AG871" s="167" t="n">
        <v>5.258426966</v>
      </c>
      <c r="BS871" s="165" t="n">
        <v>47.39</v>
      </c>
      <c r="BU871" s="164" t="n">
        <v>23.18</v>
      </c>
    </row>
    <row r="872" customFormat="false" ht="12.75" hidden="false" customHeight="false" outlineLevel="0" collapsed="false">
      <c r="A872" s="162" t="s">
        <v>635</v>
      </c>
      <c r="B872" s="157" t="s">
        <v>665</v>
      </c>
      <c r="C872" s="157" t="s">
        <v>762</v>
      </c>
      <c r="E872" s="106" t="n">
        <v>2</v>
      </c>
      <c r="F872" s="106" t="n">
        <v>3</v>
      </c>
      <c r="S872" s="165" t="n">
        <v>1354.35274</v>
      </c>
      <c r="Y872" s="164" t="n">
        <v>586.64</v>
      </c>
      <c r="AA872" s="165" t="n">
        <v>56894.22</v>
      </c>
      <c r="AC872" s="164" t="n">
        <v>27.74</v>
      </c>
      <c r="AG872" s="167" t="n">
        <v>4.875776398</v>
      </c>
      <c r="BS872" s="165" t="n">
        <v>48.82</v>
      </c>
      <c r="BU872" s="164" t="n">
        <v>21.15</v>
      </c>
    </row>
    <row r="873" customFormat="false" ht="12.75" hidden="false" customHeight="false" outlineLevel="0" collapsed="false">
      <c r="A873" s="162" t="s">
        <v>635</v>
      </c>
      <c r="B873" s="157" t="s">
        <v>668</v>
      </c>
      <c r="C873" s="157" t="s">
        <v>762</v>
      </c>
      <c r="E873" s="106" t="n">
        <v>2</v>
      </c>
      <c r="F873" s="106" t="n">
        <v>45</v>
      </c>
      <c r="S873" s="165" t="n">
        <v>1576.981616</v>
      </c>
      <c r="Y873" s="164" t="n">
        <v>764.69</v>
      </c>
      <c r="AA873" s="165" t="n">
        <v>65673.61</v>
      </c>
      <c r="AC873" s="164" t="n">
        <v>33.34</v>
      </c>
      <c r="AG873" s="167" t="n">
        <v>5.075921909</v>
      </c>
      <c r="BS873" s="165" t="n">
        <v>47.31</v>
      </c>
      <c r="BU873" s="164" t="n">
        <v>22.94</v>
      </c>
    </row>
    <row r="874" customFormat="false" ht="12.75" hidden="false" customHeight="false" outlineLevel="0" collapsed="false">
      <c r="A874" s="162" t="s">
        <v>637</v>
      </c>
      <c r="B874" s="157" t="s">
        <v>665</v>
      </c>
      <c r="C874" s="157" t="s">
        <v>758</v>
      </c>
      <c r="E874" s="106" t="n">
        <v>6</v>
      </c>
      <c r="F874" s="106" t="n">
        <v>25</v>
      </c>
      <c r="S874" s="165" t="n">
        <v>1155.337078</v>
      </c>
      <c r="Y874" s="164" t="n">
        <v>522.22</v>
      </c>
      <c r="AA874" s="165" t="n">
        <v>47687.71</v>
      </c>
      <c r="AC874" s="164" t="n">
        <v>23.9</v>
      </c>
      <c r="AG874" s="167" t="n">
        <v>5.010964912</v>
      </c>
      <c r="BS874" s="165" t="n">
        <v>48.35</v>
      </c>
      <c r="BU874" s="164" t="n">
        <v>21.85</v>
      </c>
    </row>
    <row r="875" customFormat="false" ht="12.75" hidden="false" customHeight="false" outlineLevel="0" collapsed="false">
      <c r="A875" s="162" t="s">
        <v>637</v>
      </c>
      <c r="B875" s="157" t="s">
        <v>668</v>
      </c>
      <c r="C875" s="157" t="s">
        <v>758</v>
      </c>
      <c r="E875" s="106" t="n">
        <v>11</v>
      </c>
      <c r="F875" s="106" t="n">
        <v>30</v>
      </c>
      <c r="S875" s="165" t="n">
        <v>1846.68587</v>
      </c>
      <c r="Y875" s="164" t="n">
        <v>834.39</v>
      </c>
      <c r="AA875" s="165" t="n">
        <v>75489.4</v>
      </c>
      <c r="AC875" s="164" t="n">
        <v>37.91</v>
      </c>
      <c r="AG875" s="167" t="n">
        <v>5.021786492</v>
      </c>
      <c r="BS875" s="165" t="n">
        <v>48.71</v>
      </c>
      <c r="BU875" s="164" t="n">
        <v>22.01</v>
      </c>
    </row>
    <row r="876" customFormat="false" ht="12.75" hidden="false" customHeight="false" outlineLevel="0" collapsed="false">
      <c r="A876" s="162" t="s">
        <v>637</v>
      </c>
      <c r="B876" s="157" t="s">
        <v>665</v>
      </c>
      <c r="C876" s="157" t="s">
        <v>760</v>
      </c>
      <c r="E876" s="106" t="n">
        <v>10</v>
      </c>
      <c r="F876" s="106" t="n">
        <v>42</v>
      </c>
      <c r="S876" s="165" t="n">
        <v>1604.286926</v>
      </c>
      <c r="Y876" s="164" t="n">
        <v>710.28</v>
      </c>
      <c r="AA876" s="165" t="n">
        <v>65917.87</v>
      </c>
      <c r="AC876" s="164" t="n">
        <v>32.85</v>
      </c>
      <c r="AG876" s="167" t="n">
        <v>4.98392283</v>
      </c>
      <c r="BS876" s="165" t="n">
        <v>48.83</v>
      </c>
      <c r="BU876" s="164" t="n">
        <v>21.62</v>
      </c>
    </row>
    <row r="877" customFormat="false" ht="12.75" hidden="false" customHeight="false" outlineLevel="0" collapsed="false">
      <c r="A877" s="162" t="s">
        <v>637</v>
      </c>
      <c r="B877" s="157" t="s">
        <v>668</v>
      </c>
      <c r="C877" s="157" t="s">
        <v>760</v>
      </c>
      <c r="E877" s="106" t="n">
        <v>13</v>
      </c>
      <c r="F877" s="106" t="n">
        <v>50</v>
      </c>
      <c r="S877" s="165" t="n">
        <v>1608.341564</v>
      </c>
      <c r="Y877" s="164" t="n">
        <v>708.68</v>
      </c>
      <c r="AA877" s="165" t="n">
        <v>66044.2</v>
      </c>
      <c r="AC877" s="164" t="n">
        <v>32.63</v>
      </c>
      <c r="AG877" s="167" t="n">
        <v>4.941302028</v>
      </c>
      <c r="BS877" s="165" t="n">
        <v>49.28</v>
      </c>
      <c r="BU877" s="164" t="n">
        <v>21.72</v>
      </c>
    </row>
    <row r="878" customFormat="false" ht="12.75" hidden="false" customHeight="false" outlineLevel="0" collapsed="false">
      <c r="A878" s="162" t="s">
        <v>637</v>
      </c>
      <c r="B878" s="157" t="s">
        <v>665</v>
      </c>
      <c r="C878" s="157" t="s">
        <v>761</v>
      </c>
      <c r="E878" s="106" t="n">
        <v>16</v>
      </c>
      <c r="F878" s="106" t="n">
        <v>7</v>
      </c>
      <c r="S878" s="165" t="n">
        <v>1788.606786</v>
      </c>
      <c r="Y878" s="164" t="n">
        <v>776.26</v>
      </c>
      <c r="AA878" s="165" t="n">
        <v>73027.79</v>
      </c>
      <c r="AC878" s="164" t="n">
        <v>36.51</v>
      </c>
      <c r="AG878" s="167" t="n">
        <v>5</v>
      </c>
      <c r="BS878" s="165" t="n">
        <v>48.98</v>
      </c>
      <c r="BU878" s="164" t="n">
        <v>21.26</v>
      </c>
    </row>
    <row r="879" customFormat="false" ht="12.75" hidden="false" customHeight="false" outlineLevel="0" collapsed="false">
      <c r="A879" s="162" t="s">
        <v>637</v>
      </c>
      <c r="B879" s="157" t="s">
        <v>668</v>
      </c>
      <c r="C879" s="157" t="s">
        <v>761</v>
      </c>
      <c r="E879" s="106" t="n">
        <v>19</v>
      </c>
      <c r="F879" s="106" t="n">
        <v>11</v>
      </c>
      <c r="S879" s="165" t="n">
        <v>1491.772884</v>
      </c>
      <c r="Y879" s="164" t="n">
        <v>690.56</v>
      </c>
      <c r="AA879" s="165" t="n">
        <v>65139.35</v>
      </c>
      <c r="AC879" s="164" t="n">
        <v>31.31</v>
      </c>
      <c r="AG879" s="167" t="n">
        <v>4.807090719</v>
      </c>
      <c r="BS879" s="165" t="n">
        <v>47.64</v>
      </c>
      <c r="BU879" s="164" t="n">
        <v>22.05</v>
      </c>
    </row>
    <row r="880" customFormat="false" ht="12.75" hidden="false" customHeight="false" outlineLevel="0" collapsed="false">
      <c r="A880" s="162" t="s">
        <v>637</v>
      </c>
      <c r="B880" s="157" t="s">
        <v>665</v>
      </c>
      <c r="C880" s="157" t="s">
        <v>762</v>
      </c>
      <c r="E880" s="106" t="n">
        <v>1</v>
      </c>
      <c r="F880" s="106" t="n">
        <v>26</v>
      </c>
      <c r="S880" s="165" t="n">
        <v>1480.876887</v>
      </c>
      <c r="Y880" s="164" t="n">
        <v>655.06</v>
      </c>
      <c r="AA880" s="165" t="n">
        <v>62359.82</v>
      </c>
      <c r="AC880" s="164" t="n">
        <v>30.85</v>
      </c>
      <c r="AG880" s="167" t="n">
        <v>4.947478992</v>
      </c>
      <c r="BS880" s="165" t="n">
        <v>48</v>
      </c>
      <c r="BU880" s="164" t="n">
        <v>21.23</v>
      </c>
    </row>
    <row r="881" customFormat="false" ht="12.75" hidden="false" customHeight="false" outlineLevel="0" collapsed="false">
      <c r="A881" s="162" t="s">
        <v>637</v>
      </c>
      <c r="B881" s="157" t="s">
        <v>668</v>
      </c>
      <c r="C881" s="157" t="s">
        <v>762</v>
      </c>
      <c r="E881" s="106" t="n">
        <v>4</v>
      </c>
      <c r="F881" s="106" t="n">
        <v>44</v>
      </c>
      <c r="S881" s="165" t="n">
        <v>1826.079873</v>
      </c>
      <c r="Y881" s="164" t="n">
        <v>820.7</v>
      </c>
      <c r="AA881" s="165" t="n">
        <v>74100.37</v>
      </c>
      <c r="AC881" s="164" t="n">
        <v>37.82</v>
      </c>
      <c r="AG881" s="167" t="n">
        <v>5.103373232</v>
      </c>
      <c r="BS881" s="165" t="n">
        <v>48.29</v>
      </c>
      <c r="BU881" s="164" t="n">
        <v>21.7</v>
      </c>
    </row>
    <row r="882" customFormat="false" ht="12.75" hidden="false" customHeight="false" outlineLevel="0" collapsed="false">
      <c r="A882" s="162" t="s">
        <v>639</v>
      </c>
      <c r="B882" s="157" t="s">
        <v>665</v>
      </c>
      <c r="C882" s="157" t="s">
        <v>758</v>
      </c>
      <c r="E882" s="106" t="n">
        <v>7</v>
      </c>
      <c r="F882" s="106" t="n">
        <v>31</v>
      </c>
      <c r="S882" s="165" t="n">
        <v>1616.95622</v>
      </c>
      <c r="Y882" s="164" t="n">
        <v>713.27</v>
      </c>
      <c r="AA882" s="165" t="n">
        <v>71091.92</v>
      </c>
      <c r="AC882" s="164" t="n">
        <v>33.71</v>
      </c>
      <c r="AG882" s="167" t="n">
        <v>4.741200828</v>
      </c>
      <c r="BS882" s="165" t="n">
        <v>47.97</v>
      </c>
      <c r="BU882" s="164" t="n">
        <v>21.16</v>
      </c>
    </row>
    <row r="883" customFormat="false" ht="12.75" hidden="false" customHeight="false" outlineLevel="0" collapsed="false">
      <c r="A883" s="162" t="s">
        <v>639</v>
      </c>
      <c r="B883" s="157" t="s">
        <v>668</v>
      </c>
      <c r="C883" s="157" t="s">
        <v>758</v>
      </c>
      <c r="E883" s="106" t="n">
        <v>9</v>
      </c>
      <c r="F883" s="106" t="n">
        <v>22</v>
      </c>
      <c r="S883" s="165" t="n">
        <v>1902.334839</v>
      </c>
      <c r="Y883" s="164" t="n">
        <v>823.74</v>
      </c>
      <c r="AA883" s="165" t="n">
        <v>85558.31</v>
      </c>
      <c r="AC883" s="164" t="n">
        <v>39.67</v>
      </c>
      <c r="AG883" s="167" t="n">
        <v>4.636642784</v>
      </c>
      <c r="BS883" s="165" t="n">
        <v>47.95</v>
      </c>
      <c r="BU883" s="164" t="n">
        <v>20.76</v>
      </c>
    </row>
    <row r="884" customFormat="false" ht="12.75" hidden="false" customHeight="false" outlineLevel="0" collapsed="false">
      <c r="A884" s="162" t="s">
        <v>639</v>
      </c>
      <c r="B884" s="157" t="s">
        <v>665</v>
      </c>
      <c r="C884" s="157" t="s">
        <v>760</v>
      </c>
      <c r="E884" s="106" t="n">
        <v>9</v>
      </c>
      <c r="F884" s="106" t="n">
        <v>63</v>
      </c>
      <c r="S884" s="165" t="n">
        <v>1433.372912</v>
      </c>
      <c r="Y884" s="164" t="n">
        <v>597.65</v>
      </c>
      <c r="AA884" s="165" t="n">
        <v>60005.88</v>
      </c>
      <c r="AC884" s="164" t="n">
        <v>29.56</v>
      </c>
      <c r="AG884" s="167" t="n">
        <v>4.926160338</v>
      </c>
      <c r="BS884" s="165" t="n">
        <v>48.49</v>
      </c>
      <c r="BU884" s="164" t="n">
        <v>20.22</v>
      </c>
    </row>
    <row r="885" customFormat="false" ht="12.75" hidden="false" customHeight="false" outlineLevel="0" collapsed="false">
      <c r="A885" s="162" t="s">
        <v>639</v>
      </c>
      <c r="B885" s="157" t="s">
        <v>668</v>
      </c>
      <c r="C885" s="157" t="s">
        <v>760</v>
      </c>
      <c r="E885" s="106" t="n">
        <v>14</v>
      </c>
      <c r="F885" s="106" t="n">
        <v>54</v>
      </c>
      <c r="S885" s="165" t="n">
        <v>1544.686576</v>
      </c>
      <c r="Y885" s="164" t="n">
        <v>680.34</v>
      </c>
      <c r="AA885" s="165" t="n">
        <v>66646.89</v>
      </c>
      <c r="AC885" s="164" t="n">
        <v>32.34</v>
      </c>
      <c r="AG885" s="167" t="n">
        <v>4.852320675</v>
      </c>
      <c r="BS885" s="165" t="n">
        <v>47.77</v>
      </c>
      <c r="BU885" s="164" t="n">
        <v>21.04</v>
      </c>
    </row>
    <row r="886" customFormat="false" ht="12.75" hidden="false" customHeight="false" outlineLevel="0" collapsed="false">
      <c r="A886" s="162" t="s">
        <v>639</v>
      </c>
      <c r="B886" s="157" t="s">
        <v>665</v>
      </c>
      <c r="C886" s="157" t="s">
        <v>761</v>
      </c>
      <c r="E886" s="106" t="n">
        <v>13</v>
      </c>
      <c r="F886" s="106" t="n">
        <v>3</v>
      </c>
      <c r="S886" s="165" t="n">
        <v>1506.717903</v>
      </c>
      <c r="Y886" s="164" t="n">
        <v>657.07</v>
      </c>
      <c r="AA886" s="165" t="n">
        <v>67728.82</v>
      </c>
      <c r="AC886" s="164" t="n">
        <v>31.58</v>
      </c>
      <c r="AG886" s="167" t="n">
        <v>4.662638469</v>
      </c>
      <c r="BS886" s="165" t="n">
        <v>47.71</v>
      </c>
      <c r="BU886" s="164" t="n">
        <v>20.81</v>
      </c>
    </row>
    <row r="887" customFormat="false" ht="12.75" hidden="false" customHeight="false" outlineLevel="0" collapsed="false">
      <c r="A887" s="162" t="s">
        <v>639</v>
      </c>
      <c r="B887" s="157" t="s">
        <v>668</v>
      </c>
      <c r="C887" s="157" t="s">
        <v>761</v>
      </c>
      <c r="E887" s="106" t="n">
        <v>21</v>
      </c>
      <c r="F887" s="106" t="n">
        <v>17</v>
      </c>
      <c r="S887" s="165" t="n">
        <v>1223.947181</v>
      </c>
      <c r="Y887" s="164" t="n">
        <v>589.37</v>
      </c>
      <c r="AA887" s="165" t="n">
        <v>54603.03</v>
      </c>
      <c r="AC887" s="164" t="n">
        <v>26.34</v>
      </c>
      <c r="AG887" s="167" t="n">
        <v>4.823651452</v>
      </c>
      <c r="BS887" s="165" t="n">
        <v>46.47</v>
      </c>
      <c r="BU887" s="164" t="n">
        <v>22.38</v>
      </c>
    </row>
    <row r="888" customFormat="false" ht="12.75" hidden="false" customHeight="false" outlineLevel="0" collapsed="false">
      <c r="A888" s="162" t="s">
        <v>639</v>
      </c>
      <c r="B888" s="157" t="s">
        <v>665</v>
      </c>
      <c r="C888" s="157" t="s">
        <v>762</v>
      </c>
      <c r="E888" s="106" t="n">
        <v>4</v>
      </c>
      <c r="F888" s="106" t="n">
        <v>22</v>
      </c>
      <c r="S888" s="165" t="n">
        <v>1458.686749</v>
      </c>
      <c r="Y888" s="164" t="n">
        <v>587.91</v>
      </c>
      <c r="AA888" s="165" t="n">
        <v>61483.62</v>
      </c>
      <c r="AC888" s="164" t="n">
        <v>30.1</v>
      </c>
      <c r="AG888" s="167" t="n">
        <v>4.895833333</v>
      </c>
      <c r="BS888" s="165" t="n">
        <v>48.46</v>
      </c>
      <c r="BU888" s="164" t="n">
        <v>19.53</v>
      </c>
    </row>
    <row r="889" customFormat="false" ht="12.75" hidden="false" customHeight="false" outlineLevel="0" collapsed="false">
      <c r="A889" s="162" t="s">
        <v>639</v>
      </c>
      <c r="B889" s="157" t="s">
        <v>668</v>
      </c>
      <c r="C889" s="157" t="s">
        <v>762</v>
      </c>
      <c r="E889" s="106" t="n">
        <v>4</v>
      </c>
      <c r="F889" s="106" t="n">
        <v>52</v>
      </c>
      <c r="S889" s="165" t="n">
        <v>1614.152311</v>
      </c>
      <c r="Y889" s="164" t="n">
        <v>724.71</v>
      </c>
      <c r="AA889" s="165" t="n">
        <v>84737.86</v>
      </c>
      <c r="AC889" s="164" t="n">
        <v>34.27</v>
      </c>
      <c r="AG889" s="167" t="n">
        <v>4.04475043</v>
      </c>
      <c r="BS889" s="165" t="n">
        <v>47.1</v>
      </c>
      <c r="BU889" s="164" t="n">
        <v>21.14</v>
      </c>
    </row>
    <row r="890" customFormat="false" ht="12.75" hidden="false" customHeight="false" outlineLevel="0" collapsed="false">
      <c r="A890" s="162" t="s">
        <v>641</v>
      </c>
      <c r="B890" s="157" t="s">
        <v>665</v>
      </c>
      <c r="C890" s="157" t="s">
        <v>758</v>
      </c>
      <c r="E890" s="106" t="n">
        <v>5</v>
      </c>
      <c r="F890" s="106" t="n">
        <v>26</v>
      </c>
      <c r="S890" s="165" t="n">
        <v>1197.542887</v>
      </c>
      <c r="Y890" s="164" t="n">
        <v>557.87</v>
      </c>
      <c r="AA890" s="165" t="n">
        <v>59387.99</v>
      </c>
      <c r="AC890" s="164" t="n">
        <v>25.38</v>
      </c>
      <c r="AG890" s="167" t="n">
        <v>4.27366448</v>
      </c>
      <c r="BS890" s="165" t="n">
        <v>47.18</v>
      </c>
      <c r="BU890" s="164" t="n">
        <v>21.98</v>
      </c>
    </row>
    <row r="891" customFormat="false" ht="12.75" hidden="false" customHeight="false" outlineLevel="0" collapsed="false">
      <c r="A891" s="162" t="s">
        <v>641</v>
      </c>
      <c r="B891" s="157" t="s">
        <v>668</v>
      </c>
      <c r="C891" s="157" t="s">
        <v>758</v>
      </c>
      <c r="E891" s="106" t="n">
        <v>11</v>
      </c>
      <c r="F891" s="106" t="n">
        <v>13</v>
      </c>
      <c r="S891" s="165" t="n">
        <v>1386.995381</v>
      </c>
      <c r="Y891" s="164" t="n">
        <v>660.64</v>
      </c>
      <c r="AA891" s="165" t="n">
        <v>67659.22</v>
      </c>
      <c r="AC891" s="164" t="n">
        <v>29.89</v>
      </c>
      <c r="AG891" s="167" t="n">
        <v>4.417475728</v>
      </c>
      <c r="BS891" s="165" t="n">
        <v>46.41</v>
      </c>
      <c r="BU891" s="164" t="n">
        <v>22.1</v>
      </c>
    </row>
    <row r="892" customFormat="false" ht="12.75" hidden="false" customHeight="false" outlineLevel="0" collapsed="false">
      <c r="A892" s="162" t="s">
        <v>641</v>
      </c>
      <c r="B892" s="157" t="s">
        <v>665</v>
      </c>
      <c r="C892" s="157" t="s">
        <v>760</v>
      </c>
      <c r="E892" s="106" t="n">
        <v>9</v>
      </c>
      <c r="F892" s="106" t="n">
        <v>64</v>
      </c>
      <c r="S892" s="165" t="n">
        <v>1137.226865</v>
      </c>
      <c r="Y892" s="164" t="n">
        <v>509.91</v>
      </c>
      <c r="AA892" s="165" t="n">
        <v>55490.54</v>
      </c>
      <c r="AC892" s="164" t="n">
        <v>23.9</v>
      </c>
      <c r="AG892" s="167" t="n">
        <v>4.307257304</v>
      </c>
      <c r="BS892" s="165" t="n">
        <v>47.58</v>
      </c>
      <c r="BU892" s="164" t="n">
        <v>21.33</v>
      </c>
    </row>
    <row r="893" customFormat="false" ht="12.75" hidden="false" customHeight="false" outlineLevel="0" collapsed="false">
      <c r="A893" s="162" t="s">
        <v>641</v>
      </c>
      <c r="B893" s="157" t="s">
        <v>668</v>
      </c>
      <c r="C893" s="157" t="s">
        <v>760</v>
      </c>
      <c r="E893" s="106" t="n">
        <v>13</v>
      </c>
      <c r="F893" s="106" t="n">
        <v>42</v>
      </c>
      <c r="S893" s="165" t="n">
        <v>1350.099201</v>
      </c>
      <c r="Y893" s="164" t="n">
        <v>653.07</v>
      </c>
      <c r="AA893" s="165" t="n">
        <v>63279.96</v>
      </c>
      <c r="AC893" s="164" t="n">
        <v>28.57</v>
      </c>
      <c r="AG893" s="167" t="n">
        <v>4.514229637</v>
      </c>
      <c r="BS893" s="165" t="n">
        <v>47.26</v>
      </c>
      <c r="BU893" s="164" t="n">
        <v>22.86</v>
      </c>
    </row>
    <row r="894" customFormat="false" ht="12.75" hidden="false" customHeight="false" outlineLevel="0" collapsed="false">
      <c r="A894" s="162" t="s">
        <v>641</v>
      </c>
      <c r="B894" s="157" t="s">
        <v>665</v>
      </c>
      <c r="C894" s="157" t="s">
        <v>761</v>
      </c>
      <c r="E894" s="106" t="n">
        <v>13</v>
      </c>
      <c r="F894" s="106" t="n">
        <v>19</v>
      </c>
      <c r="S894" s="165" t="n">
        <v>1129.32181</v>
      </c>
      <c r="Y894" s="164" t="n">
        <v>565.72</v>
      </c>
      <c r="AA894" s="165" t="n">
        <v>58275.74</v>
      </c>
      <c r="AC894" s="164" t="n">
        <v>25.19</v>
      </c>
      <c r="AG894" s="167" t="n">
        <v>4.323308271</v>
      </c>
      <c r="BS894" s="165" t="n">
        <v>44.82</v>
      </c>
      <c r="BU894" s="164" t="n">
        <v>22.45</v>
      </c>
    </row>
    <row r="895" customFormat="false" ht="12.75" hidden="false" customHeight="false" outlineLevel="0" collapsed="false">
      <c r="A895" s="162" t="s">
        <v>641</v>
      </c>
      <c r="B895" s="157" t="s">
        <v>668</v>
      </c>
      <c r="C895" s="157" t="s">
        <v>761</v>
      </c>
      <c r="E895" s="106" t="n">
        <v>20</v>
      </c>
      <c r="F895" s="106" t="n">
        <v>20</v>
      </c>
      <c r="S895" s="165" t="n">
        <v>1026.847464</v>
      </c>
      <c r="Y895" s="164" t="n">
        <v>538.65</v>
      </c>
      <c r="AA895" s="165" t="n">
        <v>52614.49</v>
      </c>
      <c r="AC895" s="164" t="n">
        <v>22.98</v>
      </c>
      <c r="AG895" s="167" t="n">
        <v>4.368471035</v>
      </c>
      <c r="BS895" s="165" t="n">
        <v>44.68</v>
      </c>
      <c r="BU895" s="164" t="n">
        <v>23.44</v>
      </c>
    </row>
    <row r="896" customFormat="false" ht="12.75" hidden="false" customHeight="false" outlineLevel="0" collapsed="false">
      <c r="A896" s="162" t="s">
        <v>641</v>
      </c>
      <c r="B896" s="157" t="s">
        <v>665</v>
      </c>
      <c r="C896" s="157" t="s">
        <v>762</v>
      </c>
      <c r="E896" s="106" t="n">
        <v>4</v>
      </c>
      <c r="F896" s="106" t="n">
        <v>8</v>
      </c>
      <c r="S896" s="165" t="n">
        <v>1220.017285</v>
      </c>
      <c r="Y896" s="164" t="n">
        <v>561.2</v>
      </c>
      <c r="AA896" s="165" t="n">
        <v>52781.38</v>
      </c>
      <c r="AC896" s="164" t="n">
        <v>26.08</v>
      </c>
      <c r="AG896" s="167" t="n">
        <v>4.941302028</v>
      </c>
      <c r="BS896" s="165" t="n">
        <v>46.78</v>
      </c>
      <c r="BU896" s="164" t="n">
        <v>21.52</v>
      </c>
    </row>
    <row r="897" customFormat="false" ht="12.75" hidden="false" customHeight="false" outlineLevel="0" collapsed="false">
      <c r="A897" s="162" t="s">
        <v>641</v>
      </c>
      <c r="B897" s="157" t="s">
        <v>668</v>
      </c>
      <c r="C897" s="157" t="s">
        <v>762</v>
      </c>
      <c r="E897" s="106" t="n">
        <v>4</v>
      </c>
      <c r="F897" s="106" t="n">
        <v>33</v>
      </c>
      <c r="S897" s="165" t="n">
        <v>1276.782907</v>
      </c>
      <c r="Y897" s="164" t="n">
        <v>671.59</v>
      </c>
      <c r="AA897" s="165" t="n">
        <v>61028.58</v>
      </c>
      <c r="AC897" s="164" t="n">
        <v>28.5</v>
      </c>
      <c r="AG897" s="167" t="n">
        <v>4.669338677</v>
      </c>
      <c r="BS897" s="165" t="n">
        <v>44.81</v>
      </c>
      <c r="BU897" s="164" t="n">
        <v>23.57</v>
      </c>
    </row>
    <row r="898" customFormat="false" ht="12.75" hidden="false" customHeight="false" outlineLevel="0" collapsed="false">
      <c r="A898" s="162" t="s">
        <v>643</v>
      </c>
      <c r="B898" s="157" t="s">
        <v>665</v>
      </c>
      <c r="C898" s="157" t="s">
        <v>758</v>
      </c>
      <c r="E898" s="106" t="n">
        <v>7</v>
      </c>
      <c r="F898" s="106" t="n">
        <v>27</v>
      </c>
      <c r="S898" s="165" t="n">
        <v>1559.837058</v>
      </c>
      <c r="Y898" s="164" t="n">
        <v>655.08</v>
      </c>
      <c r="AA898" s="165" t="n">
        <v>59870.19</v>
      </c>
      <c r="AC898" s="164" t="n">
        <v>32.61</v>
      </c>
      <c r="AG898" s="167" t="n">
        <v>5.446960667</v>
      </c>
      <c r="BS898" s="165" t="n">
        <v>47.83</v>
      </c>
      <c r="BU898" s="164" t="n">
        <v>20.09</v>
      </c>
    </row>
    <row r="899" customFormat="false" ht="12.75" hidden="false" customHeight="false" outlineLevel="0" collapsed="false">
      <c r="A899" s="162" t="s">
        <v>643</v>
      </c>
      <c r="B899" s="157" t="s">
        <v>668</v>
      </c>
      <c r="C899" s="157" t="s">
        <v>758</v>
      </c>
      <c r="E899" s="106" t="n">
        <v>12</v>
      </c>
      <c r="F899" s="106" t="n">
        <v>15</v>
      </c>
      <c r="S899" s="165" t="n">
        <v>1790.443967</v>
      </c>
      <c r="Y899" s="164" t="n">
        <v>795.26</v>
      </c>
      <c r="AA899" s="165" t="n">
        <v>71316.81</v>
      </c>
      <c r="AC899" s="164" t="n">
        <v>37.91</v>
      </c>
      <c r="AG899" s="167" t="n">
        <v>5.316159251</v>
      </c>
      <c r="BS899" s="165" t="n">
        <v>47.22</v>
      </c>
      <c r="BU899" s="164" t="n">
        <v>20.98</v>
      </c>
    </row>
    <row r="900" customFormat="false" ht="12.75" hidden="false" customHeight="false" outlineLevel="0" collapsed="false">
      <c r="A900" s="162" t="s">
        <v>643</v>
      </c>
      <c r="B900" s="157" t="s">
        <v>665</v>
      </c>
      <c r="C900" s="157" t="s">
        <v>760</v>
      </c>
      <c r="E900" s="106" t="n">
        <v>12</v>
      </c>
      <c r="F900" s="106" t="n">
        <v>61</v>
      </c>
      <c r="S900" s="165" t="n">
        <v>1635.712412</v>
      </c>
      <c r="Y900" s="164" t="n">
        <v>698.54</v>
      </c>
      <c r="AA900" s="165" t="n">
        <v>60730.84</v>
      </c>
      <c r="AC900" s="164" t="n">
        <v>34.01</v>
      </c>
      <c r="AG900" s="167" t="n">
        <v>5.6</v>
      </c>
      <c r="BS900" s="165" t="n">
        <v>48.1</v>
      </c>
      <c r="BU900" s="164" t="n">
        <v>20.54</v>
      </c>
    </row>
    <row r="901" customFormat="false" ht="12.75" hidden="false" customHeight="false" outlineLevel="0" collapsed="false">
      <c r="A901" s="162" t="s">
        <v>643</v>
      </c>
      <c r="B901" s="157" t="s">
        <v>668</v>
      </c>
      <c r="C901" s="157" t="s">
        <v>760</v>
      </c>
      <c r="E901" s="106" t="n">
        <v>14</v>
      </c>
      <c r="F901" s="106" t="n">
        <v>43</v>
      </c>
      <c r="S901" s="165" t="n">
        <v>1489.788275</v>
      </c>
      <c r="Y901" s="164" t="n">
        <v>692.68</v>
      </c>
      <c r="AA901" s="165" t="n">
        <v>55423.33</v>
      </c>
      <c r="AC901" s="164" t="n">
        <v>31.56</v>
      </c>
      <c r="AG901" s="167" t="n">
        <v>5.695121951</v>
      </c>
      <c r="BS901" s="165" t="n">
        <v>47.2</v>
      </c>
      <c r="BU901" s="164" t="n">
        <v>21.95</v>
      </c>
    </row>
    <row r="902" customFormat="false" ht="12.75" hidden="false" customHeight="false" outlineLevel="0" collapsed="false">
      <c r="A902" s="162" t="s">
        <v>643</v>
      </c>
      <c r="B902" s="157" t="s">
        <v>665</v>
      </c>
      <c r="C902" s="157" t="s">
        <v>761</v>
      </c>
      <c r="E902" s="106" t="n">
        <v>15</v>
      </c>
      <c r="F902" s="106" t="n">
        <v>4</v>
      </c>
      <c r="S902" s="165" t="n">
        <v>1690.262888</v>
      </c>
      <c r="Y902" s="164" t="n">
        <v>735.32</v>
      </c>
      <c r="AA902" s="165" t="n">
        <v>64837.16</v>
      </c>
      <c r="AC902" s="164" t="n">
        <v>35.6</v>
      </c>
      <c r="AG902" s="167" t="n">
        <v>5.490430622</v>
      </c>
      <c r="BS902" s="165" t="n">
        <v>47.48</v>
      </c>
      <c r="BU902" s="164" t="n">
        <v>20.66</v>
      </c>
    </row>
    <row r="903" customFormat="false" ht="12.75" hidden="false" customHeight="false" outlineLevel="0" collapsed="false">
      <c r="A903" s="162" t="s">
        <v>643</v>
      </c>
      <c r="B903" s="157" t="s">
        <v>668</v>
      </c>
      <c r="C903" s="157" t="s">
        <v>761</v>
      </c>
      <c r="E903" s="106" t="n">
        <v>21</v>
      </c>
      <c r="F903" s="106" t="n">
        <v>15</v>
      </c>
      <c r="S903" s="165" t="n">
        <v>1648.61279</v>
      </c>
      <c r="Y903" s="164" t="n">
        <v>762.23</v>
      </c>
      <c r="AA903" s="165" t="n">
        <v>67892.61</v>
      </c>
      <c r="AC903" s="164" t="n">
        <v>35.14</v>
      </c>
      <c r="AG903" s="167" t="n">
        <v>5.175141243</v>
      </c>
      <c r="BS903" s="165" t="n">
        <v>46.92</v>
      </c>
      <c r="BU903" s="164" t="n">
        <v>21.69</v>
      </c>
    </row>
    <row r="904" customFormat="false" ht="12.75" hidden="false" customHeight="false" outlineLevel="0" collapsed="false">
      <c r="A904" s="162" t="s">
        <v>643</v>
      </c>
      <c r="B904" s="157" t="s">
        <v>665</v>
      </c>
      <c r="C904" s="157" t="s">
        <v>762</v>
      </c>
      <c r="E904" s="106" t="n">
        <v>2</v>
      </c>
      <c r="F904" s="106" t="n">
        <v>31</v>
      </c>
      <c r="S904" s="165" t="n">
        <v>1719.100048</v>
      </c>
      <c r="Y904" s="164" t="n">
        <v>736.75</v>
      </c>
      <c r="AA904" s="165" t="n">
        <v>66286.66</v>
      </c>
      <c r="AC904" s="164" t="n">
        <v>35.86</v>
      </c>
      <c r="AG904" s="167" t="n">
        <v>5.410404624</v>
      </c>
      <c r="BS904" s="165" t="n">
        <v>47.93</v>
      </c>
      <c r="BU904" s="164" t="n">
        <v>20.54</v>
      </c>
    </row>
    <row r="905" customFormat="false" ht="12.75" hidden="false" customHeight="false" outlineLevel="0" collapsed="false">
      <c r="A905" s="162" t="s">
        <v>643</v>
      </c>
      <c r="B905" s="157" t="s">
        <v>668</v>
      </c>
      <c r="C905" s="157" t="s">
        <v>762</v>
      </c>
      <c r="E905" s="106" t="n">
        <v>3</v>
      </c>
      <c r="F905" s="106" t="n">
        <v>49</v>
      </c>
      <c r="S905" s="165" t="n">
        <v>1561.94682</v>
      </c>
      <c r="Y905" s="164" t="n">
        <v>753.9</v>
      </c>
      <c r="AA905" s="165" t="n">
        <v>82370.89</v>
      </c>
      <c r="AC905" s="164" t="n">
        <v>33.9</v>
      </c>
      <c r="AG905" s="167" t="n">
        <v>4.115082825</v>
      </c>
      <c r="BS905" s="165" t="n">
        <v>46.08</v>
      </c>
      <c r="BU905" s="164" t="n">
        <v>22.24</v>
      </c>
    </row>
    <row r="906" customFormat="false" ht="12.75" hidden="false" customHeight="false" outlineLevel="0" collapsed="false">
      <c r="A906" s="162" t="s">
        <v>645</v>
      </c>
      <c r="B906" s="157" t="s">
        <v>665</v>
      </c>
      <c r="C906" s="157" t="s">
        <v>758</v>
      </c>
      <c r="E906" s="106" t="n">
        <v>7</v>
      </c>
      <c r="F906" s="106" t="n">
        <v>21</v>
      </c>
      <c r="S906" s="165" t="n">
        <v>1508.415307</v>
      </c>
      <c r="Y906" s="164" t="n">
        <v>647.86</v>
      </c>
      <c r="AA906" s="165" t="n">
        <v>65634.67</v>
      </c>
      <c r="AC906" s="164" t="n">
        <v>30.99</v>
      </c>
      <c r="AG906" s="167" t="n">
        <v>4.721345952</v>
      </c>
      <c r="BS906" s="165" t="n">
        <v>48.68</v>
      </c>
      <c r="BU906" s="164" t="n">
        <v>20.91</v>
      </c>
    </row>
    <row r="907" customFormat="false" ht="12.75" hidden="false" customHeight="false" outlineLevel="0" collapsed="false">
      <c r="A907" s="162" t="s">
        <v>645</v>
      </c>
      <c r="B907" s="157" t="s">
        <v>668</v>
      </c>
      <c r="C907" s="157" t="s">
        <v>758</v>
      </c>
      <c r="E907" s="106" t="n">
        <v>12</v>
      </c>
      <c r="F907" s="106" t="n">
        <v>20</v>
      </c>
      <c r="S907" s="165" t="n">
        <v>1714.051169</v>
      </c>
      <c r="Y907" s="164" t="n">
        <v>729.69</v>
      </c>
      <c r="AA907" s="165" t="n">
        <v>76286.91</v>
      </c>
      <c r="AC907" s="164" t="n">
        <v>35.36</v>
      </c>
      <c r="AG907" s="167" t="n">
        <v>4.63562753</v>
      </c>
      <c r="BS907" s="165" t="n">
        <v>48.47</v>
      </c>
      <c r="BU907" s="164" t="n">
        <v>20.63</v>
      </c>
    </row>
    <row r="908" customFormat="false" ht="12.75" hidden="false" customHeight="false" outlineLevel="0" collapsed="false">
      <c r="A908" s="162" t="s">
        <v>645</v>
      </c>
      <c r="B908" s="157" t="s">
        <v>665</v>
      </c>
      <c r="C908" s="157" t="s">
        <v>760</v>
      </c>
      <c r="E908" s="106" t="n">
        <v>10</v>
      </c>
      <c r="F908" s="106" t="n">
        <v>58</v>
      </c>
      <c r="S908" s="165" t="n">
        <v>1587.914907</v>
      </c>
      <c r="Y908" s="164" t="n">
        <v>673.58</v>
      </c>
      <c r="AA908" s="165" t="n">
        <v>65971.93</v>
      </c>
      <c r="AC908" s="164" t="n">
        <v>32.74</v>
      </c>
      <c r="AG908" s="167" t="n">
        <v>4.963041183</v>
      </c>
      <c r="BS908" s="165" t="n">
        <v>48.5</v>
      </c>
      <c r="BU908" s="164" t="n">
        <v>20.57</v>
      </c>
    </row>
    <row r="909" customFormat="false" ht="12.75" hidden="false" customHeight="false" outlineLevel="0" collapsed="false">
      <c r="A909" s="162" t="s">
        <v>645</v>
      </c>
      <c r="B909" s="157" t="s">
        <v>668</v>
      </c>
      <c r="C909" s="157" t="s">
        <v>760</v>
      </c>
      <c r="E909" s="106" t="n">
        <v>14</v>
      </c>
      <c r="F909" s="106" t="n">
        <v>55</v>
      </c>
      <c r="S909" s="165" t="n">
        <v>1472.644833</v>
      </c>
      <c r="Y909" s="164" t="n">
        <v>678.82</v>
      </c>
      <c r="AA909" s="165" t="n">
        <v>70177.77</v>
      </c>
      <c r="AC909" s="164" t="n">
        <v>31.32</v>
      </c>
      <c r="AG909" s="167" t="n">
        <v>4.462890625</v>
      </c>
      <c r="BS909" s="165" t="n">
        <v>47.02</v>
      </c>
      <c r="BU909" s="164" t="n">
        <v>21.67</v>
      </c>
    </row>
    <row r="910" customFormat="false" ht="12.75" hidden="false" customHeight="false" outlineLevel="0" collapsed="false">
      <c r="A910" s="162" t="s">
        <v>645</v>
      </c>
      <c r="B910" s="157" t="s">
        <v>665</v>
      </c>
      <c r="C910" s="157" t="s">
        <v>761</v>
      </c>
      <c r="E910" s="106" t="n">
        <v>13</v>
      </c>
      <c r="F910" s="106" t="n">
        <v>11</v>
      </c>
      <c r="S910" s="165" t="n">
        <v>1436.288598</v>
      </c>
      <c r="Y910" s="164" t="n">
        <v>670.97</v>
      </c>
      <c r="AA910" s="165" t="n">
        <v>65101.52</v>
      </c>
      <c r="AC910" s="164" t="n">
        <v>30.41</v>
      </c>
      <c r="AG910" s="167" t="n">
        <v>4.670719352</v>
      </c>
      <c r="BS910" s="165" t="n">
        <v>47.24</v>
      </c>
      <c r="BU910" s="164" t="n">
        <v>22.07</v>
      </c>
    </row>
    <row r="911" customFormat="false" ht="12.75" hidden="false" customHeight="false" outlineLevel="0" collapsed="false">
      <c r="A911" s="162" t="s">
        <v>645</v>
      </c>
      <c r="B911" s="157" t="s">
        <v>668</v>
      </c>
      <c r="C911" s="157" t="s">
        <v>761</v>
      </c>
      <c r="E911" s="106" t="n">
        <v>17</v>
      </c>
      <c r="F911" s="106" t="n">
        <v>14</v>
      </c>
      <c r="S911" s="165" t="n">
        <v>1717.008455</v>
      </c>
      <c r="Y911" s="164" t="n">
        <v>780.4</v>
      </c>
      <c r="AA911" s="165" t="n">
        <v>71430.48</v>
      </c>
      <c r="AC911" s="164" t="n">
        <v>35.52</v>
      </c>
      <c r="AG911" s="167" t="n">
        <v>4.973204716</v>
      </c>
      <c r="BS911" s="165" t="n">
        <v>48.33</v>
      </c>
      <c r="BU911" s="164" t="n">
        <v>21.97</v>
      </c>
    </row>
    <row r="912" customFormat="false" ht="12.75" hidden="false" customHeight="false" outlineLevel="0" collapsed="false">
      <c r="A912" s="162" t="s">
        <v>645</v>
      </c>
      <c r="B912" s="157" t="s">
        <v>665</v>
      </c>
      <c r="C912" s="157" t="s">
        <v>762</v>
      </c>
      <c r="E912" s="106" t="n">
        <v>3</v>
      </c>
      <c r="F912" s="106" t="n">
        <v>32</v>
      </c>
      <c r="S912" s="165" t="n">
        <v>1639.492236</v>
      </c>
      <c r="Y912" s="164" t="n">
        <v>724.2</v>
      </c>
      <c r="AA912" s="165" t="n">
        <v>66534.36</v>
      </c>
      <c r="AC912" s="164" t="n">
        <v>34.06</v>
      </c>
      <c r="AG912" s="167" t="n">
        <v>5.119565217</v>
      </c>
      <c r="BS912" s="165" t="n">
        <v>48.13</v>
      </c>
      <c r="BU912" s="164" t="n">
        <v>21.26</v>
      </c>
    </row>
    <row r="913" customFormat="false" ht="12.75" hidden="false" customHeight="false" outlineLevel="0" collapsed="false">
      <c r="A913" s="162" t="s">
        <v>645</v>
      </c>
      <c r="B913" s="157" t="s">
        <v>668</v>
      </c>
      <c r="C913" s="157" t="s">
        <v>762</v>
      </c>
      <c r="E913" s="106" t="n">
        <v>3</v>
      </c>
      <c r="F913" s="106" t="n">
        <v>34</v>
      </c>
      <c r="S913" s="165" t="n">
        <v>1725.742083</v>
      </c>
      <c r="Y913" s="164" t="n">
        <v>803.56</v>
      </c>
      <c r="AA913" s="165" t="n">
        <v>77896.19</v>
      </c>
      <c r="AC913" s="164" t="n">
        <v>36.52</v>
      </c>
      <c r="AG913" s="167" t="n">
        <v>4.687809713</v>
      </c>
      <c r="BS913" s="165" t="n">
        <v>47.26</v>
      </c>
      <c r="BU913" s="164" t="n">
        <v>22.01</v>
      </c>
    </row>
    <row r="914" customFormat="false" ht="12.75" hidden="false" customHeight="false" outlineLevel="0" collapsed="false">
      <c r="A914" s="162" t="s">
        <v>647</v>
      </c>
      <c r="B914" s="157" t="s">
        <v>665</v>
      </c>
      <c r="C914" s="157" t="s">
        <v>758</v>
      </c>
      <c r="E914" s="106" t="n">
        <v>6</v>
      </c>
      <c r="F914" s="106" t="n">
        <v>22</v>
      </c>
      <c r="S914" s="165" t="n">
        <v>1054.548652</v>
      </c>
      <c r="Y914" s="164" t="n">
        <v>484.42</v>
      </c>
      <c r="AA914" s="165" t="n">
        <v>49436.71</v>
      </c>
      <c r="AC914" s="164" t="n">
        <v>22.35</v>
      </c>
      <c r="AG914" s="167" t="n">
        <v>4.521912351</v>
      </c>
      <c r="BS914" s="165" t="n">
        <v>47.17</v>
      </c>
      <c r="BU914" s="164" t="n">
        <v>21.67</v>
      </c>
    </row>
    <row r="915" customFormat="false" ht="12.75" hidden="false" customHeight="false" outlineLevel="0" collapsed="false">
      <c r="A915" s="162" t="s">
        <v>647</v>
      </c>
      <c r="B915" s="157" t="s">
        <v>668</v>
      </c>
      <c r="C915" s="157" t="s">
        <v>758</v>
      </c>
      <c r="E915" s="106" t="n">
        <v>9</v>
      </c>
      <c r="F915" s="106" t="n">
        <v>1</v>
      </c>
      <c r="S915" s="165" t="n">
        <v>1054.778407</v>
      </c>
      <c r="Y915" s="164" t="n">
        <v>499.85</v>
      </c>
      <c r="AA915" s="165" t="n">
        <v>50830.05</v>
      </c>
      <c r="AC915" s="164" t="n">
        <v>22.49</v>
      </c>
      <c r="AG915" s="167" t="n">
        <v>4.424007744</v>
      </c>
      <c r="BS915" s="165" t="n">
        <v>46.91</v>
      </c>
      <c r="BU915" s="164" t="n">
        <v>22.23</v>
      </c>
    </row>
    <row r="916" customFormat="false" ht="12.75" hidden="false" customHeight="false" outlineLevel="0" collapsed="false">
      <c r="A916" s="162" t="s">
        <v>647</v>
      </c>
      <c r="B916" s="157" t="s">
        <v>665</v>
      </c>
      <c r="C916" s="157" t="s">
        <v>760</v>
      </c>
      <c r="E916" s="106" t="n">
        <v>9</v>
      </c>
      <c r="F916" s="106" t="n">
        <v>41</v>
      </c>
      <c r="S916" s="165" t="n">
        <v>1162.325369</v>
      </c>
      <c r="Y916" s="164" t="n">
        <v>523</v>
      </c>
      <c r="AA916" s="165" t="n">
        <v>50904.91</v>
      </c>
      <c r="AC916" s="164" t="n">
        <v>24.34</v>
      </c>
      <c r="AG916" s="167" t="n">
        <v>4.782157676</v>
      </c>
      <c r="BS916" s="165" t="n">
        <v>47.75</v>
      </c>
      <c r="BU916" s="164" t="n">
        <v>21.48</v>
      </c>
    </row>
    <row r="917" customFormat="false" ht="12.75" hidden="false" customHeight="false" outlineLevel="0" collapsed="false">
      <c r="A917" s="162" t="s">
        <v>647</v>
      </c>
      <c r="B917" s="157" t="s">
        <v>668</v>
      </c>
      <c r="C917" s="157" t="s">
        <v>760</v>
      </c>
      <c r="E917" s="106" t="n">
        <v>13</v>
      </c>
      <c r="F917" s="106" t="n">
        <v>54</v>
      </c>
      <c r="S917" s="165" t="n">
        <v>1297.694779</v>
      </c>
      <c r="Y917" s="164" t="n">
        <v>630.87</v>
      </c>
      <c r="AA917" s="165" t="n">
        <v>60878.07</v>
      </c>
      <c r="AC917" s="164" t="n">
        <v>27.96</v>
      </c>
      <c r="AG917" s="167" t="n">
        <v>4.592445328</v>
      </c>
      <c r="BS917" s="165" t="n">
        <v>46.42</v>
      </c>
      <c r="BU917" s="164" t="n">
        <v>22.56</v>
      </c>
    </row>
    <row r="918" customFormat="false" ht="12.75" hidden="false" customHeight="false" outlineLevel="0" collapsed="false">
      <c r="A918" s="162" t="s">
        <v>647</v>
      </c>
      <c r="B918" s="157" t="s">
        <v>665</v>
      </c>
      <c r="C918" s="157" t="s">
        <v>761</v>
      </c>
      <c r="E918" s="106" t="n">
        <v>14</v>
      </c>
      <c r="F918" s="106" t="n">
        <v>25</v>
      </c>
      <c r="S918" s="165" t="n">
        <v>1200.401967</v>
      </c>
      <c r="Y918" s="164" t="n">
        <v>587.9</v>
      </c>
      <c r="AA918" s="165" t="n">
        <v>59168.76</v>
      </c>
      <c r="AC918" s="164" t="n">
        <v>26.1</v>
      </c>
      <c r="AG918" s="167" t="n">
        <v>4.410646388</v>
      </c>
      <c r="BS918" s="165" t="n">
        <v>46</v>
      </c>
      <c r="BU918" s="164" t="n">
        <v>22.53</v>
      </c>
    </row>
    <row r="919" customFormat="false" ht="12.75" hidden="false" customHeight="false" outlineLevel="0" collapsed="false">
      <c r="A919" s="162" t="s">
        <v>647</v>
      </c>
      <c r="B919" s="157" t="s">
        <v>668</v>
      </c>
      <c r="C919" s="157" t="s">
        <v>761</v>
      </c>
      <c r="E919" s="106" t="n">
        <v>17</v>
      </c>
      <c r="F919" s="106" t="n">
        <v>18</v>
      </c>
      <c r="S919" s="165" t="n">
        <v>1181.674475</v>
      </c>
      <c r="Y919" s="164" t="n">
        <v>581.17</v>
      </c>
      <c r="AA919" s="165" t="n">
        <v>56688.83</v>
      </c>
      <c r="AC919" s="164" t="n">
        <v>25.54</v>
      </c>
      <c r="AG919" s="167" t="n">
        <v>4.505283381</v>
      </c>
      <c r="BS919" s="165" t="n">
        <v>46.27</v>
      </c>
      <c r="BU919" s="164" t="n">
        <v>22.76</v>
      </c>
    </row>
    <row r="920" customFormat="false" ht="12.75" hidden="false" customHeight="false" outlineLevel="0" collapsed="false">
      <c r="A920" s="162" t="s">
        <v>647</v>
      </c>
      <c r="B920" s="157" t="s">
        <v>665</v>
      </c>
      <c r="C920" s="157" t="s">
        <v>762</v>
      </c>
      <c r="E920" s="106" t="n">
        <v>3</v>
      </c>
      <c r="F920" s="106" t="n">
        <v>15</v>
      </c>
      <c r="S920" s="165" t="n">
        <v>1009.441457</v>
      </c>
      <c r="Y920" s="164" t="n">
        <v>472.44</v>
      </c>
      <c r="AA920" s="165" t="n">
        <v>45052.56</v>
      </c>
      <c r="AC920" s="164" t="n">
        <v>21.23</v>
      </c>
      <c r="AG920" s="167" t="n">
        <v>4.712990937</v>
      </c>
      <c r="BS920" s="165" t="n">
        <v>47.54</v>
      </c>
      <c r="BU920" s="164" t="n">
        <v>22.25</v>
      </c>
    </row>
    <row r="921" customFormat="false" ht="12.75" hidden="false" customHeight="false" outlineLevel="0" collapsed="false">
      <c r="A921" s="162" t="s">
        <v>647</v>
      </c>
      <c r="B921" s="157" t="s">
        <v>668</v>
      </c>
      <c r="C921" s="157" t="s">
        <v>762</v>
      </c>
      <c r="E921" s="106" t="n">
        <v>2</v>
      </c>
      <c r="F921" s="106" t="n">
        <v>37</v>
      </c>
      <c r="S921" s="165" t="n">
        <v>953.7085344</v>
      </c>
      <c r="Y921" s="164" t="n">
        <v>499.56</v>
      </c>
      <c r="AA921" s="165" t="n">
        <v>53844.94</v>
      </c>
      <c r="AC921" s="164" t="n">
        <v>21.27</v>
      </c>
      <c r="AG921" s="167" t="n">
        <v>3.949579832</v>
      </c>
      <c r="BS921" s="165" t="n">
        <v>44.85</v>
      </c>
      <c r="BU921" s="164" t="n">
        <v>23.49</v>
      </c>
    </row>
    <row r="922" customFormat="false" ht="12.75" hidden="false" customHeight="false" outlineLevel="0" collapsed="false">
      <c r="A922" s="162" t="s">
        <v>649</v>
      </c>
      <c r="B922" s="157" t="s">
        <v>665</v>
      </c>
      <c r="C922" s="157" t="s">
        <v>758</v>
      </c>
      <c r="E922" s="106" t="n">
        <v>8</v>
      </c>
      <c r="F922" s="106" t="n">
        <v>12</v>
      </c>
      <c r="S922" s="165" t="n">
        <v>1427.464434</v>
      </c>
      <c r="Y922" s="164" t="n">
        <v>667.49</v>
      </c>
      <c r="AA922" s="165" t="n">
        <v>63209.84</v>
      </c>
      <c r="AC922" s="164" t="n">
        <v>30.27</v>
      </c>
      <c r="AG922" s="167" t="n">
        <v>4.789029536</v>
      </c>
      <c r="BS922" s="165" t="n">
        <v>47.16</v>
      </c>
      <c r="BU922" s="164" t="n">
        <v>22.05</v>
      </c>
    </row>
    <row r="923" customFormat="false" ht="12.75" hidden="false" customHeight="false" outlineLevel="0" collapsed="false">
      <c r="A923" s="162" t="s">
        <v>649</v>
      </c>
      <c r="B923" s="157" t="s">
        <v>668</v>
      </c>
      <c r="C923" s="157" t="s">
        <v>758</v>
      </c>
      <c r="E923" s="106" t="n">
        <v>9</v>
      </c>
      <c r="F923" s="106" t="n">
        <v>2</v>
      </c>
      <c r="S923" s="165" t="n">
        <v>1531.282012</v>
      </c>
      <c r="Y923" s="164" t="n">
        <v>709.93</v>
      </c>
      <c r="AA923" s="165" t="n">
        <v>67466.31</v>
      </c>
      <c r="AC923" s="164" t="n">
        <v>32.36</v>
      </c>
      <c r="AG923" s="167" t="n">
        <v>4.796663191</v>
      </c>
      <c r="BS923" s="165" t="n">
        <v>47.32</v>
      </c>
      <c r="BU923" s="164" t="n">
        <v>21.94</v>
      </c>
    </row>
    <row r="924" customFormat="false" ht="12.75" hidden="false" customHeight="false" outlineLevel="0" collapsed="false">
      <c r="A924" s="162" t="s">
        <v>649</v>
      </c>
      <c r="B924" s="157" t="s">
        <v>665</v>
      </c>
      <c r="C924" s="157" t="s">
        <v>760</v>
      </c>
      <c r="E924" s="106" t="n">
        <v>12</v>
      </c>
      <c r="F924" s="106" t="n">
        <v>62</v>
      </c>
      <c r="S924" s="165" t="n">
        <v>1688.835085</v>
      </c>
      <c r="Y924" s="164" t="n">
        <v>733.64</v>
      </c>
      <c r="AA924" s="165" t="n">
        <v>68004.4</v>
      </c>
      <c r="AC924" s="164" t="n">
        <v>34.84</v>
      </c>
      <c r="AG924" s="167" t="n">
        <v>5.123318386</v>
      </c>
      <c r="BS924" s="165" t="n">
        <v>48.47</v>
      </c>
      <c r="BU924" s="164" t="n">
        <v>21.06</v>
      </c>
    </row>
    <row r="925" customFormat="false" ht="12.75" hidden="false" customHeight="false" outlineLevel="0" collapsed="false">
      <c r="A925" s="162" t="s">
        <v>649</v>
      </c>
      <c r="B925" s="157" t="s">
        <v>668</v>
      </c>
      <c r="C925" s="157" t="s">
        <v>760</v>
      </c>
      <c r="E925" s="106" t="n">
        <v>13</v>
      </c>
      <c r="F925" s="106" t="n">
        <v>35</v>
      </c>
      <c r="S925" s="165" t="n">
        <v>1479.561176</v>
      </c>
      <c r="Y925" s="164" t="n">
        <v>715.03</v>
      </c>
      <c r="AA925" s="165" t="n">
        <v>66799.31</v>
      </c>
      <c r="AC925" s="164" t="n">
        <v>32.04</v>
      </c>
      <c r="AG925" s="167" t="n">
        <v>4.796238245</v>
      </c>
      <c r="BS925" s="165" t="n">
        <v>46.18</v>
      </c>
      <c r="BU925" s="164" t="n">
        <v>22.32</v>
      </c>
    </row>
    <row r="926" customFormat="false" ht="12.75" hidden="false" customHeight="false" outlineLevel="0" collapsed="false">
      <c r="A926" s="162" t="s">
        <v>649</v>
      </c>
      <c r="B926" s="157" t="s">
        <v>665</v>
      </c>
      <c r="C926" s="157" t="s">
        <v>761</v>
      </c>
      <c r="E926" s="106" t="n">
        <v>13</v>
      </c>
      <c r="F926" s="106" t="n">
        <v>6</v>
      </c>
      <c r="S926" s="165" t="n">
        <v>1413.571747</v>
      </c>
      <c r="Y926" s="164" t="n">
        <v>675.29</v>
      </c>
      <c r="AA926" s="165" t="n">
        <v>59500.02</v>
      </c>
      <c r="AC926" s="164" t="n">
        <v>30.38</v>
      </c>
      <c r="AG926" s="167" t="n">
        <v>5.105204873</v>
      </c>
      <c r="BS926" s="165" t="n">
        <v>46.54</v>
      </c>
      <c r="BU926" s="164" t="n">
        <v>22.23</v>
      </c>
    </row>
    <row r="927" customFormat="false" ht="12.75" hidden="false" customHeight="false" outlineLevel="0" collapsed="false">
      <c r="A927" s="162" t="s">
        <v>649</v>
      </c>
      <c r="B927" s="157" t="s">
        <v>668</v>
      </c>
      <c r="C927" s="157" t="s">
        <v>761</v>
      </c>
      <c r="E927" s="106" t="n">
        <v>21</v>
      </c>
      <c r="F927" s="106" t="n">
        <v>14</v>
      </c>
      <c r="S927" s="165" t="n">
        <v>1651.77738</v>
      </c>
      <c r="Y927" s="164" t="n">
        <v>757.13</v>
      </c>
      <c r="AA927" s="165" t="n">
        <v>73205.61</v>
      </c>
      <c r="AC927" s="164" t="n">
        <v>35.28</v>
      </c>
      <c r="AG927" s="167" t="n">
        <v>4.81865285</v>
      </c>
      <c r="BS927" s="165" t="n">
        <v>46.83</v>
      </c>
      <c r="BU927" s="164" t="n">
        <v>21.46</v>
      </c>
    </row>
    <row r="928" customFormat="false" ht="12.75" hidden="false" customHeight="false" outlineLevel="0" collapsed="false">
      <c r="A928" s="162" t="s">
        <v>649</v>
      </c>
      <c r="B928" s="157" t="s">
        <v>665</v>
      </c>
      <c r="C928" s="157" t="s">
        <v>762</v>
      </c>
      <c r="E928" s="106" t="n">
        <v>1</v>
      </c>
      <c r="F928" s="106" t="n">
        <v>28</v>
      </c>
      <c r="S928" s="165" t="n">
        <v>1504.968953</v>
      </c>
      <c r="Y928" s="164" t="n">
        <v>658.27</v>
      </c>
      <c r="AA928" s="165" t="n">
        <v>63409.7</v>
      </c>
      <c r="AC928" s="164" t="n">
        <v>31.54</v>
      </c>
      <c r="AG928" s="167" t="n">
        <v>4.973432519</v>
      </c>
      <c r="BS928" s="165" t="n">
        <v>47.72</v>
      </c>
      <c r="BU928" s="164" t="n">
        <v>20.87</v>
      </c>
    </row>
    <row r="929" customFormat="false" ht="12.75" hidden="false" customHeight="false" outlineLevel="0" collapsed="false">
      <c r="A929" s="162" t="s">
        <v>649</v>
      </c>
      <c r="B929" s="157" t="s">
        <v>668</v>
      </c>
      <c r="C929" s="157" t="s">
        <v>762</v>
      </c>
      <c r="E929" s="106" t="n">
        <v>1</v>
      </c>
      <c r="F929" s="106" t="n">
        <v>50</v>
      </c>
      <c r="S929" s="165" t="n">
        <v>1293.94204</v>
      </c>
      <c r="Y929" s="164" t="n">
        <v>599.09</v>
      </c>
      <c r="AA929" s="165" t="n">
        <v>62081.83</v>
      </c>
      <c r="AC929" s="164" t="n">
        <v>27.7</v>
      </c>
      <c r="AG929" s="167" t="n">
        <v>4.461247637</v>
      </c>
      <c r="BS929" s="165" t="n">
        <v>46.72</v>
      </c>
      <c r="BU929" s="164" t="n">
        <v>21.63</v>
      </c>
    </row>
    <row r="930" customFormat="false" ht="12.75" hidden="false" customHeight="false" outlineLevel="0" collapsed="false">
      <c r="A930" s="162" t="s">
        <v>651</v>
      </c>
      <c r="B930" s="157" t="s">
        <v>665</v>
      </c>
      <c r="C930" s="157" t="s">
        <v>758</v>
      </c>
      <c r="E930" s="106" t="n">
        <v>6</v>
      </c>
      <c r="F930" s="106" t="n">
        <v>7</v>
      </c>
      <c r="S930" s="165" t="n">
        <v>1465.474739</v>
      </c>
      <c r="Y930" s="164" t="n">
        <v>666.72</v>
      </c>
      <c r="AA930" s="165" t="n">
        <v>66464.35</v>
      </c>
      <c r="AC930" s="164" t="n">
        <v>31.22</v>
      </c>
      <c r="AG930" s="167" t="n">
        <v>4.697916667</v>
      </c>
      <c r="BS930" s="165" t="n">
        <v>46.93</v>
      </c>
      <c r="BU930" s="164" t="n">
        <v>21.35</v>
      </c>
    </row>
    <row r="931" customFormat="false" ht="12.75" hidden="false" customHeight="false" outlineLevel="0" collapsed="false">
      <c r="A931" s="162" t="s">
        <v>651</v>
      </c>
      <c r="B931" s="157" t="s">
        <v>668</v>
      </c>
      <c r="C931" s="157" t="s">
        <v>758</v>
      </c>
      <c r="E931" s="106" t="n">
        <v>9</v>
      </c>
      <c r="F931" s="106" t="n">
        <v>13</v>
      </c>
      <c r="S931" s="165" t="n">
        <v>1570.095098</v>
      </c>
      <c r="Y931" s="164" t="n">
        <v>733.37</v>
      </c>
      <c r="AA931" s="165" t="n">
        <v>71898.81</v>
      </c>
      <c r="AC931" s="164" t="n">
        <v>33.96</v>
      </c>
      <c r="AG931" s="167" t="n">
        <v>4.722792608</v>
      </c>
      <c r="BS931" s="165" t="n">
        <v>46.24</v>
      </c>
      <c r="BU931" s="164" t="n">
        <v>21.6</v>
      </c>
    </row>
    <row r="932" customFormat="false" ht="12.75" hidden="false" customHeight="false" outlineLevel="0" collapsed="false">
      <c r="A932" s="162" t="s">
        <v>651</v>
      </c>
      <c r="B932" s="157" t="s">
        <v>665</v>
      </c>
      <c r="C932" s="157" t="s">
        <v>760</v>
      </c>
      <c r="E932" s="106" t="n">
        <v>9</v>
      </c>
      <c r="F932" s="106" t="n">
        <v>53</v>
      </c>
      <c r="S932" s="165" t="n">
        <v>1424.81732</v>
      </c>
      <c r="Y932" s="164" t="n">
        <v>682.54</v>
      </c>
      <c r="AA932" s="165" t="n">
        <v>62705.81</v>
      </c>
      <c r="AC932" s="164" t="n">
        <v>30.65</v>
      </c>
      <c r="AG932" s="167" t="n">
        <v>4.887700535</v>
      </c>
      <c r="BS932" s="165" t="n">
        <v>46.49</v>
      </c>
      <c r="BU932" s="164" t="n">
        <v>22.27</v>
      </c>
    </row>
    <row r="933" customFormat="false" ht="12.75" hidden="false" customHeight="false" outlineLevel="0" collapsed="false">
      <c r="A933" s="162" t="s">
        <v>651</v>
      </c>
      <c r="B933" s="157" t="s">
        <v>668</v>
      </c>
      <c r="C933" s="157" t="s">
        <v>760</v>
      </c>
      <c r="E933" s="106" t="n">
        <v>13</v>
      </c>
      <c r="F933" s="106" t="n">
        <v>41</v>
      </c>
      <c r="S933" s="165" t="n">
        <v>1459.724927</v>
      </c>
      <c r="Y933" s="164" t="n">
        <v>708.49</v>
      </c>
      <c r="AA933" s="165" t="n">
        <v>63830.96</v>
      </c>
      <c r="AC933" s="164" t="n">
        <v>31.78</v>
      </c>
      <c r="AG933" s="167" t="n">
        <v>4.978448276</v>
      </c>
      <c r="BS933" s="165" t="n">
        <v>45.94</v>
      </c>
      <c r="BU933" s="164" t="n">
        <v>22.3</v>
      </c>
    </row>
    <row r="934" customFormat="false" ht="12.75" hidden="false" customHeight="false" outlineLevel="0" collapsed="false">
      <c r="A934" s="162" t="s">
        <v>651</v>
      </c>
      <c r="B934" s="157" t="s">
        <v>665</v>
      </c>
      <c r="C934" s="157" t="s">
        <v>761</v>
      </c>
      <c r="E934" s="106" t="n">
        <v>14</v>
      </c>
      <c r="F934" s="106" t="n">
        <v>4</v>
      </c>
      <c r="S934" s="165" t="n">
        <v>1433.196185</v>
      </c>
      <c r="Y934" s="164" t="n">
        <v>715.17</v>
      </c>
      <c r="AA934" s="165" t="n">
        <v>65196.18</v>
      </c>
      <c r="AC934" s="164" t="n">
        <v>31.73</v>
      </c>
      <c r="AG934" s="167" t="n">
        <v>4.867444327</v>
      </c>
      <c r="BS934" s="165" t="n">
        <v>45.16</v>
      </c>
      <c r="BU934" s="164" t="n">
        <v>22.54</v>
      </c>
    </row>
    <row r="935" customFormat="false" ht="12.75" hidden="false" customHeight="false" outlineLevel="0" collapsed="false">
      <c r="A935" s="162" t="s">
        <v>651</v>
      </c>
      <c r="B935" s="157" t="s">
        <v>668</v>
      </c>
      <c r="C935" s="157" t="s">
        <v>761</v>
      </c>
      <c r="E935" s="106" t="n">
        <v>20</v>
      </c>
      <c r="F935" s="106" t="n">
        <v>1</v>
      </c>
      <c r="S935" s="165" t="n">
        <v>1300.599874</v>
      </c>
      <c r="Y935" s="164" t="n">
        <v>688.09</v>
      </c>
      <c r="AA935" s="165" t="n">
        <v>65643.65</v>
      </c>
      <c r="AC935" s="164" t="n">
        <v>29.37</v>
      </c>
      <c r="AG935" s="167" t="n">
        <v>4.473429952</v>
      </c>
      <c r="BS935" s="165" t="n">
        <v>44.29</v>
      </c>
      <c r="BU935" s="164" t="n">
        <v>23.43</v>
      </c>
    </row>
    <row r="936" customFormat="false" ht="12.75" hidden="false" customHeight="false" outlineLevel="0" collapsed="false">
      <c r="A936" s="162" t="s">
        <v>651</v>
      </c>
      <c r="B936" s="157" t="s">
        <v>665</v>
      </c>
      <c r="C936" s="157" t="s">
        <v>762</v>
      </c>
      <c r="E936" s="106" t="n">
        <v>20</v>
      </c>
      <c r="F936" s="106" t="n">
        <v>25</v>
      </c>
      <c r="S936" s="165" t="n">
        <v>1267.704012</v>
      </c>
      <c r="Y936" s="164" t="n">
        <v>573.63</v>
      </c>
      <c r="AA936" s="165" t="n">
        <v>58622.21</v>
      </c>
      <c r="AC936" s="164" t="n">
        <v>26.99</v>
      </c>
      <c r="AG936" s="167" t="n">
        <v>4.603960396</v>
      </c>
      <c r="BS936" s="165" t="n">
        <v>46.97</v>
      </c>
      <c r="BU936" s="164" t="n">
        <v>21.25</v>
      </c>
    </row>
    <row r="937" customFormat="false" ht="12.75" hidden="false" customHeight="false" outlineLevel="0" collapsed="false">
      <c r="A937" s="162" t="s">
        <v>651</v>
      </c>
      <c r="B937" s="157" t="s">
        <v>668</v>
      </c>
      <c r="C937" s="157" t="s">
        <v>762</v>
      </c>
      <c r="E937" s="106" t="n">
        <v>4</v>
      </c>
      <c r="F937" s="106" t="n">
        <v>18</v>
      </c>
      <c r="S937" s="165" t="n">
        <v>1523.880513</v>
      </c>
      <c r="Y937" s="164" t="n">
        <v>761.53</v>
      </c>
      <c r="AA937" s="165" t="n">
        <v>73391.24</v>
      </c>
      <c r="AC937" s="164" t="n">
        <v>33.75</v>
      </c>
      <c r="AG937" s="167" t="n">
        <v>4.598039216</v>
      </c>
      <c r="BS937" s="165" t="n">
        <v>45.16</v>
      </c>
      <c r="BU937" s="164" t="n">
        <v>22.57</v>
      </c>
    </row>
    <row r="938" customFormat="false" ht="12.75" hidden="false" customHeight="false" outlineLevel="0" collapsed="false">
      <c r="A938" s="162" t="s">
        <v>653</v>
      </c>
      <c r="B938" s="157" t="s">
        <v>665</v>
      </c>
      <c r="C938" s="157" t="s">
        <v>758</v>
      </c>
      <c r="E938" s="106" t="n">
        <v>6</v>
      </c>
      <c r="F938" s="106" t="n">
        <v>58</v>
      </c>
      <c r="S938" s="165" t="n">
        <v>1022.584795</v>
      </c>
      <c r="Y938" s="164" t="n">
        <v>396.77</v>
      </c>
      <c r="AA938" s="165" t="n">
        <v>43379.84</v>
      </c>
      <c r="AC938" s="164" t="n">
        <v>20.13</v>
      </c>
      <c r="AG938" s="167" t="n">
        <v>4.639278557</v>
      </c>
      <c r="BS938" s="165" t="n">
        <v>50.81</v>
      </c>
      <c r="BU938" s="164" t="n">
        <v>19.72</v>
      </c>
    </row>
    <row r="939" customFormat="false" ht="12.75" hidden="false" customHeight="false" outlineLevel="0" collapsed="false">
      <c r="A939" s="162" t="s">
        <v>653</v>
      </c>
      <c r="B939" s="157" t="s">
        <v>668</v>
      </c>
      <c r="C939" s="157" t="s">
        <v>758</v>
      </c>
      <c r="E939" s="106" t="n">
        <v>7</v>
      </c>
      <c r="F939" s="106" t="n">
        <v>32</v>
      </c>
      <c r="S939" s="165" t="n">
        <v>1268.468297</v>
      </c>
      <c r="Y939" s="164" t="n">
        <v>490.78</v>
      </c>
      <c r="AA939" s="165" t="n">
        <v>54471.41</v>
      </c>
      <c r="AC939" s="164" t="n">
        <v>24.82</v>
      </c>
      <c r="AG939" s="167" t="n">
        <v>4.557344064</v>
      </c>
      <c r="BS939" s="165" t="n">
        <v>51.1</v>
      </c>
      <c r="BU939" s="164" t="n">
        <v>19.77</v>
      </c>
    </row>
    <row r="940" customFormat="false" ht="12.75" hidden="false" customHeight="false" outlineLevel="0" collapsed="false">
      <c r="A940" s="162" t="s">
        <v>653</v>
      </c>
      <c r="B940" s="157" t="s">
        <v>665</v>
      </c>
      <c r="C940" s="157" t="s">
        <v>760</v>
      </c>
      <c r="E940" s="106" t="n">
        <v>10</v>
      </c>
      <c r="F940" s="106" t="n">
        <v>26</v>
      </c>
      <c r="S940" s="165" t="n">
        <v>1494.538756</v>
      </c>
      <c r="Y940" s="164" t="n">
        <v>574.22</v>
      </c>
      <c r="AA940" s="165" t="n">
        <v>65980.55</v>
      </c>
      <c r="AC940" s="164" t="n">
        <v>29.17</v>
      </c>
      <c r="AG940" s="167" t="n">
        <v>4.420358153</v>
      </c>
      <c r="BS940" s="165" t="n">
        <v>51.24</v>
      </c>
      <c r="BU940" s="164" t="n">
        <v>19.69</v>
      </c>
    </row>
    <row r="941" customFormat="false" ht="12.75" hidden="false" customHeight="false" outlineLevel="0" collapsed="false">
      <c r="A941" s="162" t="s">
        <v>653</v>
      </c>
      <c r="B941" s="157" t="s">
        <v>668</v>
      </c>
      <c r="C941" s="157" t="s">
        <v>760</v>
      </c>
      <c r="E941" s="106" t="n">
        <v>12</v>
      </c>
      <c r="F941" s="106" t="n">
        <v>47</v>
      </c>
      <c r="S941" s="165" t="n">
        <v>1187.18205</v>
      </c>
      <c r="Y941" s="164" t="n">
        <v>470.37</v>
      </c>
      <c r="AA941" s="165" t="n">
        <v>52275.34</v>
      </c>
      <c r="AC941" s="164" t="n">
        <v>23.5</v>
      </c>
      <c r="AG941" s="167" t="n">
        <v>4.496124031</v>
      </c>
      <c r="BS941" s="165" t="n">
        <v>50.51</v>
      </c>
      <c r="BU941" s="164" t="n">
        <v>20.01</v>
      </c>
    </row>
    <row r="942" customFormat="false" ht="12.75" hidden="false" customHeight="false" outlineLevel="0" collapsed="false">
      <c r="A942" s="162" t="s">
        <v>653</v>
      </c>
      <c r="B942" s="157" t="s">
        <v>665</v>
      </c>
      <c r="C942" s="157" t="s">
        <v>761</v>
      </c>
      <c r="E942" s="106" t="n">
        <v>14</v>
      </c>
      <c r="F942" s="106" t="n">
        <v>40</v>
      </c>
      <c r="S942" s="165" t="n">
        <v>1296.984517</v>
      </c>
      <c r="Y942" s="164" t="n">
        <v>486.25</v>
      </c>
      <c r="AA942" s="165" t="n">
        <v>57595.45</v>
      </c>
      <c r="AC942" s="164" t="n">
        <v>25.64</v>
      </c>
      <c r="AG942" s="167" t="n">
        <v>4.451923077</v>
      </c>
      <c r="BS942" s="165" t="n">
        <v>50.58</v>
      </c>
      <c r="BU942" s="164" t="n">
        <v>18.96</v>
      </c>
    </row>
    <row r="943" customFormat="false" ht="12.75" hidden="false" customHeight="false" outlineLevel="0" collapsed="false">
      <c r="A943" s="162" t="s">
        <v>653</v>
      </c>
      <c r="B943" s="157" t="s">
        <v>668</v>
      </c>
      <c r="C943" s="157" t="s">
        <v>761</v>
      </c>
      <c r="E943" s="106" t="n">
        <v>14</v>
      </c>
      <c r="F943" s="106" t="n">
        <v>7</v>
      </c>
      <c r="S943" s="165" t="n">
        <v>881.5773315</v>
      </c>
      <c r="Y943" s="164" t="n">
        <v>333.84</v>
      </c>
      <c r="AA943" s="165" t="n">
        <v>39563.87</v>
      </c>
      <c r="AC943" s="164" t="n">
        <v>17.28</v>
      </c>
      <c r="AG943" s="167" t="n">
        <v>4.366729679</v>
      </c>
      <c r="BS943" s="165" t="n">
        <v>51.03</v>
      </c>
      <c r="BU943" s="164" t="n">
        <v>19.32</v>
      </c>
    </row>
    <row r="944" customFormat="false" ht="12.75" hidden="false" customHeight="false" outlineLevel="0" collapsed="false">
      <c r="A944" s="162" t="s">
        <v>653</v>
      </c>
      <c r="B944" s="157" t="s">
        <v>665</v>
      </c>
      <c r="C944" s="157" t="s">
        <v>762</v>
      </c>
      <c r="E944" s="106" t="n">
        <v>21</v>
      </c>
      <c r="F944" s="106" t="n">
        <v>12</v>
      </c>
      <c r="S944" s="165" t="n">
        <v>1014.301698</v>
      </c>
      <c r="Y944" s="164" t="n">
        <v>390.91</v>
      </c>
      <c r="AA944" s="165" t="n">
        <v>47713.11</v>
      </c>
      <c r="AC944" s="164" t="n">
        <v>20.09</v>
      </c>
      <c r="AG944" s="167" t="n">
        <v>4.211453744</v>
      </c>
      <c r="BS944" s="165" t="n">
        <v>50.48</v>
      </c>
      <c r="BU944" s="164" t="n">
        <v>19.45</v>
      </c>
    </row>
    <row r="945" customFormat="false" ht="12.75" hidden="false" customHeight="false" outlineLevel="0" collapsed="false">
      <c r="A945" s="162" t="s">
        <v>653</v>
      </c>
      <c r="B945" s="157" t="s">
        <v>668</v>
      </c>
      <c r="C945" s="157" t="s">
        <v>762</v>
      </c>
      <c r="E945" s="106" t="n">
        <v>4</v>
      </c>
      <c r="F945" s="106" t="n">
        <v>26</v>
      </c>
      <c r="S945" s="165" t="n">
        <v>905.3730533</v>
      </c>
      <c r="Y945" s="164" t="n">
        <v>378.07</v>
      </c>
      <c r="AA945" s="165" t="n">
        <v>38837</v>
      </c>
      <c r="AC945" s="164" t="n">
        <v>18.29</v>
      </c>
      <c r="AG945" s="167" t="n">
        <v>4.709418838</v>
      </c>
      <c r="BS945" s="165" t="n">
        <v>49.5</v>
      </c>
      <c r="BU945" s="164" t="n">
        <v>20.67</v>
      </c>
    </row>
    <row r="946" customFormat="false" ht="12.75" hidden="false" customHeight="false" outlineLevel="0" collapsed="false">
      <c r="A946" s="162" t="s">
        <v>655</v>
      </c>
      <c r="B946" s="157" t="s">
        <v>665</v>
      </c>
      <c r="C946" s="157" t="s">
        <v>758</v>
      </c>
      <c r="E946" s="106" t="n">
        <v>5</v>
      </c>
      <c r="F946" s="106" t="n">
        <v>48</v>
      </c>
      <c r="S946" s="165" t="n">
        <v>1680.973994</v>
      </c>
      <c r="Y946" s="164" t="n">
        <v>723.28</v>
      </c>
      <c r="AA946" s="165" t="n">
        <v>75134.97</v>
      </c>
      <c r="AC946" s="164" t="n">
        <v>35.55</v>
      </c>
      <c r="AG946" s="167" t="n">
        <v>4.731958763</v>
      </c>
      <c r="BS946" s="165" t="n">
        <v>47.28</v>
      </c>
      <c r="BU946" s="164" t="n">
        <v>20.34</v>
      </c>
    </row>
    <row r="947" customFormat="false" ht="12.75" hidden="false" customHeight="false" outlineLevel="0" collapsed="false">
      <c r="A947" s="162" t="s">
        <v>655</v>
      </c>
      <c r="B947" s="157" t="s">
        <v>668</v>
      </c>
      <c r="C947" s="157" t="s">
        <v>758</v>
      </c>
      <c r="E947" s="106" t="n">
        <v>8</v>
      </c>
      <c r="F947" s="106" t="n">
        <v>30</v>
      </c>
      <c r="S947" s="165" t="n">
        <v>1777.433256</v>
      </c>
      <c r="Y947" s="164" t="n">
        <v>833.27</v>
      </c>
      <c r="AA947" s="165" t="n">
        <v>82380.25</v>
      </c>
      <c r="AC947" s="164" t="n">
        <v>38.33</v>
      </c>
      <c r="AG947" s="167" t="n">
        <v>4.652849741</v>
      </c>
      <c r="BS947" s="165" t="n">
        <v>46.37</v>
      </c>
      <c r="BU947" s="164" t="n">
        <v>21.74</v>
      </c>
    </row>
    <row r="948" customFormat="false" ht="12.75" hidden="false" customHeight="false" outlineLevel="0" collapsed="false">
      <c r="A948" s="162" t="s">
        <v>655</v>
      </c>
      <c r="B948" s="157" t="s">
        <v>665</v>
      </c>
      <c r="C948" s="157" t="s">
        <v>760</v>
      </c>
      <c r="E948" s="106" t="n">
        <v>10</v>
      </c>
      <c r="F948" s="106" t="n">
        <v>2</v>
      </c>
      <c r="S948" s="165" t="n">
        <v>1796.09434</v>
      </c>
      <c r="Y948" s="164" t="n">
        <v>812.76</v>
      </c>
      <c r="AA948" s="165" t="n">
        <v>83373.64</v>
      </c>
      <c r="AC948" s="164" t="n">
        <v>38.69</v>
      </c>
      <c r="AG948" s="167" t="n">
        <v>4.64</v>
      </c>
      <c r="BS948" s="165" t="n">
        <v>46.43</v>
      </c>
      <c r="BU948" s="164" t="n">
        <v>21.01</v>
      </c>
    </row>
    <row r="949" customFormat="false" ht="12.75" hidden="false" customHeight="false" outlineLevel="0" collapsed="false">
      <c r="A949" s="162" t="s">
        <v>655</v>
      </c>
      <c r="B949" s="157" t="s">
        <v>668</v>
      </c>
      <c r="C949" s="157" t="s">
        <v>760</v>
      </c>
      <c r="E949" s="106" t="n">
        <v>11</v>
      </c>
      <c r="F949" s="106" t="n">
        <v>41</v>
      </c>
      <c r="S949" s="165" t="n">
        <v>1250.078147</v>
      </c>
      <c r="Y949" s="164" t="n">
        <v>612.66</v>
      </c>
      <c r="AA949" s="165" t="n">
        <v>63489.79</v>
      </c>
      <c r="AC949" s="164" t="n">
        <v>27.53</v>
      </c>
      <c r="AG949" s="167" t="n">
        <v>4.335863378</v>
      </c>
      <c r="BS949" s="165" t="n">
        <v>45.41</v>
      </c>
      <c r="BU949" s="164" t="n">
        <v>22.26</v>
      </c>
    </row>
    <row r="950" customFormat="false" ht="12.75" hidden="false" customHeight="false" outlineLevel="0" collapsed="false">
      <c r="A950" s="162" t="s">
        <v>655</v>
      </c>
      <c r="B950" s="157" t="s">
        <v>665</v>
      </c>
      <c r="C950" s="157" t="s">
        <v>761</v>
      </c>
      <c r="E950" s="106" t="n">
        <v>14</v>
      </c>
      <c r="F950" s="106" t="n">
        <v>50</v>
      </c>
      <c r="S950" s="165" t="n">
        <v>1546.438832</v>
      </c>
      <c r="Y950" s="164" t="n">
        <v>695.46</v>
      </c>
      <c r="AA950" s="165" t="n">
        <v>70830.77</v>
      </c>
      <c r="AC950" s="164" t="n">
        <v>33.17</v>
      </c>
      <c r="AG950" s="167" t="n">
        <v>4.683417085</v>
      </c>
      <c r="BS950" s="165" t="n">
        <v>46.62</v>
      </c>
      <c r="BU950" s="164" t="n">
        <v>20.96</v>
      </c>
    </row>
    <row r="951" customFormat="false" ht="12.75" hidden="false" customHeight="false" outlineLevel="0" collapsed="false">
      <c r="A951" s="162" t="s">
        <v>655</v>
      </c>
      <c r="B951" s="157" t="s">
        <v>668</v>
      </c>
      <c r="C951" s="157" t="s">
        <v>761</v>
      </c>
      <c r="E951" s="106" t="n">
        <v>14</v>
      </c>
      <c r="F951" s="106" t="n">
        <v>24</v>
      </c>
      <c r="S951" s="165" t="n">
        <v>1808.816955</v>
      </c>
      <c r="Y951" s="164" t="n">
        <v>881.96</v>
      </c>
      <c r="AA951" s="165" t="n">
        <v>84980.29</v>
      </c>
      <c r="AC951" s="164" t="n">
        <v>39.37</v>
      </c>
      <c r="AG951" s="167" t="n">
        <v>4.632936508</v>
      </c>
      <c r="BS951" s="165" t="n">
        <v>45.94</v>
      </c>
      <c r="BU951" s="164" t="n">
        <v>22.4</v>
      </c>
    </row>
    <row r="952" customFormat="false" ht="12.75" hidden="false" customHeight="false" outlineLevel="0" collapsed="false">
      <c r="A952" s="162" t="s">
        <v>655</v>
      </c>
      <c r="B952" s="157" t="s">
        <v>665</v>
      </c>
      <c r="C952" s="157" t="s">
        <v>762</v>
      </c>
      <c r="E952" s="106" t="n">
        <v>19</v>
      </c>
      <c r="F952" s="106" t="n">
        <v>4</v>
      </c>
      <c r="S952" s="165" t="n">
        <v>1649.170311</v>
      </c>
      <c r="Y952" s="164" t="n">
        <v>751.68</v>
      </c>
      <c r="AA952" s="165" t="n">
        <v>72541.96</v>
      </c>
      <c r="AC952" s="164" t="n">
        <v>35.41</v>
      </c>
      <c r="AG952" s="167" t="n">
        <v>4.880829016</v>
      </c>
      <c r="BS952" s="165" t="n">
        <v>46.58</v>
      </c>
      <c r="BU952" s="164" t="n">
        <v>21.23</v>
      </c>
    </row>
    <row r="953" customFormat="false" ht="12.75" hidden="false" customHeight="false" outlineLevel="0" collapsed="false">
      <c r="A953" s="162" t="s">
        <v>655</v>
      </c>
      <c r="B953" s="157" t="s">
        <v>668</v>
      </c>
      <c r="C953" s="157" t="s">
        <v>762</v>
      </c>
      <c r="E953" s="106" t="n">
        <v>2</v>
      </c>
      <c r="F953" s="106" t="n">
        <v>10</v>
      </c>
      <c r="S953" s="165" t="n">
        <v>1767.327937</v>
      </c>
      <c r="Y953" s="164" t="n">
        <v>873.55</v>
      </c>
      <c r="AA953" s="165" t="n">
        <v>88477.26</v>
      </c>
      <c r="AC953" s="164" t="n">
        <v>39.49</v>
      </c>
      <c r="AG953" s="167" t="n">
        <v>4.463437797</v>
      </c>
      <c r="BS953" s="165" t="n">
        <v>44.75</v>
      </c>
      <c r="BU953" s="164" t="n">
        <v>22.12</v>
      </c>
    </row>
    <row r="954" customFormat="false" ht="12.75" hidden="false" customHeight="false" outlineLevel="0" collapsed="false">
      <c r="A954" s="162" t="s">
        <v>657</v>
      </c>
      <c r="B954" s="157" t="s">
        <v>665</v>
      </c>
      <c r="C954" s="157" t="s">
        <v>758</v>
      </c>
      <c r="E954" s="106" t="n">
        <v>8</v>
      </c>
      <c r="F954" s="106" t="n">
        <v>37</v>
      </c>
      <c r="S954" s="165" t="n">
        <v>1060.356221</v>
      </c>
      <c r="Y954" s="164" t="n">
        <v>524.27</v>
      </c>
      <c r="AA954" s="165" t="n">
        <v>46405.6</v>
      </c>
      <c r="AC954" s="164" t="n">
        <v>23.03</v>
      </c>
      <c r="AG954" s="167" t="n">
        <v>4.961748634</v>
      </c>
      <c r="BS954" s="165" t="n">
        <v>46.05</v>
      </c>
      <c r="BU954" s="164" t="n">
        <v>22.77</v>
      </c>
    </row>
    <row r="955" customFormat="false" ht="12.75" hidden="false" customHeight="false" outlineLevel="0" collapsed="false">
      <c r="A955" s="162" t="s">
        <v>657</v>
      </c>
      <c r="B955" s="157" t="s">
        <v>668</v>
      </c>
      <c r="C955" s="157" t="s">
        <v>758</v>
      </c>
      <c r="E955" s="106" t="n">
        <v>5</v>
      </c>
      <c r="F955" s="106" t="n">
        <v>3</v>
      </c>
      <c r="S955" s="165" t="n">
        <v>1179.591885</v>
      </c>
      <c r="Y955" s="164" t="n">
        <v>573.16</v>
      </c>
      <c r="AA955" s="165" t="n">
        <v>49015.69</v>
      </c>
      <c r="AC955" s="164" t="n">
        <v>25.58</v>
      </c>
      <c r="AG955" s="167" t="n">
        <v>5.218390805</v>
      </c>
      <c r="BS955" s="165" t="n">
        <v>46.12</v>
      </c>
      <c r="BU955" s="164" t="n">
        <v>22.41</v>
      </c>
    </row>
    <row r="956" customFormat="false" ht="12.75" hidden="false" customHeight="false" outlineLevel="0" collapsed="false">
      <c r="A956" s="162" t="s">
        <v>657</v>
      </c>
      <c r="B956" s="157" t="s">
        <v>665</v>
      </c>
      <c r="C956" s="157" t="s">
        <v>760</v>
      </c>
      <c r="E956" s="106" t="n">
        <v>9</v>
      </c>
      <c r="F956" s="106" t="n">
        <v>29</v>
      </c>
      <c r="S956" s="165" t="n">
        <v>1216.387042</v>
      </c>
      <c r="Y956" s="164" t="n">
        <v>566.85</v>
      </c>
      <c r="AA956" s="165" t="n">
        <v>50156.6</v>
      </c>
      <c r="AC956" s="164" t="n">
        <v>25.95</v>
      </c>
      <c r="AG956" s="167" t="n">
        <v>5.173184358</v>
      </c>
      <c r="BS956" s="165" t="n">
        <v>46.88</v>
      </c>
      <c r="BU956" s="164" t="n">
        <v>21.85</v>
      </c>
    </row>
    <row r="957" customFormat="false" ht="12.75" hidden="false" customHeight="false" outlineLevel="0" collapsed="false">
      <c r="A957" s="162" t="s">
        <v>657</v>
      </c>
      <c r="B957" s="157" t="s">
        <v>668</v>
      </c>
      <c r="C957" s="157" t="s">
        <v>760</v>
      </c>
      <c r="E957" s="106" t="n">
        <v>9</v>
      </c>
      <c r="F957" s="106" t="n">
        <v>61</v>
      </c>
      <c r="S957" s="165" t="s">
        <v>759</v>
      </c>
      <c r="Y957" s="164" t="s">
        <v>759</v>
      </c>
      <c r="AA957" s="165" t="s">
        <v>759</v>
      </c>
      <c r="AC957" s="164" t="s">
        <v>759</v>
      </c>
      <c r="AG957" s="167" t="s">
        <v>759</v>
      </c>
      <c r="BS957" s="165" t="s">
        <v>759</v>
      </c>
      <c r="BU957" s="164" t="s">
        <v>759</v>
      </c>
    </row>
    <row r="958" customFormat="false" ht="12.75" hidden="false" customHeight="false" outlineLevel="0" collapsed="false">
      <c r="A958" s="162" t="s">
        <v>657</v>
      </c>
      <c r="B958" s="157" t="s">
        <v>665</v>
      </c>
      <c r="C958" s="157" t="s">
        <v>761</v>
      </c>
      <c r="E958" s="106" t="n">
        <v>16</v>
      </c>
      <c r="F958" s="106" t="n">
        <v>51</v>
      </c>
      <c r="S958" s="165" t="n">
        <v>1138.728697</v>
      </c>
      <c r="Y958" s="164" t="n">
        <v>546.4</v>
      </c>
      <c r="AA958" s="165" t="n">
        <v>46845.51</v>
      </c>
      <c r="AC958" s="164" t="n">
        <v>24.49</v>
      </c>
      <c r="AG958" s="167" t="n">
        <v>5.227272727</v>
      </c>
      <c r="BS958" s="165" t="n">
        <v>46.5</v>
      </c>
      <c r="BU958" s="164" t="n">
        <v>22.31</v>
      </c>
    </row>
    <row r="959" customFormat="false" ht="12.75" hidden="false" customHeight="false" outlineLevel="0" collapsed="false">
      <c r="A959" s="162" t="s">
        <v>657</v>
      </c>
      <c r="B959" s="157" t="s">
        <v>668</v>
      </c>
      <c r="C959" s="157" t="s">
        <v>761</v>
      </c>
      <c r="E959" s="106" t="n">
        <v>16</v>
      </c>
      <c r="F959" s="106" t="n">
        <v>23</v>
      </c>
      <c r="S959" s="165" t="n">
        <v>985.3026354</v>
      </c>
      <c r="Y959" s="164" t="n">
        <v>472.79</v>
      </c>
      <c r="AA959" s="165" t="n">
        <v>38972.3</v>
      </c>
      <c r="AC959" s="164" t="n">
        <v>21</v>
      </c>
      <c r="AG959" s="167" t="n">
        <v>5.389082462</v>
      </c>
      <c r="BS959" s="165" t="n">
        <v>46.91</v>
      </c>
      <c r="BU959" s="164" t="n">
        <v>22.51</v>
      </c>
    </row>
    <row r="960" customFormat="false" ht="12.75" hidden="false" customHeight="false" outlineLevel="0" collapsed="false">
      <c r="A960" s="162" t="s">
        <v>657</v>
      </c>
      <c r="B960" s="157" t="s">
        <v>665</v>
      </c>
      <c r="C960" s="157" t="s">
        <v>762</v>
      </c>
      <c r="E960" s="106" t="n">
        <v>18</v>
      </c>
      <c r="F960" s="106" t="n">
        <v>9</v>
      </c>
      <c r="S960" s="165" t="n">
        <v>1067.923816</v>
      </c>
      <c r="Y960" s="164" t="n">
        <v>508.92</v>
      </c>
      <c r="AA960" s="165" t="n">
        <v>43970.57</v>
      </c>
      <c r="AC960" s="164" t="n">
        <v>23.17</v>
      </c>
      <c r="AG960" s="167" t="n">
        <v>5.269662921</v>
      </c>
      <c r="BS960" s="165" t="n">
        <v>46.09</v>
      </c>
      <c r="BU960" s="164" t="n">
        <v>21.96</v>
      </c>
    </row>
    <row r="961" customFormat="false" ht="12.75" hidden="false" customHeight="false" outlineLevel="0" collapsed="false">
      <c r="A961" s="162" t="s">
        <v>657</v>
      </c>
      <c r="B961" s="157" t="s">
        <v>668</v>
      </c>
      <c r="C961" s="157" t="s">
        <v>762</v>
      </c>
      <c r="E961" s="106" t="n">
        <v>1</v>
      </c>
      <c r="F961" s="106" t="n">
        <v>16</v>
      </c>
      <c r="S961" s="165" t="n">
        <v>1046.250922</v>
      </c>
      <c r="Y961" s="164" t="n">
        <v>531.59</v>
      </c>
      <c r="AA961" s="165" t="n">
        <v>46360.46</v>
      </c>
      <c r="AC961" s="164" t="n">
        <v>22.98</v>
      </c>
      <c r="AG961" s="167" t="n">
        <v>4.957627119</v>
      </c>
      <c r="BS961" s="165" t="n">
        <v>45.52</v>
      </c>
      <c r="BU961" s="164" t="n">
        <v>23.13</v>
      </c>
    </row>
    <row r="962" customFormat="false" ht="12.75" hidden="false" customHeight="false" outlineLevel="0" collapsed="false">
      <c r="A962" s="162" t="s">
        <v>659</v>
      </c>
      <c r="B962" s="157" t="s">
        <v>665</v>
      </c>
      <c r="C962" s="157" t="s">
        <v>758</v>
      </c>
      <c r="E962" s="106" t="n">
        <v>5</v>
      </c>
      <c r="F962" s="106" t="n">
        <v>11</v>
      </c>
      <c r="S962" s="165" t="n">
        <v>1267.737312</v>
      </c>
      <c r="Y962" s="164" t="n">
        <v>575.04</v>
      </c>
      <c r="AA962" s="165" t="n">
        <v>53972.11</v>
      </c>
      <c r="AC962" s="164" t="n">
        <v>26.93</v>
      </c>
      <c r="AG962" s="167" t="n">
        <v>4.988962472</v>
      </c>
      <c r="BS962" s="165" t="n">
        <v>47.08</v>
      </c>
      <c r="BU962" s="164" t="n">
        <v>21.36</v>
      </c>
    </row>
    <row r="963" customFormat="false" ht="12.75" hidden="false" customHeight="false" outlineLevel="0" collapsed="false">
      <c r="A963" s="162" t="s">
        <v>659</v>
      </c>
      <c r="B963" s="157" t="s">
        <v>668</v>
      </c>
      <c r="C963" s="157" t="s">
        <v>758</v>
      </c>
      <c r="E963" s="106" t="n">
        <v>11</v>
      </c>
      <c r="F963" s="106" t="n">
        <v>4</v>
      </c>
      <c r="S963" s="165" t="n">
        <v>1186.063148</v>
      </c>
      <c r="Y963" s="164" t="n">
        <v>595.55</v>
      </c>
      <c r="AA963" s="165" t="n">
        <v>53583.3</v>
      </c>
      <c r="AC963" s="164" t="n">
        <v>25.83</v>
      </c>
      <c r="AG963" s="167" t="n">
        <v>4.821052632</v>
      </c>
      <c r="BS963" s="165" t="n">
        <v>45.91</v>
      </c>
      <c r="BU963" s="164" t="n">
        <v>23.05</v>
      </c>
    </row>
    <row r="964" customFormat="false" ht="12.75" hidden="false" customHeight="false" outlineLevel="0" collapsed="false">
      <c r="A964" s="162" t="s">
        <v>659</v>
      </c>
      <c r="B964" s="157" t="s">
        <v>665</v>
      </c>
      <c r="C964" s="157" t="s">
        <v>760</v>
      </c>
      <c r="E964" s="106" t="n">
        <v>11</v>
      </c>
      <c r="F964" s="106" t="n">
        <v>64</v>
      </c>
      <c r="S964" s="165" t="n">
        <v>1265.90343</v>
      </c>
      <c r="Y964" s="164" t="n">
        <v>533.37</v>
      </c>
      <c r="AA964" s="165" t="n">
        <v>49332.55</v>
      </c>
      <c r="AC964" s="164" t="n">
        <v>26.12</v>
      </c>
      <c r="AG964" s="167" t="n">
        <v>5.294117647</v>
      </c>
      <c r="BS964" s="165" t="n">
        <v>48.47</v>
      </c>
      <c r="BU964" s="164" t="n">
        <v>20.42</v>
      </c>
    </row>
    <row r="965" customFormat="false" ht="12.75" hidden="false" customHeight="false" outlineLevel="0" collapsed="false">
      <c r="A965" s="162" t="s">
        <v>659</v>
      </c>
      <c r="B965" s="157" t="s">
        <v>668</v>
      </c>
      <c r="C965" s="157" t="s">
        <v>760</v>
      </c>
      <c r="E965" s="106" t="n">
        <v>15</v>
      </c>
      <c r="F965" s="106" t="n">
        <v>36</v>
      </c>
      <c r="S965" s="165" t="n">
        <v>787.3364266</v>
      </c>
      <c r="Y965" s="164" t="n">
        <v>376.82</v>
      </c>
      <c r="AA965" s="165" t="n">
        <v>33100.25</v>
      </c>
      <c r="AC965" s="164" t="n">
        <v>16.92</v>
      </c>
      <c r="AG965" s="167" t="n">
        <v>5.111111111</v>
      </c>
      <c r="BS965" s="165" t="n">
        <v>46.54</v>
      </c>
      <c r="BU965" s="164" t="n">
        <v>22.27</v>
      </c>
    </row>
    <row r="966" customFormat="false" ht="12.75" hidden="false" customHeight="false" outlineLevel="0" collapsed="false">
      <c r="A966" s="162" t="s">
        <v>659</v>
      </c>
      <c r="B966" s="157" t="s">
        <v>665</v>
      </c>
      <c r="C966" s="157" t="s">
        <v>761</v>
      </c>
      <c r="E966" s="106" t="n">
        <v>13</v>
      </c>
      <c r="F966" s="106" t="n">
        <v>7</v>
      </c>
      <c r="S966" s="165" t="n">
        <v>1276.532887</v>
      </c>
      <c r="Y966" s="164" t="n">
        <v>647.17</v>
      </c>
      <c r="AA966" s="165" t="n">
        <v>54034.17</v>
      </c>
      <c r="AC966" s="164" t="n">
        <v>27.8</v>
      </c>
      <c r="AG966" s="167" t="n">
        <v>5.144766147</v>
      </c>
      <c r="BS966" s="165" t="n">
        <v>45.92</v>
      </c>
      <c r="BU966" s="164" t="n">
        <v>23.28</v>
      </c>
    </row>
    <row r="967" customFormat="false" ht="12.75" hidden="false" customHeight="false" outlineLevel="0" collapsed="false">
      <c r="A967" s="162" t="s">
        <v>659</v>
      </c>
      <c r="B967" s="157" t="s">
        <v>668</v>
      </c>
      <c r="C967" s="157" t="s">
        <v>761</v>
      </c>
      <c r="E967" s="106" t="n">
        <v>19</v>
      </c>
      <c r="F967" s="106" t="n">
        <v>6</v>
      </c>
      <c r="S967" s="165" t="n">
        <v>908.1016638</v>
      </c>
      <c r="Y967" s="164" t="n">
        <v>468.13</v>
      </c>
      <c r="AA967" s="165" t="n">
        <v>41661.21</v>
      </c>
      <c r="AC967" s="164" t="n">
        <v>19.87</v>
      </c>
      <c r="AG967" s="167" t="n">
        <v>4.769703173</v>
      </c>
      <c r="BS967" s="165" t="n">
        <v>45.7</v>
      </c>
      <c r="BU967" s="164" t="n">
        <v>23.56</v>
      </c>
    </row>
    <row r="968" customFormat="false" ht="12.75" hidden="false" customHeight="false" outlineLevel="0" collapsed="false">
      <c r="A968" s="162" t="s">
        <v>659</v>
      </c>
      <c r="B968" s="157" t="s">
        <v>665</v>
      </c>
      <c r="C968" s="157" t="s">
        <v>762</v>
      </c>
      <c r="E968" s="106" t="n">
        <v>3</v>
      </c>
      <c r="F968" s="106" t="n">
        <v>21</v>
      </c>
      <c r="S968" s="165" t="n">
        <v>1102.656817</v>
      </c>
      <c r="Y968" s="164" t="n">
        <v>521.06</v>
      </c>
      <c r="AA968" s="165" t="n">
        <v>44278.82</v>
      </c>
      <c r="AC968" s="164" t="n">
        <v>23.91</v>
      </c>
      <c r="AG968" s="167" t="n">
        <v>5.398843931</v>
      </c>
      <c r="BS968" s="165" t="n">
        <v>46.13</v>
      </c>
      <c r="BU968" s="164" t="n">
        <v>21.8</v>
      </c>
    </row>
    <row r="969" customFormat="false" ht="12.75" hidden="false" customHeight="false" outlineLevel="0" collapsed="false">
      <c r="A969" s="162" t="s">
        <v>659</v>
      </c>
      <c r="B969" s="157" t="s">
        <v>668</v>
      </c>
      <c r="C969" s="157" t="s">
        <v>762</v>
      </c>
      <c r="E969" s="106" t="n">
        <v>2</v>
      </c>
      <c r="F969" s="106" t="n">
        <v>48</v>
      </c>
      <c r="S969" s="165" t="n">
        <v>1077.112684</v>
      </c>
      <c r="Y969" s="164" t="n">
        <v>545.32</v>
      </c>
      <c r="AA969" s="165" t="n">
        <v>44864.69</v>
      </c>
      <c r="AC969" s="164" t="n">
        <v>23.64</v>
      </c>
      <c r="AG969" s="167" t="n">
        <v>5.269058296</v>
      </c>
      <c r="BS969" s="165" t="n">
        <v>45.56</v>
      </c>
      <c r="BU969" s="164" t="n">
        <v>23.07</v>
      </c>
    </row>
  </sheetData>
  <autoFilter ref="A1:CM1">
    <sortState ref="A2:CM1">
      <sortCondition ref="A2:A1" customList=""/>
    </sortState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36" activeCellId="1" sqref="A26:A49 G36"/>
    </sheetView>
  </sheetViews>
  <sheetFormatPr defaultColWidth="11.57421875" defaultRowHeight="12.75" customHeight="true" zeroHeight="false" outlineLevelRow="0" outlineLevelCol="0"/>
  <cols>
    <col collapsed="false" customWidth="true" hidden="false" outlineLevel="0" max="1" min="1" style="174" width="16.29"/>
    <col collapsed="false" customWidth="true" hidden="false" outlineLevel="0" max="2" min="2" style="175" width="7.57"/>
    <col collapsed="false" customWidth="true" hidden="false" outlineLevel="0" max="3" min="3" style="174" width="9.43"/>
    <col collapsed="false" customWidth="true" hidden="false" outlineLevel="0" max="4" min="4" style="176" width="9"/>
    <col collapsed="false" customWidth="true" hidden="false" outlineLevel="0" max="5" min="5" style="176" width="14.14"/>
    <col collapsed="false" customWidth="true" hidden="false" outlineLevel="0" max="6" min="6" style="176" width="12.43"/>
    <col collapsed="false" customWidth="false" hidden="false" outlineLevel="0" max="16384" min="7" style="177" width="11.57"/>
  </cols>
  <sheetData>
    <row r="1" customFormat="false" ht="12.75" hidden="false" customHeight="false" outlineLevel="0" collapsed="false">
      <c r="A1" s="178" t="s">
        <v>215</v>
      </c>
      <c r="B1" s="179" t="s">
        <v>216</v>
      </c>
      <c r="C1" s="178" t="s">
        <v>217</v>
      </c>
      <c r="D1" s="179" t="s">
        <v>218</v>
      </c>
      <c r="E1" s="179" t="s">
        <v>219</v>
      </c>
      <c r="F1" s="179" t="s">
        <v>29</v>
      </c>
    </row>
    <row r="2" customFormat="false" ht="12.75" hidden="false" customHeight="false" outlineLevel="0" collapsed="false">
      <c r="A2" s="174" t="s">
        <v>764</v>
      </c>
      <c r="B2" s="175" t="s">
        <v>765</v>
      </c>
      <c r="C2" s="174" t="s">
        <v>766</v>
      </c>
    </row>
    <row r="3" customFormat="false" ht="12.75" hidden="false" customHeight="false" outlineLevel="0" collapsed="false">
      <c r="A3" s="174" t="s">
        <v>767</v>
      </c>
      <c r="B3" s="175" t="s">
        <v>765</v>
      </c>
      <c r="C3" s="174" t="s">
        <v>766</v>
      </c>
    </row>
    <row r="4" customFormat="false" ht="12.75" hidden="false" customHeight="false" outlineLevel="0" collapsed="false">
      <c r="A4" s="174" t="s">
        <v>768</v>
      </c>
      <c r="B4" s="175" t="s">
        <v>765</v>
      </c>
      <c r="C4" s="174" t="s">
        <v>766</v>
      </c>
    </row>
    <row r="5" customFormat="false" ht="12.75" hidden="false" customHeight="false" outlineLevel="0" collapsed="false">
      <c r="A5" s="174" t="s">
        <v>769</v>
      </c>
      <c r="B5" s="175" t="s">
        <v>765</v>
      </c>
      <c r="C5" s="174" t="s">
        <v>766</v>
      </c>
    </row>
    <row r="6" customFormat="false" ht="12.75" hidden="false" customHeight="false" outlineLevel="0" collapsed="false">
      <c r="A6" s="174" t="s">
        <v>770</v>
      </c>
      <c r="B6" s="175" t="s">
        <v>765</v>
      </c>
      <c r="C6" s="174" t="s">
        <v>766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G54" activeCellId="1" sqref="A26:A49 G54"/>
    </sheetView>
  </sheetViews>
  <sheetFormatPr defaultColWidth="10.71484375" defaultRowHeight="12" customHeight="true" zeroHeight="false" outlineLevelRow="0" outlineLevelCol="0"/>
  <cols>
    <col collapsed="false" customWidth="true" hidden="false" outlineLevel="0" max="1" min="1" style="180" width="9.29"/>
    <col collapsed="false" customWidth="true" hidden="false" outlineLevel="0" max="2" min="2" style="180" width="10.43"/>
    <col collapsed="false" customWidth="true" hidden="false" outlineLevel="0" max="3" min="3" style="180" width="11"/>
  </cols>
  <sheetData>
    <row r="1" s="114" customFormat="true" ht="12" hidden="false" customHeight="false" outlineLevel="0" collapsed="false">
      <c r="A1" s="181" t="s">
        <v>233</v>
      </c>
      <c r="B1" s="181" t="s">
        <v>234</v>
      </c>
      <c r="C1" s="181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70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E5" activeCellId="1" sqref="A26:A49 E5"/>
    </sheetView>
  </sheetViews>
  <sheetFormatPr defaultColWidth="9.00390625" defaultRowHeight="12" customHeight="true" zeroHeight="false" outlineLevelRow="0" outlineLevelCol="0"/>
  <cols>
    <col collapsed="false" customWidth="true" hidden="false" outlineLevel="0" max="1" min="1" style="157" width="82.14"/>
    <col collapsed="false" customWidth="true" hidden="false" outlineLevel="0" max="2" min="2" style="157" width="105.29"/>
    <col collapsed="false" customWidth="true" hidden="false" outlineLevel="0" max="3" min="3" style="157" width="83.14"/>
    <col collapsed="false" customWidth="true" hidden="false" outlineLevel="0" max="4" min="4" style="157" width="27.86"/>
    <col collapsed="false" customWidth="true" hidden="false" outlineLevel="0" max="5" min="5" style="157" width="46"/>
  </cols>
  <sheetData>
    <row r="1" customFormat="false" ht="12" hidden="false" customHeight="false" outlineLevel="0" collapsed="false">
      <c r="A1" s="182" t="s">
        <v>146</v>
      </c>
      <c r="B1" s="182" t="s">
        <v>771</v>
      </c>
      <c r="C1" s="182" t="s">
        <v>149</v>
      </c>
      <c r="D1" s="182" t="s">
        <v>26</v>
      </c>
      <c r="E1" s="182" t="s">
        <v>65</v>
      </c>
    </row>
    <row r="2" customFormat="false" ht="12" hidden="false" customHeight="false" outlineLevel="0" collapsed="false">
      <c r="A2" s="182" t="s">
        <v>772</v>
      </c>
      <c r="B2" s="182" t="s">
        <v>773</v>
      </c>
      <c r="C2" s="182" t="s">
        <v>774</v>
      </c>
      <c r="D2" s="182" t="s">
        <v>775</v>
      </c>
      <c r="E2" s="182" t="s">
        <v>776</v>
      </c>
    </row>
    <row r="3" customFormat="false" ht="12" hidden="false" customHeight="false" outlineLevel="0" collapsed="false">
      <c r="A3" s="182" t="s">
        <v>777</v>
      </c>
      <c r="B3" s="182" t="s">
        <v>778</v>
      </c>
      <c r="C3" s="182" t="s">
        <v>779</v>
      </c>
      <c r="D3" s="182" t="s">
        <v>780</v>
      </c>
      <c r="E3" s="182" t="s">
        <v>781</v>
      </c>
    </row>
    <row r="4" customFormat="false" ht="12" hidden="false" customHeight="false" outlineLevel="0" collapsed="false">
      <c r="A4" s="182" t="s">
        <v>782</v>
      </c>
      <c r="B4" s="182" t="s">
        <v>783</v>
      </c>
      <c r="C4" s="182" t="s">
        <v>784</v>
      </c>
      <c r="D4" s="182" t="s">
        <v>785</v>
      </c>
      <c r="E4" s="182" t="s">
        <v>786</v>
      </c>
    </row>
    <row r="5" customFormat="false" ht="12" hidden="false" customHeight="false" outlineLevel="0" collapsed="false">
      <c r="A5" s="182" t="s">
        <v>787</v>
      </c>
      <c r="B5" s="182" t="s">
        <v>788</v>
      </c>
      <c r="C5" s="182" t="s">
        <v>789</v>
      </c>
      <c r="D5" s="182" t="s">
        <v>790</v>
      </c>
      <c r="E5" s="182" t="s">
        <v>791</v>
      </c>
    </row>
    <row r="6" customFormat="false" ht="12" hidden="false" customHeight="false" outlineLevel="0" collapsed="false">
      <c r="A6" s="182" t="s">
        <v>792</v>
      </c>
      <c r="B6" s="182" t="s">
        <v>793</v>
      </c>
      <c r="C6" s="182" t="s">
        <v>794</v>
      </c>
      <c r="D6" s="182" t="s">
        <v>795</v>
      </c>
      <c r="E6" s="182" t="s">
        <v>90</v>
      </c>
    </row>
    <row r="7" customFormat="false" ht="12" hidden="false" customHeight="false" outlineLevel="0" collapsed="false">
      <c r="A7" s="182" t="s">
        <v>796</v>
      </c>
      <c r="B7" s="182" t="s">
        <v>797</v>
      </c>
      <c r="C7" s="182" t="s">
        <v>798</v>
      </c>
      <c r="D7" s="182" t="s">
        <v>799</v>
      </c>
      <c r="E7" s="182" t="s">
        <v>800</v>
      </c>
    </row>
    <row r="8" customFormat="false" ht="12" hidden="false" customHeight="false" outlineLevel="0" collapsed="false">
      <c r="A8" s="182" t="s">
        <v>801</v>
      </c>
      <c r="B8" s="182" t="s">
        <v>802</v>
      </c>
      <c r="C8" s="182" t="s">
        <v>803</v>
      </c>
      <c r="D8" s="182" t="s">
        <v>804</v>
      </c>
      <c r="E8" s="182" t="s">
        <v>805</v>
      </c>
    </row>
    <row r="9" customFormat="false" ht="12" hidden="false" customHeight="false" outlineLevel="0" collapsed="false">
      <c r="A9" s="182" t="s">
        <v>806</v>
      </c>
      <c r="B9" s="182" t="s">
        <v>807</v>
      </c>
      <c r="C9" s="182" t="s">
        <v>808</v>
      </c>
      <c r="D9" s="182" t="s">
        <v>809</v>
      </c>
      <c r="E9" s="182" t="s">
        <v>810</v>
      </c>
    </row>
    <row r="10" customFormat="false" ht="12" hidden="false" customHeight="false" outlineLevel="0" collapsed="false">
      <c r="A10" s="182" t="s">
        <v>811</v>
      </c>
      <c r="B10" s="182" t="s">
        <v>812</v>
      </c>
      <c r="C10" s="182" t="s">
        <v>813</v>
      </c>
      <c r="D10" s="182" t="s">
        <v>814</v>
      </c>
      <c r="E10" s="182" t="s">
        <v>815</v>
      </c>
    </row>
    <row r="11" customFormat="false" ht="12" hidden="false" customHeight="false" outlineLevel="0" collapsed="false">
      <c r="A11" s="182" t="s">
        <v>816</v>
      </c>
      <c r="B11" s="182" t="s">
        <v>817</v>
      </c>
      <c r="C11" s="182" t="s">
        <v>818</v>
      </c>
      <c r="D11" s="182" t="s">
        <v>819</v>
      </c>
      <c r="E11" s="182" t="s">
        <v>820</v>
      </c>
    </row>
    <row r="12" customFormat="false" ht="12" hidden="false" customHeight="false" outlineLevel="0" collapsed="false">
      <c r="A12" s="182" t="s">
        <v>821</v>
      </c>
      <c r="B12" s="182" t="s">
        <v>822</v>
      </c>
      <c r="C12" s="182" t="s">
        <v>823</v>
      </c>
      <c r="D12" s="182" t="s">
        <v>824</v>
      </c>
      <c r="E12" s="182" t="s">
        <v>825</v>
      </c>
    </row>
    <row r="13" customFormat="false" ht="12" hidden="false" customHeight="false" outlineLevel="0" collapsed="false">
      <c r="A13" s="182" t="s">
        <v>826</v>
      </c>
      <c r="B13" s="182" t="s">
        <v>827</v>
      </c>
      <c r="C13" s="182" t="s">
        <v>828</v>
      </c>
      <c r="D13" s="182" t="s">
        <v>829</v>
      </c>
      <c r="E13" s="182" t="s">
        <v>830</v>
      </c>
    </row>
    <row r="14" customFormat="false" ht="12" hidden="false" customHeight="false" outlineLevel="0" collapsed="false">
      <c r="A14" s="182" t="s">
        <v>831</v>
      </c>
      <c r="B14" s="182" t="s">
        <v>832</v>
      </c>
      <c r="C14" s="182" t="s">
        <v>833</v>
      </c>
      <c r="D14" s="182" t="s">
        <v>834</v>
      </c>
      <c r="E14" s="182" t="s">
        <v>835</v>
      </c>
    </row>
    <row r="15" customFormat="false" ht="12" hidden="false" customHeight="false" outlineLevel="0" collapsed="false">
      <c r="A15" s="182" t="s">
        <v>836</v>
      </c>
      <c r="B15" s="182" t="s">
        <v>837</v>
      </c>
      <c r="C15" s="182" t="s">
        <v>838</v>
      </c>
      <c r="D15" s="182" t="s">
        <v>839</v>
      </c>
      <c r="E15" s="182" t="s">
        <v>840</v>
      </c>
    </row>
    <row r="16" customFormat="false" ht="12" hidden="false" customHeight="false" outlineLevel="0" collapsed="false">
      <c r="A16" s="182" t="s">
        <v>841</v>
      </c>
      <c r="B16" s="182" t="s">
        <v>842</v>
      </c>
      <c r="C16" s="182" t="s">
        <v>843</v>
      </c>
      <c r="D16" s="182" t="s">
        <v>844</v>
      </c>
      <c r="E16" s="182" t="s">
        <v>845</v>
      </c>
    </row>
    <row r="17" customFormat="false" ht="12" hidden="false" customHeight="false" outlineLevel="0" collapsed="false">
      <c r="A17" s="182" t="s">
        <v>846</v>
      </c>
      <c r="B17" s="182" t="s">
        <v>847</v>
      </c>
      <c r="C17" s="182" t="s">
        <v>848</v>
      </c>
      <c r="D17" s="182" t="s">
        <v>849</v>
      </c>
      <c r="E17" s="182" t="s">
        <v>850</v>
      </c>
    </row>
    <row r="18" customFormat="false" ht="12" hidden="false" customHeight="false" outlineLevel="0" collapsed="false">
      <c r="A18" s="182" t="s">
        <v>851</v>
      </c>
      <c r="B18" s="182" t="s">
        <v>852</v>
      </c>
      <c r="C18" s="182" t="s">
        <v>853</v>
      </c>
      <c r="D18" s="182" t="s">
        <v>854</v>
      </c>
      <c r="E18" s="182" t="s">
        <v>855</v>
      </c>
    </row>
    <row r="19" customFormat="false" ht="12" hidden="false" customHeight="false" outlineLevel="0" collapsed="false">
      <c r="A19" s="182" t="s">
        <v>856</v>
      </c>
      <c r="B19" s="182" t="s">
        <v>857</v>
      </c>
      <c r="C19" s="182" t="s">
        <v>858</v>
      </c>
      <c r="D19" s="182" t="s">
        <v>859</v>
      </c>
      <c r="E19" s="182" t="s">
        <v>860</v>
      </c>
    </row>
    <row r="20" customFormat="false" ht="12" hidden="false" customHeight="false" outlineLevel="0" collapsed="false">
      <c r="A20" s="182" t="s">
        <v>861</v>
      </c>
      <c r="B20" s="182" t="s">
        <v>862</v>
      </c>
      <c r="C20" s="182" t="s">
        <v>863</v>
      </c>
      <c r="D20" s="182" t="s">
        <v>864</v>
      </c>
      <c r="E20" s="182" t="s">
        <v>865</v>
      </c>
    </row>
    <row r="21" customFormat="false" ht="12" hidden="false" customHeight="false" outlineLevel="0" collapsed="false">
      <c r="A21" s="182" t="s">
        <v>866</v>
      </c>
      <c r="B21" s="182" t="s">
        <v>867</v>
      </c>
      <c r="C21" s="182" t="s">
        <v>868</v>
      </c>
      <c r="D21" s="182" t="s">
        <v>869</v>
      </c>
      <c r="E21" s="182" t="s">
        <v>870</v>
      </c>
    </row>
    <row r="22" customFormat="false" ht="12" hidden="false" customHeight="false" outlineLevel="0" collapsed="false">
      <c r="A22" s="182" t="s">
        <v>871</v>
      </c>
      <c r="B22" s="182" t="s">
        <v>872</v>
      </c>
      <c r="D22" s="182" t="s">
        <v>873</v>
      </c>
      <c r="E22" s="182" t="s">
        <v>874</v>
      </c>
    </row>
    <row r="23" customFormat="false" ht="12" hidden="false" customHeight="false" outlineLevel="0" collapsed="false">
      <c r="A23" s="182" t="s">
        <v>875</v>
      </c>
      <c r="B23" s="182" t="s">
        <v>876</v>
      </c>
      <c r="D23" s="182" t="s">
        <v>877</v>
      </c>
      <c r="E23" s="182" t="s">
        <v>878</v>
      </c>
    </row>
    <row r="24" customFormat="false" ht="12" hidden="false" customHeight="false" outlineLevel="0" collapsed="false">
      <c r="A24" s="182" t="s">
        <v>879</v>
      </c>
      <c r="B24" s="182" t="s">
        <v>880</v>
      </c>
      <c r="D24" s="182" t="s">
        <v>881</v>
      </c>
      <c r="E24" s="182" t="s">
        <v>882</v>
      </c>
    </row>
    <row r="25" customFormat="false" ht="12" hidden="false" customHeight="false" outlineLevel="0" collapsed="false">
      <c r="A25" s="182" t="s">
        <v>883</v>
      </c>
      <c r="B25" s="182" t="s">
        <v>884</v>
      </c>
      <c r="D25" s="182" t="s">
        <v>885</v>
      </c>
    </row>
    <row r="26" customFormat="false" ht="12" hidden="false" customHeight="false" outlineLevel="0" collapsed="false">
      <c r="A26" s="182" t="s">
        <v>886</v>
      </c>
      <c r="B26" s="182" t="s">
        <v>887</v>
      </c>
      <c r="D26" s="182" t="s">
        <v>888</v>
      </c>
    </row>
    <row r="27" customFormat="false" ht="12" hidden="false" customHeight="false" outlineLevel="0" collapsed="false">
      <c r="A27" s="182" t="s">
        <v>889</v>
      </c>
      <c r="B27" s="182" t="s">
        <v>890</v>
      </c>
      <c r="D27" s="182" t="s">
        <v>891</v>
      </c>
    </row>
    <row r="28" customFormat="false" ht="12" hidden="false" customHeight="false" outlineLevel="0" collapsed="false">
      <c r="A28" s="182" t="s">
        <v>892</v>
      </c>
      <c r="B28" s="182" t="s">
        <v>893</v>
      </c>
      <c r="D28" s="182" t="s">
        <v>894</v>
      </c>
    </row>
    <row r="29" customFormat="false" ht="12" hidden="false" customHeight="false" outlineLevel="0" collapsed="false">
      <c r="A29" s="182" t="s">
        <v>895</v>
      </c>
      <c r="B29" s="182" t="s">
        <v>896</v>
      </c>
      <c r="D29" s="182" t="s">
        <v>897</v>
      </c>
    </row>
    <row r="30" customFormat="false" ht="12" hidden="false" customHeight="false" outlineLevel="0" collapsed="false">
      <c r="A30" s="182" t="s">
        <v>898</v>
      </c>
      <c r="B30" s="182" t="s">
        <v>899</v>
      </c>
      <c r="D30" s="182" t="s">
        <v>758</v>
      </c>
    </row>
    <row r="31" customFormat="false" ht="12" hidden="false" customHeight="false" outlineLevel="0" collapsed="false">
      <c r="A31" s="182" t="s">
        <v>900</v>
      </c>
      <c r="B31" s="182" t="s">
        <v>901</v>
      </c>
      <c r="D31" s="182" t="s">
        <v>902</v>
      </c>
    </row>
    <row r="32" customFormat="false" ht="12" hidden="false" customHeight="false" outlineLevel="0" collapsed="false">
      <c r="A32" s="182" t="s">
        <v>903</v>
      </c>
      <c r="B32" s="182" t="s">
        <v>904</v>
      </c>
      <c r="D32" s="182" t="s">
        <v>905</v>
      </c>
    </row>
    <row r="33" customFormat="false" ht="12" hidden="false" customHeight="false" outlineLevel="0" collapsed="false">
      <c r="A33" s="182" t="s">
        <v>906</v>
      </c>
      <c r="B33" s="182" t="s">
        <v>907</v>
      </c>
      <c r="D33" s="182" t="s">
        <v>908</v>
      </c>
    </row>
    <row r="34" customFormat="false" ht="12" hidden="false" customHeight="false" outlineLevel="0" collapsed="false">
      <c r="A34" s="182" t="s">
        <v>909</v>
      </c>
      <c r="B34" s="182" t="s">
        <v>910</v>
      </c>
      <c r="D34" s="182" t="s">
        <v>911</v>
      </c>
    </row>
    <row r="35" customFormat="false" ht="12" hidden="false" customHeight="false" outlineLevel="0" collapsed="false">
      <c r="A35" s="182" t="s">
        <v>912</v>
      </c>
      <c r="B35" s="182" t="s">
        <v>913</v>
      </c>
      <c r="D35" s="182" t="s">
        <v>914</v>
      </c>
    </row>
    <row r="36" customFormat="false" ht="12" hidden="false" customHeight="false" outlineLevel="0" collapsed="false">
      <c r="A36" s="182" t="s">
        <v>915</v>
      </c>
      <c r="B36" s="182" t="s">
        <v>916</v>
      </c>
      <c r="D36" s="182" t="s">
        <v>917</v>
      </c>
    </row>
    <row r="37" customFormat="false" ht="12" hidden="false" customHeight="false" outlineLevel="0" collapsed="false">
      <c r="A37" s="182" t="s">
        <v>918</v>
      </c>
      <c r="B37" s="182" t="s">
        <v>919</v>
      </c>
      <c r="D37" s="182" t="s">
        <v>920</v>
      </c>
    </row>
    <row r="38" customFormat="false" ht="12" hidden="false" customHeight="false" outlineLevel="0" collapsed="false">
      <c r="A38" s="182" t="s">
        <v>921</v>
      </c>
      <c r="B38" s="182" t="s">
        <v>922</v>
      </c>
      <c r="D38" s="182" t="s">
        <v>923</v>
      </c>
    </row>
    <row r="39" customFormat="false" ht="12" hidden="false" customHeight="false" outlineLevel="0" collapsed="false">
      <c r="A39" s="182" t="s">
        <v>924</v>
      </c>
      <c r="B39" s="182" t="s">
        <v>925</v>
      </c>
      <c r="D39" s="182" t="s">
        <v>926</v>
      </c>
    </row>
    <row r="40" customFormat="false" ht="12" hidden="false" customHeight="false" outlineLevel="0" collapsed="false">
      <c r="A40" s="182" t="s">
        <v>927</v>
      </c>
      <c r="B40" s="182" t="s">
        <v>928</v>
      </c>
      <c r="D40" s="182" t="s">
        <v>929</v>
      </c>
    </row>
    <row r="41" customFormat="false" ht="12" hidden="false" customHeight="false" outlineLevel="0" collapsed="false">
      <c r="A41" s="182" t="s">
        <v>930</v>
      </c>
      <c r="B41" s="182" t="s">
        <v>931</v>
      </c>
      <c r="D41" s="182" t="s">
        <v>932</v>
      </c>
    </row>
    <row r="42" customFormat="false" ht="12" hidden="false" customHeight="false" outlineLevel="0" collapsed="false">
      <c r="A42" s="182" t="s">
        <v>933</v>
      </c>
      <c r="B42" s="182" t="s">
        <v>934</v>
      </c>
      <c r="D42" s="182" t="s">
        <v>935</v>
      </c>
    </row>
    <row r="43" customFormat="false" ht="12" hidden="false" customHeight="false" outlineLevel="0" collapsed="false">
      <c r="A43" s="182" t="s">
        <v>936</v>
      </c>
      <c r="B43" s="182" t="s">
        <v>937</v>
      </c>
      <c r="D43" s="182" t="s">
        <v>938</v>
      </c>
    </row>
    <row r="44" customFormat="false" ht="12" hidden="false" customHeight="false" outlineLevel="0" collapsed="false">
      <c r="A44" s="182" t="s">
        <v>939</v>
      </c>
      <c r="B44" s="182" t="s">
        <v>940</v>
      </c>
      <c r="D44" s="182" t="s">
        <v>941</v>
      </c>
    </row>
    <row r="45" customFormat="false" ht="12" hidden="false" customHeight="false" outlineLevel="0" collapsed="false">
      <c r="A45" s="182" t="s">
        <v>942</v>
      </c>
      <c r="B45" s="182" t="s">
        <v>943</v>
      </c>
      <c r="D45" s="182" t="s">
        <v>944</v>
      </c>
    </row>
    <row r="46" customFormat="false" ht="12" hidden="false" customHeight="false" outlineLevel="0" collapsed="false">
      <c r="A46" s="182" t="s">
        <v>945</v>
      </c>
      <c r="B46" s="182" t="s">
        <v>946</v>
      </c>
      <c r="D46" s="182" t="s">
        <v>947</v>
      </c>
    </row>
    <row r="47" customFormat="false" ht="12" hidden="false" customHeight="false" outlineLevel="0" collapsed="false">
      <c r="A47" s="182" t="s">
        <v>948</v>
      </c>
      <c r="B47" s="182" t="s">
        <v>949</v>
      </c>
      <c r="D47" s="182" t="s">
        <v>950</v>
      </c>
    </row>
    <row r="48" customFormat="false" ht="12" hidden="false" customHeight="false" outlineLevel="0" collapsed="false">
      <c r="A48" s="182" t="s">
        <v>951</v>
      </c>
      <c r="B48" s="182" t="s">
        <v>952</v>
      </c>
      <c r="D48" s="182" t="s">
        <v>953</v>
      </c>
    </row>
    <row r="49" customFormat="false" ht="12" hidden="false" customHeight="false" outlineLevel="0" collapsed="false">
      <c r="A49" s="182" t="s">
        <v>954</v>
      </c>
      <c r="B49" s="182" t="s">
        <v>955</v>
      </c>
      <c r="D49" s="182" t="s">
        <v>956</v>
      </c>
    </row>
    <row r="50" customFormat="false" ht="12" hidden="false" customHeight="false" outlineLevel="0" collapsed="false">
      <c r="A50" s="182" t="s">
        <v>957</v>
      </c>
      <c r="B50" s="182" t="s">
        <v>958</v>
      </c>
      <c r="D50" s="182" t="s">
        <v>959</v>
      </c>
    </row>
    <row r="51" customFormat="false" ht="12" hidden="false" customHeight="false" outlineLevel="0" collapsed="false">
      <c r="A51" s="182" t="s">
        <v>960</v>
      </c>
      <c r="B51" s="182" t="s">
        <v>961</v>
      </c>
      <c r="D51" s="182" t="s">
        <v>962</v>
      </c>
    </row>
    <row r="52" customFormat="false" ht="12" hidden="false" customHeight="false" outlineLevel="0" collapsed="false">
      <c r="A52" s="182" t="s">
        <v>963</v>
      </c>
      <c r="B52" s="182" t="s">
        <v>964</v>
      </c>
      <c r="D52" s="182" t="s">
        <v>965</v>
      </c>
    </row>
    <row r="53" customFormat="false" ht="12" hidden="false" customHeight="false" outlineLevel="0" collapsed="false">
      <c r="A53" s="182" t="s">
        <v>966</v>
      </c>
      <c r="B53" s="182" t="s">
        <v>967</v>
      </c>
      <c r="D53" s="182" t="s">
        <v>968</v>
      </c>
    </row>
    <row r="54" customFormat="false" ht="12" hidden="false" customHeight="false" outlineLevel="0" collapsed="false">
      <c r="A54" s="182" t="s">
        <v>969</v>
      </c>
      <c r="B54" s="182" t="s">
        <v>970</v>
      </c>
      <c r="D54" s="182" t="s">
        <v>971</v>
      </c>
    </row>
    <row r="55" customFormat="false" ht="12" hidden="false" customHeight="false" outlineLevel="0" collapsed="false">
      <c r="A55" s="182" t="s">
        <v>972</v>
      </c>
      <c r="B55" s="182" t="s">
        <v>973</v>
      </c>
      <c r="D55" s="182" t="s">
        <v>974</v>
      </c>
    </row>
    <row r="56" customFormat="false" ht="12" hidden="false" customHeight="false" outlineLevel="0" collapsed="false">
      <c r="A56" s="182" t="s">
        <v>975</v>
      </c>
      <c r="B56" s="182" t="s">
        <v>976</v>
      </c>
      <c r="D56" s="182" t="s">
        <v>977</v>
      </c>
    </row>
    <row r="57" customFormat="false" ht="12" hidden="false" customHeight="false" outlineLevel="0" collapsed="false">
      <c r="A57" s="182" t="s">
        <v>978</v>
      </c>
      <c r="B57" s="182" t="s">
        <v>979</v>
      </c>
      <c r="D57" s="182" t="s">
        <v>980</v>
      </c>
    </row>
    <row r="58" customFormat="false" ht="12" hidden="false" customHeight="false" outlineLevel="0" collapsed="false">
      <c r="A58" s="182" t="s">
        <v>981</v>
      </c>
      <c r="B58" s="182" t="s">
        <v>982</v>
      </c>
      <c r="D58" s="182" t="s">
        <v>983</v>
      </c>
    </row>
    <row r="59" customFormat="false" ht="12" hidden="false" customHeight="false" outlineLevel="0" collapsed="false">
      <c r="A59" s="182" t="s">
        <v>984</v>
      </c>
      <c r="B59" s="182" t="s">
        <v>985</v>
      </c>
      <c r="D59" s="182" t="s">
        <v>986</v>
      </c>
    </row>
    <row r="60" customFormat="false" ht="12" hidden="false" customHeight="false" outlineLevel="0" collapsed="false">
      <c r="A60" s="182" t="s">
        <v>987</v>
      </c>
      <c r="B60" s="182" t="s">
        <v>988</v>
      </c>
      <c r="D60" s="182" t="s">
        <v>989</v>
      </c>
    </row>
    <row r="61" customFormat="false" ht="12" hidden="false" customHeight="false" outlineLevel="0" collapsed="false">
      <c r="A61" s="182" t="s">
        <v>990</v>
      </c>
      <c r="B61" s="182" t="s">
        <v>991</v>
      </c>
      <c r="D61" s="182" t="s">
        <v>992</v>
      </c>
    </row>
    <row r="62" customFormat="false" ht="12" hidden="false" customHeight="false" outlineLevel="0" collapsed="false">
      <c r="A62" s="182" t="s">
        <v>993</v>
      </c>
      <c r="B62" s="182" t="s">
        <v>994</v>
      </c>
      <c r="D62" s="182" t="s">
        <v>995</v>
      </c>
    </row>
    <row r="63" customFormat="false" ht="12" hidden="false" customHeight="false" outlineLevel="0" collapsed="false">
      <c r="A63" s="182" t="s">
        <v>996</v>
      </c>
      <c r="B63" s="182" t="s">
        <v>997</v>
      </c>
      <c r="D63" s="182" t="s">
        <v>998</v>
      </c>
    </row>
    <row r="64" customFormat="false" ht="12" hidden="false" customHeight="false" outlineLevel="0" collapsed="false">
      <c r="A64" s="182" t="s">
        <v>999</v>
      </c>
      <c r="B64" s="182" t="s">
        <v>1000</v>
      </c>
      <c r="D64" s="182" t="s">
        <v>1001</v>
      </c>
    </row>
    <row r="65" customFormat="false" ht="12" hidden="false" customHeight="false" outlineLevel="0" collapsed="false">
      <c r="A65" s="182" t="s">
        <v>1002</v>
      </c>
      <c r="B65" s="182" t="s">
        <v>1003</v>
      </c>
      <c r="D65" s="182" t="s">
        <v>1004</v>
      </c>
    </row>
    <row r="66" customFormat="false" ht="12" hidden="false" customHeight="false" outlineLevel="0" collapsed="false">
      <c r="A66" s="182" t="s">
        <v>1005</v>
      </c>
      <c r="B66" s="182" t="s">
        <v>1006</v>
      </c>
      <c r="D66" s="182" t="s">
        <v>1007</v>
      </c>
    </row>
    <row r="67" customFormat="false" ht="12" hidden="false" customHeight="false" outlineLevel="0" collapsed="false">
      <c r="A67" s="182" t="s">
        <v>1008</v>
      </c>
      <c r="B67" s="182" t="s">
        <v>1009</v>
      </c>
      <c r="D67" s="182" t="s">
        <v>1010</v>
      </c>
    </row>
    <row r="68" customFormat="false" ht="12" hidden="false" customHeight="false" outlineLevel="0" collapsed="false">
      <c r="A68" s="182" t="s">
        <v>1011</v>
      </c>
      <c r="B68" s="182" t="s">
        <v>1012</v>
      </c>
      <c r="D68" s="182" t="s">
        <v>1013</v>
      </c>
    </row>
    <row r="69" customFormat="false" ht="12" hidden="false" customHeight="false" outlineLevel="0" collapsed="false">
      <c r="A69" s="182" t="s">
        <v>1014</v>
      </c>
      <c r="B69" s="182" t="s">
        <v>1015</v>
      </c>
      <c r="D69" s="182" t="s">
        <v>1016</v>
      </c>
    </row>
    <row r="70" customFormat="false" ht="12" hidden="false" customHeight="false" outlineLevel="0" collapsed="false">
      <c r="A70" s="182" t="s">
        <v>1017</v>
      </c>
      <c r="B70" s="182" t="s">
        <v>1018</v>
      </c>
      <c r="D70" s="182" t="s">
        <v>1019</v>
      </c>
    </row>
    <row r="71" customFormat="false" ht="12" hidden="false" customHeight="false" outlineLevel="0" collapsed="false">
      <c r="A71" s="182" t="s">
        <v>1020</v>
      </c>
      <c r="B71" s="182" t="s">
        <v>1021</v>
      </c>
      <c r="D71" s="182" t="s">
        <v>1022</v>
      </c>
    </row>
    <row r="72" customFormat="false" ht="12" hidden="false" customHeight="false" outlineLevel="0" collapsed="false">
      <c r="A72" s="182" t="s">
        <v>1023</v>
      </c>
      <c r="B72" s="182" t="s">
        <v>1024</v>
      </c>
      <c r="D72" s="182" t="s">
        <v>1025</v>
      </c>
    </row>
    <row r="73" customFormat="false" ht="12" hidden="false" customHeight="false" outlineLevel="0" collapsed="false">
      <c r="A73" s="182" t="s">
        <v>1026</v>
      </c>
      <c r="B73" s="182" t="s">
        <v>1027</v>
      </c>
      <c r="D73" s="182" t="s">
        <v>1028</v>
      </c>
    </row>
    <row r="74" customFormat="false" ht="12" hidden="false" customHeight="false" outlineLevel="0" collapsed="false">
      <c r="A74" s="182" t="s">
        <v>1029</v>
      </c>
      <c r="B74" s="182" t="s">
        <v>1030</v>
      </c>
      <c r="D74" s="182" t="s">
        <v>1031</v>
      </c>
    </row>
    <row r="75" customFormat="false" ht="12" hidden="false" customHeight="false" outlineLevel="0" collapsed="false">
      <c r="A75" s="182" t="s">
        <v>1032</v>
      </c>
      <c r="B75" s="182" t="s">
        <v>1033</v>
      </c>
      <c r="D75" s="182" t="s">
        <v>1034</v>
      </c>
    </row>
    <row r="76" customFormat="false" ht="12" hidden="false" customHeight="false" outlineLevel="0" collapsed="false">
      <c r="A76" s="182" t="s">
        <v>429</v>
      </c>
      <c r="B76" s="182" t="s">
        <v>1035</v>
      </c>
      <c r="D76" s="182" t="s">
        <v>1036</v>
      </c>
    </row>
    <row r="77" customFormat="false" ht="12" hidden="false" customHeight="false" outlineLevel="0" collapsed="false">
      <c r="A77" s="182" t="s">
        <v>1037</v>
      </c>
      <c r="B77" s="182" t="s">
        <v>1038</v>
      </c>
      <c r="D77" s="182" t="s">
        <v>1039</v>
      </c>
    </row>
    <row r="78" customFormat="false" ht="12" hidden="false" customHeight="false" outlineLevel="0" collapsed="false">
      <c r="A78" s="182" t="s">
        <v>1040</v>
      </c>
      <c r="B78" s="182" t="s">
        <v>1041</v>
      </c>
      <c r="D78" s="182" t="s">
        <v>1042</v>
      </c>
    </row>
    <row r="79" customFormat="false" ht="12" hidden="false" customHeight="false" outlineLevel="0" collapsed="false">
      <c r="A79" s="182" t="s">
        <v>1043</v>
      </c>
      <c r="B79" s="182" t="s">
        <v>1044</v>
      </c>
      <c r="D79" s="182" t="s">
        <v>1045</v>
      </c>
    </row>
    <row r="80" customFormat="false" ht="12" hidden="false" customHeight="false" outlineLevel="0" collapsed="false">
      <c r="A80" s="182" t="s">
        <v>1046</v>
      </c>
      <c r="B80" s="182" t="s">
        <v>1047</v>
      </c>
      <c r="D80" s="182" t="s">
        <v>1048</v>
      </c>
    </row>
    <row r="81" customFormat="false" ht="12" hidden="false" customHeight="false" outlineLevel="0" collapsed="false">
      <c r="A81" s="182" t="s">
        <v>1049</v>
      </c>
      <c r="B81" s="182" t="s">
        <v>1050</v>
      </c>
      <c r="D81" s="182" t="s">
        <v>1051</v>
      </c>
    </row>
    <row r="82" customFormat="false" ht="12" hidden="false" customHeight="false" outlineLevel="0" collapsed="false">
      <c r="A82" s="182" t="s">
        <v>1052</v>
      </c>
      <c r="B82" s="182" t="s">
        <v>1053</v>
      </c>
      <c r="D82" s="182" t="s">
        <v>1054</v>
      </c>
    </row>
    <row r="83" customFormat="false" ht="12" hidden="false" customHeight="false" outlineLevel="0" collapsed="false">
      <c r="A83" s="182" t="s">
        <v>1055</v>
      </c>
      <c r="B83" s="182" t="s">
        <v>1056</v>
      </c>
      <c r="D83" s="182" t="s">
        <v>1057</v>
      </c>
    </row>
    <row r="84" customFormat="false" ht="12" hidden="false" customHeight="false" outlineLevel="0" collapsed="false">
      <c r="A84" s="182" t="s">
        <v>1058</v>
      </c>
      <c r="B84" s="182" t="s">
        <v>1059</v>
      </c>
      <c r="D84" s="182" t="s">
        <v>1060</v>
      </c>
    </row>
    <row r="85" customFormat="false" ht="12" hidden="false" customHeight="false" outlineLevel="0" collapsed="false">
      <c r="A85" s="182" t="s">
        <v>1061</v>
      </c>
      <c r="B85" s="182" t="s">
        <v>1062</v>
      </c>
      <c r="D85" s="182" t="s">
        <v>1063</v>
      </c>
    </row>
    <row r="86" customFormat="false" ht="12" hidden="false" customHeight="false" outlineLevel="0" collapsed="false">
      <c r="A86" s="182" t="s">
        <v>1064</v>
      </c>
      <c r="B86" s="182" t="s">
        <v>1065</v>
      </c>
      <c r="D86" s="182" t="s">
        <v>1066</v>
      </c>
    </row>
    <row r="87" customFormat="false" ht="12" hidden="false" customHeight="false" outlineLevel="0" collapsed="false">
      <c r="A87" s="182" t="s">
        <v>1067</v>
      </c>
      <c r="B87" s="182" t="s">
        <v>1068</v>
      </c>
      <c r="D87" s="182" t="s">
        <v>1069</v>
      </c>
    </row>
    <row r="88" customFormat="false" ht="12" hidden="false" customHeight="false" outlineLevel="0" collapsed="false">
      <c r="A88" s="182" t="s">
        <v>1070</v>
      </c>
      <c r="B88" s="182" t="s">
        <v>1071</v>
      </c>
      <c r="D88" s="182" t="s">
        <v>1072</v>
      </c>
    </row>
    <row r="89" customFormat="false" ht="12" hidden="false" customHeight="false" outlineLevel="0" collapsed="false">
      <c r="A89" s="182" t="s">
        <v>1073</v>
      </c>
      <c r="B89" s="182" t="s">
        <v>1074</v>
      </c>
      <c r="D89" s="182" t="s">
        <v>1075</v>
      </c>
    </row>
    <row r="90" customFormat="false" ht="12" hidden="false" customHeight="false" outlineLevel="0" collapsed="false">
      <c r="A90" s="182" t="s">
        <v>1076</v>
      </c>
      <c r="B90" s="182" t="s">
        <v>1077</v>
      </c>
      <c r="D90" s="182" t="s">
        <v>1078</v>
      </c>
    </row>
    <row r="91" customFormat="false" ht="12" hidden="false" customHeight="false" outlineLevel="0" collapsed="false">
      <c r="A91" s="182" t="s">
        <v>1079</v>
      </c>
      <c r="B91" s="182" t="s">
        <v>1080</v>
      </c>
      <c r="D91" s="182" t="s">
        <v>1081</v>
      </c>
    </row>
    <row r="92" customFormat="false" ht="12" hidden="false" customHeight="false" outlineLevel="0" collapsed="false">
      <c r="A92" s="182" t="s">
        <v>1082</v>
      </c>
      <c r="B92" s="182" t="s">
        <v>1083</v>
      </c>
      <c r="D92" s="182" t="s">
        <v>1084</v>
      </c>
    </row>
    <row r="93" customFormat="false" ht="12" hidden="false" customHeight="false" outlineLevel="0" collapsed="false">
      <c r="A93" s="182" t="s">
        <v>1085</v>
      </c>
      <c r="B93" s="182" t="s">
        <v>1086</v>
      </c>
      <c r="D93" s="182" t="s">
        <v>1087</v>
      </c>
    </row>
    <row r="94" customFormat="false" ht="12" hidden="false" customHeight="false" outlineLevel="0" collapsed="false">
      <c r="A94" s="182" t="s">
        <v>1088</v>
      </c>
      <c r="B94" s="182" t="s">
        <v>1089</v>
      </c>
      <c r="D94" s="182" t="s">
        <v>1090</v>
      </c>
    </row>
    <row r="95" customFormat="false" ht="12" hidden="false" customHeight="false" outlineLevel="0" collapsed="false">
      <c r="A95" s="182" t="s">
        <v>1091</v>
      </c>
      <c r="B95" s="182" t="s">
        <v>1092</v>
      </c>
      <c r="D95" s="182" t="s">
        <v>119</v>
      </c>
    </row>
    <row r="96" customFormat="false" ht="12" hidden="false" customHeight="false" outlineLevel="0" collapsed="false">
      <c r="A96" s="182" t="s">
        <v>1093</v>
      </c>
      <c r="B96" s="182" t="s">
        <v>1094</v>
      </c>
      <c r="D96" s="182" t="s">
        <v>1095</v>
      </c>
    </row>
    <row r="97" customFormat="false" ht="12" hidden="false" customHeight="false" outlineLevel="0" collapsed="false">
      <c r="A97" s="182" t="s">
        <v>1096</v>
      </c>
      <c r="B97" s="182" t="s">
        <v>1097</v>
      </c>
      <c r="D97" s="182" t="s">
        <v>1098</v>
      </c>
    </row>
    <row r="98" customFormat="false" ht="12" hidden="false" customHeight="false" outlineLevel="0" collapsed="false">
      <c r="A98" s="182" t="s">
        <v>1099</v>
      </c>
      <c r="B98" s="182" t="s">
        <v>1100</v>
      </c>
      <c r="D98" s="182" t="s">
        <v>1101</v>
      </c>
    </row>
    <row r="99" customFormat="false" ht="12" hidden="false" customHeight="false" outlineLevel="0" collapsed="false">
      <c r="A99" s="182" t="s">
        <v>1102</v>
      </c>
      <c r="B99" s="182" t="s">
        <v>1103</v>
      </c>
      <c r="D99" s="182" t="s">
        <v>1104</v>
      </c>
    </row>
    <row r="100" customFormat="false" ht="12" hidden="false" customHeight="false" outlineLevel="0" collapsed="false">
      <c r="A100" s="182" t="s">
        <v>1105</v>
      </c>
      <c r="B100" s="182" t="s">
        <v>1106</v>
      </c>
      <c r="D100" s="182" t="s">
        <v>1107</v>
      </c>
    </row>
    <row r="101" customFormat="false" ht="12" hidden="false" customHeight="false" outlineLevel="0" collapsed="false">
      <c r="A101" s="182" t="s">
        <v>1108</v>
      </c>
      <c r="B101" s="182" t="s">
        <v>1109</v>
      </c>
      <c r="D101" s="182" t="s">
        <v>1110</v>
      </c>
    </row>
    <row r="102" customFormat="false" ht="12" hidden="false" customHeight="false" outlineLevel="0" collapsed="false">
      <c r="A102" s="182" t="s">
        <v>1111</v>
      </c>
      <c r="B102" s="182" t="s">
        <v>1112</v>
      </c>
      <c r="D102" s="182" t="s">
        <v>1113</v>
      </c>
    </row>
    <row r="103" customFormat="false" ht="12" hidden="false" customHeight="false" outlineLevel="0" collapsed="false">
      <c r="A103" s="182" t="s">
        <v>1114</v>
      </c>
      <c r="B103" s="182" t="s">
        <v>1115</v>
      </c>
      <c r="D103" s="182" t="s">
        <v>1116</v>
      </c>
    </row>
    <row r="104" customFormat="false" ht="12" hidden="false" customHeight="false" outlineLevel="0" collapsed="false">
      <c r="A104" s="182" t="s">
        <v>1117</v>
      </c>
      <c r="B104" s="182" t="s">
        <v>1118</v>
      </c>
      <c r="D104" s="182" t="s">
        <v>1119</v>
      </c>
    </row>
    <row r="105" customFormat="false" ht="12" hidden="false" customHeight="false" outlineLevel="0" collapsed="false">
      <c r="A105" s="182" t="s">
        <v>1120</v>
      </c>
      <c r="B105" s="182" t="s">
        <v>1121</v>
      </c>
      <c r="D105" s="182" t="s">
        <v>1122</v>
      </c>
    </row>
    <row r="106" customFormat="false" ht="12" hidden="false" customHeight="false" outlineLevel="0" collapsed="false">
      <c r="A106" s="182" t="s">
        <v>1123</v>
      </c>
      <c r="B106" s="182" t="s">
        <v>1124</v>
      </c>
      <c r="D106" s="182" t="s">
        <v>1125</v>
      </c>
    </row>
    <row r="107" customFormat="false" ht="12" hidden="false" customHeight="false" outlineLevel="0" collapsed="false">
      <c r="A107" s="182" t="s">
        <v>1126</v>
      </c>
      <c r="B107" s="182" t="s">
        <v>1127</v>
      </c>
      <c r="D107" s="182" t="s">
        <v>1128</v>
      </c>
    </row>
    <row r="108" customFormat="false" ht="12" hidden="false" customHeight="false" outlineLevel="0" collapsed="false">
      <c r="A108" s="182" t="s">
        <v>1129</v>
      </c>
      <c r="B108" s="182" t="s">
        <v>1130</v>
      </c>
      <c r="D108" s="182" t="s">
        <v>1131</v>
      </c>
    </row>
    <row r="109" customFormat="false" ht="12" hidden="false" customHeight="false" outlineLevel="0" collapsed="false">
      <c r="A109" s="182" t="s">
        <v>1132</v>
      </c>
      <c r="B109" s="182" t="s">
        <v>1133</v>
      </c>
      <c r="D109" s="182" t="s">
        <v>1134</v>
      </c>
    </row>
    <row r="110" customFormat="false" ht="12" hidden="false" customHeight="false" outlineLevel="0" collapsed="false">
      <c r="A110" s="182" t="s">
        <v>1135</v>
      </c>
      <c r="B110" s="182" t="s">
        <v>1136</v>
      </c>
      <c r="D110" s="182" t="s">
        <v>1137</v>
      </c>
    </row>
    <row r="111" customFormat="false" ht="12" hidden="false" customHeight="false" outlineLevel="0" collapsed="false">
      <c r="A111" s="182" t="s">
        <v>1138</v>
      </c>
      <c r="B111" s="182" t="s">
        <v>1139</v>
      </c>
      <c r="D111" s="182" t="s">
        <v>1140</v>
      </c>
    </row>
    <row r="112" customFormat="false" ht="12" hidden="false" customHeight="false" outlineLevel="0" collapsed="false">
      <c r="A112" s="182" t="s">
        <v>1141</v>
      </c>
      <c r="B112" s="182" t="s">
        <v>1142</v>
      </c>
      <c r="D112" s="182" t="s">
        <v>1143</v>
      </c>
    </row>
    <row r="113" customFormat="false" ht="12" hidden="false" customHeight="false" outlineLevel="0" collapsed="false">
      <c r="A113" s="182" t="s">
        <v>1144</v>
      </c>
      <c r="B113" s="182" t="s">
        <v>1145</v>
      </c>
      <c r="D113" s="182" t="s">
        <v>1146</v>
      </c>
    </row>
    <row r="114" customFormat="false" ht="12" hidden="false" customHeight="false" outlineLevel="0" collapsed="false">
      <c r="A114" s="182" t="s">
        <v>1147</v>
      </c>
      <c r="B114" s="182" t="s">
        <v>1148</v>
      </c>
      <c r="D114" s="182" t="s">
        <v>1149</v>
      </c>
    </row>
    <row r="115" customFormat="false" ht="12" hidden="false" customHeight="false" outlineLevel="0" collapsed="false">
      <c r="A115" s="182" t="s">
        <v>1150</v>
      </c>
      <c r="B115" s="182" t="s">
        <v>1151</v>
      </c>
      <c r="D115" s="182" t="s">
        <v>1152</v>
      </c>
    </row>
    <row r="116" customFormat="false" ht="12" hidden="false" customHeight="false" outlineLevel="0" collapsed="false">
      <c r="A116" s="182" t="s">
        <v>1153</v>
      </c>
      <c r="B116" s="182" t="s">
        <v>1154</v>
      </c>
      <c r="D116" s="182" t="s">
        <v>1155</v>
      </c>
    </row>
    <row r="117" customFormat="false" ht="12" hidden="false" customHeight="false" outlineLevel="0" collapsed="false">
      <c r="A117" s="182" t="s">
        <v>1156</v>
      </c>
      <c r="B117" s="182" t="s">
        <v>1157</v>
      </c>
      <c r="D117" s="182" t="s">
        <v>1158</v>
      </c>
    </row>
    <row r="118" customFormat="false" ht="12" hidden="false" customHeight="false" outlineLevel="0" collapsed="false">
      <c r="A118" s="182" t="s">
        <v>1159</v>
      </c>
      <c r="B118" s="182" t="s">
        <v>1160</v>
      </c>
      <c r="D118" s="182" t="s">
        <v>1161</v>
      </c>
    </row>
    <row r="119" customFormat="false" ht="12" hidden="false" customHeight="false" outlineLevel="0" collapsed="false">
      <c r="A119" s="182" t="s">
        <v>1162</v>
      </c>
      <c r="B119" s="182" t="s">
        <v>1163</v>
      </c>
      <c r="D119" s="182" t="s">
        <v>1164</v>
      </c>
    </row>
    <row r="120" customFormat="false" ht="12" hidden="false" customHeight="false" outlineLevel="0" collapsed="false">
      <c r="A120" s="182" t="s">
        <v>1165</v>
      </c>
      <c r="B120" s="182" t="s">
        <v>1166</v>
      </c>
      <c r="D120" s="182" t="s">
        <v>1167</v>
      </c>
    </row>
    <row r="121" customFormat="false" ht="12" hidden="false" customHeight="false" outlineLevel="0" collapsed="false">
      <c r="A121" s="182" t="s">
        <v>1168</v>
      </c>
      <c r="B121" s="182" t="s">
        <v>1169</v>
      </c>
      <c r="D121" s="182" t="s">
        <v>1170</v>
      </c>
    </row>
    <row r="122" customFormat="false" ht="12" hidden="false" customHeight="false" outlineLevel="0" collapsed="false">
      <c r="A122" s="182" t="s">
        <v>1171</v>
      </c>
      <c r="B122" s="182" t="s">
        <v>1172</v>
      </c>
      <c r="D122" s="182" t="s">
        <v>1173</v>
      </c>
    </row>
    <row r="123" customFormat="false" ht="12" hidden="false" customHeight="false" outlineLevel="0" collapsed="false">
      <c r="A123" s="182" t="s">
        <v>1174</v>
      </c>
      <c r="B123" s="182" t="s">
        <v>1175</v>
      </c>
      <c r="D123" s="182" t="s">
        <v>1176</v>
      </c>
    </row>
    <row r="124" customFormat="false" ht="12" hidden="false" customHeight="false" outlineLevel="0" collapsed="false">
      <c r="A124" s="182" t="s">
        <v>1177</v>
      </c>
      <c r="B124" s="182" t="s">
        <v>1178</v>
      </c>
      <c r="D124" s="182" t="s">
        <v>1179</v>
      </c>
    </row>
    <row r="125" customFormat="false" ht="12" hidden="false" customHeight="false" outlineLevel="0" collapsed="false">
      <c r="A125" s="182" t="s">
        <v>1180</v>
      </c>
      <c r="B125" s="182" t="s">
        <v>1181</v>
      </c>
      <c r="D125" s="182" t="s">
        <v>1182</v>
      </c>
    </row>
    <row r="126" customFormat="false" ht="12" hidden="false" customHeight="false" outlineLevel="0" collapsed="false">
      <c r="A126" s="182" t="s">
        <v>1183</v>
      </c>
      <c r="B126" s="182" t="s">
        <v>1184</v>
      </c>
      <c r="D126" s="182" t="s">
        <v>1185</v>
      </c>
    </row>
    <row r="127" customFormat="false" ht="12" hidden="false" customHeight="false" outlineLevel="0" collapsed="false">
      <c r="A127" s="182" t="s">
        <v>1186</v>
      </c>
      <c r="B127" s="182" t="s">
        <v>1187</v>
      </c>
      <c r="D127" s="182" t="s">
        <v>1188</v>
      </c>
    </row>
    <row r="128" customFormat="false" ht="12" hidden="false" customHeight="false" outlineLevel="0" collapsed="false">
      <c r="A128" s="182" t="s">
        <v>1189</v>
      </c>
      <c r="B128" s="182" t="s">
        <v>1190</v>
      </c>
      <c r="D128" s="182" t="s">
        <v>1191</v>
      </c>
    </row>
    <row r="129" customFormat="false" ht="12" hidden="false" customHeight="false" outlineLevel="0" collapsed="false">
      <c r="A129" s="182" t="s">
        <v>1192</v>
      </c>
      <c r="B129" s="182" t="s">
        <v>1193</v>
      </c>
      <c r="D129" s="182" t="s">
        <v>1194</v>
      </c>
    </row>
    <row r="130" customFormat="false" ht="12" hidden="false" customHeight="false" outlineLevel="0" collapsed="false">
      <c r="A130" s="182" t="s">
        <v>1195</v>
      </c>
      <c r="B130" s="182" t="s">
        <v>1196</v>
      </c>
      <c r="D130" s="182" t="s">
        <v>1197</v>
      </c>
    </row>
    <row r="131" customFormat="false" ht="12" hidden="false" customHeight="false" outlineLevel="0" collapsed="false">
      <c r="A131" s="182" t="s">
        <v>1198</v>
      </c>
      <c r="B131" s="182" t="s">
        <v>1199</v>
      </c>
      <c r="D131" s="182" t="s">
        <v>1200</v>
      </c>
    </row>
    <row r="132" customFormat="false" ht="12" hidden="false" customHeight="false" outlineLevel="0" collapsed="false">
      <c r="A132" s="182" t="s">
        <v>1201</v>
      </c>
      <c r="B132" s="182" t="s">
        <v>1202</v>
      </c>
      <c r="D132" s="182" t="s">
        <v>1203</v>
      </c>
    </row>
    <row r="133" customFormat="false" ht="12" hidden="false" customHeight="false" outlineLevel="0" collapsed="false">
      <c r="A133" s="182" t="s">
        <v>1204</v>
      </c>
      <c r="B133" s="182" t="s">
        <v>1205</v>
      </c>
      <c r="D133" s="182" t="s">
        <v>1206</v>
      </c>
    </row>
    <row r="134" customFormat="false" ht="12" hidden="false" customHeight="false" outlineLevel="0" collapsed="false">
      <c r="A134" s="182" t="s">
        <v>1207</v>
      </c>
      <c r="B134" s="182" t="s">
        <v>1208</v>
      </c>
      <c r="D134" s="182" t="s">
        <v>1209</v>
      </c>
    </row>
    <row r="135" customFormat="false" ht="12" hidden="false" customHeight="false" outlineLevel="0" collapsed="false">
      <c r="A135" s="182" t="s">
        <v>1210</v>
      </c>
      <c r="B135" s="182" t="s">
        <v>1211</v>
      </c>
      <c r="D135" s="182" t="s">
        <v>1212</v>
      </c>
    </row>
    <row r="136" customFormat="false" ht="12" hidden="false" customHeight="false" outlineLevel="0" collapsed="false">
      <c r="A136" s="182" t="s">
        <v>1213</v>
      </c>
      <c r="B136" s="182" t="s">
        <v>1214</v>
      </c>
      <c r="D136" s="182" t="s">
        <v>1215</v>
      </c>
    </row>
    <row r="137" customFormat="false" ht="12" hidden="false" customHeight="false" outlineLevel="0" collapsed="false">
      <c r="A137" s="182" t="s">
        <v>1216</v>
      </c>
      <c r="B137" s="182" t="s">
        <v>1217</v>
      </c>
      <c r="D137" s="182" t="s">
        <v>1218</v>
      </c>
    </row>
    <row r="138" customFormat="false" ht="12" hidden="false" customHeight="false" outlineLevel="0" collapsed="false">
      <c r="A138" s="182" t="s">
        <v>1219</v>
      </c>
      <c r="B138" s="182" t="s">
        <v>1220</v>
      </c>
      <c r="D138" s="182" t="s">
        <v>1221</v>
      </c>
    </row>
    <row r="139" customFormat="false" ht="12" hidden="false" customHeight="false" outlineLevel="0" collapsed="false">
      <c r="A139" s="182" t="s">
        <v>1222</v>
      </c>
      <c r="B139" s="182" t="s">
        <v>1223</v>
      </c>
      <c r="D139" s="182" t="s">
        <v>1224</v>
      </c>
    </row>
    <row r="140" customFormat="false" ht="12" hidden="false" customHeight="false" outlineLevel="0" collapsed="false">
      <c r="A140" s="182" t="s">
        <v>1225</v>
      </c>
      <c r="B140" s="182" t="s">
        <v>1226</v>
      </c>
      <c r="D140" s="182" t="s">
        <v>1227</v>
      </c>
    </row>
    <row r="141" customFormat="false" ht="12" hidden="false" customHeight="false" outlineLevel="0" collapsed="false">
      <c r="A141" s="182" t="s">
        <v>1228</v>
      </c>
      <c r="B141" s="182" t="s">
        <v>1229</v>
      </c>
      <c r="D141" s="182" t="s">
        <v>1230</v>
      </c>
    </row>
    <row r="142" customFormat="false" ht="12" hidden="false" customHeight="false" outlineLevel="0" collapsed="false">
      <c r="A142" s="182" t="s">
        <v>1231</v>
      </c>
      <c r="B142" s="182" t="s">
        <v>1232</v>
      </c>
      <c r="D142" s="182" t="s">
        <v>1233</v>
      </c>
    </row>
    <row r="143" customFormat="false" ht="12" hidden="false" customHeight="false" outlineLevel="0" collapsed="false">
      <c r="A143" s="182" t="s">
        <v>1234</v>
      </c>
      <c r="B143" s="182" t="s">
        <v>1235</v>
      </c>
      <c r="D143" s="182" t="s">
        <v>1236</v>
      </c>
    </row>
    <row r="144" customFormat="false" ht="12" hidden="false" customHeight="false" outlineLevel="0" collapsed="false">
      <c r="A144" s="182" t="s">
        <v>1237</v>
      </c>
      <c r="B144" s="182" t="s">
        <v>1238</v>
      </c>
      <c r="D144" s="182" t="s">
        <v>1239</v>
      </c>
    </row>
    <row r="145" customFormat="false" ht="12" hidden="false" customHeight="false" outlineLevel="0" collapsed="false">
      <c r="A145" s="182" t="s">
        <v>1240</v>
      </c>
      <c r="B145" s="182" t="s">
        <v>1241</v>
      </c>
      <c r="D145" s="182" t="s">
        <v>1242</v>
      </c>
    </row>
    <row r="146" customFormat="false" ht="12" hidden="false" customHeight="false" outlineLevel="0" collapsed="false">
      <c r="A146" s="182" t="s">
        <v>1243</v>
      </c>
      <c r="B146" s="182" t="s">
        <v>1244</v>
      </c>
      <c r="D146" s="182" t="s">
        <v>1245</v>
      </c>
    </row>
    <row r="147" customFormat="false" ht="12" hidden="false" customHeight="false" outlineLevel="0" collapsed="false">
      <c r="A147" s="182" t="s">
        <v>1246</v>
      </c>
      <c r="B147" s="182" t="s">
        <v>1247</v>
      </c>
      <c r="D147" s="182" t="s">
        <v>1248</v>
      </c>
    </row>
    <row r="148" customFormat="false" ht="12" hidden="false" customHeight="false" outlineLevel="0" collapsed="false">
      <c r="A148" s="182" t="s">
        <v>1249</v>
      </c>
      <c r="B148" s="182" t="s">
        <v>1250</v>
      </c>
      <c r="D148" s="182" t="s">
        <v>1251</v>
      </c>
    </row>
    <row r="149" customFormat="false" ht="12" hidden="false" customHeight="false" outlineLevel="0" collapsed="false">
      <c r="A149" s="182" t="s">
        <v>1252</v>
      </c>
      <c r="B149" s="182" t="s">
        <v>1253</v>
      </c>
      <c r="D149" s="182" t="s">
        <v>1254</v>
      </c>
    </row>
    <row r="150" customFormat="false" ht="12" hidden="false" customHeight="false" outlineLevel="0" collapsed="false">
      <c r="A150" s="182" t="s">
        <v>1255</v>
      </c>
      <c r="B150" s="182" t="s">
        <v>1256</v>
      </c>
      <c r="D150" s="182" t="s">
        <v>1257</v>
      </c>
    </row>
    <row r="151" customFormat="false" ht="12" hidden="false" customHeight="false" outlineLevel="0" collapsed="false">
      <c r="A151" s="182" t="s">
        <v>1258</v>
      </c>
      <c r="B151" s="182" t="s">
        <v>1259</v>
      </c>
      <c r="D151" s="182" t="s">
        <v>1260</v>
      </c>
    </row>
    <row r="152" customFormat="false" ht="12" hidden="false" customHeight="false" outlineLevel="0" collapsed="false">
      <c r="A152" s="182" t="s">
        <v>1261</v>
      </c>
      <c r="B152" s="182" t="s">
        <v>1262</v>
      </c>
      <c r="D152" s="182" t="s">
        <v>1263</v>
      </c>
    </row>
    <row r="153" customFormat="false" ht="12" hidden="false" customHeight="false" outlineLevel="0" collapsed="false">
      <c r="A153" s="182" t="s">
        <v>1264</v>
      </c>
      <c r="B153" s="182" t="s">
        <v>1265</v>
      </c>
      <c r="D153" s="182" t="s">
        <v>1266</v>
      </c>
    </row>
    <row r="154" customFormat="false" ht="12" hidden="false" customHeight="false" outlineLevel="0" collapsed="false">
      <c r="A154" s="182" t="s">
        <v>1267</v>
      </c>
      <c r="B154" s="182" t="s">
        <v>1268</v>
      </c>
      <c r="D154" s="182" t="s">
        <v>1269</v>
      </c>
    </row>
    <row r="155" customFormat="false" ht="12" hidden="false" customHeight="false" outlineLevel="0" collapsed="false">
      <c r="A155" s="182" t="s">
        <v>1270</v>
      </c>
      <c r="B155" s="182" t="s">
        <v>1271</v>
      </c>
      <c r="D155" s="182" t="s">
        <v>1272</v>
      </c>
    </row>
    <row r="156" customFormat="false" ht="12" hidden="false" customHeight="false" outlineLevel="0" collapsed="false">
      <c r="A156" s="182" t="s">
        <v>1273</v>
      </c>
      <c r="B156" s="182" t="s">
        <v>1274</v>
      </c>
      <c r="D156" s="182" t="s">
        <v>1275</v>
      </c>
    </row>
    <row r="157" customFormat="false" ht="12" hidden="false" customHeight="false" outlineLevel="0" collapsed="false">
      <c r="A157" s="182" t="s">
        <v>1276</v>
      </c>
      <c r="B157" s="182" t="s">
        <v>1277</v>
      </c>
      <c r="D157" s="182" t="s">
        <v>1278</v>
      </c>
    </row>
    <row r="158" customFormat="false" ht="12" hidden="false" customHeight="false" outlineLevel="0" collapsed="false">
      <c r="A158" s="182" t="s">
        <v>1279</v>
      </c>
      <c r="B158" s="182" t="s">
        <v>1280</v>
      </c>
      <c r="D158" s="182" t="s">
        <v>1281</v>
      </c>
    </row>
    <row r="159" customFormat="false" ht="12" hidden="false" customHeight="false" outlineLevel="0" collapsed="false">
      <c r="A159" s="182" t="s">
        <v>1282</v>
      </c>
      <c r="B159" s="182" t="s">
        <v>1283</v>
      </c>
      <c r="D159" s="182" t="s">
        <v>1284</v>
      </c>
    </row>
    <row r="160" customFormat="false" ht="12" hidden="false" customHeight="false" outlineLevel="0" collapsed="false">
      <c r="A160" s="182" t="s">
        <v>1285</v>
      </c>
      <c r="B160" s="182" t="s">
        <v>1286</v>
      </c>
      <c r="D160" s="182" t="s">
        <v>1287</v>
      </c>
    </row>
    <row r="161" customFormat="false" ht="12" hidden="false" customHeight="false" outlineLevel="0" collapsed="false">
      <c r="A161" s="182" t="s">
        <v>1288</v>
      </c>
      <c r="B161" s="182" t="s">
        <v>1289</v>
      </c>
      <c r="D161" s="182" t="s">
        <v>1290</v>
      </c>
    </row>
    <row r="162" customFormat="false" ht="12" hidden="false" customHeight="false" outlineLevel="0" collapsed="false">
      <c r="A162" s="182" t="s">
        <v>1291</v>
      </c>
      <c r="B162" s="182" t="s">
        <v>1292</v>
      </c>
      <c r="D162" s="182" t="s">
        <v>1293</v>
      </c>
    </row>
    <row r="163" customFormat="false" ht="12" hidden="false" customHeight="false" outlineLevel="0" collapsed="false">
      <c r="A163" s="182" t="s">
        <v>1294</v>
      </c>
      <c r="B163" s="182" t="s">
        <v>1295</v>
      </c>
      <c r="D163" s="182" t="s">
        <v>1296</v>
      </c>
    </row>
    <row r="164" customFormat="false" ht="12" hidden="false" customHeight="false" outlineLevel="0" collapsed="false">
      <c r="A164" s="182" t="s">
        <v>1297</v>
      </c>
      <c r="B164" s="182" t="s">
        <v>1298</v>
      </c>
      <c r="D164" s="182" t="s">
        <v>1299</v>
      </c>
    </row>
    <row r="165" customFormat="false" ht="12" hidden="false" customHeight="false" outlineLevel="0" collapsed="false">
      <c r="A165" s="182" t="s">
        <v>1300</v>
      </c>
      <c r="B165" s="182" t="s">
        <v>1301</v>
      </c>
      <c r="D165" s="182" t="s">
        <v>1302</v>
      </c>
    </row>
    <row r="166" customFormat="false" ht="12" hidden="false" customHeight="false" outlineLevel="0" collapsed="false">
      <c r="A166" s="182" t="s">
        <v>1303</v>
      </c>
      <c r="B166" s="182" t="s">
        <v>1304</v>
      </c>
      <c r="D166" s="182" t="s">
        <v>1305</v>
      </c>
    </row>
    <row r="167" customFormat="false" ht="12" hidden="false" customHeight="false" outlineLevel="0" collapsed="false">
      <c r="A167" s="182" t="s">
        <v>1306</v>
      </c>
      <c r="B167" s="182" t="s">
        <v>1307</v>
      </c>
      <c r="D167" s="182" t="s">
        <v>1308</v>
      </c>
    </row>
    <row r="168" customFormat="false" ht="12" hidden="false" customHeight="false" outlineLevel="0" collapsed="false">
      <c r="A168" s="182" t="s">
        <v>1309</v>
      </c>
      <c r="B168" s="182" t="s">
        <v>1310</v>
      </c>
      <c r="D168" s="182" t="s">
        <v>1311</v>
      </c>
    </row>
    <row r="169" customFormat="false" ht="12" hidden="false" customHeight="false" outlineLevel="0" collapsed="false">
      <c r="A169" s="182" t="s">
        <v>1312</v>
      </c>
      <c r="B169" s="182" t="s">
        <v>1313</v>
      </c>
      <c r="D169" s="182" t="s">
        <v>1314</v>
      </c>
    </row>
    <row r="170" customFormat="false" ht="12" hidden="false" customHeight="false" outlineLevel="0" collapsed="false">
      <c r="A170" s="182" t="s">
        <v>1315</v>
      </c>
      <c r="B170" s="182" t="s">
        <v>1316</v>
      </c>
      <c r="D170" s="182" t="s">
        <v>1317</v>
      </c>
    </row>
    <row r="171" customFormat="false" ht="12" hidden="false" customHeight="false" outlineLevel="0" collapsed="false">
      <c r="A171" s="182" t="s">
        <v>1318</v>
      </c>
      <c r="B171" s="182" t="s">
        <v>1319</v>
      </c>
      <c r="D171" s="182" t="s">
        <v>1320</v>
      </c>
    </row>
    <row r="172" customFormat="false" ht="12" hidden="false" customHeight="false" outlineLevel="0" collapsed="false">
      <c r="A172" s="182" t="s">
        <v>1321</v>
      </c>
      <c r="B172" s="182" t="s">
        <v>1322</v>
      </c>
      <c r="D172" s="182" t="s">
        <v>1323</v>
      </c>
    </row>
    <row r="173" customFormat="false" ht="12" hidden="false" customHeight="false" outlineLevel="0" collapsed="false">
      <c r="A173" s="182" t="s">
        <v>1324</v>
      </c>
      <c r="B173" s="182" t="s">
        <v>1325</v>
      </c>
      <c r="D173" s="182" t="s">
        <v>1326</v>
      </c>
    </row>
    <row r="174" customFormat="false" ht="12" hidden="false" customHeight="false" outlineLevel="0" collapsed="false">
      <c r="A174" s="182" t="s">
        <v>1327</v>
      </c>
      <c r="B174" s="182" t="s">
        <v>1328</v>
      </c>
      <c r="D174" s="182" t="s">
        <v>1329</v>
      </c>
    </row>
    <row r="175" customFormat="false" ht="12" hidden="false" customHeight="false" outlineLevel="0" collapsed="false">
      <c r="A175" s="182" t="s">
        <v>1330</v>
      </c>
      <c r="B175" s="182" t="s">
        <v>1331</v>
      </c>
      <c r="D175" s="182" t="s">
        <v>1332</v>
      </c>
    </row>
    <row r="176" customFormat="false" ht="12" hidden="false" customHeight="false" outlineLevel="0" collapsed="false">
      <c r="A176" s="182" t="s">
        <v>1333</v>
      </c>
      <c r="B176" s="182" t="s">
        <v>1334</v>
      </c>
      <c r="D176" s="182" t="s">
        <v>1335</v>
      </c>
    </row>
    <row r="177" customFormat="false" ht="12" hidden="false" customHeight="false" outlineLevel="0" collapsed="false">
      <c r="A177" s="182" t="s">
        <v>1336</v>
      </c>
      <c r="B177" s="182" t="s">
        <v>1337</v>
      </c>
      <c r="D177" s="182" t="s">
        <v>1338</v>
      </c>
    </row>
    <row r="178" customFormat="false" ht="12" hidden="false" customHeight="false" outlineLevel="0" collapsed="false">
      <c r="A178" s="182" t="s">
        <v>1339</v>
      </c>
      <c r="B178" s="182" t="s">
        <v>1340</v>
      </c>
      <c r="D178" s="182" t="s">
        <v>1341</v>
      </c>
    </row>
    <row r="179" customFormat="false" ht="12" hidden="false" customHeight="false" outlineLevel="0" collapsed="false">
      <c r="A179" s="182" t="s">
        <v>1342</v>
      </c>
      <c r="B179" s="182" t="s">
        <v>1343</v>
      </c>
      <c r="D179" s="182" t="s">
        <v>1344</v>
      </c>
    </row>
    <row r="180" customFormat="false" ht="12" hidden="false" customHeight="false" outlineLevel="0" collapsed="false">
      <c r="A180" s="182" t="s">
        <v>1345</v>
      </c>
      <c r="B180" s="182" t="s">
        <v>1346</v>
      </c>
      <c r="D180" s="182" t="s">
        <v>1347</v>
      </c>
    </row>
    <row r="181" customFormat="false" ht="12" hidden="false" customHeight="false" outlineLevel="0" collapsed="false">
      <c r="A181" s="182" t="s">
        <v>1348</v>
      </c>
      <c r="B181" s="182" t="s">
        <v>1349</v>
      </c>
      <c r="D181" s="182" t="s">
        <v>1350</v>
      </c>
    </row>
    <row r="182" customFormat="false" ht="12" hidden="false" customHeight="false" outlineLevel="0" collapsed="false">
      <c r="A182" s="182" t="s">
        <v>1351</v>
      </c>
      <c r="B182" s="182" t="s">
        <v>1352</v>
      </c>
      <c r="D182" s="182" t="s">
        <v>1353</v>
      </c>
    </row>
    <row r="183" customFormat="false" ht="12" hidden="false" customHeight="false" outlineLevel="0" collapsed="false">
      <c r="A183" s="182" t="s">
        <v>1354</v>
      </c>
      <c r="B183" s="182" t="s">
        <v>1355</v>
      </c>
      <c r="D183" s="182" t="s">
        <v>1356</v>
      </c>
    </row>
    <row r="184" customFormat="false" ht="12" hidden="false" customHeight="false" outlineLevel="0" collapsed="false">
      <c r="A184" s="182" t="s">
        <v>1357</v>
      </c>
      <c r="B184" s="182" t="s">
        <v>1358</v>
      </c>
      <c r="D184" s="182" t="s">
        <v>1359</v>
      </c>
    </row>
    <row r="185" customFormat="false" ht="12" hidden="false" customHeight="false" outlineLevel="0" collapsed="false">
      <c r="A185" s="182" t="s">
        <v>1360</v>
      </c>
      <c r="B185" s="182" t="s">
        <v>1361</v>
      </c>
      <c r="D185" s="182" t="s">
        <v>1362</v>
      </c>
    </row>
    <row r="186" customFormat="false" ht="12" hidden="false" customHeight="false" outlineLevel="0" collapsed="false">
      <c r="A186" s="182" t="s">
        <v>1363</v>
      </c>
      <c r="B186" s="182" t="s">
        <v>1364</v>
      </c>
      <c r="D186" s="182" t="s">
        <v>1365</v>
      </c>
    </row>
    <row r="187" customFormat="false" ht="12" hidden="false" customHeight="false" outlineLevel="0" collapsed="false">
      <c r="A187" s="182" t="s">
        <v>1366</v>
      </c>
      <c r="B187" s="182" t="s">
        <v>1367</v>
      </c>
      <c r="D187" s="182" t="s">
        <v>1368</v>
      </c>
    </row>
    <row r="188" customFormat="false" ht="12" hidden="false" customHeight="false" outlineLevel="0" collapsed="false">
      <c r="A188" s="182" t="s">
        <v>1369</v>
      </c>
      <c r="B188" s="182" t="s">
        <v>1370</v>
      </c>
      <c r="D188" s="182" t="s">
        <v>1371</v>
      </c>
    </row>
    <row r="189" customFormat="false" ht="12" hidden="false" customHeight="false" outlineLevel="0" collapsed="false">
      <c r="A189" s="182" t="s">
        <v>1372</v>
      </c>
      <c r="B189" s="182" t="s">
        <v>1373</v>
      </c>
      <c r="D189" s="182" t="s">
        <v>1374</v>
      </c>
    </row>
    <row r="190" customFormat="false" ht="12" hidden="false" customHeight="false" outlineLevel="0" collapsed="false">
      <c r="A190" s="182" t="s">
        <v>1375</v>
      </c>
      <c r="B190" s="182" t="s">
        <v>1376</v>
      </c>
      <c r="D190" s="182" t="s">
        <v>1377</v>
      </c>
    </row>
    <row r="191" customFormat="false" ht="12" hidden="false" customHeight="false" outlineLevel="0" collapsed="false">
      <c r="A191" s="182" t="s">
        <v>1378</v>
      </c>
      <c r="B191" s="182" t="s">
        <v>1379</v>
      </c>
      <c r="D191" s="182" t="s">
        <v>1380</v>
      </c>
    </row>
    <row r="192" customFormat="false" ht="12" hidden="false" customHeight="false" outlineLevel="0" collapsed="false">
      <c r="A192" s="182" t="s">
        <v>1381</v>
      </c>
      <c r="B192" s="182" t="s">
        <v>1382</v>
      </c>
      <c r="D192" s="182" t="s">
        <v>1383</v>
      </c>
    </row>
    <row r="193" customFormat="false" ht="12" hidden="false" customHeight="false" outlineLevel="0" collapsed="false">
      <c r="A193" s="182" t="s">
        <v>1384</v>
      </c>
      <c r="B193" s="182" t="s">
        <v>1385</v>
      </c>
      <c r="D193" s="182" t="s">
        <v>1386</v>
      </c>
    </row>
    <row r="194" customFormat="false" ht="12" hidden="false" customHeight="false" outlineLevel="0" collapsed="false">
      <c r="A194" s="182" t="s">
        <v>1387</v>
      </c>
      <c r="B194" s="182" t="s">
        <v>1388</v>
      </c>
      <c r="D194" s="182" t="s">
        <v>1389</v>
      </c>
    </row>
    <row r="195" customFormat="false" ht="12" hidden="false" customHeight="false" outlineLevel="0" collapsed="false">
      <c r="A195" s="182" t="s">
        <v>1390</v>
      </c>
      <c r="B195" s="182" t="s">
        <v>1391</v>
      </c>
      <c r="D195" s="182" t="s">
        <v>1392</v>
      </c>
    </row>
    <row r="196" customFormat="false" ht="12" hidden="false" customHeight="false" outlineLevel="0" collapsed="false">
      <c r="A196" s="182" t="s">
        <v>1393</v>
      </c>
      <c r="B196" s="182" t="s">
        <v>1394</v>
      </c>
      <c r="D196" s="182" t="s">
        <v>1395</v>
      </c>
    </row>
    <row r="197" customFormat="false" ht="12" hidden="false" customHeight="false" outlineLevel="0" collapsed="false">
      <c r="A197" s="182" t="s">
        <v>1396</v>
      </c>
      <c r="B197" s="182" t="s">
        <v>1397</v>
      </c>
      <c r="D197" s="182" t="s">
        <v>1398</v>
      </c>
    </row>
    <row r="198" customFormat="false" ht="12" hidden="false" customHeight="false" outlineLevel="0" collapsed="false">
      <c r="A198" s="182" t="s">
        <v>1399</v>
      </c>
      <c r="B198" s="182" t="s">
        <v>1400</v>
      </c>
      <c r="D198" s="182" t="s">
        <v>1401</v>
      </c>
    </row>
    <row r="199" customFormat="false" ht="12" hidden="false" customHeight="false" outlineLevel="0" collapsed="false">
      <c r="A199" s="182" t="s">
        <v>1402</v>
      </c>
      <c r="B199" s="182" t="s">
        <v>1403</v>
      </c>
      <c r="D199" s="182" t="s">
        <v>1404</v>
      </c>
    </row>
    <row r="200" customFormat="false" ht="12" hidden="false" customHeight="false" outlineLevel="0" collapsed="false">
      <c r="A200" s="182" t="s">
        <v>1405</v>
      </c>
      <c r="B200" s="182" t="s">
        <v>1406</v>
      </c>
      <c r="D200" s="182" t="s">
        <v>1407</v>
      </c>
    </row>
    <row r="201" customFormat="false" ht="12" hidden="false" customHeight="false" outlineLevel="0" collapsed="false">
      <c r="A201" s="182" t="s">
        <v>1408</v>
      </c>
      <c r="B201" s="182" t="s">
        <v>1409</v>
      </c>
      <c r="D201" s="182" t="s">
        <v>1410</v>
      </c>
    </row>
    <row r="202" customFormat="false" ht="12" hidden="false" customHeight="false" outlineLevel="0" collapsed="false">
      <c r="A202" s="182" t="s">
        <v>1411</v>
      </c>
      <c r="B202" s="182" t="s">
        <v>1412</v>
      </c>
      <c r="D202" s="182" t="s">
        <v>1413</v>
      </c>
    </row>
    <row r="203" customFormat="false" ht="12" hidden="false" customHeight="false" outlineLevel="0" collapsed="false">
      <c r="A203" s="182" t="s">
        <v>1414</v>
      </c>
      <c r="B203" s="182" t="s">
        <v>1415</v>
      </c>
      <c r="D203" s="182" t="s">
        <v>1416</v>
      </c>
    </row>
    <row r="204" customFormat="false" ht="12" hidden="false" customHeight="false" outlineLevel="0" collapsed="false">
      <c r="A204" s="182" t="s">
        <v>1417</v>
      </c>
      <c r="B204" s="182" t="s">
        <v>1418</v>
      </c>
      <c r="D204" s="182" t="s">
        <v>1419</v>
      </c>
    </row>
    <row r="205" customFormat="false" ht="12" hidden="false" customHeight="false" outlineLevel="0" collapsed="false">
      <c r="A205" s="182" t="s">
        <v>1420</v>
      </c>
      <c r="B205" s="182" t="s">
        <v>1421</v>
      </c>
      <c r="D205" s="182" t="s">
        <v>1422</v>
      </c>
    </row>
    <row r="206" customFormat="false" ht="12" hidden="false" customHeight="false" outlineLevel="0" collapsed="false">
      <c r="A206" s="182" t="s">
        <v>1423</v>
      </c>
      <c r="B206" s="182" t="s">
        <v>1424</v>
      </c>
      <c r="D206" s="182" t="s">
        <v>1425</v>
      </c>
    </row>
    <row r="207" customFormat="false" ht="12" hidden="false" customHeight="false" outlineLevel="0" collapsed="false">
      <c r="A207" s="182" t="s">
        <v>1426</v>
      </c>
      <c r="B207" s="182" t="s">
        <v>1427</v>
      </c>
      <c r="D207" s="182" t="s">
        <v>1428</v>
      </c>
    </row>
    <row r="208" customFormat="false" ht="12" hidden="false" customHeight="false" outlineLevel="0" collapsed="false">
      <c r="A208" s="182" t="s">
        <v>1429</v>
      </c>
      <c r="B208" s="182" t="s">
        <v>1430</v>
      </c>
      <c r="D208" s="182" t="s">
        <v>1431</v>
      </c>
    </row>
    <row r="209" customFormat="false" ht="12" hidden="false" customHeight="false" outlineLevel="0" collapsed="false">
      <c r="A209" s="182" t="s">
        <v>1432</v>
      </c>
      <c r="B209" s="182" t="s">
        <v>1433</v>
      </c>
      <c r="D209" s="182" t="s">
        <v>1434</v>
      </c>
    </row>
    <row r="210" customFormat="false" ht="12" hidden="false" customHeight="false" outlineLevel="0" collapsed="false">
      <c r="A210" s="182" t="s">
        <v>1435</v>
      </c>
      <c r="B210" s="182" t="s">
        <v>1436</v>
      </c>
      <c r="D210" s="182" t="s">
        <v>1437</v>
      </c>
    </row>
    <row r="211" customFormat="false" ht="12" hidden="false" customHeight="false" outlineLevel="0" collapsed="false">
      <c r="A211" s="182" t="s">
        <v>1438</v>
      </c>
      <c r="B211" s="182" t="s">
        <v>1439</v>
      </c>
      <c r="D211" s="182" t="s">
        <v>1440</v>
      </c>
    </row>
    <row r="212" customFormat="false" ht="12" hidden="false" customHeight="false" outlineLevel="0" collapsed="false">
      <c r="A212" s="182" t="s">
        <v>1441</v>
      </c>
      <c r="B212" s="182" t="s">
        <v>1442</v>
      </c>
      <c r="D212" s="182" t="s">
        <v>1443</v>
      </c>
    </row>
    <row r="213" customFormat="false" ht="12" hidden="false" customHeight="false" outlineLevel="0" collapsed="false">
      <c r="A213" s="182" t="s">
        <v>1444</v>
      </c>
      <c r="B213" s="182" t="s">
        <v>1445</v>
      </c>
      <c r="D213" s="182" t="s">
        <v>1446</v>
      </c>
    </row>
    <row r="214" customFormat="false" ht="12" hidden="false" customHeight="false" outlineLevel="0" collapsed="false">
      <c r="A214" s="182" t="s">
        <v>1447</v>
      </c>
      <c r="B214" s="182" t="s">
        <v>1448</v>
      </c>
      <c r="D214" s="182" t="s">
        <v>1449</v>
      </c>
    </row>
    <row r="215" customFormat="false" ht="12" hidden="false" customHeight="false" outlineLevel="0" collapsed="false">
      <c r="A215" s="182" t="s">
        <v>1450</v>
      </c>
      <c r="B215" s="182" t="s">
        <v>1451</v>
      </c>
      <c r="D215" s="182" t="s">
        <v>1452</v>
      </c>
    </row>
    <row r="216" customFormat="false" ht="12" hidden="false" customHeight="false" outlineLevel="0" collapsed="false">
      <c r="A216" s="182" t="s">
        <v>1453</v>
      </c>
      <c r="B216" s="182" t="s">
        <v>1454</v>
      </c>
      <c r="D216" s="182" t="s">
        <v>1455</v>
      </c>
    </row>
    <row r="217" customFormat="false" ht="12" hidden="false" customHeight="false" outlineLevel="0" collapsed="false">
      <c r="A217" s="182" t="s">
        <v>1456</v>
      </c>
      <c r="B217" s="182" t="s">
        <v>1457</v>
      </c>
      <c r="D217" s="182" t="s">
        <v>1458</v>
      </c>
    </row>
    <row r="218" customFormat="false" ht="12" hidden="false" customHeight="false" outlineLevel="0" collapsed="false">
      <c r="A218" s="182" t="s">
        <v>1459</v>
      </c>
      <c r="B218" s="182" t="s">
        <v>1460</v>
      </c>
      <c r="D218" s="182" t="s">
        <v>1461</v>
      </c>
    </row>
    <row r="219" customFormat="false" ht="12" hidden="false" customHeight="false" outlineLevel="0" collapsed="false">
      <c r="A219" s="182" t="s">
        <v>1462</v>
      </c>
      <c r="B219" s="182" t="s">
        <v>1463</v>
      </c>
      <c r="D219" s="182" t="s">
        <v>1464</v>
      </c>
    </row>
    <row r="220" customFormat="false" ht="12" hidden="false" customHeight="false" outlineLevel="0" collapsed="false">
      <c r="A220" s="182" t="s">
        <v>1465</v>
      </c>
      <c r="B220" s="182" t="s">
        <v>1466</v>
      </c>
      <c r="D220" s="182" t="s">
        <v>1467</v>
      </c>
    </row>
    <row r="221" customFormat="false" ht="12" hidden="false" customHeight="false" outlineLevel="0" collapsed="false">
      <c r="A221" s="182" t="s">
        <v>1468</v>
      </c>
      <c r="B221" s="182" t="s">
        <v>1469</v>
      </c>
      <c r="D221" s="182" t="s">
        <v>1470</v>
      </c>
    </row>
    <row r="222" customFormat="false" ht="12" hidden="false" customHeight="false" outlineLevel="0" collapsed="false">
      <c r="A222" s="182" t="s">
        <v>1471</v>
      </c>
      <c r="B222" s="182" t="s">
        <v>1472</v>
      </c>
      <c r="D222" s="182" t="s">
        <v>1473</v>
      </c>
    </row>
    <row r="223" customFormat="false" ht="12" hidden="false" customHeight="false" outlineLevel="0" collapsed="false">
      <c r="A223" s="182" t="s">
        <v>1474</v>
      </c>
      <c r="B223" s="182" t="s">
        <v>1475</v>
      </c>
      <c r="D223" s="182" t="s">
        <v>1476</v>
      </c>
    </row>
    <row r="224" customFormat="false" ht="12" hidden="false" customHeight="false" outlineLevel="0" collapsed="false">
      <c r="A224" s="182" t="s">
        <v>1477</v>
      </c>
      <c r="B224" s="182" t="s">
        <v>1478</v>
      </c>
      <c r="D224" s="182" t="s">
        <v>1479</v>
      </c>
    </row>
    <row r="225" customFormat="false" ht="12" hidden="false" customHeight="false" outlineLevel="0" collapsed="false">
      <c r="A225" s="182" t="s">
        <v>1480</v>
      </c>
      <c r="B225" s="182" t="s">
        <v>1481</v>
      </c>
      <c r="D225" s="182" t="s">
        <v>1482</v>
      </c>
    </row>
    <row r="226" customFormat="false" ht="12" hidden="false" customHeight="false" outlineLevel="0" collapsed="false">
      <c r="A226" s="182" t="s">
        <v>1483</v>
      </c>
      <c r="B226" s="182" t="s">
        <v>1484</v>
      </c>
      <c r="D226" s="157" t="s">
        <v>1482</v>
      </c>
    </row>
    <row r="227" customFormat="false" ht="12" hidden="false" customHeight="false" outlineLevel="0" collapsed="false">
      <c r="A227" s="182" t="s">
        <v>1485</v>
      </c>
      <c r="B227" s="182" t="s">
        <v>1486</v>
      </c>
    </row>
    <row r="228" customFormat="false" ht="12" hidden="false" customHeight="false" outlineLevel="0" collapsed="false">
      <c r="A228" s="182" t="s">
        <v>1487</v>
      </c>
      <c r="B228" s="182" t="s">
        <v>1488</v>
      </c>
    </row>
    <row r="229" customFormat="false" ht="12" hidden="false" customHeight="false" outlineLevel="0" collapsed="false">
      <c r="A229" s="182" t="s">
        <v>1489</v>
      </c>
      <c r="B229" s="182" t="s">
        <v>1490</v>
      </c>
    </row>
    <row r="230" customFormat="false" ht="12" hidden="false" customHeight="false" outlineLevel="0" collapsed="false">
      <c r="A230" s="182" t="s">
        <v>1491</v>
      </c>
      <c r="B230" s="182" t="s">
        <v>1492</v>
      </c>
    </row>
    <row r="231" customFormat="false" ht="12" hidden="false" customHeight="false" outlineLevel="0" collapsed="false">
      <c r="A231" s="182" t="s">
        <v>1493</v>
      </c>
      <c r="B231" s="182" t="s">
        <v>1494</v>
      </c>
    </row>
    <row r="232" customFormat="false" ht="12" hidden="false" customHeight="false" outlineLevel="0" collapsed="false">
      <c r="A232" s="182" t="s">
        <v>1495</v>
      </c>
      <c r="B232" s="182" t="s">
        <v>1496</v>
      </c>
    </row>
    <row r="233" customFormat="false" ht="12" hidden="false" customHeight="false" outlineLevel="0" collapsed="false">
      <c r="A233" s="182" t="s">
        <v>1497</v>
      </c>
      <c r="B233" s="182" t="s">
        <v>1498</v>
      </c>
    </row>
    <row r="234" customFormat="false" ht="12" hidden="false" customHeight="false" outlineLevel="0" collapsed="false">
      <c r="A234" s="182" t="s">
        <v>1499</v>
      </c>
      <c r="B234" s="182" t="s">
        <v>1500</v>
      </c>
    </row>
    <row r="235" customFormat="false" ht="12" hidden="false" customHeight="false" outlineLevel="0" collapsed="false">
      <c r="A235" s="182" t="s">
        <v>1501</v>
      </c>
      <c r="B235" s="182" t="s">
        <v>1502</v>
      </c>
    </row>
    <row r="236" customFormat="false" ht="12" hidden="false" customHeight="false" outlineLevel="0" collapsed="false">
      <c r="A236" s="182" t="s">
        <v>1503</v>
      </c>
      <c r="B236" s="182" t="s">
        <v>1504</v>
      </c>
    </row>
    <row r="237" customFormat="false" ht="12" hidden="false" customHeight="false" outlineLevel="0" collapsed="false">
      <c r="A237" s="182" t="s">
        <v>1505</v>
      </c>
      <c r="B237" s="182" t="s">
        <v>1506</v>
      </c>
    </row>
    <row r="238" customFormat="false" ht="12" hidden="false" customHeight="false" outlineLevel="0" collapsed="false">
      <c r="A238" s="182" t="s">
        <v>1507</v>
      </c>
      <c r="B238" s="182" t="s">
        <v>1508</v>
      </c>
    </row>
    <row r="239" customFormat="false" ht="12" hidden="false" customHeight="false" outlineLevel="0" collapsed="false">
      <c r="A239" s="182" t="s">
        <v>1509</v>
      </c>
      <c r="B239" s="182" t="s">
        <v>1510</v>
      </c>
    </row>
    <row r="240" customFormat="false" ht="12" hidden="false" customHeight="false" outlineLevel="0" collapsed="false">
      <c r="A240" s="182" t="s">
        <v>1511</v>
      </c>
      <c r="B240" s="182" t="s">
        <v>1512</v>
      </c>
    </row>
    <row r="241" customFormat="false" ht="12" hidden="false" customHeight="false" outlineLevel="0" collapsed="false">
      <c r="A241" s="182" t="s">
        <v>1513</v>
      </c>
      <c r="B241" s="182" t="s">
        <v>1514</v>
      </c>
    </row>
    <row r="242" customFormat="false" ht="12" hidden="false" customHeight="false" outlineLevel="0" collapsed="false">
      <c r="A242" s="182" t="s">
        <v>1515</v>
      </c>
      <c r="B242" s="182" t="s">
        <v>1516</v>
      </c>
    </row>
    <row r="243" customFormat="false" ht="12" hidden="false" customHeight="false" outlineLevel="0" collapsed="false">
      <c r="A243" s="182" t="s">
        <v>1517</v>
      </c>
      <c r="B243" s="182" t="s">
        <v>1518</v>
      </c>
    </row>
    <row r="244" customFormat="false" ht="12" hidden="false" customHeight="false" outlineLevel="0" collapsed="false">
      <c r="A244" s="182" t="s">
        <v>1519</v>
      </c>
      <c r="B244" s="182" t="s">
        <v>1520</v>
      </c>
    </row>
    <row r="245" customFormat="false" ht="12" hidden="false" customHeight="false" outlineLevel="0" collapsed="false">
      <c r="A245" s="182" t="s">
        <v>1521</v>
      </c>
      <c r="B245" s="182" t="s">
        <v>1522</v>
      </c>
    </row>
    <row r="246" customFormat="false" ht="12" hidden="false" customHeight="false" outlineLevel="0" collapsed="false">
      <c r="A246" s="182" t="s">
        <v>1523</v>
      </c>
      <c r="B246" s="182" t="s">
        <v>1524</v>
      </c>
    </row>
    <row r="247" customFormat="false" ht="12" hidden="false" customHeight="false" outlineLevel="0" collapsed="false">
      <c r="A247" s="182" t="s">
        <v>1525</v>
      </c>
      <c r="B247" s="182" t="s">
        <v>1526</v>
      </c>
    </row>
    <row r="248" customFormat="false" ht="12" hidden="false" customHeight="false" outlineLevel="0" collapsed="false">
      <c r="A248" s="182" t="s">
        <v>1527</v>
      </c>
      <c r="B248" s="182" t="s">
        <v>1528</v>
      </c>
    </row>
    <row r="249" customFormat="false" ht="12" hidden="false" customHeight="false" outlineLevel="0" collapsed="false">
      <c r="A249" s="182" t="s">
        <v>1529</v>
      </c>
      <c r="B249" s="182" t="s">
        <v>1530</v>
      </c>
    </row>
    <row r="250" customFormat="false" ht="12" hidden="false" customHeight="false" outlineLevel="0" collapsed="false">
      <c r="A250" s="182" t="s">
        <v>1531</v>
      </c>
      <c r="B250" s="182" t="s">
        <v>1532</v>
      </c>
    </row>
    <row r="251" customFormat="false" ht="12" hidden="false" customHeight="false" outlineLevel="0" collapsed="false">
      <c r="A251" s="182" t="s">
        <v>1533</v>
      </c>
      <c r="B251" s="182" t="s">
        <v>1534</v>
      </c>
    </row>
    <row r="252" customFormat="false" ht="12" hidden="false" customHeight="false" outlineLevel="0" collapsed="false">
      <c r="A252" s="182" t="s">
        <v>1535</v>
      </c>
      <c r="B252" s="182" t="s">
        <v>1536</v>
      </c>
    </row>
    <row r="253" customFormat="false" ht="12" hidden="false" customHeight="false" outlineLevel="0" collapsed="false">
      <c r="A253" s="182" t="s">
        <v>1537</v>
      </c>
      <c r="B253" s="182" t="s">
        <v>1538</v>
      </c>
    </row>
    <row r="254" customFormat="false" ht="12" hidden="false" customHeight="false" outlineLevel="0" collapsed="false">
      <c r="A254" s="182" t="s">
        <v>1539</v>
      </c>
      <c r="B254" s="182" t="s">
        <v>1540</v>
      </c>
    </row>
    <row r="255" customFormat="false" ht="12" hidden="false" customHeight="false" outlineLevel="0" collapsed="false">
      <c r="A255" s="182" t="s">
        <v>1541</v>
      </c>
      <c r="B255" s="182" t="s">
        <v>1542</v>
      </c>
    </row>
    <row r="256" customFormat="false" ht="12" hidden="false" customHeight="false" outlineLevel="0" collapsed="false">
      <c r="A256" s="182" t="s">
        <v>1543</v>
      </c>
      <c r="B256" s="182" t="s">
        <v>1544</v>
      </c>
    </row>
    <row r="257" customFormat="false" ht="12" hidden="false" customHeight="false" outlineLevel="0" collapsed="false">
      <c r="A257" s="182" t="s">
        <v>1545</v>
      </c>
      <c r="B257" s="182" t="s">
        <v>1546</v>
      </c>
    </row>
    <row r="258" customFormat="false" ht="12" hidden="false" customHeight="false" outlineLevel="0" collapsed="false">
      <c r="A258" s="182" t="s">
        <v>1547</v>
      </c>
      <c r="B258" s="182" t="s">
        <v>1548</v>
      </c>
    </row>
    <row r="259" customFormat="false" ht="12" hidden="false" customHeight="false" outlineLevel="0" collapsed="false">
      <c r="A259" s="182" t="s">
        <v>1549</v>
      </c>
      <c r="B259" s="182" t="s">
        <v>1550</v>
      </c>
    </row>
    <row r="260" customFormat="false" ht="12" hidden="false" customHeight="false" outlineLevel="0" collapsed="false">
      <c r="A260" s="182" t="s">
        <v>1551</v>
      </c>
      <c r="B260" s="182" t="s">
        <v>1552</v>
      </c>
    </row>
    <row r="261" customFormat="false" ht="12" hidden="false" customHeight="false" outlineLevel="0" collapsed="false">
      <c r="A261" s="182" t="s">
        <v>1553</v>
      </c>
      <c r="B261" s="182" t="s">
        <v>1554</v>
      </c>
    </row>
    <row r="262" customFormat="false" ht="12" hidden="false" customHeight="false" outlineLevel="0" collapsed="false">
      <c r="A262" s="182" t="s">
        <v>1555</v>
      </c>
      <c r="B262" s="182" t="s">
        <v>1556</v>
      </c>
    </row>
    <row r="263" customFormat="false" ht="12" hidden="false" customHeight="false" outlineLevel="0" collapsed="false">
      <c r="A263" s="182" t="s">
        <v>1557</v>
      </c>
      <c r="B263" s="182" t="s">
        <v>1558</v>
      </c>
    </row>
    <row r="264" customFormat="false" ht="12" hidden="false" customHeight="false" outlineLevel="0" collapsed="false">
      <c r="A264" s="182" t="s">
        <v>1559</v>
      </c>
      <c r="B264" s="182" t="s">
        <v>1560</v>
      </c>
    </row>
    <row r="265" customFormat="false" ht="12" hidden="false" customHeight="false" outlineLevel="0" collapsed="false">
      <c r="A265" s="182" t="s">
        <v>1561</v>
      </c>
      <c r="B265" s="182" t="s">
        <v>1562</v>
      </c>
    </row>
    <row r="266" customFormat="false" ht="12" hidden="false" customHeight="false" outlineLevel="0" collapsed="false">
      <c r="A266" s="182" t="s">
        <v>1563</v>
      </c>
      <c r="B266" s="182" t="s">
        <v>1564</v>
      </c>
    </row>
    <row r="267" customFormat="false" ht="12" hidden="false" customHeight="false" outlineLevel="0" collapsed="false">
      <c r="A267" s="182" t="s">
        <v>1565</v>
      </c>
      <c r="B267" s="182" t="s">
        <v>1566</v>
      </c>
    </row>
    <row r="268" customFormat="false" ht="12" hidden="false" customHeight="false" outlineLevel="0" collapsed="false">
      <c r="A268" s="182" t="s">
        <v>1567</v>
      </c>
      <c r="B268" s="182" t="s">
        <v>1568</v>
      </c>
    </row>
    <row r="269" customFormat="false" ht="12" hidden="false" customHeight="false" outlineLevel="0" collapsed="false">
      <c r="A269" s="182" t="s">
        <v>1569</v>
      </c>
      <c r="B269" s="182" t="s">
        <v>1570</v>
      </c>
    </row>
    <row r="270" customFormat="false" ht="12" hidden="false" customHeight="false" outlineLevel="0" collapsed="false">
      <c r="A270" s="182" t="s">
        <v>1571</v>
      </c>
      <c r="B270" s="182" t="s">
        <v>1572</v>
      </c>
    </row>
    <row r="271" customFormat="false" ht="12" hidden="false" customHeight="false" outlineLevel="0" collapsed="false">
      <c r="A271" s="182" t="s">
        <v>1573</v>
      </c>
      <c r="B271" s="182" t="s">
        <v>1574</v>
      </c>
    </row>
    <row r="272" customFormat="false" ht="12" hidden="false" customHeight="false" outlineLevel="0" collapsed="false">
      <c r="A272" s="182" t="s">
        <v>1575</v>
      </c>
      <c r="B272" s="182" t="s">
        <v>1576</v>
      </c>
    </row>
    <row r="273" customFormat="false" ht="12" hidden="false" customHeight="false" outlineLevel="0" collapsed="false">
      <c r="A273" s="182" t="s">
        <v>1577</v>
      </c>
      <c r="B273" s="182" t="s">
        <v>1578</v>
      </c>
    </row>
    <row r="274" customFormat="false" ht="12" hidden="false" customHeight="false" outlineLevel="0" collapsed="false">
      <c r="A274" s="182" t="s">
        <v>1579</v>
      </c>
      <c r="B274" s="182" t="s">
        <v>1580</v>
      </c>
    </row>
    <row r="275" customFormat="false" ht="12" hidden="false" customHeight="false" outlineLevel="0" collapsed="false">
      <c r="A275" s="182" t="s">
        <v>1581</v>
      </c>
      <c r="B275" s="182" t="s">
        <v>1582</v>
      </c>
    </row>
    <row r="276" customFormat="false" ht="12" hidden="false" customHeight="false" outlineLevel="0" collapsed="false">
      <c r="A276" s="182" t="s">
        <v>1583</v>
      </c>
      <c r="B276" s="182" t="s">
        <v>1584</v>
      </c>
    </row>
    <row r="277" customFormat="false" ht="12" hidden="false" customHeight="false" outlineLevel="0" collapsed="false">
      <c r="A277" s="182" t="s">
        <v>1585</v>
      </c>
      <c r="B277" s="182" t="s">
        <v>1586</v>
      </c>
    </row>
    <row r="278" customFormat="false" ht="12" hidden="false" customHeight="false" outlineLevel="0" collapsed="false">
      <c r="A278" s="182" t="s">
        <v>1587</v>
      </c>
      <c r="B278" s="182" t="s">
        <v>1588</v>
      </c>
    </row>
    <row r="279" customFormat="false" ht="12" hidden="false" customHeight="false" outlineLevel="0" collapsed="false">
      <c r="A279" s="182" t="s">
        <v>1589</v>
      </c>
      <c r="B279" s="182" t="s">
        <v>1590</v>
      </c>
    </row>
    <row r="280" customFormat="false" ht="12" hidden="false" customHeight="false" outlineLevel="0" collapsed="false">
      <c r="A280" s="182" t="s">
        <v>1591</v>
      </c>
      <c r="B280" s="182" t="s">
        <v>774</v>
      </c>
    </row>
    <row r="281" customFormat="false" ht="12" hidden="false" customHeight="false" outlineLevel="0" collapsed="false">
      <c r="A281" s="182" t="s">
        <v>1592</v>
      </c>
      <c r="B281" s="182" t="s">
        <v>1593</v>
      </c>
    </row>
    <row r="282" customFormat="false" ht="12" hidden="false" customHeight="false" outlineLevel="0" collapsed="false">
      <c r="A282" s="182" t="s">
        <v>1594</v>
      </c>
      <c r="B282" s="182" t="s">
        <v>1595</v>
      </c>
    </row>
    <row r="283" customFormat="false" ht="12" hidden="false" customHeight="false" outlineLevel="0" collapsed="false">
      <c r="A283" s="182" t="s">
        <v>1596</v>
      </c>
      <c r="B283" s="182" t="s">
        <v>1597</v>
      </c>
    </row>
    <row r="284" customFormat="false" ht="12" hidden="false" customHeight="false" outlineLevel="0" collapsed="false">
      <c r="A284" s="182" t="s">
        <v>1598</v>
      </c>
      <c r="B284" s="182" t="s">
        <v>1599</v>
      </c>
    </row>
    <row r="285" customFormat="false" ht="12" hidden="false" customHeight="false" outlineLevel="0" collapsed="false">
      <c r="A285" s="182" t="s">
        <v>1600</v>
      </c>
      <c r="B285" s="182" t="s">
        <v>1601</v>
      </c>
    </row>
    <row r="286" customFormat="false" ht="12" hidden="false" customHeight="false" outlineLevel="0" collapsed="false">
      <c r="A286" s="182" t="s">
        <v>1602</v>
      </c>
      <c r="B286" s="182" t="s">
        <v>1603</v>
      </c>
    </row>
    <row r="287" customFormat="false" ht="12" hidden="false" customHeight="false" outlineLevel="0" collapsed="false">
      <c r="A287" s="182" t="s">
        <v>1604</v>
      </c>
      <c r="B287" s="182" t="s">
        <v>1605</v>
      </c>
    </row>
    <row r="288" customFormat="false" ht="12" hidden="false" customHeight="false" outlineLevel="0" collapsed="false">
      <c r="A288" s="182" t="s">
        <v>1606</v>
      </c>
      <c r="B288" s="182" t="s">
        <v>1607</v>
      </c>
    </row>
    <row r="289" customFormat="false" ht="12" hidden="false" customHeight="false" outlineLevel="0" collapsed="false">
      <c r="A289" s="182" t="s">
        <v>1608</v>
      </c>
      <c r="B289" s="182" t="s">
        <v>1609</v>
      </c>
    </row>
    <row r="290" customFormat="false" ht="12" hidden="false" customHeight="false" outlineLevel="0" collapsed="false">
      <c r="A290" s="182" t="s">
        <v>1610</v>
      </c>
      <c r="B290" s="182" t="s">
        <v>1611</v>
      </c>
    </row>
    <row r="291" customFormat="false" ht="12" hidden="false" customHeight="false" outlineLevel="0" collapsed="false">
      <c r="A291" s="182" t="s">
        <v>1612</v>
      </c>
      <c r="B291" s="182" t="s">
        <v>1613</v>
      </c>
    </row>
    <row r="292" customFormat="false" ht="12" hidden="false" customHeight="false" outlineLevel="0" collapsed="false">
      <c r="A292" s="182" t="s">
        <v>1614</v>
      </c>
      <c r="B292" s="182" t="s">
        <v>1615</v>
      </c>
    </row>
    <row r="293" customFormat="false" ht="12" hidden="false" customHeight="false" outlineLevel="0" collapsed="false">
      <c r="A293" s="182" t="s">
        <v>1616</v>
      </c>
      <c r="B293" s="182" t="s">
        <v>1617</v>
      </c>
    </row>
    <row r="294" customFormat="false" ht="12" hidden="false" customHeight="false" outlineLevel="0" collapsed="false">
      <c r="A294" s="182" t="s">
        <v>1618</v>
      </c>
      <c r="B294" s="182" t="s">
        <v>1619</v>
      </c>
    </row>
    <row r="295" customFormat="false" ht="12" hidden="false" customHeight="false" outlineLevel="0" collapsed="false">
      <c r="A295" s="182" t="s">
        <v>1620</v>
      </c>
      <c r="B295" s="182" t="s">
        <v>1621</v>
      </c>
    </row>
    <row r="296" customFormat="false" ht="12" hidden="false" customHeight="false" outlineLevel="0" collapsed="false">
      <c r="A296" s="182" t="s">
        <v>1622</v>
      </c>
      <c r="B296" s="182" t="s">
        <v>1623</v>
      </c>
    </row>
    <row r="297" customFormat="false" ht="12" hidden="false" customHeight="false" outlineLevel="0" collapsed="false">
      <c r="A297" s="182" t="s">
        <v>1624</v>
      </c>
      <c r="B297" s="182" t="s">
        <v>1625</v>
      </c>
    </row>
    <row r="298" customFormat="false" ht="12" hidden="false" customHeight="false" outlineLevel="0" collapsed="false">
      <c r="A298" s="182" t="s">
        <v>1626</v>
      </c>
      <c r="B298" s="182" t="s">
        <v>1627</v>
      </c>
    </row>
    <row r="299" customFormat="false" ht="12" hidden="false" customHeight="false" outlineLevel="0" collapsed="false">
      <c r="A299" s="182" t="s">
        <v>1628</v>
      </c>
      <c r="B299" s="182" t="s">
        <v>1629</v>
      </c>
    </row>
    <row r="300" customFormat="false" ht="12" hidden="false" customHeight="false" outlineLevel="0" collapsed="false">
      <c r="A300" s="182" t="s">
        <v>1630</v>
      </c>
      <c r="B300" s="182" t="s">
        <v>1631</v>
      </c>
    </row>
    <row r="301" customFormat="false" ht="12" hidden="false" customHeight="false" outlineLevel="0" collapsed="false">
      <c r="A301" s="182" t="s">
        <v>1632</v>
      </c>
      <c r="B301" s="182" t="s">
        <v>1633</v>
      </c>
    </row>
    <row r="302" customFormat="false" ht="12" hidden="false" customHeight="false" outlineLevel="0" collapsed="false">
      <c r="A302" s="182" t="s">
        <v>1634</v>
      </c>
      <c r="B302" s="182" t="s">
        <v>1635</v>
      </c>
    </row>
    <row r="303" customFormat="false" ht="12" hidden="false" customHeight="false" outlineLevel="0" collapsed="false">
      <c r="A303" s="182" t="s">
        <v>1636</v>
      </c>
      <c r="B303" s="182" t="s">
        <v>1637</v>
      </c>
    </row>
    <row r="304" customFormat="false" ht="12" hidden="false" customHeight="false" outlineLevel="0" collapsed="false">
      <c r="A304" s="182" t="s">
        <v>1638</v>
      </c>
      <c r="B304" s="182" t="s">
        <v>1639</v>
      </c>
    </row>
    <row r="305" customFormat="false" ht="12" hidden="false" customHeight="false" outlineLevel="0" collapsed="false">
      <c r="A305" s="182" t="s">
        <v>1640</v>
      </c>
      <c r="B305" s="182" t="s">
        <v>1641</v>
      </c>
    </row>
    <row r="306" customFormat="false" ht="12" hidden="false" customHeight="false" outlineLevel="0" collapsed="false">
      <c r="A306" s="182" t="s">
        <v>1642</v>
      </c>
      <c r="B306" s="182" t="s">
        <v>1643</v>
      </c>
    </row>
    <row r="307" customFormat="false" ht="12" hidden="false" customHeight="false" outlineLevel="0" collapsed="false">
      <c r="A307" s="182" t="s">
        <v>1644</v>
      </c>
      <c r="B307" s="182" t="s">
        <v>962</v>
      </c>
    </row>
    <row r="308" customFormat="false" ht="12" hidden="false" customHeight="false" outlineLevel="0" collapsed="false">
      <c r="A308" s="182" t="s">
        <v>1645</v>
      </c>
      <c r="B308" s="182" t="s">
        <v>1646</v>
      </c>
    </row>
    <row r="309" customFormat="false" ht="12" hidden="false" customHeight="false" outlineLevel="0" collapsed="false">
      <c r="A309" s="182" t="s">
        <v>1647</v>
      </c>
      <c r="B309" s="182" t="s">
        <v>1648</v>
      </c>
    </row>
    <row r="310" customFormat="false" ht="12" hidden="false" customHeight="false" outlineLevel="0" collapsed="false">
      <c r="A310" s="182" t="s">
        <v>1649</v>
      </c>
      <c r="B310" s="182" t="s">
        <v>1650</v>
      </c>
    </row>
    <row r="311" customFormat="false" ht="12" hidden="false" customHeight="false" outlineLevel="0" collapsed="false">
      <c r="A311" s="182" t="s">
        <v>1651</v>
      </c>
      <c r="B311" s="182" t="s">
        <v>1652</v>
      </c>
    </row>
    <row r="312" customFormat="false" ht="12" hidden="false" customHeight="false" outlineLevel="0" collapsed="false">
      <c r="A312" s="182" t="s">
        <v>1653</v>
      </c>
      <c r="B312" s="182" t="s">
        <v>1654</v>
      </c>
    </row>
    <row r="313" customFormat="false" ht="12" hidden="false" customHeight="false" outlineLevel="0" collapsed="false">
      <c r="A313" s="182" t="s">
        <v>1655</v>
      </c>
      <c r="B313" s="182" t="s">
        <v>1656</v>
      </c>
    </row>
    <row r="314" customFormat="false" ht="12" hidden="false" customHeight="false" outlineLevel="0" collapsed="false">
      <c r="A314" s="182" t="s">
        <v>1657</v>
      </c>
      <c r="B314" s="182" t="s">
        <v>1658</v>
      </c>
    </row>
    <row r="315" customFormat="false" ht="12" hidden="false" customHeight="false" outlineLevel="0" collapsed="false">
      <c r="A315" s="182" t="s">
        <v>1659</v>
      </c>
      <c r="B315" s="182" t="s">
        <v>1660</v>
      </c>
    </row>
    <row r="316" customFormat="false" ht="12" hidden="false" customHeight="false" outlineLevel="0" collapsed="false">
      <c r="A316" s="182" t="s">
        <v>1661</v>
      </c>
      <c r="B316" s="182" t="s">
        <v>1662</v>
      </c>
    </row>
    <row r="317" customFormat="false" ht="12" hidden="false" customHeight="false" outlineLevel="0" collapsed="false">
      <c r="A317" s="182" t="s">
        <v>1663</v>
      </c>
      <c r="B317" s="182" t="s">
        <v>1664</v>
      </c>
    </row>
    <row r="318" customFormat="false" ht="12" hidden="false" customHeight="false" outlineLevel="0" collapsed="false">
      <c r="A318" s="182" t="s">
        <v>1665</v>
      </c>
      <c r="B318" s="182" t="s">
        <v>1666</v>
      </c>
    </row>
    <row r="319" customFormat="false" ht="12" hidden="false" customHeight="false" outlineLevel="0" collapsed="false">
      <c r="A319" s="182" t="s">
        <v>1667</v>
      </c>
      <c r="B319" s="182" t="s">
        <v>1668</v>
      </c>
    </row>
    <row r="320" customFormat="false" ht="12" hidden="false" customHeight="false" outlineLevel="0" collapsed="false">
      <c r="A320" s="182" t="s">
        <v>1669</v>
      </c>
      <c r="B320" s="182" t="s">
        <v>1670</v>
      </c>
    </row>
    <row r="321" customFormat="false" ht="12" hidden="false" customHeight="false" outlineLevel="0" collapsed="false">
      <c r="A321" s="182" t="s">
        <v>1671</v>
      </c>
      <c r="B321" s="182" t="s">
        <v>1672</v>
      </c>
    </row>
    <row r="322" customFormat="false" ht="12" hidden="false" customHeight="false" outlineLevel="0" collapsed="false">
      <c r="A322" s="182" t="s">
        <v>1673</v>
      </c>
      <c r="B322" s="182" t="s">
        <v>1674</v>
      </c>
    </row>
    <row r="323" customFormat="false" ht="12" hidden="false" customHeight="false" outlineLevel="0" collapsed="false">
      <c r="A323" s="182" t="s">
        <v>1675</v>
      </c>
      <c r="B323" s="182" t="s">
        <v>1676</v>
      </c>
    </row>
    <row r="324" customFormat="false" ht="12" hidden="false" customHeight="false" outlineLevel="0" collapsed="false">
      <c r="A324" s="182" t="s">
        <v>1677</v>
      </c>
      <c r="B324" s="182" t="s">
        <v>1678</v>
      </c>
    </row>
    <row r="325" customFormat="false" ht="12" hidden="false" customHeight="false" outlineLevel="0" collapsed="false">
      <c r="A325" s="182" t="s">
        <v>1679</v>
      </c>
      <c r="B325" s="182" t="s">
        <v>1680</v>
      </c>
    </row>
    <row r="326" customFormat="false" ht="12" hidden="false" customHeight="false" outlineLevel="0" collapsed="false">
      <c r="A326" s="182" t="s">
        <v>1681</v>
      </c>
      <c r="B326" s="182" t="s">
        <v>1682</v>
      </c>
    </row>
    <row r="327" customFormat="false" ht="12" hidden="false" customHeight="false" outlineLevel="0" collapsed="false">
      <c r="A327" s="182" t="s">
        <v>1683</v>
      </c>
      <c r="B327" s="182" t="s">
        <v>1684</v>
      </c>
    </row>
    <row r="328" customFormat="false" ht="12" hidden="false" customHeight="false" outlineLevel="0" collapsed="false">
      <c r="A328" s="182" t="s">
        <v>1685</v>
      </c>
      <c r="B328" s="182" t="s">
        <v>1686</v>
      </c>
    </row>
    <row r="329" customFormat="false" ht="12" hidden="false" customHeight="false" outlineLevel="0" collapsed="false">
      <c r="A329" s="182" t="s">
        <v>1687</v>
      </c>
      <c r="B329" s="182" t="s">
        <v>1688</v>
      </c>
    </row>
    <row r="330" customFormat="false" ht="12" hidden="false" customHeight="false" outlineLevel="0" collapsed="false">
      <c r="A330" s="182" t="s">
        <v>1689</v>
      </c>
      <c r="B330" s="182" t="s">
        <v>1690</v>
      </c>
    </row>
    <row r="331" customFormat="false" ht="12" hidden="false" customHeight="false" outlineLevel="0" collapsed="false">
      <c r="A331" s="182" t="s">
        <v>1691</v>
      </c>
      <c r="B331" s="182" t="s">
        <v>1692</v>
      </c>
    </row>
    <row r="332" customFormat="false" ht="12" hidden="false" customHeight="false" outlineLevel="0" collapsed="false">
      <c r="A332" s="182" t="s">
        <v>1693</v>
      </c>
      <c r="B332" s="182" t="s">
        <v>1694</v>
      </c>
    </row>
    <row r="333" customFormat="false" ht="12" hidden="false" customHeight="false" outlineLevel="0" collapsed="false">
      <c r="A333" s="182" t="s">
        <v>1695</v>
      </c>
      <c r="B333" s="182" t="s">
        <v>1696</v>
      </c>
    </row>
    <row r="334" customFormat="false" ht="12" hidden="false" customHeight="false" outlineLevel="0" collapsed="false">
      <c r="A334" s="182" t="s">
        <v>1697</v>
      </c>
      <c r="B334" s="182" t="s">
        <v>1698</v>
      </c>
    </row>
    <row r="335" customFormat="false" ht="12" hidden="false" customHeight="false" outlineLevel="0" collapsed="false">
      <c r="A335" s="182" t="s">
        <v>1699</v>
      </c>
      <c r="B335" s="182" t="s">
        <v>1700</v>
      </c>
    </row>
    <row r="336" customFormat="false" ht="12" hidden="false" customHeight="false" outlineLevel="0" collapsed="false">
      <c r="A336" s="182" t="s">
        <v>1701</v>
      </c>
      <c r="B336" s="182" t="s">
        <v>1702</v>
      </c>
    </row>
    <row r="337" customFormat="false" ht="12" hidden="false" customHeight="false" outlineLevel="0" collapsed="false">
      <c r="A337" s="182" t="s">
        <v>1703</v>
      </c>
      <c r="B337" s="182" t="s">
        <v>1704</v>
      </c>
    </row>
    <row r="338" customFormat="false" ht="12" hidden="false" customHeight="false" outlineLevel="0" collapsed="false">
      <c r="A338" s="182" t="s">
        <v>1705</v>
      </c>
      <c r="B338" s="182" t="s">
        <v>1706</v>
      </c>
    </row>
    <row r="339" customFormat="false" ht="12" hidden="false" customHeight="false" outlineLevel="0" collapsed="false">
      <c r="A339" s="182" t="s">
        <v>1707</v>
      </c>
      <c r="B339" s="182" t="s">
        <v>1708</v>
      </c>
    </row>
    <row r="340" customFormat="false" ht="12" hidden="false" customHeight="false" outlineLevel="0" collapsed="false">
      <c r="A340" s="182" t="s">
        <v>1709</v>
      </c>
      <c r="B340" s="182" t="s">
        <v>1710</v>
      </c>
    </row>
    <row r="341" customFormat="false" ht="12" hidden="false" customHeight="false" outlineLevel="0" collapsed="false">
      <c r="A341" s="182" t="s">
        <v>1711</v>
      </c>
      <c r="B341" s="182" t="s">
        <v>1712</v>
      </c>
    </row>
    <row r="342" customFormat="false" ht="12" hidden="false" customHeight="false" outlineLevel="0" collapsed="false">
      <c r="A342" s="182" t="s">
        <v>1713</v>
      </c>
      <c r="B342" s="182" t="s">
        <v>1714</v>
      </c>
    </row>
    <row r="343" customFormat="false" ht="12" hidden="false" customHeight="false" outlineLevel="0" collapsed="false">
      <c r="A343" s="182" t="s">
        <v>1715</v>
      </c>
      <c r="B343" s="182" t="s">
        <v>1716</v>
      </c>
    </row>
    <row r="344" customFormat="false" ht="12" hidden="false" customHeight="false" outlineLevel="0" collapsed="false">
      <c r="A344" s="182" t="s">
        <v>1717</v>
      </c>
      <c r="B344" s="182" t="s">
        <v>1718</v>
      </c>
    </row>
    <row r="345" customFormat="false" ht="12" hidden="false" customHeight="false" outlineLevel="0" collapsed="false">
      <c r="A345" s="182" t="s">
        <v>1719</v>
      </c>
      <c r="B345" s="182" t="s">
        <v>1720</v>
      </c>
    </row>
    <row r="346" customFormat="false" ht="12" hidden="false" customHeight="false" outlineLevel="0" collapsed="false">
      <c r="A346" s="182" t="s">
        <v>1721</v>
      </c>
      <c r="B346" s="182" t="s">
        <v>1722</v>
      </c>
    </row>
    <row r="347" customFormat="false" ht="12" hidden="false" customHeight="false" outlineLevel="0" collapsed="false">
      <c r="A347" s="182" t="s">
        <v>1723</v>
      </c>
      <c r="B347" s="182" t="s">
        <v>1724</v>
      </c>
    </row>
    <row r="348" customFormat="false" ht="12" hidden="false" customHeight="false" outlineLevel="0" collapsed="false">
      <c r="A348" s="182" t="s">
        <v>1725</v>
      </c>
      <c r="B348" s="182" t="s">
        <v>1726</v>
      </c>
    </row>
    <row r="349" customFormat="false" ht="12" hidden="false" customHeight="false" outlineLevel="0" collapsed="false">
      <c r="A349" s="182" t="s">
        <v>1727</v>
      </c>
      <c r="B349" s="182" t="s">
        <v>1728</v>
      </c>
    </row>
    <row r="350" customFormat="false" ht="12" hidden="false" customHeight="false" outlineLevel="0" collapsed="false">
      <c r="A350" s="182" t="s">
        <v>1729</v>
      </c>
      <c r="B350" s="182" t="s">
        <v>1730</v>
      </c>
    </row>
    <row r="351" customFormat="false" ht="12" hidden="false" customHeight="false" outlineLevel="0" collapsed="false">
      <c r="A351" s="182" t="s">
        <v>1731</v>
      </c>
      <c r="B351" s="182" t="s">
        <v>1732</v>
      </c>
    </row>
    <row r="352" customFormat="false" ht="12" hidden="false" customHeight="false" outlineLevel="0" collapsed="false">
      <c r="A352" s="182" t="s">
        <v>1733</v>
      </c>
      <c r="B352" s="182" t="s">
        <v>1734</v>
      </c>
    </row>
    <row r="353" customFormat="false" ht="12" hidden="false" customHeight="false" outlineLevel="0" collapsed="false">
      <c r="A353" s="182" t="s">
        <v>1735</v>
      </c>
      <c r="B353" s="182" t="s">
        <v>1736</v>
      </c>
    </row>
    <row r="354" customFormat="false" ht="12" hidden="false" customHeight="false" outlineLevel="0" collapsed="false">
      <c r="A354" s="182" t="s">
        <v>1737</v>
      </c>
      <c r="B354" s="182" t="s">
        <v>1738</v>
      </c>
    </row>
    <row r="355" customFormat="false" ht="12" hidden="false" customHeight="false" outlineLevel="0" collapsed="false">
      <c r="A355" s="182" t="s">
        <v>1739</v>
      </c>
      <c r="B355" s="182" t="s">
        <v>1740</v>
      </c>
    </row>
    <row r="356" customFormat="false" ht="12" hidden="false" customHeight="false" outlineLevel="0" collapsed="false">
      <c r="A356" s="182" t="s">
        <v>1741</v>
      </c>
      <c r="B356" s="182" t="s">
        <v>1742</v>
      </c>
    </row>
    <row r="357" customFormat="false" ht="12" hidden="false" customHeight="false" outlineLevel="0" collapsed="false">
      <c r="A357" s="182" t="s">
        <v>1743</v>
      </c>
      <c r="B357" s="182" t="s">
        <v>1744</v>
      </c>
    </row>
    <row r="358" customFormat="false" ht="12" hidden="false" customHeight="false" outlineLevel="0" collapsed="false">
      <c r="A358" s="182" t="s">
        <v>1745</v>
      </c>
      <c r="B358" s="182" t="s">
        <v>1746</v>
      </c>
    </row>
    <row r="359" customFormat="false" ht="12" hidden="false" customHeight="false" outlineLevel="0" collapsed="false">
      <c r="A359" s="182" t="s">
        <v>1747</v>
      </c>
      <c r="B359" s="182" t="s">
        <v>1748</v>
      </c>
    </row>
    <row r="360" customFormat="false" ht="12" hidden="false" customHeight="false" outlineLevel="0" collapsed="false">
      <c r="A360" s="182" t="s">
        <v>1749</v>
      </c>
      <c r="B360" s="182" t="s">
        <v>1750</v>
      </c>
    </row>
    <row r="361" customFormat="false" ht="12" hidden="false" customHeight="false" outlineLevel="0" collapsed="false">
      <c r="A361" s="182" t="s">
        <v>1751</v>
      </c>
      <c r="B361" s="182" t="s">
        <v>1752</v>
      </c>
    </row>
    <row r="362" customFormat="false" ht="12" hidden="false" customHeight="false" outlineLevel="0" collapsed="false">
      <c r="A362" s="182" t="s">
        <v>1753</v>
      </c>
      <c r="B362" s="182" t="s">
        <v>1754</v>
      </c>
    </row>
    <row r="363" customFormat="false" ht="12" hidden="false" customHeight="false" outlineLevel="0" collapsed="false">
      <c r="A363" s="182" t="s">
        <v>1755</v>
      </c>
      <c r="B363" s="182" t="s">
        <v>1756</v>
      </c>
    </row>
    <row r="364" customFormat="false" ht="12" hidden="false" customHeight="false" outlineLevel="0" collapsed="false">
      <c r="A364" s="182" t="s">
        <v>1757</v>
      </c>
      <c r="B364" s="182" t="s">
        <v>1758</v>
      </c>
    </row>
    <row r="365" customFormat="false" ht="12" hidden="false" customHeight="false" outlineLevel="0" collapsed="false">
      <c r="A365" s="182" t="s">
        <v>1759</v>
      </c>
      <c r="B365" s="182" t="s">
        <v>1760</v>
      </c>
    </row>
    <row r="366" customFormat="false" ht="12" hidden="false" customHeight="false" outlineLevel="0" collapsed="false">
      <c r="A366" s="182" t="s">
        <v>1761</v>
      </c>
      <c r="B366" s="182" t="s">
        <v>1762</v>
      </c>
    </row>
    <row r="367" customFormat="false" ht="12" hidden="false" customHeight="false" outlineLevel="0" collapsed="false">
      <c r="A367" s="182" t="s">
        <v>1763</v>
      </c>
      <c r="B367" s="182" t="s">
        <v>1764</v>
      </c>
    </row>
    <row r="368" customFormat="false" ht="12" hidden="false" customHeight="false" outlineLevel="0" collapsed="false">
      <c r="A368" s="182" t="s">
        <v>1765</v>
      </c>
      <c r="B368" s="182" t="s">
        <v>1766</v>
      </c>
    </row>
    <row r="369" customFormat="false" ht="12" hidden="false" customHeight="false" outlineLevel="0" collapsed="false">
      <c r="A369" s="182" t="s">
        <v>1767</v>
      </c>
      <c r="B369" s="182" t="s">
        <v>1768</v>
      </c>
    </row>
    <row r="370" customFormat="false" ht="12" hidden="false" customHeight="false" outlineLevel="0" collapsed="false">
      <c r="A370" s="182" t="s">
        <v>1769</v>
      </c>
      <c r="B370" s="182" t="s">
        <v>1770</v>
      </c>
    </row>
    <row r="371" customFormat="false" ht="12" hidden="false" customHeight="false" outlineLevel="0" collapsed="false">
      <c r="A371" s="182" t="s">
        <v>1771</v>
      </c>
      <c r="B371" s="182" t="s">
        <v>1772</v>
      </c>
    </row>
    <row r="372" customFormat="false" ht="12" hidden="false" customHeight="false" outlineLevel="0" collapsed="false">
      <c r="A372" s="182" t="s">
        <v>1773</v>
      </c>
      <c r="B372" s="182" t="s">
        <v>1774</v>
      </c>
    </row>
    <row r="373" customFormat="false" ht="12" hidden="false" customHeight="false" outlineLevel="0" collapsed="false">
      <c r="A373" s="182" t="s">
        <v>1775</v>
      </c>
      <c r="B373" s="182" t="s">
        <v>1776</v>
      </c>
    </row>
    <row r="374" customFormat="false" ht="12" hidden="false" customHeight="false" outlineLevel="0" collapsed="false">
      <c r="A374" s="182" t="s">
        <v>1777</v>
      </c>
      <c r="B374" s="182" t="s">
        <v>1778</v>
      </c>
    </row>
    <row r="375" customFormat="false" ht="12" hidden="false" customHeight="false" outlineLevel="0" collapsed="false">
      <c r="A375" s="182" t="s">
        <v>1779</v>
      </c>
      <c r="B375" s="182" t="s">
        <v>1780</v>
      </c>
    </row>
    <row r="376" customFormat="false" ht="12" hidden="false" customHeight="false" outlineLevel="0" collapsed="false">
      <c r="A376" s="182" t="s">
        <v>1781</v>
      </c>
      <c r="B376" s="182" t="s">
        <v>1782</v>
      </c>
    </row>
    <row r="377" customFormat="false" ht="12" hidden="false" customHeight="false" outlineLevel="0" collapsed="false">
      <c r="A377" s="182" t="s">
        <v>1783</v>
      </c>
      <c r="B377" s="182" t="s">
        <v>1784</v>
      </c>
    </row>
    <row r="378" customFormat="false" ht="12" hidden="false" customHeight="false" outlineLevel="0" collapsed="false">
      <c r="A378" s="182" t="s">
        <v>1785</v>
      </c>
      <c r="B378" s="182" t="s">
        <v>1786</v>
      </c>
    </row>
    <row r="379" customFormat="false" ht="12" hidden="false" customHeight="false" outlineLevel="0" collapsed="false">
      <c r="A379" s="182" t="s">
        <v>1787</v>
      </c>
      <c r="B379" s="182" t="s">
        <v>1788</v>
      </c>
    </row>
    <row r="380" customFormat="false" ht="12" hidden="false" customHeight="false" outlineLevel="0" collapsed="false">
      <c r="A380" s="182" t="s">
        <v>1789</v>
      </c>
      <c r="B380" s="182" t="s">
        <v>1790</v>
      </c>
    </row>
    <row r="381" customFormat="false" ht="12" hidden="false" customHeight="false" outlineLevel="0" collapsed="false">
      <c r="A381" s="182" t="s">
        <v>1791</v>
      </c>
      <c r="B381" s="182" t="s">
        <v>1792</v>
      </c>
    </row>
    <row r="382" customFormat="false" ht="12" hidden="false" customHeight="false" outlineLevel="0" collapsed="false">
      <c r="A382" s="182" t="s">
        <v>1793</v>
      </c>
      <c r="B382" s="182" t="s">
        <v>1794</v>
      </c>
    </row>
    <row r="383" customFormat="false" ht="12" hidden="false" customHeight="false" outlineLevel="0" collapsed="false">
      <c r="A383" s="182" t="s">
        <v>1795</v>
      </c>
      <c r="B383" s="182" t="s">
        <v>1796</v>
      </c>
    </row>
    <row r="384" customFormat="false" ht="12" hidden="false" customHeight="false" outlineLevel="0" collapsed="false">
      <c r="A384" s="182" t="s">
        <v>1797</v>
      </c>
      <c r="B384" s="182" t="s">
        <v>1798</v>
      </c>
    </row>
    <row r="385" customFormat="false" ht="12" hidden="false" customHeight="false" outlineLevel="0" collapsed="false">
      <c r="A385" s="182" t="s">
        <v>1799</v>
      </c>
      <c r="B385" s="182" t="s">
        <v>1800</v>
      </c>
    </row>
    <row r="386" customFormat="false" ht="12" hidden="false" customHeight="false" outlineLevel="0" collapsed="false">
      <c r="A386" s="182" t="s">
        <v>1801</v>
      </c>
      <c r="B386" s="182" t="s">
        <v>1802</v>
      </c>
    </row>
    <row r="387" customFormat="false" ht="12" hidden="false" customHeight="false" outlineLevel="0" collapsed="false">
      <c r="A387" s="182" t="s">
        <v>1803</v>
      </c>
      <c r="B387" s="182" t="s">
        <v>1804</v>
      </c>
    </row>
    <row r="388" customFormat="false" ht="12" hidden="false" customHeight="false" outlineLevel="0" collapsed="false">
      <c r="A388" s="182" t="s">
        <v>1805</v>
      </c>
      <c r="B388" s="182" t="s">
        <v>1806</v>
      </c>
    </row>
    <row r="389" customFormat="false" ht="12" hidden="false" customHeight="false" outlineLevel="0" collapsed="false">
      <c r="A389" s="182" t="s">
        <v>1807</v>
      </c>
      <c r="B389" s="182" t="s">
        <v>1808</v>
      </c>
    </row>
    <row r="390" customFormat="false" ht="12" hidden="false" customHeight="false" outlineLevel="0" collapsed="false">
      <c r="A390" s="182" t="s">
        <v>1809</v>
      </c>
      <c r="B390" s="182" t="s">
        <v>1810</v>
      </c>
    </row>
    <row r="391" customFormat="false" ht="12" hidden="false" customHeight="false" outlineLevel="0" collapsed="false">
      <c r="A391" s="182" t="s">
        <v>1811</v>
      </c>
      <c r="B391" s="182" t="s">
        <v>1812</v>
      </c>
    </row>
    <row r="392" customFormat="false" ht="12" hidden="false" customHeight="false" outlineLevel="0" collapsed="false">
      <c r="A392" s="182" t="s">
        <v>1813</v>
      </c>
      <c r="B392" s="182" t="s">
        <v>1814</v>
      </c>
    </row>
    <row r="393" customFormat="false" ht="12" hidden="false" customHeight="false" outlineLevel="0" collapsed="false">
      <c r="A393" s="182" t="s">
        <v>1815</v>
      </c>
      <c r="B393" s="182" t="s">
        <v>1816</v>
      </c>
    </row>
    <row r="394" customFormat="false" ht="12" hidden="false" customHeight="false" outlineLevel="0" collapsed="false">
      <c r="A394" s="182" t="s">
        <v>1817</v>
      </c>
      <c r="B394" s="182" t="s">
        <v>1818</v>
      </c>
    </row>
    <row r="395" customFormat="false" ht="12" hidden="false" customHeight="false" outlineLevel="0" collapsed="false">
      <c r="A395" s="182" t="s">
        <v>1819</v>
      </c>
      <c r="B395" s="182" t="s">
        <v>1820</v>
      </c>
    </row>
    <row r="396" customFormat="false" ht="12" hidden="false" customHeight="false" outlineLevel="0" collapsed="false">
      <c r="A396" s="182" t="s">
        <v>1821</v>
      </c>
      <c r="B396" s="182" t="s">
        <v>1822</v>
      </c>
    </row>
    <row r="397" customFormat="false" ht="12" hidden="false" customHeight="false" outlineLevel="0" collapsed="false">
      <c r="A397" s="182" t="s">
        <v>1823</v>
      </c>
      <c r="B397" s="182" t="s">
        <v>1824</v>
      </c>
    </row>
    <row r="398" customFormat="false" ht="12" hidden="false" customHeight="false" outlineLevel="0" collapsed="false">
      <c r="A398" s="182" t="s">
        <v>1825</v>
      </c>
      <c r="B398" s="182" t="s">
        <v>1826</v>
      </c>
    </row>
    <row r="399" customFormat="false" ht="12" hidden="false" customHeight="false" outlineLevel="0" collapsed="false">
      <c r="A399" s="182" t="s">
        <v>1827</v>
      </c>
      <c r="B399" s="182" t="s">
        <v>1828</v>
      </c>
    </row>
    <row r="400" customFormat="false" ht="12" hidden="false" customHeight="false" outlineLevel="0" collapsed="false">
      <c r="A400" s="182" t="s">
        <v>1829</v>
      </c>
      <c r="B400" s="182" t="s">
        <v>1830</v>
      </c>
    </row>
    <row r="401" customFormat="false" ht="12" hidden="false" customHeight="false" outlineLevel="0" collapsed="false">
      <c r="A401" s="182" t="s">
        <v>1831</v>
      </c>
      <c r="B401" s="182" t="s">
        <v>1832</v>
      </c>
    </row>
    <row r="402" customFormat="false" ht="12" hidden="false" customHeight="false" outlineLevel="0" collapsed="false">
      <c r="A402" s="182" t="s">
        <v>1833</v>
      </c>
      <c r="B402" s="182" t="s">
        <v>1834</v>
      </c>
    </row>
    <row r="403" customFormat="false" ht="12" hidden="false" customHeight="false" outlineLevel="0" collapsed="false">
      <c r="A403" s="182" t="s">
        <v>1835</v>
      </c>
      <c r="B403" s="182" t="s">
        <v>1836</v>
      </c>
    </row>
    <row r="404" customFormat="false" ht="12" hidden="false" customHeight="false" outlineLevel="0" collapsed="false">
      <c r="A404" s="182" t="s">
        <v>1837</v>
      </c>
      <c r="B404" s="182" t="s">
        <v>1838</v>
      </c>
    </row>
    <row r="405" customFormat="false" ht="12" hidden="false" customHeight="false" outlineLevel="0" collapsed="false">
      <c r="A405" s="182" t="s">
        <v>1839</v>
      </c>
      <c r="B405" s="182" t="s">
        <v>1840</v>
      </c>
    </row>
    <row r="406" customFormat="false" ht="12" hidden="false" customHeight="false" outlineLevel="0" collapsed="false">
      <c r="A406" s="182" t="s">
        <v>1841</v>
      </c>
      <c r="B406" s="182" t="s">
        <v>1842</v>
      </c>
    </row>
    <row r="407" customFormat="false" ht="12" hidden="false" customHeight="false" outlineLevel="0" collapsed="false">
      <c r="A407" s="182" t="s">
        <v>1843</v>
      </c>
      <c r="B407" s="182" t="s">
        <v>1844</v>
      </c>
    </row>
    <row r="408" customFormat="false" ht="12" hidden="false" customHeight="false" outlineLevel="0" collapsed="false">
      <c r="A408" s="182" t="s">
        <v>1845</v>
      </c>
      <c r="B408" s="182" t="s">
        <v>1846</v>
      </c>
    </row>
    <row r="409" customFormat="false" ht="12" hidden="false" customHeight="false" outlineLevel="0" collapsed="false">
      <c r="A409" s="182" t="s">
        <v>1847</v>
      </c>
      <c r="B409" s="182" t="s">
        <v>1848</v>
      </c>
    </row>
    <row r="410" customFormat="false" ht="12" hidden="false" customHeight="false" outlineLevel="0" collapsed="false">
      <c r="A410" s="182" t="s">
        <v>1849</v>
      </c>
      <c r="B410" s="182" t="s">
        <v>1850</v>
      </c>
    </row>
    <row r="411" customFormat="false" ht="12" hidden="false" customHeight="false" outlineLevel="0" collapsed="false">
      <c r="A411" s="182" t="s">
        <v>1851</v>
      </c>
      <c r="B411" s="182" t="s">
        <v>1852</v>
      </c>
    </row>
    <row r="412" customFormat="false" ht="12" hidden="false" customHeight="false" outlineLevel="0" collapsed="false">
      <c r="A412" s="182" t="s">
        <v>1853</v>
      </c>
      <c r="B412" s="182" t="s">
        <v>1854</v>
      </c>
    </row>
    <row r="413" customFormat="false" ht="12" hidden="false" customHeight="false" outlineLevel="0" collapsed="false">
      <c r="A413" s="182" t="s">
        <v>1855</v>
      </c>
      <c r="B413" s="182" t="s">
        <v>1856</v>
      </c>
    </row>
    <row r="414" customFormat="false" ht="12" hidden="false" customHeight="false" outlineLevel="0" collapsed="false">
      <c r="A414" s="182" t="s">
        <v>1857</v>
      </c>
      <c r="B414" s="182" t="s">
        <v>1858</v>
      </c>
    </row>
    <row r="415" customFormat="false" ht="12" hidden="false" customHeight="false" outlineLevel="0" collapsed="false">
      <c r="A415" s="182" t="s">
        <v>1859</v>
      </c>
      <c r="B415" s="182" t="s">
        <v>1860</v>
      </c>
    </row>
    <row r="416" customFormat="false" ht="12" hidden="false" customHeight="false" outlineLevel="0" collapsed="false">
      <c r="A416" s="182" t="s">
        <v>1861</v>
      </c>
      <c r="B416" s="182" t="s">
        <v>1862</v>
      </c>
    </row>
    <row r="417" customFormat="false" ht="12" hidden="false" customHeight="false" outlineLevel="0" collapsed="false">
      <c r="A417" s="182" t="s">
        <v>1863</v>
      </c>
      <c r="B417" s="182" t="s">
        <v>1864</v>
      </c>
    </row>
    <row r="418" customFormat="false" ht="12" hidden="false" customHeight="false" outlineLevel="0" collapsed="false">
      <c r="A418" s="182" t="s">
        <v>1865</v>
      </c>
      <c r="B418" s="182" t="s">
        <v>1866</v>
      </c>
    </row>
    <row r="419" customFormat="false" ht="12" hidden="false" customHeight="false" outlineLevel="0" collapsed="false">
      <c r="A419" s="182" t="s">
        <v>1867</v>
      </c>
      <c r="B419" s="182" t="s">
        <v>1868</v>
      </c>
    </row>
    <row r="420" customFormat="false" ht="12" hidden="false" customHeight="false" outlineLevel="0" collapsed="false">
      <c r="A420" s="182" t="s">
        <v>1869</v>
      </c>
      <c r="B420" s="182" t="s">
        <v>1870</v>
      </c>
    </row>
    <row r="421" customFormat="false" ht="12" hidden="false" customHeight="false" outlineLevel="0" collapsed="false">
      <c r="A421" s="182" t="s">
        <v>1871</v>
      </c>
      <c r="B421" s="182" t="s">
        <v>1872</v>
      </c>
    </row>
    <row r="422" customFormat="false" ht="12" hidden="false" customHeight="false" outlineLevel="0" collapsed="false">
      <c r="A422" s="182" t="s">
        <v>1873</v>
      </c>
      <c r="B422" s="182" t="s">
        <v>1874</v>
      </c>
    </row>
    <row r="423" customFormat="false" ht="12" hidden="false" customHeight="false" outlineLevel="0" collapsed="false">
      <c r="A423" s="182" t="s">
        <v>1875</v>
      </c>
      <c r="B423" s="182" t="s">
        <v>1876</v>
      </c>
    </row>
    <row r="424" customFormat="false" ht="12" hidden="false" customHeight="false" outlineLevel="0" collapsed="false">
      <c r="A424" s="182" t="s">
        <v>1877</v>
      </c>
      <c r="B424" s="182" t="s">
        <v>1878</v>
      </c>
    </row>
    <row r="425" customFormat="false" ht="12" hidden="false" customHeight="false" outlineLevel="0" collapsed="false">
      <c r="A425" s="182" t="s">
        <v>1879</v>
      </c>
      <c r="B425" s="182" t="s">
        <v>1880</v>
      </c>
    </row>
    <row r="426" customFormat="false" ht="12" hidden="false" customHeight="false" outlineLevel="0" collapsed="false">
      <c r="A426" s="182" t="s">
        <v>1881</v>
      </c>
      <c r="B426" s="182" t="s">
        <v>1882</v>
      </c>
    </row>
    <row r="427" customFormat="false" ht="12" hidden="false" customHeight="false" outlineLevel="0" collapsed="false">
      <c r="A427" s="182" t="s">
        <v>1883</v>
      </c>
      <c r="B427" s="182" t="s">
        <v>1884</v>
      </c>
    </row>
    <row r="428" customFormat="false" ht="12" hidden="false" customHeight="false" outlineLevel="0" collapsed="false">
      <c r="A428" s="182" t="s">
        <v>1885</v>
      </c>
      <c r="B428" s="182" t="s">
        <v>1886</v>
      </c>
    </row>
    <row r="429" customFormat="false" ht="12" hidden="false" customHeight="false" outlineLevel="0" collapsed="false">
      <c r="A429" s="182" t="s">
        <v>1887</v>
      </c>
      <c r="B429" s="182" t="s">
        <v>1888</v>
      </c>
    </row>
    <row r="430" customFormat="false" ht="12" hidden="false" customHeight="false" outlineLevel="0" collapsed="false">
      <c r="A430" s="182" t="s">
        <v>1889</v>
      </c>
      <c r="B430" s="182" t="s">
        <v>1890</v>
      </c>
    </row>
    <row r="431" customFormat="false" ht="12" hidden="false" customHeight="false" outlineLevel="0" collapsed="false">
      <c r="A431" s="182" t="s">
        <v>1891</v>
      </c>
      <c r="B431" s="182" t="s">
        <v>1892</v>
      </c>
    </row>
    <row r="432" customFormat="false" ht="12" hidden="false" customHeight="false" outlineLevel="0" collapsed="false">
      <c r="A432" s="182" t="s">
        <v>1893</v>
      </c>
      <c r="B432" s="182" t="s">
        <v>1894</v>
      </c>
    </row>
    <row r="433" customFormat="false" ht="12" hidden="false" customHeight="false" outlineLevel="0" collapsed="false">
      <c r="A433" s="182" t="s">
        <v>1895</v>
      </c>
      <c r="B433" s="182" t="s">
        <v>1896</v>
      </c>
    </row>
    <row r="434" customFormat="false" ht="12" hidden="false" customHeight="false" outlineLevel="0" collapsed="false">
      <c r="A434" s="182" t="s">
        <v>1897</v>
      </c>
      <c r="B434" s="182" t="s">
        <v>1898</v>
      </c>
    </row>
    <row r="435" customFormat="false" ht="12" hidden="false" customHeight="false" outlineLevel="0" collapsed="false">
      <c r="A435" s="182" t="s">
        <v>1899</v>
      </c>
      <c r="B435" s="182" t="s">
        <v>1900</v>
      </c>
    </row>
    <row r="436" customFormat="false" ht="12" hidden="false" customHeight="false" outlineLevel="0" collapsed="false">
      <c r="A436" s="182" t="s">
        <v>1901</v>
      </c>
      <c r="B436" s="182" t="s">
        <v>1902</v>
      </c>
    </row>
    <row r="437" customFormat="false" ht="12" hidden="false" customHeight="false" outlineLevel="0" collapsed="false">
      <c r="A437" s="182" t="s">
        <v>1903</v>
      </c>
      <c r="B437" s="182" t="s">
        <v>1904</v>
      </c>
    </row>
    <row r="438" customFormat="false" ht="12" hidden="false" customHeight="false" outlineLevel="0" collapsed="false">
      <c r="A438" s="182" t="s">
        <v>1905</v>
      </c>
      <c r="B438" s="182" t="s">
        <v>1906</v>
      </c>
    </row>
    <row r="439" customFormat="false" ht="12" hidden="false" customHeight="false" outlineLevel="0" collapsed="false">
      <c r="A439" s="182" t="s">
        <v>1907</v>
      </c>
      <c r="B439" s="182" t="s">
        <v>1908</v>
      </c>
    </row>
    <row r="440" customFormat="false" ht="12" hidden="false" customHeight="false" outlineLevel="0" collapsed="false">
      <c r="A440" s="182" t="s">
        <v>1909</v>
      </c>
      <c r="B440" s="182" t="s">
        <v>1910</v>
      </c>
    </row>
    <row r="441" customFormat="false" ht="12" hidden="false" customHeight="false" outlineLevel="0" collapsed="false">
      <c r="A441" s="182" t="s">
        <v>1911</v>
      </c>
      <c r="B441" s="182" t="s">
        <v>1912</v>
      </c>
    </row>
    <row r="442" customFormat="false" ht="12" hidden="false" customHeight="false" outlineLevel="0" collapsed="false">
      <c r="A442" s="182" t="s">
        <v>1913</v>
      </c>
      <c r="B442" s="182" t="s">
        <v>1914</v>
      </c>
    </row>
    <row r="443" customFormat="false" ht="12" hidden="false" customHeight="false" outlineLevel="0" collapsed="false">
      <c r="A443" s="182" t="s">
        <v>1915</v>
      </c>
      <c r="B443" s="182" t="s">
        <v>1916</v>
      </c>
    </row>
    <row r="444" customFormat="false" ht="12" hidden="false" customHeight="false" outlineLevel="0" collapsed="false">
      <c r="A444" s="182" t="s">
        <v>1917</v>
      </c>
      <c r="B444" s="182" t="s">
        <v>1918</v>
      </c>
    </row>
    <row r="445" customFormat="false" ht="12" hidden="false" customHeight="false" outlineLevel="0" collapsed="false">
      <c r="A445" s="182" t="s">
        <v>1919</v>
      </c>
      <c r="B445" s="182" t="s">
        <v>1920</v>
      </c>
    </row>
    <row r="446" customFormat="false" ht="12" hidden="false" customHeight="false" outlineLevel="0" collapsed="false">
      <c r="A446" s="182" t="s">
        <v>1921</v>
      </c>
      <c r="B446" s="182" t="s">
        <v>1922</v>
      </c>
    </row>
    <row r="447" customFormat="false" ht="12" hidden="false" customHeight="false" outlineLevel="0" collapsed="false">
      <c r="A447" s="182" t="s">
        <v>1923</v>
      </c>
      <c r="B447" s="182" t="s">
        <v>1924</v>
      </c>
    </row>
    <row r="448" customFormat="false" ht="12" hidden="false" customHeight="false" outlineLevel="0" collapsed="false">
      <c r="A448" s="182" t="s">
        <v>1925</v>
      </c>
      <c r="B448" s="182" t="s">
        <v>1926</v>
      </c>
    </row>
    <row r="449" customFormat="false" ht="12" hidden="false" customHeight="false" outlineLevel="0" collapsed="false">
      <c r="A449" s="182" t="s">
        <v>1927</v>
      </c>
      <c r="B449" s="182" t="s">
        <v>1928</v>
      </c>
    </row>
    <row r="450" customFormat="false" ht="12" hidden="false" customHeight="false" outlineLevel="0" collapsed="false">
      <c r="A450" s="182" t="s">
        <v>1929</v>
      </c>
      <c r="B450" s="182" t="s">
        <v>1930</v>
      </c>
    </row>
    <row r="451" customFormat="false" ht="12" hidden="false" customHeight="false" outlineLevel="0" collapsed="false">
      <c r="A451" s="182" t="s">
        <v>1931</v>
      </c>
      <c r="B451" s="182" t="s">
        <v>1932</v>
      </c>
    </row>
    <row r="452" customFormat="false" ht="12" hidden="false" customHeight="false" outlineLevel="0" collapsed="false">
      <c r="A452" s="182" t="s">
        <v>1933</v>
      </c>
      <c r="B452" s="182" t="s">
        <v>1934</v>
      </c>
    </row>
    <row r="453" customFormat="false" ht="12" hidden="false" customHeight="false" outlineLevel="0" collapsed="false">
      <c r="A453" s="182" t="s">
        <v>1935</v>
      </c>
      <c r="B453" s="182" t="s">
        <v>1936</v>
      </c>
    </row>
    <row r="454" customFormat="false" ht="12" hidden="false" customHeight="false" outlineLevel="0" collapsed="false">
      <c r="A454" s="182" t="s">
        <v>1937</v>
      </c>
      <c r="B454" s="182" t="s">
        <v>1938</v>
      </c>
    </row>
    <row r="455" customFormat="false" ht="12" hidden="false" customHeight="false" outlineLevel="0" collapsed="false">
      <c r="A455" s="182" t="s">
        <v>1939</v>
      </c>
      <c r="B455" s="182" t="s">
        <v>1940</v>
      </c>
    </row>
    <row r="456" customFormat="false" ht="12" hidden="false" customHeight="false" outlineLevel="0" collapsed="false">
      <c r="A456" s="182" t="s">
        <v>1941</v>
      </c>
      <c r="B456" s="182" t="s">
        <v>1942</v>
      </c>
    </row>
    <row r="457" customFormat="false" ht="12" hidden="false" customHeight="false" outlineLevel="0" collapsed="false">
      <c r="A457" s="182" t="s">
        <v>1943</v>
      </c>
      <c r="B457" s="182" t="s">
        <v>1944</v>
      </c>
    </row>
    <row r="458" customFormat="false" ht="12" hidden="false" customHeight="false" outlineLevel="0" collapsed="false">
      <c r="A458" s="182" t="s">
        <v>1945</v>
      </c>
      <c r="B458" s="182" t="s">
        <v>1946</v>
      </c>
    </row>
    <row r="459" customFormat="false" ht="12" hidden="false" customHeight="false" outlineLevel="0" collapsed="false">
      <c r="A459" s="182" t="s">
        <v>1947</v>
      </c>
      <c r="B459" s="182" t="s">
        <v>1948</v>
      </c>
    </row>
    <row r="460" customFormat="false" ht="12" hidden="false" customHeight="false" outlineLevel="0" collapsed="false">
      <c r="A460" s="182" t="s">
        <v>1949</v>
      </c>
      <c r="B460" s="182" t="s">
        <v>1950</v>
      </c>
    </row>
    <row r="461" customFormat="false" ht="12" hidden="false" customHeight="false" outlineLevel="0" collapsed="false">
      <c r="A461" s="182" t="s">
        <v>1951</v>
      </c>
      <c r="B461" s="182" t="s">
        <v>1952</v>
      </c>
    </row>
    <row r="462" customFormat="false" ht="12" hidden="false" customHeight="false" outlineLevel="0" collapsed="false">
      <c r="A462" s="182" t="s">
        <v>1953</v>
      </c>
      <c r="B462" s="182" t="s">
        <v>1954</v>
      </c>
    </row>
    <row r="463" customFormat="false" ht="12" hidden="false" customHeight="false" outlineLevel="0" collapsed="false">
      <c r="A463" s="182" t="s">
        <v>1955</v>
      </c>
      <c r="B463" s="182" t="s">
        <v>1956</v>
      </c>
    </row>
    <row r="464" customFormat="false" ht="12" hidden="false" customHeight="false" outlineLevel="0" collapsed="false">
      <c r="A464" s="182" t="s">
        <v>1957</v>
      </c>
      <c r="B464" s="182" t="s">
        <v>1958</v>
      </c>
    </row>
    <row r="465" customFormat="false" ht="12" hidden="false" customHeight="false" outlineLevel="0" collapsed="false">
      <c r="A465" s="182" t="s">
        <v>1959</v>
      </c>
      <c r="B465" s="182" t="s">
        <v>1960</v>
      </c>
    </row>
    <row r="466" customFormat="false" ht="12" hidden="false" customHeight="false" outlineLevel="0" collapsed="false">
      <c r="A466" s="182" t="s">
        <v>1961</v>
      </c>
      <c r="B466" s="182" t="s">
        <v>1962</v>
      </c>
    </row>
    <row r="467" customFormat="false" ht="12" hidden="false" customHeight="false" outlineLevel="0" collapsed="false">
      <c r="A467" s="182" t="s">
        <v>1963</v>
      </c>
      <c r="B467" s="182" t="s">
        <v>1964</v>
      </c>
    </row>
    <row r="468" customFormat="false" ht="12" hidden="false" customHeight="false" outlineLevel="0" collapsed="false">
      <c r="A468" s="182" t="s">
        <v>1965</v>
      </c>
      <c r="B468" s="182" t="s">
        <v>1966</v>
      </c>
    </row>
    <row r="469" customFormat="false" ht="12" hidden="false" customHeight="false" outlineLevel="0" collapsed="false">
      <c r="A469" s="182" t="s">
        <v>1967</v>
      </c>
      <c r="B469" s="182" t="s">
        <v>1968</v>
      </c>
    </row>
    <row r="470" customFormat="false" ht="12" hidden="false" customHeight="false" outlineLevel="0" collapsed="false">
      <c r="A470" s="182" t="s">
        <v>1969</v>
      </c>
      <c r="B470" s="182" t="s">
        <v>1970</v>
      </c>
    </row>
    <row r="471" customFormat="false" ht="12" hidden="false" customHeight="false" outlineLevel="0" collapsed="false">
      <c r="A471" s="182" t="s">
        <v>1971</v>
      </c>
      <c r="B471" s="182" t="s">
        <v>1972</v>
      </c>
    </row>
    <row r="472" customFormat="false" ht="12" hidden="false" customHeight="false" outlineLevel="0" collapsed="false">
      <c r="A472" s="182" t="s">
        <v>1973</v>
      </c>
      <c r="B472" s="182" t="s">
        <v>1974</v>
      </c>
    </row>
    <row r="473" customFormat="false" ht="12" hidden="false" customHeight="false" outlineLevel="0" collapsed="false">
      <c r="A473" s="182" t="s">
        <v>1975</v>
      </c>
      <c r="B473" s="182" t="s">
        <v>1976</v>
      </c>
    </row>
    <row r="474" customFormat="false" ht="12" hidden="false" customHeight="false" outlineLevel="0" collapsed="false">
      <c r="A474" s="182" t="s">
        <v>1977</v>
      </c>
      <c r="B474" s="182" t="s">
        <v>1978</v>
      </c>
    </row>
    <row r="475" customFormat="false" ht="12" hidden="false" customHeight="false" outlineLevel="0" collapsed="false">
      <c r="A475" s="182" t="s">
        <v>1979</v>
      </c>
      <c r="B475" s="182" t="s">
        <v>1980</v>
      </c>
    </row>
    <row r="476" customFormat="false" ht="12" hidden="false" customHeight="false" outlineLevel="0" collapsed="false">
      <c r="A476" s="182" t="s">
        <v>1981</v>
      </c>
      <c r="B476" s="182" t="s">
        <v>1982</v>
      </c>
    </row>
    <row r="477" customFormat="false" ht="12" hidden="false" customHeight="false" outlineLevel="0" collapsed="false">
      <c r="A477" s="182" t="s">
        <v>1983</v>
      </c>
      <c r="B477" s="182" t="s">
        <v>1984</v>
      </c>
    </row>
    <row r="478" customFormat="false" ht="12" hidden="false" customHeight="false" outlineLevel="0" collapsed="false">
      <c r="A478" s="182" t="s">
        <v>1985</v>
      </c>
      <c r="B478" s="182" t="s">
        <v>1986</v>
      </c>
    </row>
    <row r="479" customFormat="false" ht="12" hidden="false" customHeight="false" outlineLevel="0" collapsed="false">
      <c r="A479" s="182" t="s">
        <v>1987</v>
      </c>
      <c r="B479" s="182" t="s">
        <v>1988</v>
      </c>
    </row>
    <row r="480" customFormat="false" ht="12" hidden="false" customHeight="false" outlineLevel="0" collapsed="false">
      <c r="A480" s="182" t="s">
        <v>1989</v>
      </c>
      <c r="B480" s="182" t="s">
        <v>1990</v>
      </c>
    </row>
    <row r="481" customFormat="false" ht="12" hidden="false" customHeight="false" outlineLevel="0" collapsed="false">
      <c r="A481" s="182" t="s">
        <v>1991</v>
      </c>
      <c r="B481" s="182" t="s">
        <v>1992</v>
      </c>
    </row>
    <row r="482" customFormat="false" ht="12" hidden="false" customHeight="false" outlineLevel="0" collapsed="false">
      <c r="A482" s="182" t="s">
        <v>1993</v>
      </c>
      <c r="B482" s="182" t="s">
        <v>1994</v>
      </c>
    </row>
    <row r="483" customFormat="false" ht="12" hidden="false" customHeight="false" outlineLevel="0" collapsed="false">
      <c r="A483" s="182" t="s">
        <v>1995</v>
      </c>
      <c r="B483" s="182" t="s">
        <v>1996</v>
      </c>
    </row>
    <row r="484" customFormat="false" ht="12" hidden="false" customHeight="false" outlineLevel="0" collapsed="false">
      <c r="A484" s="182" t="s">
        <v>1997</v>
      </c>
      <c r="B484" s="182" t="s">
        <v>1998</v>
      </c>
    </row>
    <row r="485" customFormat="false" ht="12" hidden="false" customHeight="false" outlineLevel="0" collapsed="false">
      <c r="A485" s="182" t="s">
        <v>1999</v>
      </c>
      <c r="B485" s="182" t="s">
        <v>2000</v>
      </c>
    </row>
    <row r="486" customFormat="false" ht="12" hidden="false" customHeight="false" outlineLevel="0" collapsed="false">
      <c r="A486" s="182" t="s">
        <v>2001</v>
      </c>
      <c r="B486" s="182" t="s">
        <v>2002</v>
      </c>
    </row>
    <row r="487" customFormat="false" ht="12" hidden="false" customHeight="false" outlineLevel="0" collapsed="false">
      <c r="A487" s="182" t="s">
        <v>2003</v>
      </c>
      <c r="B487" s="182" t="s">
        <v>2004</v>
      </c>
    </row>
    <row r="488" customFormat="false" ht="12" hidden="false" customHeight="false" outlineLevel="0" collapsed="false">
      <c r="A488" s="182" t="s">
        <v>2005</v>
      </c>
      <c r="B488" s="182" t="s">
        <v>2006</v>
      </c>
    </row>
    <row r="489" customFormat="false" ht="12" hidden="false" customHeight="false" outlineLevel="0" collapsed="false">
      <c r="A489" s="182" t="s">
        <v>2007</v>
      </c>
      <c r="B489" s="182" t="s">
        <v>2008</v>
      </c>
    </row>
    <row r="490" customFormat="false" ht="12" hidden="false" customHeight="false" outlineLevel="0" collapsed="false">
      <c r="A490" s="182" t="s">
        <v>2009</v>
      </c>
      <c r="B490" s="182" t="s">
        <v>2010</v>
      </c>
    </row>
    <row r="491" customFormat="false" ht="12" hidden="false" customHeight="false" outlineLevel="0" collapsed="false">
      <c r="A491" s="182" t="s">
        <v>2011</v>
      </c>
      <c r="B491" s="182" t="s">
        <v>2012</v>
      </c>
    </row>
    <row r="492" customFormat="false" ht="12" hidden="false" customHeight="false" outlineLevel="0" collapsed="false">
      <c r="A492" s="182" t="s">
        <v>2013</v>
      </c>
      <c r="B492" s="182" t="s">
        <v>2014</v>
      </c>
    </row>
    <row r="493" customFormat="false" ht="12" hidden="false" customHeight="false" outlineLevel="0" collapsed="false">
      <c r="A493" s="182" t="s">
        <v>2015</v>
      </c>
      <c r="B493" s="182" t="s">
        <v>2016</v>
      </c>
    </row>
    <row r="494" customFormat="false" ht="12" hidden="false" customHeight="false" outlineLevel="0" collapsed="false">
      <c r="A494" s="182" t="s">
        <v>2017</v>
      </c>
      <c r="B494" s="182" t="s">
        <v>2018</v>
      </c>
    </row>
    <row r="495" customFormat="false" ht="12" hidden="false" customHeight="false" outlineLevel="0" collapsed="false">
      <c r="A495" s="182" t="s">
        <v>2019</v>
      </c>
      <c r="B495" s="182" t="s">
        <v>2020</v>
      </c>
    </row>
    <row r="496" customFormat="false" ht="12" hidden="false" customHeight="false" outlineLevel="0" collapsed="false">
      <c r="A496" s="182" t="s">
        <v>2021</v>
      </c>
      <c r="B496" s="182" t="s">
        <v>2022</v>
      </c>
    </row>
    <row r="497" customFormat="false" ht="12" hidden="false" customHeight="false" outlineLevel="0" collapsed="false">
      <c r="A497" s="182" t="s">
        <v>2023</v>
      </c>
      <c r="B497" s="182" t="s">
        <v>2024</v>
      </c>
    </row>
    <row r="498" customFormat="false" ht="12" hidden="false" customHeight="false" outlineLevel="0" collapsed="false">
      <c r="A498" s="182" t="s">
        <v>2025</v>
      </c>
      <c r="B498" s="182" t="s">
        <v>2026</v>
      </c>
    </row>
    <row r="499" customFormat="false" ht="12" hidden="false" customHeight="false" outlineLevel="0" collapsed="false">
      <c r="A499" s="182" t="s">
        <v>2027</v>
      </c>
      <c r="B499" s="182" t="s">
        <v>2028</v>
      </c>
    </row>
    <row r="500" customFormat="false" ht="12" hidden="false" customHeight="false" outlineLevel="0" collapsed="false">
      <c r="A500" s="182" t="s">
        <v>2029</v>
      </c>
      <c r="B500" s="182" t="s">
        <v>2030</v>
      </c>
    </row>
    <row r="501" customFormat="false" ht="12" hidden="false" customHeight="false" outlineLevel="0" collapsed="false">
      <c r="A501" s="182" t="s">
        <v>2031</v>
      </c>
      <c r="B501" s="182" t="s">
        <v>779</v>
      </c>
    </row>
    <row r="502" customFormat="false" ht="12" hidden="false" customHeight="false" outlineLevel="0" collapsed="false">
      <c r="A502" s="182" t="s">
        <v>2032</v>
      </c>
      <c r="B502" s="182" t="s">
        <v>2033</v>
      </c>
    </row>
    <row r="503" customFormat="false" ht="12" hidden="false" customHeight="false" outlineLevel="0" collapsed="false">
      <c r="A503" s="182" t="s">
        <v>2034</v>
      </c>
      <c r="B503" s="182" t="s">
        <v>2035</v>
      </c>
    </row>
    <row r="504" customFormat="false" ht="12" hidden="false" customHeight="false" outlineLevel="0" collapsed="false">
      <c r="A504" s="182" t="s">
        <v>2036</v>
      </c>
      <c r="B504" s="182" t="s">
        <v>2037</v>
      </c>
    </row>
    <row r="505" customFormat="false" ht="12" hidden="false" customHeight="false" outlineLevel="0" collapsed="false">
      <c r="A505" s="182" t="s">
        <v>2038</v>
      </c>
      <c r="B505" s="182" t="s">
        <v>2039</v>
      </c>
    </row>
    <row r="506" customFormat="false" ht="12" hidden="false" customHeight="false" outlineLevel="0" collapsed="false">
      <c r="A506" s="182" t="s">
        <v>2040</v>
      </c>
      <c r="B506" s="182" t="s">
        <v>2041</v>
      </c>
    </row>
    <row r="507" customFormat="false" ht="12" hidden="false" customHeight="false" outlineLevel="0" collapsed="false">
      <c r="A507" s="182" t="s">
        <v>2042</v>
      </c>
      <c r="B507" s="182" t="s">
        <v>2043</v>
      </c>
    </row>
    <row r="508" customFormat="false" ht="12" hidden="false" customHeight="false" outlineLevel="0" collapsed="false">
      <c r="A508" s="182" t="s">
        <v>2044</v>
      </c>
      <c r="B508" s="182" t="s">
        <v>2045</v>
      </c>
    </row>
    <row r="509" customFormat="false" ht="12" hidden="false" customHeight="false" outlineLevel="0" collapsed="false">
      <c r="A509" s="182" t="s">
        <v>2046</v>
      </c>
      <c r="B509" s="182" t="s">
        <v>2047</v>
      </c>
    </row>
    <row r="510" customFormat="false" ht="12" hidden="false" customHeight="false" outlineLevel="0" collapsed="false">
      <c r="A510" s="182" t="s">
        <v>2048</v>
      </c>
      <c r="B510" s="182" t="s">
        <v>2049</v>
      </c>
    </row>
    <row r="511" customFormat="false" ht="12" hidden="false" customHeight="false" outlineLevel="0" collapsed="false">
      <c r="A511" s="182" t="s">
        <v>2050</v>
      </c>
      <c r="B511" s="182" t="s">
        <v>2051</v>
      </c>
    </row>
    <row r="512" customFormat="false" ht="12" hidden="false" customHeight="false" outlineLevel="0" collapsed="false">
      <c r="A512" s="182" t="s">
        <v>2052</v>
      </c>
      <c r="B512" s="182" t="s">
        <v>2053</v>
      </c>
    </row>
    <row r="513" customFormat="false" ht="12" hidden="false" customHeight="false" outlineLevel="0" collapsed="false">
      <c r="A513" s="182" t="s">
        <v>2054</v>
      </c>
      <c r="B513" s="182" t="s">
        <v>2055</v>
      </c>
    </row>
    <row r="514" customFormat="false" ht="12" hidden="false" customHeight="false" outlineLevel="0" collapsed="false">
      <c r="A514" s="182" t="s">
        <v>2056</v>
      </c>
      <c r="B514" s="182" t="s">
        <v>2057</v>
      </c>
    </row>
    <row r="515" customFormat="false" ht="12" hidden="false" customHeight="false" outlineLevel="0" collapsed="false">
      <c r="A515" s="182" t="s">
        <v>2058</v>
      </c>
      <c r="B515" s="182" t="s">
        <v>2059</v>
      </c>
    </row>
    <row r="516" customFormat="false" ht="12" hidden="false" customHeight="false" outlineLevel="0" collapsed="false">
      <c r="A516" s="182" t="s">
        <v>2060</v>
      </c>
      <c r="B516" s="182" t="s">
        <v>2061</v>
      </c>
    </row>
    <row r="517" customFormat="false" ht="12" hidden="false" customHeight="false" outlineLevel="0" collapsed="false">
      <c r="A517" s="182" t="s">
        <v>2062</v>
      </c>
      <c r="B517" s="182" t="s">
        <v>2063</v>
      </c>
    </row>
    <row r="518" customFormat="false" ht="12" hidden="false" customHeight="false" outlineLevel="0" collapsed="false">
      <c r="A518" s="182" t="s">
        <v>2064</v>
      </c>
      <c r="B518" s="182" t="s">
        <v>2065</v>
      </c>
    </row>
    <row r="519" customFormat="false" ht="12" hidden="false" customHeight="false" outlineLevel="0" collapsed="false">
      <c r="A519" s="182" t="s">
        <v>2066</v>
      </c>
      <c r="B519" s="182" t="s">
        <v>2067</v>
      </c>
    </row>
    <row r="520" customFormat="false" ht="12" hidden="false" customHeight="false" outlineLevel="0" collapsed="false">
      <c r="A520" s="182" t="s">
        <v>2068</v>
      </c>
      <c r="B520" s="182" t="s">
        <v>2069</v>
      </c>
    </row>
    <row r="521" customFormat="false" ht="12" hidden="false" customHeight="false" outlineLevel="0" collapsed="false">
      <c r="A521" s="182" t="s">
        <v>2070</v>
      </c>
      <c r="B521" s="182" t="s">
        <v>2071</v>
      </c>
    </row>
    <row r="522" customFormat="false" ht="12" hidden="false" customHeight="false" outlineLevel="0" collapsed="false">
      <c r="A522" s="182" t="s">
        <v>2072</v>
      </c>
      <c r="B522" s="182" t="s">
        <v>2073</v>
      </c>
    </row>
    <row r="523" customFormat="false" ht="12" hidden="false" customHeight="false" outlineLevel="0" collapsed="false">
      <c r="A523" s="182" t="s">
        <v>2074</v>
      </c>
      <c r="B523" s="182" t="s">
        <v>2075</v>
      </c>
    </row>
    <row r="524" customFormat="false" ht="12" hidden="false" customHeight="false" outlineLevel="0" collapsed="false">
      <c r="A524" s="182" t="s">
        <v>2076</v>
      </c>
      <c r="B524" s="182" t="s">
        <v>2077</v>
      </c>
    </row>
    <row r="525" customFormat="false" ht="12" hidden="false" customHeight="false" outlineLevel="0" collapsed="false">
      <c r="A525" s="182" t="s">
        <v>2078</v>
      </c>
      <c r="B525" s="182" t="s">
        <v>2079</v>
      </c>
    </row>
    <row r="526" customFormat="false" ht="12" hidden="false" customHeight="false" outlineLevel="0" collapsed="false">
      <c r="A526" s="182" t="s">
        <v>2080</v>
      </c>
      <c r="B526" s="182" t="s">
        <v>2081</v>
      </c>
    </row>
    <row r="527" customFormat="false" ht="12" hidden="false" customHeight="false" outlineLevel="0" collapsed="false">
      <c r="A527" s="182" t="s">
        <v>2082</v>
      </c>
      <c r="B527" s="182" t="s">
        <v>2083</v>
      </c>
    </row>
    <row r="528" customFormat="false" ht="12" hidden="false" customHeight="false" outlineLevel="0" collapsed="false">
      <c r="A528" s="182" t="s">
        <v>2084</v>
      </c>
      <c r="B528" s="182" t="s">
        <v>2085</v>
      </c>
    </row>
    <row r="529" customFormat="false" ht="12" hidden="false" customHeight="false" outlineLevel="0" collapsed="false">
      <c r="A529" s="182" t="s">
        <v>2086</v>
      </c>
      <c r="B529" s="182" t="s">
        <v>2087</v>
      </c>
    </row>
    <row r="530" customFormat="false" ht="12" hidden="false" customHeight="false" outlineLevel="0" collapsed="false">
      <c r="A530" s="182" t="s">
        <v>2088</v>
      </c>
      <c r="B530" s="182" t="s">
        <v>2089</v>
      </c>
    </row>
    <row r="531" customFormat="false" ht="12" hidden="false" customHeight="false" outlineLevel="0" collapsed="false">
      <c r="A531" s="182" t="s">
        <v>2090</v>
      </c>
      <c r="B531" s="182" t="s">
        <v>2091</v>
      </c>
    </row>
    <row r="532" customFormat="false" ht="12" hidden="false" customHeight="false" outlineLevel="0" collapsed="false">
      <c r="A532" s="182" t="s">
        <v>2092</v>
      </c>
      <c r="B532" s="182" t="s">
        <v>2093</v>
      </c>
    </row>
    <row r="533" customFormat="false" ht="12" hidden="false" customHeight="false" outlineLevel="0" collapsed="false">
      <c r="A533" s="182" t="s">
        <v>2094</v>
      </c>
      <c r="B533" s="182" t="s">
        <v>2095</v>
      </c>
    </row>
    <row r="534" customFormat="false" ht="12" hidden="false" customHeight="false" outlineLevel="0" collapsed="false">
      <c r="A534" s="182" t="s">
        <v>2096</v>
      </c>
      <c r="B534" s="182" t="s">
        <v>2097</v>
      </c>
    </row>
    <row r="535" customFormat="false" ht="12" hidden="false" customHeight="false" outlineLevel="0" collapsed="false">
      <c r="A535" s="182" t="s">
        <v>2098</v>
      </c>
      <c r="B535" s="182" t="s">
        <v>2099</v>
      </c>
    </row>
    <row r="536" customFormat="false" ht="12" hidden="false" customHeight="false" outlineLevel="0" collapsed="false">
      <c r="A536" s="182" t="s">
        <v>2100</v>
      </c>
      <c r="B536" s="182" t="s">
        <v>2101</v>
      </c>
    </row>
    <row r="537" customFormat="false" ht="12" hidden="false" customHeight="false" outlineLevel="0" collapsed="false">
      <c r="A537" s="182" t="s">
        <v>2102</v>
      </c>
      <c r="B537" s="182" t="s">
        <v>2103</v>
      </c>
    </row>
    <row r="538" customFormat="false" ht="12" hidden="false" customHeight="false" outlineLevel="0" collapsed="false">
      <c r="A538" s="182" t="s">
        <v>2104</v>
      </c>
      <c r="B538" s="182" t="s">
        <v>2105</v>
      </c>
    </row>
    <row r="539" customFormat="false" ht="12" hidden="false" customHeight="false" outlineLevel="0" collapsed="false">
      <c r="A539" s="182" t="s">
        <v>2106</v>
      </c>
      <c r="B539" s="182" t="s">
        <v>2107</v>
      </c>
    </row>
    <row r="540" customFormat="false" ht="12" hidden="false" customHeight="false" outlineLevel="0" collapsed="false">
      <c r="A540" s="182" t="s">
        <v>2108</v>
      </c>
      <c r="B540" s="182" t="s">
        <v>2109</v>
      </c>
    </row>
    <row r="541" customFormat="false" ht="12" hidden="false" customHeight="false" outlineLevel="0" collapsed="false">
      <c r="A541" s="182" t="s">
        <v>2110</v>
      </c>
      <c r="B541" s="182" t="s">
        <v>2111</v>
      </c>
    </row>
    <row r="542" customFormat="false" ht="12" hidden="false" customHeight="false" outlineLevel="0" collapsed="false">
      <c r="A542" s="182" t="s">
        <v>2112</v>
      </c>
      <c r="B542" s="182" t="s">
        <v>2113</v>
      </c>
    </row>
    <row r="543" customFormat="false" ht="12" hidden="false" customHeight="false" outlineLevel="0" collapsed="false">
      <c r="A543" s="182" t="s">
        <v>2114</v>
      </c>
      <c r="B543" s="182" t="s">
        <v>2115</v>
      </c>
    </row>
    <row r="544" customFormat="false" ht="12" hidden="false" customHeight="false" outlineLevel="0" collapsed="false">
      <c r="A544" s="182" t="s">
        <v>2116</v>
      </c>
      <c r="B544" s="182" t="s">
        <v>2117</v>
      </c>
    </row>
    <row r="545" customFormat="false" ht="12" hidden="false" customHeight="false" outlineLevel="0" collapsed="false">
      <c r="A545" s="182" t="s">
        <v>2118</v>
      </c>
      <c r="B545" s="182" t="s">
        <v>2119</v>
      </c>
    </row>
    <row r="546" customFormat="false" ht="12" hidden="false" customHeight="false" outlineLevel="0" collapsed="false">
      <c r="A546" s="182" t="s">
        <v>2120</v>
      </c>
      <c r="B546" s="182" t="s">
        <v>2121</v>
      </c>
    </row>
    <row r="547" customFormat="false" ht="12" hidden="false" customHeight="false" outlineLevel="0" collapsed="false">
      <c r="A547" s="182" t="s">
        <v>2122</v>
      </c>
      <c r="B547" s="182" t="s">
        <v>2123</v>
      </c>
    </row>
    <row r="548" customFormat="false" ht="12" hidden="false" customHeight="false" outlineLevel="0" collapsed="false">
      <c r="A548" s="182" t="s">
        <v>2124</v>
      </c>
      <c r="B548" s="182" t="s">
        <v>2125</v>
      </c>
    </row>
    <row r="549" customFormat="false" ht="12" hidden="false" customHeight="false" outlineLevel="0" collapsed="false">
      <c r="A549" s="182" t="s">
        <v>2126</v>
      </c>
      <c r="B549" s="182" t="s">
        <v>2127</v>
      </c>
    </row>
    <row r="550" customFormat="false" ht="12" hidden="false" customHeight="false" outlineLevel="0" collapsed="false">
      <c r="A550" s="182" t="s">
        <v>2128</v>
      </c>
      <c r="B550" s="182" t="s">
        <v>2129</v>
      </c>
    </row>
    <row r="551" customFormat="false" ht="12" hidden="false" customHeight="false" outlineLevel="0" collapsed="false">
      <c r="A551" s="182" t="s">
        <v>2130</v>
      </c>
      <c r="B551" s="182" t="s">
        <v>2131</v>
      </c>
    </row>
    <row r="552" customFormat="false" ht="12" hidden="false" customHeight="false" outlineLevel="0" collapsed="false">
      <c r="A552" s="182" t="s">
        <v>2132</v>
      </c>
      <c r="B552" s="182" t="s">
        <v>2133</v>
      </c>
    </row>
    <row r="553" customFormat="false" ht="12" hidden="false" customHeight="false" outlineLevel="0" collapsed="false">
      <c r="A553" s="182" t="s">
        <v>2134</v>
      </c>
      <c r="B553" s="182" t="s">
        <v>2135</v>
      </c>
    </row>
    <row r="554" customFormat="false" ht="12" hidden="false" customHeight="false" outlineLevel="0" collapsed="false">
      <c r="A554" s="182" t="s">
        <v>2136</v>
      </c>
      <c r="B554" s="182" t="s">
        <v>2137</v>
      </c>
    </row>
    <row r="555" customFormat="false" ht="12" hidden="false" customHeight="false" outlineLevel="0" collapsed="false">
      <c r="A555" s="182" t="s">
        <v>2138</v>
      </c>
      <c r="B555" s="182" t="s">
        <v>2139</v>
      </c>
    </row>
    <row r="556" customFormat="false" ht="12" hidden="false" customHeight="false" outlineLevel="0" collapsed="false">
      <c r="A556" s="182" t="s">
        <v>2140</v>
      </c>
      <c r="B556" s="182" t="s">
        <v>2141</v>
      </c>
    </row>
    <row r="557" customFormat="false" ht="12" hidden="false" customHeight="false" outlineLevel="0" collapsed="false">
      <c r="A557" s="182" t="s">
        <v>2142</v>
      </c>
      <c r="B557" s="182" t="s">
        <v>2143</v>
      </c>
    </row>
    <row r="558" customFormat="false" ht="12" hidden="false" customHeight="false" outlineLevel="0" collapsed="false">
      <c r="A558" s="182" t="s">
        <v>2144</v>
      </c>
      <c r="B558" s="182" t="s">
        <v>2145</v>
      </c>
    </row>
    <row r="559" customFormat="false" ht="12" hidden="false" customHeight="false" outlineLevel="0" collapsed="false">
      <c r="A559" s="182" t="s">
        <v>2146</v>
      </c>
      <c r="B559" s="182" t="s">
        <v>2147</v>
      </c>
    </row>
    <row r="560" customFormat="false" ht="12" hidden="false" customHeight="false" outlineLevel="0" collapsed="false">
      <c r="A560" s="182" t="s">
        <v>2148</v>
      </c>
      <c r="B560" s="182" t="s">
        <v>2149</v>
      </c>
    </row>
    <row r="561" customFormat="false" ht="12" hidden="false" customHeight="false" outlineLevel="0" collapsed="false">
      <c r="A561" s="182" t="s">
        <v>2150</v>
      </c>
      <c r="B561" s="182" t="s">
        <v>2151</v>
      </c>
    </row>
    <row r="562" customFormat="false" ht="12" hidden="false" customHeight="false" outlineLevel="0" collapsed="false">
      <c r="A562" s="182" t="s">
        <v>2152</v>
      </c>
      <c r="B562" s="182" t="s">
        <v>2153</v>
      </c>
    </row>
    <row r="563" customFormat="false" ht="12" hidden="false" customHeight="false" outlineLevel="0" collapsed="false">
      <c r="A563" s="182" t="s">
        <v>2154</v>
      </c>
      <c r="B563" s="182" t="s">
        <v>2155</v>
      </c>
    </row>
    <row r="564" customFormat="false" ht="12" hidden="false" customHeight="false" outlineLevel="0" collapsed="false">
      <c r="A564" s="182" t="s">
        <v>2156</v>
      </c>
      <c r="B564" s="182" t="s">
        <v>2157</v>
      </c>
    </row>
    <row r="565" customFormat="false" ht="12" hidden="false" customHeight="false" outlineLevel="0" collapsed="false">
      <c r="A565" s="182" t="s">
        <v>2158</v>
      </c>
      <c r="B565" s="182" t="s">
        <v>2159</v>
      </c>
    </row>
    <row r="566" customFormat="false" ht="12" hidden="false" customHeight="false" outlineLevel="0" collapsed="false">
      <c r="A566" s="182" t="s">
        <v>2160</v>
      </c>
      <c r="B566" s="182" t="s">
        <v>2161</v>
      </c>
    </row>
    <row r="567" customFormat="false" ht="12" hidden="false" customHeight="false" outlineLevel="0" collapsed="false">
      <c r="A567" s="182" t="s">
        <v>2162</v>
      </c>
      <c r="B567" s="182" t="s">
        <v>2163</v>
      </c>
    </row>
    <row r="568" customFormat="false" ht="12" hidden="false" customHeight="false" outlineLevel="0" collapsed="false">
      <c r="A568" s="182" t="s">
        <v>2164</v>
      </c>
      <c r="B568" s="182" t="s">
        <v>2165</v>
      </c>
    </row>
    <row r="569" customFormat="false" ht="12" hidden="false" customHeight="false" outlineLevel="0" collapsed="false">
      <c r="A569" s="182" t="s">
        <v>2166</v>
      </c>
      <c r="B569" s="182" t="s">
        <v>2167</v>
      </c>
    </row>
    <row r="570" customFormat="false" ht="12" hidden="false" customHeight="false" outlineLevel="0" collapsed="false">
      <c r="A570" s="182" t="s">
        <v>2168</v>
      </c>
      <c r="B570" s="182" t="s">
        <v>2169</v>
      </c>
    </row>
    <row r="571" customFormat="false" ht="12" hidden="false" customHeight="false" outlineLevel="0" collapsed="false">
      <c r="A571" s="182" t="s">
        <v>2170</v>
      </c>
      <c r="B571" s="182" t="s">
        <v>2171</v>
      </c>
    </row>
    <row r="572" customFormat="false" ht="12" hidden="false" customHeight="false" outlineLevel="0" collapsed="false">
      <c r="A572" s="182" t="s">
        <v>2172</v>
      </c>
      <c r="B572" s="182" t="s">
        <v>2173</v>
      </c>
    </row>
    <row r="573" customFormat="false" ht="12" hidden="false" customHeight="false" outlineLevel="0" collapsed="false">
      <c r="A573" s="182" t="s">
        <v>2174</v>
      </c>
      <c r="B573" s="182" t="s">
        <v>2175</v>
      </c>
    </row>
    <row r="574" customFormat="false" ht="12" hidden="false" customHeight="false" outlineLevel="0" collapsed="false">
      <c r="A574" s="182" t="s">
        <v>2176</v>
      </c>
      <c r="B574" s="182" t="s">
        <v>2177</v>
      </c>
    </row>
    <row r="575" customFormat="false" ht="12" hidden="false" customHeight="false" outlineLevel="0" collapsed="false">
      <c r="A575" s="182" t="s">
        <v>2178</v>
      </c>
      <c r="B575" s="182" t="s">
        <v>2179</v>
      </c>
    </row>
    <row r="576" customFormat="false" ht="12" hidden="false" customHeight="false" outlineLevel="0" collapsed="false">
      <c r="A576" s="182" t="s">
        <v>2180</v>
      </c>
      <c r="B576" s="182" t="s">
        <v>2181</v>
      </c>
    </row>
    <row r="577" customFormat="false" ht="12" hidden="false" customHeight="false" outlineLevel="0" collapsed="false">
      <c r="A577" s="182" t="s">
        <v>2182</v>
      </c>
      <c r="B577" s="182" t="s">
        <v>2183</v>
      </c>
    </row>
    <row r="578" customFormat="false" ht="12" hidden="false" customHeight="false" outlineLevel="0" collapsed="false">
      <c r="A578" s="182" t="s">
        <v>2184</v>
      </c>
      <c r="B578" s="182" t="s">
        <v>2185</v>
      </c>
    </row>
    <row r="579" customFormat="false" ht="12" hidden="false" customHeight="false" outlineLevel="0" collapsed="false">
      <c r="A579" s="182" t="s">
        <v>2186</v>
      </c>
      <c r="B579" s="182" t="s">
        <v>2187</v>
      </c>
    </row>
    <row r="580" customFormat="false" ht="12" hidden="false" customHeight="false" outlineLevel="0" collapsed="false">
      <c r="A580" s="182" t="s">
        <v>2188</v>
      </c>
      <c r="B580" s="182" t="s">
        <v>2189</v>
      </c>
    </row>
    <row r="581" customFormat="false" ht="12" hidden="false" customHeight="false" outlineLevel="0" collapsed="false">
      <c r="A581" s="182" t="s">
        <v>2190</v>
      </c>
      <c r="B581" s="182" t="s">
        <v>2191</v>
      </c>
    </row>
    <row r="582" customFormat="false" ht="12" hidden="false" customHeight="false" outlineLevel="0" collapsed="false">
      <c r="A582" s="182" t="s">
        <v>2192</v>
      </c>
      <c r="B582" s="182" t="s">
        <v>2193</v>
      </c>
    </row>
    <row r="583" customFormat="false" ht="12" hidden="false" customHeight="false" outlineLevel="0" collapsed="false">
      <c r="A583" s="182" t="s">
        <v>2194</v>
      </c>
      <c r="B583" s="182" t="s">
        <v>2195</v>
      </c>
    </row>
    <row r="584" customFormat="false" ht="12" hidden="false" customHeight="false" outlineLevel="0" collapsed="false">
      <c r="A584" s="182" t="s">
        <v>2196</v>
      </c>
      <c r="B584" s="182" t="s">
        <v>2197</v>
      </c>
    </row>
    <row r="585" customFormat="false" ht="12" hidden="false" customHeight="false" outlineLevel="0" collapsed="false">
      <c r="A585" s="182" t="s">
        <v>2198</v>
      </c>
      <c r="B585" s="182" t="s">
        <v>2199</v>
      </c>
    </row>
    <row r="586" customFormat="false" ht="12" hidden="false" customHeight="false" outlineLevel="0" collapsed="false">
      <c r="A586" s="182" t="s">
        <v>2200</v>
      </c>
      <c r="B586" s="182" t="s">
        <v>2201</v>
      </c>
    </row>
    <row r="587" customFormat="false" ht="12" hidden="false" customHeight="false" outlineLevel="0" collapsed="false">
      <c r="A587" s="182" t="s">
        <v>2202</v>
      </c>
      <c r="B587" s="182" t="s">
        <v>2203</v>
      </c>
    </row>
    <row r="588" customFormat="false" ht="12" hidden="false" customHeight="false" outlineLevel="0" collapsed="false">
      <c r="A588" s="182" t="s">
        <v>2204</v>
      </c>
      <c r="B588" s="182" t="s">
        <v>119</v>
      </c>
    </row>
    <row r="589" customFormat="false" ht="12" hidden="false" customHeight="false" outlineLevel="0" collapsed="false">
      <c r="A589" s="182" t="s">
        <v>2205</v>
      </c>
      <c r="B589" s="182" t="s">
        <v>2206</v>
      </c>
    </row>
    <row r="590" customFormat="false" ht="12" hidden="false" customHeight="false" outlineLevel="0" collapsed="false">
      <c r="A590" s="182" t="s">
        <v>2207</v>
      </c>
      <c r="B590" s="182" t="s">
        <v>2208</v>
      </c>
    </row>
    <row r="591" customFormat="false" ht="12" hidden="false" customHeight="false" outlineLevel="0" collapsed="false">
      <c r="A591" s="182" t="s">
        <v>2209</v>
      </c>
      <c r="B591" s="182" t="s">
        <v>2210</v>
      </c>
    </row>
    <row r="592" customFormat="false" ht="12" hidden="false" customHeight="false" outlineLevel="0" collapsed="false">
      <c r="A592" s="182" t="s">
        <v>2211</v>
      </c>
      <c r="B592" s="182" t="s">
        <v>2212</v>
      </c>
    </row>
    <row r="593" customFormat="false" ht="12" hidden="false" customHeight="false" outlineLevel="0" collapsed="false">
      <c r="A593" s="182" t="s">
        <v>2213</v>
      </c>
      <c r="B593" s="182" t="s">
        <v>2214</v>
      </c>
    </row>
    <row r="594" customFormat="false" ht="12" hidden="false" customHeight="false" outlineLevel="0" collapsed="false">
      <c r="A594" s="182" t="s">
        <v>2215</v>
      </c>
      <c r="B594" s="182" t="s">
        <v>2216</v>
      </c>
    </row>
    <row r="595" customFormat="false" ht="12" hidden="false" customHeight="false" outlineLevel="0" collapsed="false">
      <c r="A595" s="182" t="s">
        <v>2217</v>
      </c>
      <c r="B595" s="182" t="s">
        <v>2218</v>
      </c>
    </row>
    <row r="596" customFormat="false" ht="12" hidden="false" customHeight="false" outlineLevel="0" collapsed="false">
      <c r="A596" s="182" t="s">
        <v>2219</v>
      </c>
      <c r="B596" s="182" t="s">
        <v>2220</v>
      </c>
    </row>
    <row r="597" customFormat="false" ht="12" hidden="false" customHeight="false" outlineLevel="0" collapsed="false">
      <c r="A597" s="182" t="s">
        <v>2221</v>
      </c>
      <c r="B597" s="182" t="s">
        <v>2222</v>
      </c>
    </row>
    <row r="598" customFormat="false" ht="12" hidden="false" customHeight="false" outlineLevel="0" collapsed="false">
      <c r="A598" s="182" t="s">
        <v>2223</v>
      </c>
      <c r="B598" s="182" t="s">
        <v>2224</v>
      </c>
    </row>
    <row r="599" customFormat="false" ht="12" hidden="false" customHeight="false" outlineLevel="0" collapsed="false">
      <c r="A599" s="182" t="s">
        <v>2225</v>
      </c>
      <c r="B599" s="182" t="s">
        <v>2226</v>
      </c>
    </row>
    <row r="600" customFormat="false" ht="12" hidden="false" customHeight="false" outlineLevel="0" collapsed="false">
      <c r="A600" s="182" t="s">
        <v>2227</v>
      </c>
      <c r="B600" s="182" t="s">
        <v>2228</v>
      </c>
    </row>
    <row r="601" customFormat="false" ht="12" hidden="false" customHeight="false" outlineLevel="0" collapsed="false">
      <c r="A601" s="182" t="s">
        <v>2229</v>
      </c>
      <c r="B601" s="182" t="s">
        <v>2230</v>
      </c>
    </row>
    <row r="602" customFormat="false" ht="12" hidden="false" customHeight="false" outlineLevel="0" collapsed="false">
      <c r="A602" s="182" t="s">
        <v>2231</v>
      </c>
      <c r="B602" s="182" t="s">
        <v>2232</v>
      </c>
    </row>
    <row r="603" customFormat="false" ht="12" hidden="false" customHeight="false" outlineLevel="0" collapsed="false">
      <c r="A603" s="182" t="s">
        <v>2233</v>
      </c>
      <c r="B603" s="182" t="s">
        <v>2234</v>
      </c>
    </row>
    <row r="604" customFormat="false" ht="12" hidden="false" customHeight="false" outlineLevel="0" collapsed="false">
      <c r="A604" s="182" t="s">
        <v>2235</v>
      </c>
      <c r="B604" s="182" t="s">
        <v>2236</v>
      </c>
    </row>
    <row r="605" customFormat="false" ht="12" hidden="false" customHeight="false" outlineLevel="0" collapsed="false">
      <c r="A605" s="182" t="s">
        <v>2237</v>
      </c>
      <c r="B605" s="182" t="s">
        <v>2238</v>
      </c>
    </row>
    <row r="606" customFormat="false" ht="12" hidden="false" customHeight="false" outlineLevel="0" collapsed="false">
      <c r="A606" s="182" t="s">
        <v>2239</v>
      </c>
      <c r="B606" s="182" t="s">
        <v>2240</v>
      </c>
    </row>
    <row r="607" customFormat="false" ht="12" hidden="false" customHeight="false" outlineLevel="0" collapsed="false">
      <c r="A607" s="182" t="s">
        <v>2241</v>
      </c>
      <c r="B607" s="182" t="s">
        <v>2242</v>
      </c>
    </row>
    <row r="608" customFormat="false" ht="12" hidden="false" customHeight="false" outlineLevel="0" collapsed="false">
      <c r="A608" s="182" t="s">
        <v>2243</v>
      </c>
      <c r="B608" s="182" t="s">
        <v>2244</v>
      </c>
    </row>
    <row r="609" customFormat="false" ht="12" hidden="false" customHeight="false" outlineLevel="0" collapsed="false">
      <c r="A609" s="182" t="s">
        <v>2245</v>
      </c>
      <c r="B609" s="182" t="s">
        <v>2246</v>
      </c>
    </row>
    <row r="610" customFormat="false" ht="12" hidden="false" customHeight="false" outlineLevel="0" collapsed="false">
      <c r="A610" s="182" t="s">
        <v>2247</v>
      </c>
      <c r="B610" s="182" t="s">
        <v>2248</v>
      </c>
    </row>
    <row r="611" customFormat="false" ht="12" hidden="false" customHeight="false" outlineLevel="0" collapsed="false">
      <c r="A611" s="182" t="s">
        <v>2249</v>
      </c>
      <c r="B611" s="182" t="s">
        <v>2250</v>
      </c>
    </row>
    <row r="612" customFormat="false" ht="12" hidden="false" customHeight="false" outlineLevel="0" collapsed="false">
      <c r="A612" s="182" t="s">
        <v>2251</v>
      </c>
      <c r="B612" s="182" t="s">
        <v>2252</v>
      </c>
    </row>
    <row r="613" customFormat="false" ht="12" hidden="false" customHeight="false" outlineLevel="0" collapsed="false">
      <c r="A613" s="182" t="s">
        <v>2253</v>
      </c>
      <c r="B613" s="182" t="s">
        <v>2254</v>
      </c>
    </row>
    <row r="614" customFormat="false" ht="12" hidden="false" customHeight="false" outlineLevel="0" collapsed="false">
      <c r="A614" s="182" t="s">
        <v>2255</v>
      </c>
      <c r="B614" s="182" t="s">
        <v>2256</v>
      </c>
    </row>
    <row r="615" customFormat="false" ht="12" hidden="false" customHeight="false" outlineLevel="0" collapsed="false">
      <c r="A615" s="182" t="s">
        <v>2257</v>
      </c>
      <c r="B615" s="182" t="s">
        <v>2258</v>
      </c>
    </row>
    <row r="616" customFormat="false" ht="12" hidden="false" customHeight="false" outlineLevel="0" collapsed="false">
      <c r="A616" s="182" t="s">
        <v>2259</v>
      </c>
      <c r="B616" s="182" t="s">
        <v>2260</v>
      </c>
    </row>
    <row r="617" customFormat="false" ht="12" hidden="false" customHeight="false" outlineLevel="0" collapsed="false">
      <c r="A617" s="182" t="s">
        <v>2261</v>
      </c>
      <c r="B617" s="182" t="s">
        <v>2262</v>
      </c>
    </row>
    <row r="618" customFormat="false" ht="12" hidden="false" customHeight="false" outlineLevel="0" collapsed="false">
      <c r="A618" s="182" t="s">
        <v>2263</v>
      </c>
      <c r="B618" s="182" t="s">
        <v>2264</v>
      </c>
    </row>
    <row r="619" customFormat="false" ht="12" hidden="false" customHeight="false" outlineLevel="0" collapsed="false">
      <c r="A619" s="182" t="s">
        <v>2265</v>
      </c>
      <c r="B619" s="182" t="s">
        <v>2266</v>
      </c>
    </row>
    <row r="620" customFormat="false" ht="12" hidden="false" customHeight="false" outlineLevel="0" collapsed="false">
      <c r="A620" s="182" t="s">
        <v>2267</v>
      </c>
      <c r="B620" s="182" t="s">
        <v>2268</v>
      </c>
    </row>
    <row r="621" customFormat="false" ht="12" hidden="false" customHeight="false" outlineLevel="0" collapsed="false">
      <c r="A621" s="182" t="s">
        <v>2269</v>
      </c>
      <c r="B621" s="182" t="s">
        <v>2270</v>
      </c>
    </row>
    <row r="622" customFormat="false" ht="12" hidden="false" customHeight="false" outlineLevel="0" collapsed="false">
      <c r="A622" s="182" t="s">
        <v>2271</v>
      </c>
      <c r="B622" s="182" t="s">
        <v>2272</v>
      </c>
    </row>
    <row r="623" customFormat="false" ht="12" hidden="false" customHeight="false" outlineLevel="0" collapsed="false">
      <c r="A623" s="182" t="s">
        <v>2273</v>
      </c>
      <c r="B623" s="182" t="s">
        <v>2274</v>
      </c>
    </row>
    <row r="624" customFormat="false" ht="12" hidden="false" customHeight="false" outlineLevel="0" collapsed="false">
      <c r="A624" s="182" t="s">
        <v>2275</v>
      </c>
      <c r="B624" s="182" t="s">
        <v>2276</v>
      </c>
    </row>
    <row r="625" customFormat="false" ht="12" hidden="false" customHeight="false" outlineLevel="0" collapsed="false">
      <c r="A625" s="182" t="s">
        <v>2277</v>
      </c>
      <c r="B625" s="182" t="s">
        <v>2278</v>
      </c>
    </row>
    <row r="626" customFormat="false" ht="12" hidden="false" customHeight="false" outlineLevel="0" collapsed="false">
      <c r="A626" s="182" t="s">
        <v>2279</v>
      </c>
      <c r="B626" s="182" t="s">
        <v>2280</v>
      </c>
    </row>
    <row r="627" customFormat="false" ht="12" hidden="false" customHeight="false" outlineLevel="0" collapsed="false">
      <c r="A627" s="182" t="s">
        <v>2281</v>
      </c>
      <c r="B627" s="182" t="s">
        <v>784</v>
      </c>
    </row>
    <row r="628" customFormat="false" ht="12" hidden="false" customHeight="false" outlineLevel="0" collapsed="false">
      <c r="A628" s="182" t="s">
        <v>2282</v>
      </c>
      <c r="B628" s="182" t="s">
        <v>2283</v>
      </c>
    </row>
    <row r="629" customFormat="false" ht="12" hidden="false" customHeight="false" outlineLevel="0" collapsed="false">
      <c r="A629" s="182" t="s">
        <v>2284</v>
      </c>
      <c r="B629" s="182" t="s">
        <v>2285</v>
      </c>
    </row>
    <row r="630" customFormat="false" ht="12" hidden="false" customHeight="false" outlineLevel="0" collapsed="false">
      <c r="A630" s="182" t="s">
        <v>2286</v>
      </c>
      <c r="B630" s="182" t="s">
        <v>2287</v>
      </c>
    </row>
    <row r="631" customFormat="false" ht="12" hidden="false" customHeight="false" outlineLevel="0" collapsed="false">
      <c r="A631" s="182" t="s">
        <v>2288</v>
      </c>
      <c r="B631" s="182" t="s">
        <v>2289</v>
      </c>
    </row>
    <row r="632" customFormat="false" ht="12" hidden="false" customHeight="false" outlineLevel="0" collapsed="false">
      <c r="A632" s="182" t="s">
        <v>2290</v>
      </c>
      <c r="B632" s="182" t="s">
        <v>2291</v>
      </c>
    </row>
    <row r="633" customFormat="false" ht="12" hidden="false" customHeight="false" outlineLevel="0" collapsed="false">
      <c r="A633" s="182" t="s">
        <v>2292</v>
      </c>
      <c r="B633" s="182" t="s">
        <v>2293</v>
      </c>
    </row>
    <row r="634" customFormat="false" ht="12" hidden="false" customHeight="false" outlineLevel="0" collapsed="false">
      <c r="A634" s="182" t="s">
        <v>2294</v>
      </c>
      <c r="B634" s="182" t="s">
        <v>2295</v>
      </c>
    </row>
    <row r="635" customFormat="false" ht="12" hidden="false" customHeight="false" outlineLevel="0" collapsed="false">
      <c r="A635" s="182" t="s">
        <v>2296</v>
      </c>
      <c r="B635" s="182" t="s">
        <v>2297</v>
      </c>
    </row>
    <row r="636" customFormat="false" ht="12" hidden="false" customHeight="false" outlineLevel="0" collapsed="false">
      <c r="A636" s="182" t="s">
        <v>2298</v>
      </c>
      <c r="B636" s="182" t="s">
        <v>2299</v>
      </c>
    </row>
    <row r="637" customFormat="false" ht="12" hidden="false" customHeight="false" outlineLevel="0" collapsed="false">
      <c r="A637" s="182" t="s">
        <v>2300</v>
      </c>
      <c r="B637" s="182" t="s">
        <v>2301</v>
      </c>
    </row>
    <row r="638" customFormat="false" ht="12" hidden="false" customHeight="false" outlineLevel="0" collapsed="false">
      <c r="A638" s="182" t="s">
        <v>2302</v>
      </c>
      <c r="B638" s="182" t="s">
        <v>2303</v>
      </c>
    </row>
    <row r="639" customFormat="false" ht="12" hidden="false" customHeight="false" outlineLevel="0" collapsed="false">
      <c r="A639" s="182" t="s">
        <v>2304</v>
      </c>
      <c r="B639" s="182" t="s">
        <v>2305</v>
      </c>
    </row>
    <row r="640" customFormat="false" ht="12" hidden="false" customHeight="false" outlineLevel="0" collapsed="false">
      <c r="A640" s="182" t="s">
        <v>2306</v>
      </c>
      <c r="B640" s="182" t="s">
        <v>2307</v>
      </c>
    </row>
    <row r="641" customFormat="false" ht="12" hidden="false" customHeight="false" outlineLevel="0" collapsed="false">
      <c r="A641" s="182" t="s">
        <v>2308</v>
      </c>
      <c r="B641" s="182" t="s">
        <v>2309</v>
      </c>
    </row>
    <row r="642" customFormat="false" ht="12" hidden="false" customHeight="false" outlineLevel="0" collapsed="false">
      <c r="A642" s="182" t="s">
        <v>2310</v>
      </c>
      <c r="B642" s="182" t="s">
        <v>2311</v>
      </c>
    </row>
    <row r="643" customFormat="false" ht="12" hidden="false" customHeight="false" outlineLevel="0" collapsed="false">
      <c r="A643" s="182" t="s">
        <v>2312</v>
      </c>
      <c r="B643" s="182" t="s">
        <v>2313</v>
      </c>
    </row>
    <row r="644" customFormat="false" ht="12" hidden="false" customHeight="false" outlineLevel="0" collapsed="false">
      <c r="A644" s="182" t="s">
        <v>2314</v>
      </c>
      <c r="B644" s="182" t="s">
        <v>2315</v>
      </c>
    </row>
    <row r="645" customFormat="false" ht="12" hidden="false" customHeight="false" outlineLevel="0" collapsed="false">
      <c r="A645" s="182" t="s">
        <v>2316</v>
      </c>
      <c r="B645" s="182" t="s">
        <v>2317</v>
      </c>
    </row>
    <row r="646" customFormat="false" ht="12" hidden="false" customHeight="false" outlineLevel="0" collapsed="false">
      <c r="A646" s="182" t="s">
        <v>2318</v>
      </c>
      <c r="B646" s="182" t="s">
        <v>2319</v>
      </c>
    </row>
    <row r="647" customFormat="false" ht="12" hidden="false" customHeight="false" outlineLevel="0" collapsed="false">
      <c r="A647" s="182" t="s">
        <v>2320</v>
      </c>
      <c r="B647" s="182" t="s">
        <v>2321</v>
      </c>
    </row>
    <row r="648" customFormat="false" ht="12" hidden="false" customHeight="false" outlineLevel="0" collapsed="false">
      <c r="A648" s="182" t="s">
        <v>2322</v>
      </c>
      <c r="B648" s="182" t="s">
        <v>2323</v>
      </c>
    </row>
    <row r="649" customFormat="false" ht="12" hidden="false" customHeight="false" outlineLevel="0" collapsed="false">
      <c r="A649" s="182" t="s">
        <v>2324</v>
      </c>
      <c r="B649" s="182" t="s">
        <v>2325</v>
      </c>
    </row>
    <row r="650" customFormat="false" ht="12" hidden="false" customHeight="false" outlineLevel="0" collapsed="false">
      <c r="A650" s="182" t="s">
        <v>2326</v>
      </c>
      <c r="B650" s="182" t="s">
        <v>2327</v>
      </c>
    </row>
    <row r="651" customFormat="false" ht="12" hidden="false" customHeight="false" outlineLevel="0" collapsed="false">
      <c r="A651" s="182" t="s">
        <v>2328</v>
      </c>
      <c r="B651" s="182" t="s">
        <v>2329</v>
      </c>
    </row>
    <row r="652" customFormat="false" ht="12" hidden="false" customHeight="false" outlineLevel="0" collapsed="false">
      <c r="A652" s="182" t="s">
        <v>2330</v>
      </c>
      <c r="B652" s="182" t="s">
        <v>2331</v>
      </c>
    </row>
    <row r="653" customFormat="false" ht="12" hidden="false" customHeight="false" outlineLevel="0" collapsed="false">
      <c r="A653" s="182" t="s">
        <v>2332</v>
      </c>
      <c r="B653" s="182" t="s">
        <v>2333</v>
      </c>
    </row>
    <row r="654" customFormat="false" ht="12" hidden="false" customHeight="false" outlineLevel="0" collapsed="false">
      <c r="A654" s="182" t="s">
        <v>2334</v>
      </c>
      <c r="B654" s="182" t="s">
        <v>2335</v>
      </c>
    </row>
    <row r="655" customFormat="false" ht="12" hidden="false" customHeight="false" outlineLevel="0" collapsed="false">
      <c r="A655" s="182" t="s">
        <v>2336</v>
      </c>
      <c r="B655" s="182" t="s">
        <v>2337</v>
      </c>
    </row>
    <row r="656" customFormat="false" ht="12" hidden="false" customHeight="false" outlineLevel="0" collapsed="false">
      <c r="A656" s="182" t="s">
        <v>2338</v>
      </c>
      <c r="B656" s="182" t="s">
        <v>2339</v>
      </c>
    </row>
    <row r="657" customFormat="false" ht="12" hidden="false" customHeight="false" outlineLevel="0" collapsed="false">
      <c r="A657" s="182" t="s">
        <v>2340</v>
      </c>
      <c r="B657" s="182" t="s">
        <v>2341</v>
      </c>
    </row>
    <row r="658" customFormat="false" ht="12" hidden="false" customHeight="false" outlineLevel="0" collapsed="false">
      <c r="A658" s="182" t="s">
        <v>2342</v>
      </c>
      <c r="B658" s="182" t="s">
        <v>2343</v>
      </c>
    </row>
    <row r="659" customFormat="false" ht="12" hidden="false" customHeight="false" outlineLevel="0" collapsed="false">
      <c r="A659" s="182" t="s">
        <v>2344</v>
      </c>
      <c r="B659" s="182" t="s">
        <v>2345</v>
      </c>
    </row>
    <row r="660" customFormat="false" ht="12" hidden="false" customHeight="false" outlineLevel="0" collapsed="false">
      <c r="A660" s="182" t="s">
        <v>2346</v>
      </c>
      <c r="B660" s="182" t="s">
        <v>2347</v>
      </c>
    </row>
    <row r="661" customFormat="false" ht="12" hidden="false" customHeight="false" outlineLevel="0" collapsed="false">
      <c r="A661" s="182" t="s">
        <v>2348</v>
      </c>
      <c r="B661" s="182" t="s">
        <v>2349</v>
      </c>
    </row>
    <row r="662" customFormat="false" ht="12" hidden="false" customHeight="false" outlineLevel="0" collapsed="false">
      <c r="A662" s="182" t="s">
        <v>2350</v>
      </c>
      <c r="B662" s="182" t="s">
        <v>2351</v>
      </c>
    </row>
    <row r="663" customFormat="false" ht="12" hidden="false" customHeight="false" outlineLevel="0" collapsed="false">
      <c r="A663" s="182" t="s">
        <v>2352</v>
      </c>
      <c r="B663" s="182" t="s">
        <v>2353</v>
      </c>
    </row>
    <row r="664" customFormat="false" ht="12" hidden="false" customHeight="false" outlineLevel="0" collapsed="false">
      <c r="A664" s="182" t="s">
        <v>2354</v>
      </c>
      <c r="B664" s="182" t="s">
        <v>2355</v>
      </c>
    </row>
    <row r="665" customFormat="false" ht="12" hidden="false" customHeight="false" outlineLevel="0" collapsed="false">
      <c r="A665" s="182" t="s">
        <v>2356</v>
      </c>
      <c r="B665" s="182" t="s">
        <v>2357</v>
      </c>
    </row>
    <row r="666" customFormat="false" ht="12" hidden="false" customHeight="false" outlineLevel="0" collapsed="false">
      <c r="A666" s="182" t="s">
        <v>2358</v>
      </c>
      <c r="B666" s="182" t="s">
        <v>2359</v>
      </c>
    </row>
    <row r="667" customFormat="false" ht="12" hidden="false" customHeight="false" outlineLevel="0" collapsed="false">
      <c r="A667" s="182" t="s">
        <v>2360</v>
      </c>
      <c r="B667" s="182" t="s">
        <v>2361</v>
      </c>
    </row>
    <row r="668" customFormat="false" ht="12" hidden="false" customHeight="false" outlineLevel="0" collapsed="false">
      <c r="A668" s="182" t="s">
        <v>2362</v>
      </c>
      <c r="B668" s="182" t="s">
        <v>2363</v>
      </c>
    </row>
    <row r="669" customFormat="false" ht="12" hidden="false" customHeight="false" outlineLevel="0" collapsed="false">
      <c r="A669" s="182" t="s">
        <v>2364</v>
      </c>
      <c r="B669" s="182" t="s">
        <v>2365</v>
      </c>
    </row>
    <row r="670" customFormat="false" ht="12" hidden="false" customHeight="false" outlineLevel="0" collapsed="false">
      <c r="A670" s="182" t="s">
        <v>2366</v>
      </c>
      <c r="B670" s="182" t="s">
        <v>2367</v>
      </c>
    </row>
    <row r="671" customFormat="false" ht="12" hidden="false" customHeight="false" outlineLevel="0" collapsed="false">
      <c r="A671" s="182" t="s">
        <v>2368</v>
      </c>
      <c r="B671" s="182" t="s">
        <v>2369</v>
      </c>
    </row>
    <row r="672" customFormat="false" ht="12" hidden="false" customHeight="false" outlineLevel="0" collapsed="false">
      <c r="A672" s="182" t="s">
        <v>2370</v>
      </c>
      <c r="B672" s="182" t="s">
        <v>2371</v>
      </c>
    </row>
    <row r="673" customFormat="false" ht="12" hidden="false" customHeight="false" outlineLevel="0" collapsed="false">
      <c r="A673" s="182" t="s">
        <v>2372</v>
      </c>
      <c r="B673" s="182" t="s">
        <v>2373</v>
      </c>
    </row>
    <row r="674" customFormat="false" ht="12" hidden="false" customHeight="false" outlineLevel="0" collapsed="false">
      <c r="A674" s="182" t="s">
        <v>2374</v>
      </c>
      <c r="B674" s="182" t="s">
        <v>2375</v>
      </c>
    </row>
    <row r="675" customFormat="false" ht="12" hidden="false" customHeight="false" outlineLevel="0" collapsed="false">
      <c r="A675" s="182" t="s">
        <v>2376</v>
      </c>
      <c r="B675" s="182" t="s">
        <v>2377</v>
      </c>
    </row>
    <row r="676" customFormat="false" ht="12" hidden="false" customHeight="false" outlineLevel="0" collapsed="false">
      <c r="A676" s="182" t="s">
        <v>2378</v>
      </c>
      <c r="B676" s="182" t="s">
        <v>2379</v>
      </c>
    </row>
    <row r="677" customFormat="false" ht="12" hidden="false" customHeight="false" outlineLevel="0" collapsed="false">
      <c r="A677" s="182" t="s">
        <v>2380</v>
      </c>
      <c r="B677" s="182" t="s">
        <v>2381</v>
      </c>
    </row>
    <row r="678" customFormat="false" ht="12" hidden="false" customHeight="false" outlineLevel="0" collapsed="false">
      <c r="A678" s="182" t="s">
        <v>2382</v>
      </c>
      <c r="B678" s="182" t="s">
        <v>2383</v>
      </c>
    </row>
    <row r="679" customFormat="false" ht="12" hidden="false" customHeight="false" outlineLevel="0" collapsed="false">
      <c r="A679" s="182" t="s">
        <v>2384</v>
      </c>
      <c r="B679" s="182" t="s">
        <v>2385</v>
      </c>
    </row>
    <row r="680" customFormat="false" ht="12" hidden="false" customHeight="false" outlineLevel="0" collapsed="false">
      <c r="A680" s="182" t="s">
        <v>2386</v>
      </c>
      <c r="B680" s="182" t="s">
        <v>2387</v>
      </c>
    </row>
    <row r="681" customFormat="false" ht="12" hidden="false" customHeight="false" outlineLevel="0" collapsed="false">
      <c r="A681" s="182" t="s">
        <v>2388</v>
      </c>
      <c r="B681" s="182" t="s">
        <v>2389</v>
      </c>
    </row>
    <row r="682" customFormat="false" ht="12" hidden="false" customHeight="false" outlineLevel="0" collapsed="false">
      <c r="A682" s="182" t="s">
        <v>2390</v>
      </c>
      <c r="B682" s="182" t="s">
        <v>2391</v>
      </c>
    </row>
    <row r="683" customFormat="false" ht="12" hidden="false" customHeight="false" outlineLevel="0" collapsed="false">
      <c r="A683" s="182" t="s">
        <v>2392</v>
      </c>
      <c r="B683" s="182" t="s">
        <v>2393</v>
      </c>
    </row>
    <row r="684" customFormat="false" ht="12" hidden="false" customHeight="false" outlineLevel="0" collapsed="false">
      <c r="A684" s="182" t="s">
        <v>2394</v>
      </c>
      <c r="B684" s="182" t="s">
        <v>2395</v>
      </c>
    </row>
    <row r="685" customFormat="false" ht="12" hidden="false" customHeight="false" outlineLevel="0" collapsed="false">
      <c r="A685" s="182" t="s">
        <v>2396</v>
      </c>
      <c r="B685" s="182" t="s">
        <v>2397</v>
      </c>
    </row>
    <row r="686" customFormat="false" ht="12" hidden="false" customHeight="false" outlineLevel="0" collapsed="false">
      <c r="A686" s="182" t="s">
        <v>2398</v>
      </c>
      <c r="B686" s="182" t="s">
        <v>2399</v>
      </c>
    </row>
    <row r="687" customFormat="false" ht="12" hidden="false" customHeight="false" outlineLevel="0" collapsed="false">
      <c r="A687" s="182" t="s">
        <v>2400</v>
      </c>
      <c r="B687" s="182" t="s">
        <v>2401</v>
      </c>
    </row>
    <row r="688" customFormat="false" ht="12" hidden="false" customHeight="false" outlineLevel="0" collapsed="false">
      <c r="A688" s="182" t="s">
        <v>2402</v>
      </c>
      <c r="B688" s="182" t="s">
        <v>2403</v>
      </c>
    </row>
    <row r="689" customFormat="false" ht="12" hidden="false" customHeight="false" outlineLevel="0" collapsed="false">
      <c r="A689" s="182" t="s">
        <v>2404</v>
      </c>
      <c r="B689" s="182" t="s">
        <v>2405</v>
      </c>
    </row>
    <row r="690" customFormat="false" ht="12" hidden="false" customHeight="false" outlineLevel="0" collapsed="false">
      <c r="A690" s="182" t="s">
        <v>2406</v>
      </c>
      <c r="B690" s="182" t="s">
        <v>2407</v>
      </c>
    </row>
    <row r="691" customFormat="false" ht="12" hidden="false" customHeight="false" outlineLevel="0" collapsed="false">
      <c r="A691" s="182" t="s">
        <v>2408</v>
      </c>
      <c r="B691" s="182" t="s">
        <v>2409</v>
      </c>
    </row>
    <row r="692" customFormat="false" ht="12" hidden="false" customHeight="false" outlineLevel="0" collapsed="false">
      <c r="A692" s="182" t="s">
        <v>2410</v>
      </c>
      <c r="B692" s="182" t="s">
        <v>2411</v>
      </c>
    </row>
    <row r="693" customFormat="false" ht="12" hidden="false" customHeight="false" outlineLevel="0" collapsed="false">
      <c r="A693" s="182" t="s">
        <v>2412</v>
      </c>
      <c r="B693" s="182" t="s">
        <v>2413</v>
      </c>
    </row>
    <row r="694" customFormat="false" ht="12" hidden="false" customHeight="false" outlineLevel="0" collapsed="false">
      <c r="A694" s="182" t="s">
        <v>2414</v>
      </c>
      <c r="B694" s="182" t="s">
        <v>2415</v>
      </c>
    </row>
    <row r="695" customFormat="false" ht="12" hidden="false" customHeight="false" outlineLevel="0" collapsed="false">
      <c r="A695" s="182" t="s">
        <v>2416</v>
      </c>
      <c r="B695" s="182" t="s">
        <v>2417</v>
      </c>
    </row>
    <row r="696" customFormat="false" ht="12" hidden="false" customHeight="false" outlineLevel="0" collapsed="false">
      <c r="A696" s="182" t="s">
        <v>2418</v>
      </c>
      <c r="B696" s="182" t="s">
        <v>2419</v>
      </c>
    </row>
    <row r="697" customFormat="false" ht="12" hidden="false" customHeight="false" outlineLevel="0" collapsed="false">
      <c r="A697" s="182" t="s">
        <v>2420</v>
      </c>
      <c r="B697" s="182" t="s">
        <v>2421</v>
      </c>
    </row>
    <row r="698" customFormat="false" ht="12" hidden="false" customHeight="false" outlineLevel="0" collapsed="false">
      <c r="A698" s="182" t="s">
        <v>2422</v>
      </c>
      <c r="B698" s="182" t="s">
        <v>2423</v>
      </c>
    </row>
    <row r="699" customFormat="false" ht="12" hidden="false" customHeight="false" outlineLevel="0" collapsed="false">
      <c r="A699" s="182" t="s">
        <v>2424</v>
      </c>
      <c r="B699" s="182" t="s">
        <v>2425</v>
      </c>
    </row>
    <row r="700" customFormat="false" ht="12" hidden="false" customHeight="false" outlineLevel="0" collapsed="false">
      <c r="A700" s="182" t="s">
        <v>2426</v>
      </c>
      <c r="B700" s="182" t="s">
        <v>2427</v>
      </c>
    </row>
    <row r="701" customFormat="false" ht="12" hidden="false" customHeight="false" outlineLevel="0" collapsed="false">
      <c r="A701" s="182" t="s">
        <v>2428</v>
      </c>
      <c r="B701" s="182" t="s">
        <v>2429</v>
      </c>
    </row>
    <row r="702" customFormat="false" ht="12" hidden="false" customHeight="false" outlineLevel="0" collapsed="false">
      <c r="A702" s="182" t="s">
        <v>2430</v>
      </c>
      <c r="B702" s="182" t="s">
        <v>2431</v>
      </c>
    </row>
    <row r="703" customFormat="false" ht="12" hidden="false" customHeight="false" outlineLevel="0" collapsed="false">
      <c r="A703" s="182" t="s">
        <v>2432</v>
      </c>
      <c r="B703" s="182" t="s">
        <v>2433</v>
      </c>
    </row>
    <row r="704" customFormat="false" ht="12" hidden="false" customHeight="false" outlineLevel="0" collapsed="false">
      <c r="A704" s="182" t="s">
        <v>2434</v>
      </c>
      <c r="B704" s="182" t="s">
        <v>2435</v>
      </c>
    </row>
    <row r="705" customFormat="false" ht="12" hidden="false" customHeight="false" outlineLevel="0" collapsed="false">
      <c r="A705" s="182" t="s">
        <v>2436</v>
      </c>
      <c r="B705" s="182" t="s">
        <v>2437</v>
      </c>
    </row>
    <row r="706" customFormat="false" ht="12" hidden="false" customHeight="false" outlineLevel="0" collapsed="false">
      <c r="A706" s="182" t="s">
        <v>2438</v>
      </c>
      <c r="B706" s="182" t="s">
        <v>2439</v>
      </c>
    </row>
    <row r="707" customFormat="false" ht="12" hidden="false" customHeight="false" outlineLevel="0" collapsed="false">
      <c r="A707" s="182" t="s">
        <v>2440</v>
      </c>
      <c r="B707" s="182" t="s">
        <v>2441</v>
      </c>
    </row>
    <row r="708" customFormat="false" ht="12" hidden="false" customHeight="false" outlineLevel="0" collapsed="false">
      <c r="A708" s="182" t="s">
        <v>2442</v>
      </c>
      <c r="B708" s="182" t="s">
        <v>2443</v>
      </c>
    </row>
    <row r="709" customFormat="false" ht="12" hidden="false" customHeight="false" outlineLevel="0" collapsed="false">
      <c r="A709" s="182" t="s">
        <v>2444</v>
      </c>
      <c r="B709" s="182" t="s">
        <v>2445</v>
      </c>
    </row>
    <row r="710" customFormat="false" ht="12" hidden="false" customHeight="false" outlineLevel="0" collapsed="false">
      <c r="A710" s="182" t="s">
        <v>2446</v>
      </c>
      <c r="B710" s="182" t="s">
        <v>2447</v>
      </c>
    </row>
    <row r="711" customFormat="false" ht="12" hidden="false" customHeight="false" outlineLevel="0" collapsed="false">
      <c r="A711" s="182" t="s">
        <v>2448</v>
      </c>
      <c r="B711" s="182" t="s">
        <v>2449</v>
      </c>
    </row>
    <row r="712" customFormat="false" ht="12" hidden="false" customHeight="false" outlineLevel="0" collapsed="false">
      <c r="A712" s="182" t="s">
        <v>2450</v>
      </c>
      <c r="B712" s="182" t="s">
        <v>2451</v>
      </c>
    </row>
    <row r="713" customFormat="false" ht="12" hidden="false" customHeight="false" outlineLevel="0" collapsed="false">
      <c r="A713" s="182" t="s">
        <v>2452</v>
      </c>
      <c r="B713" s="182" t="s">
        <v>2453</v>
      </c>
    </row>
    <row r="714" customFormat="false" ht="12" hidden="false" customHeight="false" outlineLevel="0" collapsed="false">
      <c r="A714" s="182" t="s">
        <v>2454</v>
      </c>
      <c r="B714" s="182" t="s">
        <v>2455</v>
      </c>
    </row>
    <row r="715" customFormat="false" ht="12" hidden="false" customHeight="false" outlineLevel="0" collapsed="false">
      <c r="A715" s="182" t="s">
        <v>2456</v>
      </c>
      <c r="B715" s="182" t="s">
        <v>2457</v>
      </c>
    </row>
    <row r="716" customFormat="false" ht="12" hidden="false" customHeight="false" outlineLevel="0" collapsed="false">
      <c r="A716" s="182" t="s">
        <v>2458</v>
      </c>
      <c r="B716" s="182" t="s">
        <v>2459</v>
      </c>
    </row>
    <row r="717" customFormat="false" ht="12" hidden="false" customHeight="false" outlineLevel="0" collapsed="false">
      <c r="A717" s="182" t="s">
        <v>2460</v>
      </c>
      <c r="B717" s="182" t="s">
        <v>2461</v>
      </c>
    </row>
    <row r="718" customFormat="false" ht="12" hidden="false" customHeight="false" outlineLevel="0" collapsed="false">
      <c r="A718" s="182" t="s">
        <v>2462</v>
      </c>
      <c r="B718" s="182" t="s">
        <v>2463</v>
      </c>
    </row>
    <row r="719" customFormat="false" ht="12" hidden="false" customHeight="false" outlineLevel="0" collapsed="false">
      <c r="A719" s="182" t="s">
        <v>2464</v>
      </c>
      <c r="B719" s="182" t="s">
        <v>2465</v>
      </c>
    </row>
    <row r="720" customFormat="false" ht="12" hidden="false" customHeight="false" outlineLevel="0" collapsed="false">
      <c r="A720" s="182" t="s">
        <v>2466</v>
      </c>
      <c r="B720" s="182" t="s">
        <v>2467</v>
      </c>
    </row>
    <row r="721" customFormat="false" ht="12" hidden="false" customHeight="false" outlineLevel="0" collapsed="false">
      <c r="A721" s="182" t="s">
        <v>2468</v>
      </c>
      <c r="B721" s="182" t="s">
        <v>2469</v>
      </c>
    </row>
    <row r="722" customFormat="false" ht="12" hidden="false" customHeight="false" outlineLevel="0" collapsed="false">
      <c r="A722" s="182" t="s">
        <v>2470</v>
      </c>
      <c r="B722" s="182" t="s">
        <v>2471</v>
      </c>
    </row>
    <row r="723" customFormat="false" ht="12" hidden="false" customHeight="false" outlineLevel="0" collapsed="false">
      <c r="A723" s="182" t="s">
        <v>2472</v>
      </c>
      <c r="B723" s="182" t="s">
        <v>2473</v>
      </c>
    </row>
    <row r="724" customFormat="false" ht="12" hidden="false" customHeight="false" outlineLevel="0" collapsed="false">
      <c r="A724" s="182" t="s">
        <v>2474</v>
      </c>
      <c r="B724" s="182" t="s">
        <v>2475</v>
      </c>
    </row>
    <row r="725" customFormat="false" ht="12" hidden="false" customHeight="false" outlineLevel="0" collapsed="false">
      <c r="A725" s="182" t="s">
        <v>2476</v>
      </c>
      <c r="B725" s="182" t="s">
        <v>2477</v>
      </c>
    </row>
    <row r="726" customFormat="false" ht="12" hidden="false" customHeight="false" outlineLevel="0" collapsed="false">
      <c r="A726" s="182" t="s">
        <v>2478</v>
      </c>
      <c r="B726" s="182" t="s">
        <v>2479</v>
      </c>
    </row>
    <row r="727" customFormat="false" ht="12" hidden="false" customHeight="false" outlineLevel="0" collapsed="false">
      <c r="A727" s="182" t="s">
        <v>2480</v>
      </c>
      <c r="B727" s="182" t="s">
        <v>2481</v>
      </c>
    </row>
    <row r="728" customFormat="false" ht="12" hidden="false" customHeight="false" outlineLevel="0" collapsed="false">
      <c r="A728" s="182" t="s">
        <v>2482</v>
      </c>
      <c r="B728" s="182" t="s">
        <v>2483</v>
      </c>
    </row>
    <row r="729" customFormat="false" ht="12" hidden="false" customHeight="false" outlineLevel="0" collapsed="false">
      <c r="A729" s="182" t="s">
        <v>2484</v>
      </c>
      <c r="B729" s="182" t="s">
        <v>2485</v>
      </c>
    </row>
    <row r="730" customFormat="false" ht="12" hidden="false" customHeight="false" outlineLevel="0" collapsed="false">
      <c r="A730" s="182" t="s">
        <v>2486</v>
      </c>
      <c r="B730" s="182" t="s">
        <v>2487</v>
      </c>
    </row>
    <row r="731" customFormat="false" ht="12" hidden="false" customHeight="false" outlineLevel="0" collapsed="false">
      <c r="A731" s="182" t="s">
        <v>2488</v>
      </c>
      <c r="B731" s="182" t="s">
        <v>2489</v>
      </c>
    </row>
    <row r="732" customFormat="false" ht="12" hidden="false" customHeight="false" outlineLevel="0" collapsed="false">
      <c r="A732" s="182" t="s">
        <v>2490</v>
      </c>
      <c r="B732" s="182" t="s">
        <v>2491</v>
      </c>
    </row>
    <row r="733" customFormat="false" ht="12" hidden="false" customHeight="false" outlineLevel="0" collapsed="false">
      <c r="A733" s="182" t="s">
        <v>2492</v>
      </c>
      <c r="B733" s="182" t="s">
        <v>2493</v>
      </c>
    </row>
    <row r="734" customFormat="false" ht="12" hidden="false" customHeight="false" outlineLevel="0" collapsed="false">
      <c r="A734" s="182" t="s">
        <v>2494</v>
      </c>
      <c r="B734" s="182" t="s">
        <v>2495</v>
      </c>
    </row>
    <row r="735" customFormat="false" ht="12" hidden="false" customHeight="false" outlineLevel="0" collapsed="false">
      <c r="A735" s="182" t="s">
        <v>2496</v>
      </c>
      <c r="B735" s="182" t="s">
        <v>2497</v>
      </c>
    </row>
    <row r="736" customFormat="false" ht="12" hidden="false" customHeight="false" outlineLevel="0" collapsed="false">
      <c r="A736" s="182" t="s">
        <v>2498</v>
      </c>
      <c r="B736" s="182" t="s">
        <v>2499</v>
      </c>
    </row>
    <row r="737" customFormat="false" ht="12" hidden="false" customHeight="false" outlineLevel="0" collapsed="false">
      <c r="A737" s="182" t="s">
        <v>2500</v>
      </c>
      <c r="B737" s="182" t="s">
        <v>2501</v>
      </c>
    </row>
    <row r="738" customFormat="false" ht="12" hidden="false" customHeight="false" outlineLevel="0" collapsed="false">
      <c r="A738" s="182" t="s">
        <v>2502</v>
      </c>
      <c r="B738" s="182" t="s">
        <v>2503</v>
      </c>
    </row>
    <row r="739" customFormat="false" ht="12" hidden="false" customHeight="false" outlineLevel="0" collapsed="false">
      <c r="A739" s="182" t="s">
        <v>2504</v>
      </c>
      <c r="B739" s="182" t="s">
        <v>2505</v>
      </c>
    </row>
    <row r="740" customFormat="false" ht="12" hidden="false" customHeight="false" outlineLevel="0" collapsed="false">
      <c r="A740" s="182" t="s">
        <v>2506</v>
      </c>
      <c r="B740" s="182" t="s">
        <v>2507</v>
      </c>
    </row>
    <row r="741" customFormat="false" ht="12" hidden="false" customHeight="false" outlineLevel="0" collapsed="false">
      <c r="A741" s="182" t="s">
        <v>2508</v>
      </c>
      <c r="B741" s="182" t="s">
        <v>2509</v>
      </c>
    </row>
    <row r="742" customFormat="false" ht="12" hidden="false" customHeight="false" outlineLevel="0" collapsed="false">
      <c r="A742" s="182" t="s">
        <v>2510</v>
      </c>
      <c r="B742" s="182" t="s">
        <v>2511</v>
      </c>
    </row>
    <row r="743" customFormat="false" ht="12" hidden="false" customHeight="false" outlineLevel="0" collapsed="false">
      <c r="A743" s="182" t="s">
        <v>2512</v>
      </c>
      <c r="B743" s="182" t="s">
        <v>2513</v>
      </c>
    </row>
    <row r="744" customFormat="false" ht="12" hidden="false" customHeight="false" outlineLevel="0" collapsed="false">
      <c r="A744" s="182" t="s">
        <v>2514</v>
      </c>
      <c r="B744" s="182" t="s">
        <v>2515</v>
      </c>
    </row>
    <row r="745" customFormat="false" ht="12" hidden="false" customHeight="false" outlineLevel="0" collapsed="false">
      <c r="A745" s="182" t="s">
        <v>2516</v>
      </c>
      <c r="B745" s="182" t="s">
        <v>2517</v>
      </c>
    </row>
    <row r="746" customFormat="false" ht="12" hidden="false" customHeight="false" outlineLevel="0" collapsed="false">
      <c r="A746" s="182" t="s">
        <v>2518</v>
      </c>
      <c r="B746" s="182" t="s">
        <v>2519</v>
      </c>
    </row>
    <row r="747" customFormat="false" ht="12" hidden="false" customHeight="false" outlineLevel="0" collapsed="false">
      <c r="A747" s="182" t="s">
        <v>2520</v>
      </c>
      <c r="B747" s="182" t="s">
        <v>2521</v>
      </c>
    </row>
    <row r="748" customFormat="false" ht="12" hidden="false" customHeight="false" outlineLevel="0" collapsed="false">
      <c r="A748" s="182" t="s">
        <v>2522</v>
      </c>
      <c r="B748" s="182" t="s">
        <v>2523</v>
      </c>
    </row>
    <row r="749" customFormat="false" ht="12" hidden="false" customHeight="false" outlineLevel="0" collapsed="false">
      <c r="A749" s="182" t="s">
        <v>2524</v>
      </c>
      <c r="B749" s="182" t="s">
        <v>2525</v>
      </c>
    </row>
    <row r="750" customFormat="false" ht="12" hidden="false" customHeight="false" outlineLevel="0" collapsed="false">
      <c r="A750" s="182" t="s">
        <v>2526</v>
      </c>
      <c r="B750" s="182" t="s">
        <v>2527</v>
      </c>
    </row>
    <row r="751" customFormat="false" ht="12" hidden="false" customHeight="false" outlineLevel="0" collapsed="false">
      <c r="A751" s="182" t="s">
        <v>2528</v>
      </c>
      <c r="B751" s="182" t="s">
        <v>2529</v>
      </c>
    </row>
    <row r="752" customFormat="false" ht="12" hidden="false" customHeight="false" outlineLevel="0" collapsed="false">
      <c r="A752" s="182" t="s">
        <v>2530</v>
      </c>
      <c r="B752" s="182" t="s">
        <v>2531</v>
      </c>
    </row>
    <row r="753" customFormat="false" ht="12" hidden="false" customHeight="false" outlineLevel="0" collapsed="false">
      <c r="A753" s="182" t="s">
        <v>2532</v>
      </c>
      <c r="B753" s="182" t="s">
        <v>2533</v>
      </c>
    </row>
    <row r="754" customFormat="false" ht="12" hidden="false" customHeight="false" outlineLevel="0" collapsed="false">
      <c r="A754" s="182" t="s">
        <v>2534</v>
      </c>
      <c r="B754" s="182" t="s">
        <v>2535</v>
      </c>
    </row>
    <row r="755" customFormat="false" ht="12" hidden="false" customHeight="false" outlineLevel="0" collapsed="false">
      <c r="A755" s="182" t="s">
        <v>2536</v>
      </c>
      <c r="B755" s="182" t="s">
        <v>2537</v>
      </c>
    </row>
    <row r="756" customFormat="false" ht="12" hidden="false" customHeight="false" outlineLevel="0" collapsed="false">
      <c r="A756" s="182" t="s">
        <v>2538</v>
      </c>
      <c r="B756" s="182" t="s">
        <v>2539</v>
      </c>
    </row>
    <row r="757" customFormat="false" ht="12" hidden="false" customHeight="false" outlineLevel="0" collapsed="false">
      <c r="A757" s="182" t="s">
        <v>2540</v>
      </c>
      <c r="B757" s="182" t="s">
        <v>2541</v>
      </c>
    </row>
    <row r="758" customFormat="false" ht="12" hidden="false" customHeight="false" outlineLevel="0" collapsed="false">
      <c r="A758" s="182" t="s">
        <v>2542</v>
      </c>
      <c r="B758" s="182" t="s">
        <v>2543</v>
      </c>
    </row>
    <row r="759" customFormat="false" ht="12" hidden="false" customHeight="false" outlineLevel="0" collapsed="false">
      <c r="A759" s="182" t="s">
        <v>2544</v>
      </c>
      <c r="B759" s="182" t="s">
        <v>2545</v>
      </c>
    </row>
    <row r="760" customFormat="false" ht="12" hidden="false" customHeight="false" outlineLevel="0" collapsed="false">
      <c r="A760" s="182" t="s">
        <v>2546</v>
      </c>
      <c r="B760" s="182" t="s">
        <v>2547</v>
      </c>
    </row>
    <row r="761" customFormat="false" ht="12" hidden="false" customHeight="false" outlineLevel="0" collapsed="false">
      <c r="A761" s="182" t="s">
        <v>2548</v>
      </c>
      <c r="B761" s="182" t="s">
        <v>2549</v>
      </c>
    </row>
    <row r="762" customFormat="false" ht="12" hidden="false" customHeight="false" outlineLevel="0" collapsed="false">
      <c r="A762" s="182" t="s">
        <v>2550</v>
      </c>
      <c r="B762" s="182" t="s">
        <v>2551</v>
      </c>
    </row>
    <row r="763" customFormat="false" ht="12" hidden="false" customHeight="false" outlineLevel="0" collapsed="false">
      <c r="A763" s="182" t="s">
        <v>2552</v>
      </c>
      <c r="B763" s="182" t="s">
        <v>2553</v>
      </c>
    </row>
    <row r="764" customFormat="false" ht="12" hidden="false" customHeight="false" outlineLevel="0" collapsed="false">
      <c r="A764" s="182" t="s">
        <v>2554</v>
      </c>
      <c r="B764" s="182" t="s">
        <v>2555</v>
      </c>
    </row>
    <row r="765" customFormat="false" ht="12" hidden="false" customHeight="false" outlineLevel="0" collapsed="false">
      <c r="A765" s="182" t="s">
        <v>2556</v>
      </c>
      <c r="B765" s="182" t="s">
        <v>2557</v>
      </c>
    </row>
    <row r="766" customFormat="false" ht="12" hidden="false" customHeight="false" outlineLevel="0" collapsed="false">
      <c r="A766" s="182" t="s">
        <v>2558</v>
      </c>
      <c r="B766" s="182" t="s">
        <v>2559</v>
      </c>
    </row>
    <row r="767" customFormat="false" ht="12" hidden="false" customHeight="false" outlineLevel="0" collapsed="false">
      <c r="A767" s="182" t="s">
        <v>2560</v>
      </c>
      <c r="B767" s="182" t="s">
        <v>2561</v>
      </c>
    </row>
    <row r="768" customFormat="false" ht="12" hidden="false" customHeight="false" outlineLevel="0" collapsed="false">
      <c r="A768" s="182" t="s">
        <v>2562</v>
      </c>
      <c r="B768" s="182" t="s">
        <v>2563</v>
      </c>
    </row>
    <row r="769" customFormat="false" ht="12" hidden="false" customHeight="false" outlineLevel="0" collapsed="false">
      <c r="A769" s="182" t="s">
        <v>2564</v>
      </c>
      <c r="B769" s="182" t="s">
        <v>2565</v>
      </c>
    </row>
    <row r="770" customFormat="false" ht="12" hidden="false" customHeight="false" outlineLevel="0" collapsed="false">
      <c r="A770" s="182" t="s">
        <v>2566</v>
      </c>
      <c r="B770" s="182" t="s">
        <v>2567</v>
      </c>
    </row>
    <row r="771" customFormat="false" ht="12" hidden="false" customHeight="false" outlineLevel="0" collapsed="false">
      <c r="A771" s="182" t="s">
        <v>2568</v>
      </c>
      <c r="B771" s="182" t="s">
        <v>2569</v>
      </c>
    </row>
    <row r="772" customFormat="false" ht="12" hidden="false" customHeight="false" outlineLevel="0" collapsed="false">
      <c r="A772" s="182" t="s">
        <v>2570</v>
      </c>
      <c r="B772" s="182" t="s">
        <v>2571</v>
      </c>
    </row>
    <row r="773" customFormat="false" ht="12" hidden="false" customHeight="false" outlineLevel="0" collapsed="false">
      <c r="A773" s="182" t="s">
        <v>2572</v>
      </c>
      <c r="B773" s="182" t="s">
        <v>2573</v>
      </c>
    </row>
    <row r="774" customFormat="false" ht="12" hidden="false" customHeight="false" outlineLevel="0" collapsed="false">
      <c r="A774" s="182" t="s">
        <v>2574</v>
      </c>
      <c r="B774" s="182" t="s">
        <v>2575</v>
      </c>
    </row>
    <row r="775" customFormat="false" ht="12" hidden="false" customHeight="false" outlineLevel="0" collapsed="false">
      <c r="A775" s="182" t="s">
        <v>2576</v>
      </c>
      <c r="B775" s="182" t="s">
        <v>2577</v>
      </c>
    </row>
    <row r="776" customFormat="false" ht="12" hidden="false" customHeight="false" outlineLevel="0" collapsed="false">
      <c r="A776" s="182" t="s">
        <v>2578</v>
      </c>
      <c r="B776" s="182" t="s">
        <v>2579</v>
      </c>
    </row>
    <row r="777" customFormat="false" ht="12" hidden="false" customHeight="false" outlineLevel="0" collapsed="false">
      <c r="A777" s="182" t="s">
        <v>2580</v>
      </c>
      <c r="B777" s="182" t="s">
        <v>2581</v>
      </c>
    </row>
    <row r="778" customFormat="false" ht="12" hidden="false" customHeight="false" outlineLevel="0" collapsed="false">
      <c r="A778" s="182" t="s">
        <v>2582</v>
      </c>
      <c r="B778" s="182" t="s">
        <v>2583</v>
      </c>
    </row>
    <row r="779" customFormat="false" ht="12" hidden="false" customHeight="false" outlineLevel="0" collapsed="false">
      <c r="A779" s="182" t="s">
        <v>2584</v>
      </c>
      <c r="B779" s="182" t="s">
        <v>2585</v>
      </c>
    </row>
    <row r="780" customFormat="false" ht="12" hidden="false" customHeight="false" outlineLevel="0" collapsed="false">
      <c r="A780" s="182" t="s">
        <v>2586</v>
      </c>
      <c r="B780" s="182" t="s">
        <v>2587</v>
      </c>
    </row>
    <row r="781" customFormat="false" ht="12" hidden="false" customHeight="false" outlineLevel="0" collapsed="false">
      <c r="A781" s="182" t="s">
        <v>2588</v>
      </c>
      <c r="B781" s="182" t="s">
        <v>2589</v>
      </c>
    </row>
    <row r="782" customFormat="false" ht="12" hidden="false" customHeight="false" outlineLevel="0" collapsed="false">
      <c r="A782" s="182" t="s">
        <v>2590</v>
      </c>
      <c r="B782" s="182" t="s">
        <v>2591</v>
      </c>
    </row>
    <row r="783" customFormat="false" ht="12" hidden="false" customHeight="false" outlineLevel="0" collapsed="false">
      <c r="A783" s="182" t="s">
        <v>2592</v>
      </c>
      <c r="B783" s="182" t="s">
        <v>2593</v>
      </c>
    </row>
    <row r="784" customFormat="false" ht="12" hidden="false" customHeight="false" outlineLevel="0" collapsed="false">
      <c r="A784" s="182" t="s">
        <v>2594</v>
      </c>
      <c r="B784" s="182" t="s">
        <v>2595</v>
      </c>
    </row>
    <row r="785" customFormat="false" ht="12" hidden="false" customHeight="false" outlineLevel="0" collapsed="false">
      <c r="A785" s="182" t="s">
        <v>2596</v>
      </c>
      <c r="B785" s="182" t="s">
        <v>2597</v>
      </c>
    </row>
    <row r="786" customFormat="false" ht="12" hidden="false" customHeight="false" outlineLevel="0" collapsed="false">
      <c r="A786" s="182" t="s">
        <v>2598</v>
      </c>
      <c r="B786" s="182" t="s">
        <v>2599</v>
      </c>
    </row>
    <row r="787" customFormat="false" ht="12" hidden="false" customHeight="false" outlineLevel="0" collapsed="false">
      <c r="A787" s="182" t="s">
        <v>2600</v>
      </c>
      <c r="B787" s="182" t="s">
        <v>2601</v>
      </c>
    </row>
    <row r="788" customFormat="false" ht="12" hidden="false" customHeight="false" outlineLevel="0" collapsed="false">
      <c r="A788" s="182" t="s">
        <v>2602</v>
      </c>
      <c r="B788" s="182" t="s">
        <v>2603</v>
      </c>
    </row>
    <row r="789" customFormat="false" ht="12" hidden="false" customHeight="false" outlineLevel="0" collapsed="false">
      <c r="A789" s="182" t="s">
        <v>2604</v>
      </c>
      <c r="B789" s="182" t="s">
        <v>2605</v>
      </c>
    </row>
    <row r="790" customFormat="false" ht="12" hidden="false" customHeight="false" outlineLevel="0" collapsed="false">
      <c r="A790" s="182" t="s">
        <v>2606</v>
      </c>
      <c r="B790" s="182" t="s">
        <v>2607</v>
      </c>
    </row>
    <row r="791" customFormat="false" ht="12" hidden="false" customHeight="false" outlineLevel="0" collapsed="false">
      <c r="A791" s="182" t="s">
        <v>2608</v>
      </c>
      <c r="B791" s="182" t="s">
        <v>2609</v>
      </c>
    </row>
    <row r="792" customFormat="false" ht="12" hidden="false" customHeight="false" outlineLevel="0" collapsed="false">
      <c r="A792" s="182" t="s">
        <v>2610</v>
      </c>
      <c r="B792" s="182" t="s">
        <v>2611</v>
      </c>
    </row>
    <row r="793" customFormat="false" ht="12" hidden="false" customHeight="false" outlineLevel="0" collapsed="false">
      <c r="A793" s="182" t="s">
        <v>2612</v>
      </c>
      <c r="B793" s="182" t="s">
        <v>2613</v>
      </c>
    </row>
    <row r="794" customFormat="false" ht="12" hidden="false" customHeight="false" outlineLevel="0" collapsed="false">
      <c r="A794" s="182" t="s">
        <v>2614</v>
      </c>
      <c r="B794" s="182" t="s">
        <v>2615</v>
      </c>
    </row>
    <row r="795" customFormat="false" ht="12" hidden="false" customHeight="false" outlineLevel="0" collapsed="false">
      <c r="A795" s="182" t="s">
        <v>2616</v>
      </c>
      <c r="B795" s="182" t="s">
        <v>2617</v>
      </c>
    </row>
    <row r="796" customFormat="false" ht="12" hidden="false" customHeight="false" outlineLevel="0" collapsed="false">
      <c r="A796" s="182" t="s">
        <v>2618</v>
      </c>
      <c r="B796" s="182" t="s">
        <v>2619</v>
      </c>
    </row>
    <row r="797" customFormat="false" ht="12" hidden="false" customHeight="false" outlineLevel="0" collapsed="false">
      <c r="A797" s="182" t="s">
        <v>2620</v>
      </c>
      <c r="B797" s="182" t="s">
        <v>2621</v>
      </c>
    </row>
    <row r="798" customFormat="false" ht="12" hidden="false" customHeight="false" outlineLevel="0" collapsed="false">
      <c r="A798" s="182" t="s">
        <v>2622</v>
      </c>
      <c r="B798" s="182" t="s">
        <v>2623</v>
      </c>
    </row>
    <row r="799" customFormat="false" ht="12" hidden="false" customHeight="false" outlineLevel="0" collapsed="false">
      <c r="A799" s="182" t="s">
        <v>2624</v>
      </c>
      <c r="B799" s="182" t="s">
        <v>2625</v>
      </c>
    </row>
    <row r="800" customFormat="false" ht="12" hidden="false" customHeight="false" outlineLevel="0" collapsed="false">
      <c r="A800" s="182" t="s">
        <v>2626</v>
      </c>
      <c r="B800" s="182" t="s">
        <v>2627</v>
      </c>
    </row>
    <row r="801" customFormat="false" ht="12" hidden="false" customHeight="false" outlineLevel="0" collapsed="false">
      <c r="A801" s="182" t="s">
        <v>2628</v>
      </c>
      <c r="B801" s="182" t="s">
        <v>2629</v>
      </c>
    </row>
    <row r="802" customFormat="false" ht="12" hidden="false" customHeight="false" outlineLevel="0" collapsed="false">
      <c r="A802" s="182" t="s">
        <v>2630</v>
      </c>
      <c r="B802" s="182" t="s">
        <v>2631</v>
      </c>
    </row>
    <row r="803" customFormat="false" ht="12" hidden="false" customHeight="false" outlineLevel="0" collapsed="false">
      <c r="A803" s="182" t="s">
        <v>2632</v>
      </c>
      <c r="B803" s="182" t="s">
        <v>2633</v>
      </c>
    </row>
    <row r="804" customFormat="false" ht="12" hidden="false" customHeight="false" outlineLevel="0" collapsed="false">
      <c r="A804" s="182" t="s">
        <v>2634</v>
      </c>
      <c r="B804" s="182" t="s">
        <v>2635</v>
      </c>
    </row>
    <row r="805" customFormat="false" ht="12" hidden="false" customHeight="false" outlineLevel="0" collapsed="false">
      <c r="A805" s="182" t="s">
        <v>2636</v>
      </c>
      <c r="B805" s="182" t="s">
        <v>2637</v>
      </c>
    </row>
    <row r="806" customFormat="false" ht="12" hidden="false" customHeight="false" outlineLevel="0" collapsed="false">
      <c r="A806" s="182" t="s">
        <v>2638</v>
      </c>
      <c r="B806" s="182" t="s">
        <v>2639</v>
      </c>
    </row>
    <row r="807" customFormat="false" ht="12" hidden="false" customHeight="false" outlineLevel="0" collapsed="false">
      <c r="A807" s="182" t="s">
        <v>2640</v>
      </c>
      <c r="B807" s="182" t="s">
        <v>2641</v>
      </c>
    </row>
    <row r="808" customFormat="false" ht="12" hidden="false" customHeight="false" outlineLevel="0" collapsed="false">
      <c r="A808" s="182" t="s">
        <v>2642</v>
      </c>
      <c r="B808" s="182" t="s">
        <v>2643</v>
      </c>
    </row>
    <row r="809" customFormat="false" ht="12" hidden="false" customHeight="false" outlineLevel="0" collapsed="false">
      <c r="A809" s="182" t="s">
        <v>2644</v>
      </c>
      <c r="B809" s="182" t="s">
        <v>2645</v>
      </c>
    </row>
    <row r="810" customFormat="false" ht="12" hidden="false" customHeight="false" outlineLevel="0" collapsed="false">
      <c r="A810" s="182" t="s">
        <v>2646</v>
      </c>
      <c r="B810" s="182" t="s">
        <v>2647</v>
      </c>
    </row>
    <row r="811" customFormat="false" ht="12" hidden="false" customHeight="false" outlineLevel="0" collapsed="false">
      <c r="A811" s="182" t="s">
        <v>2648</v>
      </c>
      <c r="B811" s="182" t="s">
        <v>2649</v>
      </c>
    </row>
    <row r="812" customFormat="false" ht="12" hidden="false" customHeight="false" outlineLevel="0" collapsed="false">
      <c r="A812" s="182" t="s">
        <v>2650</v>
      </c>
      <c r="B812" s="182" t="s">
        <v>2651</v>
      </c>
    </row>
    <row r="813" customFormat="false" ht="12" hidden="false" customHeight="false" outlineLevel="0" collapsed="false">
      <c r="A813" s="182" t="s">
        <v>2652</v>
      </c>
      <c r="B813" s="182" t="s">
        <v>2653</v>
      </c>
    </row>
    <row r="814" customFormat="false" ht="12" hidden="false" customHeight="false" outlineLevel="0" collapsed="false">
      <c r="A814" s="182" t="s">
        <v>2654</v>
      </c>
      <c r="B814" s="182" t="s">
        <v>2655</v>
      </c>
    </row>
    <row r="815" customFormat="false" ht="12" hidden="false" customHeight="false" outlineLevel="0" collapsed="false">
      <c r="A815" s="182" t="s">
        <v>2656</v>
      </c>
      <c r="B815" s="182" t="s">
        <v>2657</v>
      </c>
    </row>
    <row r="816" customFormat="false" ht="12" hidden="false" customHeight="false" outlineLevel="0" collapsed="false">
      <c r="A816" s="182" t="s">
        <v>2658</v>
      </c>
      <c r="B816" s="182" t="s">
        <v>2659</v>
      </c>
    </row>
    <row r="817" customFormat="false" ht="12" hidden="false" customHeight="false" outlineLevel="0" collapsed="false">
      <c r="A817" s="182" t="s">
        <v>2660</v>
      </c>
      <c r="B817" s="182" t="s">
        <v>2661</v>
      </c>
    </row>
    <row r="818" customFormat="false" ht="12" hidden="false" customHeight="false" outlineLevel="0" collapsed="false">
      <c r="A818" s="182" t="s">
        <v>2662</v>
      </c>
      <c r="B818" s="182" t="s">
        <v>2663</v>
      </c>
    </row>
    <row r="819" customFormat="false" ht="12" hidden="false" customHeight="false" outlineLevel="0" collapsed="false">
      <c r="A819" s="182" t="s">
        <v>2664</v>
      </c>
      <c r="B819" s="182" t="s">
        <v>2665</v>
      </c>
    </row>
    <row r="820" customFormat="false" ht="12" hidden="false" customHeight="false" outlineLevel="0" collapsed="false">
      <c r="A820" s="182" t="s">
        <v>2666</v>
      </c>
      <c r="B820" s="182" t="s">
        <v>2667</v>
      </c>
    </row>
    <row r="821" customFormat="false" ht="12" hidden="false" customHeight="false" outlineLevel="0" collapsed="false">
      <c r="A821" s="182" t="s">
        <v>2668</v>
      </c>
      <c r="B821" s="182" t="s">
        <v>2669</v>
      </c>
    </row>
    <row r="822" customFormat="false" ht="12" hidden="false" customHeight="false" outlineLevel="0" collapsed="false">
      <c r="A822" s="182" t="s">
        <v>2670</v>
      </c>
      <c r="B822" s="182" t="s">
        <v>2671</v>
      </c>
    </row>
    <row r="823" customFormat="false" ht="12" hidden="false" customHeight="false" outlineLevel="0" collapsed="false">
      <c r="A823" s="182" t="s">
        <v>2672</v>
      </c>
      <c r="B823" s="182" t="s">
        <v>2673</v>
      </c>
    </row>
    <row r="824" customFormat="false" ht="12" hidden="false" customHeight="false" outlineLevel="0" collapsed="false">
      <c r="A824" s="182" t="s">
        <v>2674</v>
      </c>
      <c r="B824" s="182" t="s">
        <v>2675</v>
      </c>
    </row>
    <row r="825" customFormat="false" ht="12" hidden="false" customHeight="false" outlineLevel="0" collapsed="false">
      <c r="A825" s="182" t="s">
        <v>2676</v>
      </c>
      <c r="B825" s="182" t="s">
        <v>2677</v>
      </c>
    </row>
    <row r="826" customFormat="false" ht="12" hidden="false" customHeight="false" outlineLevel="0" collapsed="false">
      <c r="A826" s="182" t="s">
        <v>2678</v>
      </c>
      <c r="B826" s="182" t="s">
        <v>2679</v>
      </c>
    </row>
    <row r="827" customFormat="false" ht="12" hidden="false" customHeight="false" outlineLevel="0" collapsed="false">
      <c r="A827" s="182" t="s">
        <v>2680</v>
      </c>
      <c r="B827" s="182" t="s">
        <v>2681</v>
      </c>
    </row>
    <row r="828" customFormat="false" ht="12" hidden="false" customHeight="false" outlineLevel="0" collapsed="false">
      <c r="A828" s="182" t="s">
        <v>2682</v>
      </c>
      <c r="B828" s="182" t="s">
        <v>2683</v>
      </c>
    </row>
    <row r="829" customFormat="false" ht="12" hidden="false" customHeight="false" outlineLevel="0" collapsed="false">
      <c r="A829" s="182" t="s">
        <v>2684</v>
      </c>
      <c r="B829" s="182" t="s">
        <v>2685</v>
      </c>
    </row>
    <row r="830" customFormat="false" ht="12" hidden="false" customHeight="false" outlineLevel="0" collapsed="false">
      <c r="A830" s="182" t="s">
        <v>2686</v>
      </c>
      <c r="B830" s="182" t="s">
        <v>2687</v>
      </c>
    </row>
    <row r="831" customFormat="false" ht="12" hidden="false" customHeight="false" outlineLevel="0" collapsed="false">
      <c r="A831" s="182" t="s">
        <v>2688</v>
      </c>
      <c r="B831" s="182" t="s">
        <v>2689</v>
      </c>
    </row>
    <row r="832" customFormat="false" ht="12" hidden="false" customHeight="false" outlineLevel="0" collapsed="false">
      <c r="A832" s="182" t="s">
        <v>2690</v>
      </c>
      <c r="B832" s="182" t="s">
        <v>2691</v>
      </c>
    </row>
    <row r="833" customFormat="false" ht="12" hidden="false" customHeight="false" outlineLevel="0" collapsed="false">
      <c r="A833" s="182" t="s">
        <v>2692</v>
      </c>
      <c r="B833" s="182" t="s">
        <v>2693</v>
      </c>
    </row>
    <row r="834" customFormat="false" ht="12" hidden="false" customHeight="false" outlineLevel="0" collapsed="false">
      <c r="A834" s="182" t="s">
        <v>2694</v>
      </c>
      <c r="B834" s="182" t="s">
        <v>2695</v>
      </c>
    </row>
    <row r="835" customFormat="false" ht="12" hidden="false" customHeight="false" outlineLevel="0" collapsed="false">
      <c r="A835" s="182" t="s">
        <v>2696</v>
      </c>
      <c r="B835" s="182" t="s">
        <v>2697</v>
      </c>
    </row>
    <row r="836" customFormat="false" ht="12" hidden="false" customHeight="false" outlineLevel="0" collapsed="false">
      <c r="A836" s="182" t="s">
        <v>2698</v>
      </c>
      <c r="B836" s="182" t="s">
        <v>2699</v>
      </c>
    </row>
    <row r="837" customFormat="false" ht="12" hidden="false" customHeight="false" outlineLevel="0" collapsed="false">
      <c r="A837" s="182" t="s">
        <v>2700</v>
      </c>
      <c r="B837" s="182" t="s">
        <v>2701</v>
      </c>
    </row>
    <row r="838" customFormat="false" ht="12" hidden="false" customHeight="false" outlineLevel="0" collapsed="false">
      <c r="A838" s="182" t="s">
        <v>2702</v>
      </c>
      <c r="B838" s="182" t="s">
        <v>2703</v>
      </c>
    </row>
    <row r="839" customFormat="false" ht="12" hidden="false" customHeight="false" outlineLevel="0" collapsed="false">
      <c r="A839" s="182" t="s">
        <v>2704</v>
      </c>
      <c r="B839" s="182" t="s">
        <v>2705</v>
      </c>
    </row>
    <row r="840" customFormat="false" ht="12" hidden="false" customHeight="false" outlineLevel="0" collapsed="false">
      <c r="A840" s="182" t="s">
        <v>2706</v>
      </c>
      <c r="B840" s="182" t="s">
        <v>2707</v>
      </c>
    </row>
    <row r="841" customFormat="false" ht="12" hidden="false" customHeight="false" outlineLevel="0" collapsed="false">
      <c r="A841" s="182" t="s">
        <v>2708</v>
      </c>
      <c r="B841" s="182" t="s">
        <v>2709</v>
      </c>
    </row>
    <row r="842" customFormat="false" ht="12" hidden="false" customHeight="false" outlineLevel="0" collapsed="false">
      <c r="A842" s="182" t="s">
        <v>2710</v>
      </c>
      <c r="B842" s="182" t="s">
        <v>2711</v>
      </c>
    </row>
    <row r="843" customFormat="false" ht="12" hidden="false" customHeight="false" outlineLevel="0" collapsed="false">
      <c r="A843" s="182" t="s">
        <v>156</v>
      </c>
      <c r="B843" s="182" t="s">
        <v>2712</v>
      </c>
    </row>
    <row r="844" customFormat="false" ht="12" hidden="false" customHeight="false" outlineLevel="0" collapsed="false">
      <c r="A844" s="182" t="s">
        <v>2713</v>
      </c>
      <c r="B844" s="182" t="s">
        <v>2714</v>
      </c>
    </row>
    <row r="845" customFormat="false" ht="12" hidden="false" customHeight="false" outlineLevel="0" collapsed="false">
      <c r="A845" s="182" t="s">
        <v>2715</v>
      </c>
      <c r="B845" s="182" t="s">
        <v>2716</v>
      </c>
    </row>
    <row r="846" customFormat="false" ht="12" hidden="false" customHeight="false" outlineLevel="0" collapsed="false">
      <c r="A846" s="182" t="s">
        <v>2717</v>
      </c>
      <c r="B846" s="182" t="s">
        <v>2718</v>
      </c>
    </row>
    <row r="847" customFormat="false" ht="12" hidden="false" customHeight="false" outlineLevel="0" collapsed="false">
      <c r="A847" s="182" t="s">
        <v>2719</v>
      </c>
      <c r="B847" s="182" t="s">
        <v>2720</v>
      </c>
    </row>
    <row r="848" customFormat="false" ht="12" hidden="false" customHeight="false" outlineLevel="0" collapsed="false">
      <c r="A848" s="182" t="s">
        <v>2721</v>
      </c>
      <c r="B848" s="182" t="s">
        <v>2722</v>
      </c>
    </row>
    <row r="849" customFormat="false" ht="12" hidden="false" customHeight="false" outlineLevel="0" collapsed="false">
      <c r="A849" s="182" t="s">
        <v>2723</v>
      </c>
      <c r="B849" s="182" t="s">
        <v>2724</v>
      </c>
    </row>
    <row r="850" customFormat="false" ht="12" hidden="false" customHeight="false" outlineLevel="0" collapsed="false">
      <c r="A850" s="182" t="s">
        <v>2725</v>
      </c>
      <c r="B850" s="182" t="s">
        <v>2726</v>
      </c>
    </row>
    <row r="851" customFormat="false" ht="12" hidden="false" customHeight="false" outlineLevel="0" collapsed="false">
      <c r="A851" s="182" t="s">
        <v>2727</v>
      </c>
      <c r="B851" s="182" t="s">
        <v>2728</v>
      </c>
    </row>
    <row r="852" customFormat="false" ht="12" hidden="false" customHeight="false" outlineLevel="0" collapsed="false">
      <c r="A852" s="182" t="s">
        <v>2729</v>
      </c>
      <c r="B852" s="182" t="s">
        <v>2730</v>
      </c>
    </row>
    <row r="853" customFormat="false" ht="12" hidden="false" customHeight="false" outlineLevel="0" collapsed="false">
      <c r="A853" s="182" t="s">
        <v>2731</v>
      </c>
      <c r="B853" s="182" t="s">
        <v>2732</v>
      </c>
    </row>
    <row r="854" customFormat="false" ht="12" hidden="false" customHeight="false" outlineLevel="0" collapsed="false">
      <c r="A854" s="182" t="s">
        <v>2733</v>
      </c>
      <c r="B854" s="182" t="s">
        <v>2734</v>
      </c>
    </row>
    <row r="855" customFormat="false" ht="12" hidden="false" customHeight="false" outlineLevel="0" collapsed="false">
      <c r="A855" s="182" t="s">
        <v>2735</v>
      </c>
      <c r="B855" s="182" t="s">
        <v>2736</v>
      </c>
    </row>
    <row r="856" customFormat="false" ht="12" hidden="false" customHeight="false" outlineLevel="0" collapsed="false">
      <c r="A856" s="182" t="s">
        <v>2737</v>
      </c>
      <c r="B856" s="182" t="s">
        <v>2738</v>
      </c>
    </row>
    <row r="857" customFormat="false" ht="12" hidden="false" customHeight="false" outlineLevel="0" collapsed="false">
      <c r="A857" s="182" t="s">
        <v>2739</v>
      </c>
      <c r="B857" s="182" t="s">
        <v>2740</v>
      </c>
    </row>
    <row r="858" customFormat="false" ht="12" hidden="false" customHeight="false" outlineLevel="0" collapsed="false">
      <c r="A858" s="182" t="s">
        <v>2741</v>
      </c>
      <c r="B858" s="182" t="s">
        <v>2742</v>
      </c>
    </row>
    <row r="859" customFormat="false" ht="12" hidden="false" customHeight="false" outlineLevel="0" collapsed="false">
      <c r="A859" s="182" t="s">
        <v>2743</v>
      </c>
      <c r="B859" s="182" t="s">
        <v>2744</v>
      </c>
    </row>
    <row r="860" customFormat="false" ht="12" hidden="false" customHeight="false" outlineLevel="0" collapsed="false">
      <c r="A860" s="182" t="s">
        <v>2745</v>
      </c>
      <c r="B860" s="182" t="s">
        <v>2746</v>
      </c>
    </row>
    <row r="861" customFormat="false" ht="12" hidden="false" customHeight="false" outlineLevel="0" collapsed="false">
      <c r="A861" s="182" t="s">
        <v>2747</v>
      </c>
      <c r="B861" s="182" t="s">
        <v>2748</v>
      </c>
    </row>
    <row r="862" customFormat="false" ht="12" hidden="false" customHeight="false" outlineLevel="0" collapsed="false">
      <c r="A862" s="182" t="s">
        <v>2749</v>
      </c>
      <c r="B862" s="182" t="s">
        <v>2750</v>
      </c>
    </row>
    <row r="863" customFormat="false" ht="12" hidden="false" customHeight="false" outlineLevel="0" collapsed="false">
      <c r="A863" s="182" t="s">
        <v>2751</v>
      </c>
      <c r="B863" s="182" t="s">
        <v>2752</v>
      </c>
    </row>
    <row r="864" customFormat="false" ht="12" hidden="false" customHeight="false" outlineLevel="0" collapsed="false">
      <c r="A864" s="182" t="s">
        <v>2753</v>
      </c>
      <c r="B864" s="182" t="s">
        <v>2754</v>
      </c>
    </row>
    <row r="865" customFormat="false" ht="12" hidden="false" customHeight="false" outlineLevel="0" collapsed="false">
      <c r="A865" s="182" t="s">
        <v>2755</v>
      </c>
      <c r="B865" s="182" t="s">
        <v>2756</v>
      </c>
    </row>
    <row r="866" customFormat="false" ht="12" hidden="false" customHeight="false" outlineLevel="0" collapsed="false">
      <c r="A866" s="182" t="s">
        <v>2757</v>
      </c>
      <c r="B866" s="182" t="s">
        <v>2758</v>
      </c>
    </row>
    <row r="867" customFormat="false" ht="12" hidden="false" customHeight="false" outlineLevel="0" collapsed="false">
      <c r="A867" s="182" t="s">
        <v>2759</v>
      </c>
      <c r="B867" s="182" t="s">
        <v>2760</v>
      </c>
    </row>
    <row r="868" customFormat="false" ht="12" hidden="false" customHeight="false" outlineLevel="0" collapsed="false">
      <c r="A868" s="182" t="s">
        <v>2761</v>
      </c>
      <c r="B868" s="182" t="s">
        <v>2762</v>
      </c>
    </row>
    <row r="869" customFormat="false" ht="12" hidden="false" customHeight="false" outlineLevel="0" collapsed="false">
      <c r="A869" s="182" t="s">
        <v>2763</v>
      </c>
      <c r="B869" s="182" t="s">
        <v>2764</v>
      </c>
    </row>
    <row r="870" customFormat="false" ht="12" hidden="false" customHeight="false" outlineLevel="0" collapsed="false">
      <c r="A870" s="182" t="s">
        <v>2765</v>
      </c>
      <c r="B870" s="182" t="s">
        <v>2766</v>
      </c>
    </row>
    <row r="871" customFormat="false" ht="12" hidden="false" customHeight="false" outlineLevel="0" collapsed="false">
      <c r="A871" s="182" t="s">
        <v>2767</v>
      </c>
      <c r="B871" s="182" t="s">
        <v>2768</v>
      </c>
    </row>
    <row r="872" customFormat="false" ht="12" hidden="false" customHeight="false" outlineLevel="0" collapsed="false">
      <c r="A872" s="182" t="s">
        <v>2769</v>
      </c>
      <c r="B872" s="182" t="s">
        <v>860</v>
      </c>
    </row>
    <row r="873" customFormat="false" ht="12" hidden="false" customHeight="false" outlineLevel="0" collapsed="false">
      <c r="A873" s="182" t="s">
        <v>2770</v>
      </c>
      <c r="B873" s="182" t="s">
        <v>2771</v>
      </c>
    </row>
    <row r="874" customFormat="false" ht="12" hidden="false" customHeight="false" outlineLevel="0" collapsed="false">
      <c r="A874" s="182" t="s">
        <v>2772</v>
      </c>
      <c r="B874" s="182" t="s">
        <v>2773</v>
      </c>
    </row>
    <row r="875" customFormat="false" ht="12" hidden="false" customHeight="false" outlineLevel="0" collapsed="false">
      <c r="A875" s="182" t="s">
        <v>2774</v>
      </c>
      <c r="B875" s="182" t="s">
        <v>2775</v>
      </c>
    </row>
    <row r="876" customFormat="false" ht="12" hidden="false" customHeight="false" outlineLevel="0" collapsed="false">
      <c r="A876" s="182" t="s">
        <v>2776</v>
      </c>
      <c r="B876" s="182" t="s">
        <v>2777</v>
      </c>
    </row>
    <row r="877" customFormat="false" ht="12" hidden="false" customHeight="false" outlineLevel="0" collapsed="false">
      <c r="A877" s="182" t="s">
        <v>2778</v>
      </c>
      <c r="B877" s="182" t="s">
        <v>2779</v>
      </c>
    </row>
    <row r="878" customFormat="false" ht="12" hidden="false" customHeight="false" outlineLevel="0" collapsed="false">
      <c r="A878" s="182" t="s">
        <v>2780</v>
      </c>
      <c r="B878" s="182" t="s">
        <v>2781</v>
      </c>
    </row>
    <row r="879" customFormat="false" ht="12" hidden="false" customHeight="false" outlineLevel="0" collapsed="false">
      <c r="A879" s="182" t="s">
        <v>2782</v>
      </c>
      <c r="B879" s="182" t="s">
        <v>2783</v>
      </c>
    </row>
    <row r="880" customFormat="false" ht="12" hidden="false" customHeight="false" outlineLevel="0" collapsed="false">
      <c r="A880" s="182" t="s">
        <v>2784</v>
      </c>
      <c r="B880" s="182" t="s">
        <v>2785</v>
      </c>
    </row>
    <row r="881" customFormat="false" ht="12" hidden="false" customHeight="false" outlineLevel="0" collapsed="false">
      <c r="A881" s="182" t="s">
        <v>2786</v>
      </c>
      <c r="B881" s="182" t="s">
        <v>2787</v>
      </c>
    </row>
    <row r="882" customFormat="false" ht="12" hidden="false" customHeight="false" outlineLevel="0" collapsed="false">
      <c r="A882" s="182" t="s">
        <v>2788</v>
      </c>
      <c r="B882" s="182" t="s">
        <v>2789</v>
      </c>
    </row>
    <row r="883" customFormat="false" ht="12" hidden="false" customHeight="false" outlineLevel="0" collapsed="false">
      <c r="A883" s="182" t="s">
        <v>2790</v>
      </c>
      <c r="B883" s="182" t="s">
        <v>2791</v>
      </c>
    </row>
    <row r="884" customFormat="false" ht="12" hidden="false" customHeight="false" outlineLevel="0" collapsed="false">
      <c r="A884" s="182" t="s">
        <v>2792</v>
      </c>
      <c r="B884" s="182" t="s">
        <v>2793</v>
      </c>
    </row>
    <row r="885" customFormat="false" ht="12" hidden="false" customHeight="false" outlineLevel="0" collapsed="false">
      <c r="A885" s="182" t="s">
        <v>2794</v>
      </c>
      <c r="B885" s="182" t="s">
        <v>2795</v>
      </c>
    </row>
    <row r="886" customFormat="false" ht="12" hidden="false" customHeight="false" outlineLevel="0" collapsed="false">
      <c r="A886" s="182" t="s">
        <v>2796</v>
      </c>
      <c r="B886" s="182" t="s">
        <v>2797</v>
      </c>
    </row>
    <row r="887" customFormat="false" ht="12" hidden="false" customHeight="false" outlineLevel="0" collapsed="false">
      <c r="A887" s="182" t="s">
        <v>2798</v>
      </c>
      <c r="B887" s="182" t="s">
        <v>2799</v>
      </c>
    </row>
    <row r="888" customFormat="false" ht="12" hidden="false" customHeight="false" outlineLevel="0" collapsed="false">
      <c r="A888" s="182" t="s">
        <v>2800</v>
      </c>
      <c r="B888" s="182" t="s">
        <v>2801</v>
      </c>
    </row>
    <row r="889" customFormat="false" ht="12" hidden="false" customHeight="false" outlineLevel="0" collapsed="false">
      <c r="A889" s="182" t="s">
        <v>2802</v>
      </c>
      <c r="B889" s="182" t="s">
        <v>2803</v>
      </c>
    </row>
    <row r="890" customFormat="false" ht="12" hidden="false" customHeight="false" outlineLevel="0" collapsed="false">
      <c r="A890" s="182" t="s">
        <v>2804</v>
      </c>
      <c r="B890" s="182" t="s">
        <v>2805</v>
      </c>
    </row>
    <row r="891" customFormat="false" ht="12" hidden="false" customHeight="false" outlineLevel="0" collapsed="false">
      <c r="A891" s="182" t="s">
        <v>2806</v>
      </c>
      <c r="B891" s="182" t="s">
        <v>2807</v>
      </c>
    </row>
    <row r="892" customFormat="false" ht="12" hidden="false" customHeight="false" outlineLevel="0" collapsed="false">
      <c r="A892" s="182" t="s">
        <v>2808</v>
      </c>
      <c r="B892" s="182" t="s">
        <v>2809</v>
      </c>
    </row>
    <row r="893" customFormat="false" ht="12" hidden="false" customHeight="false" outlineLevel="0" collapsed="false">
      <c r="A893" s="182" t="s">
        <v>2810</v>
      </c>
      <c r="B893" s="182" t="s">
        <v>2811</v>
      </c>
    </row>
    <row r="894" customFormat="false" ht="12" hidden="false" customHeight="false" outlineLevel="0" collapsed="false">
      <c r="A894" s="182" t="s">
        <v>2812</v>
      </c>
      <c r="B894" s="182" t="s">
        <v>2813</v>
      </c>
    </row>
    <row r="895" customFormat="false" ht="12" hidden="false" customHeight="false" outlineLevel="0" collapsed="false">
      <c r="A895" s="182" t="s">
        <v>2814</v>
      </c>
      <c r="B895" s="182" t="s">
        <v>2815</v>
      </c>
    </row>
    <row r="896" customFormat="false" ht="12" hidden="false" customHeight="false" outlineLevel="0" collapsed="false">
      <c r="A896" s="182" t="s">
        <v>2816</v>
      </c>
      <c r="B896" s="182" t="s">
        <v>2817</v>
      </c>
    </row>
    <row r="897" customFormat="false" ht="12" hidden="false" customHeight="false" outlineLevel="0" collapsed="false">
      <c r="A897" s="182" t="s">
        <v>2818</v>
      </c>
      <c r="B897" s="182" t="s">
        <v>2819</v>
      </c>
    </row>
    <row r="898" customFormat="false" ht="12" hidden="false" customHeight="false" outlineLevel="0" collapsed="false">
      <c r="A898" s="182" t="s">
        <v>2820</v>
      </c>
      <c r="B898" s="182" t="s">
        <v>2821</v>
      </c>
    </row>
    <row r="899" customFormat="false" ht="12" hidden="false" customHeight="false" outlineLevel="0" collapsed="false">
      <c r="A899" s="182" t="s">
        <v>2822</v>
      </c>
      <c r="B899" s="182" t="s">
        <v>2823</v>
      </c>
    </row>
    <row r="900" customFormat="false" ht="12" hidden="false" customHeight="false" outlineLevel="0" collapsed="false">
      <c r="A900" s="182" t="s">
        <v>2824</v>
      </c>
      <c r="B900" s="182" t="s">
        <v>2825</v>
      </c>
    </row>
    <row r="901" customFormat="false" ht="12" hidden="false" customHeight="false" outlineLevel="0" collapsed="false">
      <c r="A901" s="182" t="s">
        <v>2826</v>
      </c>
      <c r="B901" s="182" t="s">
        <v>2827</v>
      </c>
    </row>
    <row r="902" customFormat="false" ht="12" hidden="false" customHeight="false" outlineLevel="0" collapsed="false">
      <c r="A902" s="182" t="s">
        <v>2828</v>
      </c>
      <c r="B902" s="182" t="s">
        <v>2829</v>
      </c>
    </row>
    <row r="903" customFormat="false" ht="12" hidden="false" customHeight="false" outlineLevel="0" collapsed="false">
      <c r="A903" s="182" t="s">
        <v>2830</v>
      </c>
      <c r="B903" s="182" t="s">
        <v>2831</v>
      </c>
    </row>
    <row r="904" customFormat="false" ht="12" hidden="false" customHeight="false" outlineLevel="0" collapsed="false">
      <c r="A904" s="182" t="s">
        <v>2832</v>
      </c>
      <c r="B904" s="182" t="s">
        <v>2833</v>
      </c>
    </row>
    <row r="905" customFormat="false" ht="12" hidden="false" customHeight="false" outlineLevel="0" collapsed="false">
      <c r="A905" s="182" t="s">
        <v>2834</v>
      </c>
      <c r="B905" s="182" t="s">
        <v>2835</v>
      </c>
    </row>
    <row r="906" customFormat="false" ht="12" hidden="false" customHeight="false" outlineLevel="0" collapsed="false">
      <c r="A906" s="182" t="s">
        <v>2836</v>
      </c>
      <c r="B906" s="182" t="s">
        <v>2837</v>
      </c>
    </row>
    <row r="907" customFormat="false" ht="12" hidden="false" customHeight="false" outlineLevel="0" collapsed="false">
      <c r="A907" s="182" t="s">
        <v>2838</v>
      </c>
      <c r="B907" s="182" t="s">
        <v>2839</v>
      </c>
    </row>
    <row r="908" customFormat="false" ht="12" hidden="false" customHeight="false" outlineLevel="0" collapsed="false">
      <c r="A908" s="182" t="s">
        <v>2840</v>
      </c>
      <c r="B908" s="182" t="s">
        <v>2841</v>
      </c>
    </row>
    <row r="909" customFormat="false" ht="12" hidden="false" customHeight="false" outlineLevel="0" collapsed="false">
      <c r="A909" s="182" t="s">
        <v>2842</v>
      </c>
      <c r="B909" s="182" t="s">
        <v>2843</v>
      </c>
    </row>
    <row r="910" customFormat="false" ht="12" hidden="false" customHeight="false" outlineLevel="0" collapsed="false">
      <c r="A910" s="182" t="s">
        <v>2844</v>
      </c>
      <c r="B910" s="182" t="s">
        <v>2845</v>
      </c>
    </row>
    <row r="911" customFormat="false" ht="12" hidden="false" customHeight="false" outlineLevel="0" collapsed="false">
      <c r="A911" s="182" t="s">
        <v>2846</v>
      </c>
      <c r="B911" s="182" t="s">
        <v>2847</v>
      </c>
    </row>
    <row r="912" customFormat="false" ht="12" hidden="false" customHeight="false" outlineLevel="0" collapsed="false">
      <c r="A912" s="182" t="s">
        <v>2848</v>
      </c>
      <c r="B912" s="182" t="s">
        <v>2849</v>
      </c>
    </row>
    <row r="913" customFormat="false" ht="12" hidden="false" customHeight="false" outlineLevel="0" collapsed="false">
      <c r="A913" s="182" t="s">
        <v>2850</v>
      </c>
      <c r="B913" s="182" t="s">
        <v>2851</v>
      </c>
    </row>
    <row r="914" customFormat="false" ht="12" hidden="false" customHeight="false" outlineLevel="0" collapsed="false">
      <c r="A914" s="182" t="s">
        <v>2852</v>
      </c>
      <c r="B914" s="182" t="s">
        <v>2853</v>
      </c>
    </row>
    <row r="915" customFormat="false" ht="12" hidden="false" customHeight="false" outlineLevel="0" collapsed="false">
      <c r="A915" s="182" t="s">
        <v>2854</v>
      </c>
      <c r="B915" s="182" t="s">
        <v>2855</v>
      </c>
    </row>
    <row r="916" customFormat="false" ht="12" hidden="false" customHeight="false" outlineLevel="0" collapsed="false">
      <c r="A916" s="182" t="s">
        <v>2856</v>
      </c>
      <c r="B916" s="182" t="s">
        <v>2857</v>
      </c>
    </row>
    <row r="917" customFormat="false" ht="12" hidden="false" customHeight="false" outlineLevel="0" collapsed="false">
      <c r="A917" s="182" t="s">
        <v>2858</v>
      </c>
      <c r="B917" s="182" t="s">
        <v>2859</v>
      </c>
    </row>
    <row r="918" customFormat="false" ht="12" hidden="false" customHeight="false" outlineLevel="0" collapsed="false">
      <c r="A918" s="182" t="s">
        <v>2860</v>
      </c>
      <c r="B918" s="182" t="s">
        <v>2861</v>
      </c>
    </row>
    <row r="919" customFormat="false" ht="12" hidden="false" customHeight="false" outlineLevel="0" collapsed="false">
      <c r="A919" s="182" t="s">
        <v>2862</v>
      </c>
      <c r="B919" s="182" t="s">
        <v>2863</v>
      </c>
    </row>
    <row r="920" customFormat="false" ht="12" hidden="false" customHeight="false" outlineLevel="0" collapsed="false">
      <c r="A920" s="182" t="s">
        <v>2864</v>
      </c>
      <c r="B920" s="182" t="s">
        <v>2865</v>
      </c>
    </row>
    <row r="921" customFormat="false" ht="12" hidden="false" customHeight="false" outlineLevel="0" collapsed="false">
      <c r="A921" s="182" t="s">
        <v>2866</v>
      </c>
      <c r="B921" s="182" t="s">
        <v>2867</v>
      </c>
    </row>
    <row r="922" customFormat="false" ht="12" hidden="false" customHeight="false" outlineLevel="0" collapsed="false">
      <c r="A922" s="182" t="s">
        <v>2868</v>
      </c>
      <c r="B922" s="182" t="s">
        <v>2869</v>
      </c>
    </row>
    <row r="923" customFormat="false" ht="12" hidden="false" customHeight="false" outlineLevel="0" collapsed="false">
      <c r="A923" s="182" t="s">
        <v>2870</v>
      </c>
      <c r="B923" s="182" t="s">
        <v>2871</v>
      </c>
    </row>
    <row r="924" customFormat="false" ht="12" hidden="false" customHeight="false" outlineLevel="0" collapsed="false">
      <c r="A924" s="182" t="s">
        <v>2872</v>
      </c>
      <c r="B924" s="182" t="s">
        <v>2873</v>
      </c>
    </row>
    <row r="925" customFormat="false" ht="12" hidden="false" customHeight="false" outlineLevel="0" collapsed="false">
      <c r="A925" s="182" t="s">
        <v>2874</v>
      </c>
      <c r="B925" s="182" t="s">
        <v>2875</v>
      </c>
    </row>
    <row r="926" customFormat="false" ht="12" hidden="false" customHeight="false" outlineLevel="0" collapsed="false">
      <c r="A926" s="182" t="s">
        <v>2876</v>
      </c>
      <c r="B926" s="182" t="s">
        <v>2877</v>
      </c>
    </row>
    <row r="927" customFormat="false" ht="12" hidden="false" customHeight="false" outlineLevel="0" collapsed="false">
      <c r="A927" s="182" t="s">
        <v>2878</v>
      </c>
      <c r="B927" s="182" t="s">
        <v>2879</v>
      </c>
    </row>
    <row r="928" customFormat="false" ht="12" hidden="false" customHeight="false" outlineLevel="0" collapsed="false">
      <c r="A928" s="182" t="s">
        <v>2880</v>
      </c>
      <c r="B928" s="182" t="s">
        <v>2881</v>
      </c>
    </row>
    <row r="929" customFormat="false" ht="12" hidden="false" customHeight="false" outlineLevel="0" collapsed="false">
      <c r="A929" s="182" t="s">
        <v>2882</v>
      </c>
      <c r="B929" s="182" t="s">
        <v>2883</v>
      </c>
    </row>
    <row r="930" customFormat="false" ht="12" hidden="false" customHeight="false" outlineLevel="0" collapsed="false">
      <c r="A930" s="182" t="s">
        <v>2884</v>
      </c>
      <c r="B930" s="182" t="s">
        <v>2885</v>
      </c>
    </row>
    <row r="931" customFormat="false" ht="12" hidden="false" customHeight="false" outlineLevel="0" collapsed="false">
      <c r="A931" s="182" t="s">
        <v>2886</v>
      </c>
      <c r="B931" s="182" t="s">
        <v>2887</v>
      </c>
    </row>
    <row r="932" customFormat="false" ht="12" hidden="false" customHeight="false" outlineLevel="0" collapsed="false">
      <c r="A932" s="182" t="s">
        <v>2888</v>
      </c>
      <c r="B932" s="182" t="s">
        <v>2889</v>
      </c>
    </row>
    <row r="933" customFormat="false" ht="12" hidden="false" customHeight="false" outlineLevel="0" collapsed="false">
      <c r="A933" s="182" t="s">
        <v>2890</v>
      </c>
      <c r="B933" s="182" t="s">
        <v>2891</v>
      </c>
    </row>
    <row r="934" customFormat="false" ht="12" hidden="false" customHeight="false" outlineLevel="0" collapsed="false">
      <c r="A934" s="182" t="s">
        <v>2892</v>
      </c>
      <c r="B934" s="182" t="s">
        <v>2893</v>
      </c>
    </row>
    <row r="935" customFormat="false" ht="12" hidden="false" customHeight="false" outlineLevel="0" collapsed="false">
      <c r="A935" s="182" t="s">
        <v>2894</v>
      </c>
      <c r="B935" s="182" t="s">
        <v>2895</v>
      </c>
    </row>
    <row r="936" customFormat="false" ht="12" hidden="false" customHeight="false" outlineLevel="0" collapsed="false">
      <c r="A936" s="182" t="s">
        <v>2896</v>
      </c>
      <c r="B936" s="182" t="s">
        <v>2897</v>
      </c>
    </row>
    <row r="937" customFormat="false" ht="12" hidden="false" customHeight="false" outlineLevel="0" collapsed="false">
      <c r="A937" s="182" t="s">
        <v>2898</v>
      </c>
      <c r="B937" s="182" t="s">
        <v>2899</v>
      </c>
    </row>
    <row r="938" customFormat="false" ht="12" hidden="false" customHeight="false" outlineLevel="0" collapsed="false">
      <c r="A938" s="182" t="s">
        <v>2900</v>
      </c>
      <c r="B938" s="182" t="s">
        <v>2901</v>
      </c>
    </row>
    <row r="939" customFormat="false" ht="12" hidden="false" customHeight="false" outlineLevel="0" collapsed="false">
      <c r="A939" s="182" t="s">
        <v>2902</v>
      </c>
      <c r="B939" s="182" t="s">
        <v>2903</v>
      </c>
    </row>
    <row r="940" customFormat="false" ht="12" hidden="false" customHeight="false" outlineLevel="0" collapsed="false">
      <c r="A940" s="182" t="s">
        <v>2904</v>
      </c>
      <c r="B940" s="182" t="s">
        <v>2905</v>
      </c>
    </row>
    <row r="941" customFormat="false" ht="12" hidden="false" customHeight="false" outlineLevel="0" collapsed="false">
      <c r="A941" s="182" t="s">
        <v>2906</v>
      </c>
      <c r="B941" s="182" t="s">
        <v>2907</v>
      </c>
    </row>
    <row r="942" customFormat="false" ht="12" hidden="false" customHeight="false" outlineLevel="0" collapsed="false">
      <c r="A942" s="182" t="s">
        <v>2908</v>
      </c>
      <c r="B942" s="182" t="s">
        <v>2909</v>
      </c>
    </row>
    <row r="943" customFormat="false" ht="12" hidden="false" customHeight="false" outlineLevel="0" collapsed="false">
      <c r="A943" s="182" t="s">
        <v>2910</v>
      </c>
      <c r="B943" s="182" t="s">
        <v>2911</v>
      </c>
    </row>
    <row r="944" customFormat="false" ht="12" hidden="false" customHeight="false" outlineLevel="0" collapsed="false">
      <c r="A944" s="182" t="s">
        <v>2912</v>
      </c>
      <c r="B944" s="182" t="s">
        <v>2913</v>
      </c>
    </row>
    <row r="945" customFormat="false" ht="12" hidden="false" customHeight="false" outlineLevel="0" collapsed="false">
      <c r="A945" s="182" t="s">
        <v>2914</v>
      </c>
      <c r="B945" s="182" t="s">
        <v>2915</v>
      </c>
    </row>
    <row r="946" customFormat="false" ht="12" hidden="false" customHeight="false" outlineLevel="0" collapsed="false">
      <c r="A946" s="182" t="s">
        <v>2916</v>
      </c>
      <c r="B946" s="182" t="s">
        <v>2917</v>
      </c>
    </row>
    <row r="947" customFormat="false" ht="12" hidden="false" customHeight="false" outlineLevel="0" collapsed="false">
      <c r="A947" s="182" t="s">
        <v>2918</v>
      </c>
      <c r="B947" s="182" t="s">
        <v>2919</v>
      </c>
    </row>
    <row r="948" customFormat="false" ht="12" hidden="false" customHeight="false" outlineLevel="0" collapsed="false">
      <c r="A948" s="182" t="s">
        <v>2920</v>
      </c>
      <c r="B948" s="182" t="s">
        <v>2921</v>
      </c>
    </row>
    <row r="949" customFormat="false" ht="12" hidden="false" customHeight="false" outlineLevel="0" collapsed="false">
      <c r="A949" s="182" t="s">
        <v>2922</v>
      </c>
      <c r="B949" s="182" t="s">
        <v>2923</v>
      </c>
    </row>
    <row r="950" customFormat="false" ht="12" hidden="false" customHeight="false" outlineLevel="0" collapsed="false">
      <c r="A950" s="182" t="s">
        <v>2924</v>
      </c>
      <c r="B950" s="182" t="s">
        <v>2925</v>
      </c>
    </row>
    <row r="951" customFormat="false" ht="12" hidden="false" customHeight="false" outlineLevel="0" collapsed="false">
      <c r="A951" s="182" t="s">
        <v>2926</v>
      </c>
      <c r="B951" s="182" t="s">
        <v>2927</v>
      </c>
    </row>
    <row r="952" customFormat="false" ht="12" hidden="false" customHeight="false" outlineLevel="0" collapsed="false">
      <c r="A952" s="182" t="s">
        <v>2928</v>
      </c>
      <c r="B952" s="182" t="s">
        <v>2929</v>
      </c>
    </row>
    <row r="953" customFormat="false" ht="12" hidden="false" customHeight="false" outlineLevel="0" collapsed="false">
      <c r="A953" s="182" t="s">
        <v>2930</v>
      </c>
      <c r="B953" s="182" t="s">
        <v>2931</v>
      </c>
    </row>
    <row r="954" customFormat="false" ht="12" hidden="false" customHeight="false" outlineLevel="0" collapsed="false">
      <c r="A954" s="182" t="s">
        <v>2932</v>
      </c>
      <c r="B954" s="182" t="s">
        <v>2933</v>
      </c>
    </row>
    <row r="955" customFormat="false" ht="12" hidden="false" customHeight="false" outlineLevel="0" collapsed="false">
      <c r="A955" s="182" t="s">
        <v>2934</v>
      </c>
      <c r="B955" s="182" t="s">
        <v>2935</v>
      </c>
    </row>
    <row r="956" customFormat="false" ht="12" hidden="false" customHeight="false" outlineLevel="0" collapsed="false">
      <c r="A956" s="182" t="s">
        <v>2936</v>
      </c>
      <c r="B956" s="182" t="s">
        <v>2937</v>
      </c>
    </row>
    <row r="957" customFormat="false" ht="12" hidden="false" customHeight="false" outlineLevel="0" collapsed="false">
      <c r="A957" s="182" t="s">
        <v>2938</v>
      </c>
      <c r="B957" s="182" t="s">
        <v>2939</v>
      </c>
    </row>
    <row r="958" customFormat="false" ht="12" hidden="false" customHeight="false" outlineLevel="0" collapsed="false">
      <c r="A958" s="182" t="s">
        <v>2940</v>
      </c>
      <c r="B958" s="182" t="s">
        <v>2941</v>
      </c>
    </row>
    <row r="959" customFormat="false" ht="12" hidden="false" customHeight="false" outlineLevel="0" collapsed="false">
      <c r="A959" s="182" t="s">
        <v>2942</v>
      </c>
      <c r="B959" s="182" t="s">
        <v>2943</v>
      </c>
    </row>
    <row r="960" customFormat="false" ht="12" hidden="false" customHeight="false" outlineLevel="0" collapsed="false">
      <c r="A960" s="182" t="s">
        <v>2944</v>
      </c>
      <c r="B960" s="182" t="s">
        <v>2945</v>
      </c>
    </row>
    <row r="961" customFormat="false" ht="12" hidden="false" customHeight="false" outlineLevel="0" collapsed="false">
      <c r="A961" s="182" t="s">
        <v>2946</v>
      </c>
      <c r="B961" s="182" t="s">
        <v>2947</v>
      </c>
    </row>
    <row r="962" customFormat="false" ht="12" hidden="false" customHeight="false" outlineLevel="0" collapsed="false">
      <c r="A962" s="182" t="s">
        <v>2948</v>
      </c>
      <c r="B962" s="182" t="s">
        <v>2949</v>
      </c>
    </row>
    <row r="963" customFormat="false" ht="12" hidden="false" customHeight="false" outlineLevel="0" collapsed="false">
      <c r="A963" s="182" t="s">
        <v>2950</v>
      </c>
      <c r="B963" s="182" t="s">
        <v>2951</v>
      </c>
    </row>
    <row r="964" customFormat="false" ht="12" hidden="false" customHeight="false" outlineLevel="0" collapsed="false">
      <c r="A964" s="182" t="s">
        <v>2952</v>
      </c>
      <c r="B964" s="182" t="s">
        <v>2953</v>
      </c>
    </row>
    <row r="965" customFormat="false" ht="12" hidden="false" customHeight="false" outlineLevel="0" collapsed="false">
      <c r="A965" s="182" t="s">
        <v>2954</v>
      </c>
      <c r="B965" s="182" t="s">
        <v>2955</v>
      </c>
    </row>
    <row r="966" customFormat="false" ht="12" hidden="false" customHeight="false" outlineLevel="0" collapsed="false">
      <c r="A966" s="182" t="s">
        <v>2956</v>
      </c>
      <c r="B966" s="182" t="s">
        <v>789</v>
      </c>
    </row>
    <row r="967" customFormat="false" ht="12" hidden="false" customHeight="false" outlineLevel="0" collapsed="false">
      <c r="A967" s="182" t="s">
        <v>2957</v>
      </c>
      <c r="B967" s="182" t="s">
        <v>2958</v>
      </c>
    </row>
    <row r="968" customFormat="false" ht="12" hidden="false" customHeight="false" outlineLevel="0" collapsed="false">
      <c r="A968" s="182" t="s">
        <v>2959</v>
      </c>
      <c r="B968" s="182" t="s">
        <v>2960</v>
      </c>
    </row>
    <row r="969" customFormat="false" ht="12" hidden="false" customHeight="false" outlineLevel="0" collapsed="false">
      <c r="A969" s="182" t="s">
        <v>2961</v>
      </c>
      <c r="B969" s="182" t="s">
        <v>2962</v>
      </c>
    </row>
    <row r="970" customFormat="false" ht="12" hidden="false" customHeight="false" outlineLevel="0" collapsed="false">
      <c r="A970" s="182" t="s">
        <v>2963</v>
      </c>
      <c r="B970" s="182" t="s">
        <v>2964</v>
      </c>
    </row>
    <row r="971" customFormat="false" ht="12" hidden="false" customHeight="false" outlineLevel="0" collapsed="false">
      <c r="A971" s="182" t="s">
        <v>2965</v>
      </c>
      <c r="B971" s="182" t="s">
        <v>2966</v>
      </c>
    </row>
    <row r="972" customFormat="false" ht="12" hidden="false" customHeight="false" outlineLevel="0" collapsed="false">
      <c r="A972" s="182" t="s">
        <v>2967</v>
      </c>
      <c r="B972" s="182" t="s">
        <v>2968</v>
      </c>
    </row>
    <row r="973" customFormat="false" ht="12" hidden="false" customHeight="false" outlineLevel="0" collapsed="false">
      <c r="A973" s="182" t="s">
        <v>2969</v>
      </c>
      <c r="B973" s="182" t="s">
        <v>2970</v>
      </c>
    </row>
    <row r="974" customFormat="false" ht="12" hidden="false" customHeight="false" outlineLevel="0" collapsed="false">
      <c r="A974" s="182" t="s">
        <v>2971</v>
      </c>
      <c r="B974" s="182" t="s">
        <v>2972</v>
      </c>
    </row>
    <row r="975" customFormat="false" ht="12" hidden="false" customHeight="false" outlineLevel="0" collapsed="false">
      <c r="A975" s="182" t="s">
        <v>2973</v>
      </c>
      <c r="B975" s="182" t="s">
        <v>2974</v>
      </c>
    </row>
    <row r="976" customFormat="false" ht="12" hidden="false" customHeight="false" outlineLevel="0" collapsed="false">
      <c r="A976" s="182" t="s">
        <v>2975</v>
      </c>
      <c r="B976" s="182" t="s">
        <v>2976</v>
      </c>
    </row>
    <row r="977" customFormat="false" ht="12" hidden="false" customHeight="false" outlineLevel="0" collapsed="false">
      <c r="A977" s="182" t="s">
        <v>2977</v>
      </c>
      <c r="B977" s="182" t="s">
        <v>2978</v>
      </c>
    </row>
    <row r="978" customFormat="false" ht="12" hidden="false" customHeight="false" outlineLevel="0" collapsed="false">
      <c r="A978" s="182" t="s">
        <v>2979</v>
      </c>
      <c r="B978" s="182" t="s">
        <v>2980</v>
      </c>
    </row>
    <row r="979" customFormat="false" ht="12" hidden="false" customHeight="false" outlineLevel="0" collapsed="false">
      <c r="A979" s="182" t="s">
        <v>2981</v>
      </c>
      <c r="B979" s="182" t="s">
        <v>2982</v>
      </c>
    </row>
    <row r="980" customFormat="false" ht="12" hidden="false" customHeight="false" outlineLevel="0" collapsed="false">
      <c r="A980" s="182" t="s">
        <v>2983</v>
      </c>
      <c r="B980" s="182" t="s">
        <v>2984</v>
      </c>
    </row>
    <row r="981" customFormat="false" ht="12" hidden="false" customHeight="false" outlineLevel="0" collapsed="false">
      <c r="A981" s="182" t="s">
        <v>2985</v>
      </c>
      <c r="B981" s="182" t="s">
        <v>2986</v>
      </c>
    </row>
    <row r="982" customFormat="false" ht="12" hidden="false" customHeight="false" outlineLevel="0" collapsed="false">
      <c r="A982" s="182" t="s">
        <v>2987</v>
      </c>
      <c r="B982" s="182" t="s">
        <v>2988</v>
      </c>
    </row>
    <row r="983" customFormat="false" ht="12" hidden="false" customHeight="false" outlineLevel="0" collapsed="false">
      <c r="A983" s="182" t="s">
        <v>2989</v>
      </c>
      <c r="B983" s="182" t="s">
        <v>2990</v>
      </c>
    </row>
    <row r="984" customFormat="false" ht="12" hidden="false" customHeight="false" outlineLevel="0" collapsed="false">
      <c r="A984" s="182" t="s">
        <v>2991</v>
      </c>
      <c r="B984" s="182" t="s">
        <v>2992</v>
      </c>
    </row>
    <row r="985" customFormat="false" ht="12" hidden="false" customHeight="false" outlineLevel="0" collapsed="false">
      <c r="A985" s="182" t="s">
        <v>2993</v>
      </c>
      <c r="B985" s="182" t="s">
        <v>2994</v>
      </c>
    </row>
    <row r="986" customFormat="false" ht="12" hidden="false" customHeight="false" outlineLevel="0" collapsed="false">
      <c r="A986" s="182" t="s">
        <v>2995</v>
      </c>
      <c r="B986" s="182" t="s">
        <v>2996</v>
      </c>
    </row>
    <row r="987" customFormat="false" ht="12" hidden="false" customHeight="false" outlineLevel="0" collapsed="false">
      <c r="A987" s="182" t="s">
        <v>2997</v>
      </c>
      <c r="B987" s="182" t="s">
        <v>2998</v>
      </c>
    </row>
    <row r="988" customFormat="false" ht="12" hidden="false" customHeight="false" outlineLevel="0" collapsed="false">
      <c r="A988" s="182" t="s">
        <v>2999</v>
      </c>
      <c r="B988" s="182" t="s">
        <v>3000</v>
      </c>
    </row>
    <row r="989" customFormat="false" ht="12" hidden="false" customHeight="false" outlineLevel="0" collapsed="false">
      <c r="A989" s="182" t="s">
        <v>3001</v>
      </c>
      <c r="B989" s="182" t="s">
        <v>3002</v>
      </c>
    </row>
    <row r="990" customFormat="false" ht="12" hidden="false" customHeight="false" outlineLevel="0" collapsed="false">
      <c r="A990" s="182" t="s">
        <v>3003</v>
      </c>
      <c r="B990" s="182" t="s">
        <v>3004</v>
      </c>
    </row>
    <row r="991" customFormat="false" ht="12" hidden="false" customHeight="false" outlineLevel="0" collapsed="false">
      <c r="A991" s="182" t="s">
        <v>3005</v>
      </c>
      <c r="B991" s="182" t="s">
        <v>794</v>
      </c>
    </row>
    <row r="992" customFormat="false" ht="12" hidden="false" customHeight="false" outlineLevel="0" collapsed="false">
      <c r="A992" s="182" t="s">
        <v>3006</v>
      </c>
      <c r="B992" s="182" t="s">
        <v>3007</v>
      </c>
    </row>
    <row r="993" customFormat="false" ht="12" hidden="false" customHeight="false" outlineLevel="0" collapsed="false">
      <c r="A993" s="182" t="s">
        <v>3008</v>
      </c>
      <c r="B993" s="182" t="s">
        <v>3009</v>
      </c>
    </row>
    <row r="994" customFormat="false" ht="12" hidden="false" customHeight="false" outlineLevel="0" collapsed="false">
      <c r="A994" s="182" t="s">
        <v>3010</v>
      </c>
      <c r="B994" s="182" t="s">
        <v>3011</v>
      </c>
    </row>
    <row r="995" customFormat="false" ht="12" hidden="false" customHeight="false" outlineLevel="0" collapsed="false">
      <c r="A995" s="182" t="s">
        <v>3012</v>
      </c>
      <c r="B995" s="182" t="s">
        <v>3013</v>
      </c>
    </row>
    <row r="996" customFormat="false" ht="12" hidden="false" customHeight="false" outlineLevel="0" collapsed="false">
      <c r="A996" s="182" t="s">
        <v>3014</v>
      </c>
      <c r="B996" s="182" t="s">
        <v>3015</v>
      </c>
    </row>
    <row r="997" customFormat="false" ht="12" hidden="false" customHeight="false" outlineLevel="0" collapsed="false">
      <c r="A997" s="182" t="s">
        <v>3016</v>
      </c>
      <c r="B997" s="182" t="s">
        <v>3017</v>
      </c>
    </row>
    <row r="998" customFormat="false" ht="12" hidden="false" customHeight="false" outlineLevel="0" collapsed="false">
      <c r="A998" s="182" t="s">
        <v>3018</v>
      </c>
      <c r="B998" s="182" t="s">
        <v>3019</v>
      </c>
    </row>
    <row r="999" customFormat="false" ht="12" hidden="false" customHeight="false" outlineLevel="0" collapsed="false">
      <c r="A999" s="182" t="s">
        <v>3020</v>
      </c>
      <c r="B999" s="182" t="s">
        <v>3021</v>
      </c>
    </row>
    <row r="1000" customFormat="false" ht="12" hidden="false" customHeight="false" outlineLevel="0" collapsed="false">
      <c r="A1000" s="182" t="s">
        <v>3022</v>
      </c>
      <c r="B1000" s="182" t="s">
        <v>3023</v>
      </c>
    </row>
    <row r="1001" customFormat="false" ht="12" hidden="false" customHeight="false" outlineLevel="0" collapsed="false">
      <c r="A1001" s="182" t="s">
        <v>3024</v>
      </c>
      <c r="B1001" s="182" t="s">
        <v>3025</v>
      </c>
    </row>
    <row r="1002" customFormat="false" ht="12" hidden="false" customHeight="false" outlineLevel="0" collapsed="false">
      <c r="A1002" s="182" t="s">
        <v>3026</v>
      </c>
      <c r="B1002" s="182" t="s">
        <v>3027</v>
      </c>
    </row>
    <row r="1003" customFormat="false" ht="12" hidden="false" customHeight="false" outlineLevel="0" collapsed="false">
      <c r="A1003" s="182" t="s">
        <v>3028</v>
      </c>
      <c r="B1003" s="182" t="s">
        <v>3029</v>
      </c>
    </row>
    <row r="1004" customFormat="false" ht="12" hidden="false" customHeight="false" outlineLevel="0" collapsed="false">
      <c r="A1004" s="182" t="s">
        <v>3030</v>
      </c>
      <c r="B1004" s="182" t="s">
        <v>3031</v>
      </c>
    </row>
    <row r="1005" customFormat="false" ht="12" hidden="false" customHeight="false" outlineLevel="0" collapsed="false">
      <c r="A1005" s="182" t="s">
        <v>3032</v>
      </c>
      <c r="B1005" s="182" t="s">
        <v>3033</v>
      </c>
    </row>
    <row r="1006" customFormat="false" ht="12" hidden="false" customHeight="false" outlineLevel="0" collapsed="false">
      <c r="A1006" s="182" t="s">
        <v>3034</v>
      </c>
      <c r="B1006" s="182" t="s">
        <v>3035</v>
      </c>
    </row>
    <row r="1007" customFormat="false" ht="12" hidden="false" customHeight="false" outlineLevel="0" collapsed="false">
      <c r="A1007" s="182" t="s">
        <v>3036</v>
      </c>
      <c r="B1007" s="182" t="s">
        <v>3037</v>
      </c>
    </row>
    <row r="1008" customFormat="false" ht="12" hidden="false" customHeight="false" outlineLevel="0" collapsed="false">
      <c r="A1008" s="182" t="s">
        <v>3038</v>
      </c>
      <c r="B1008" s="182" t="s">
        <v>3039</v>
      </c>
    </row>
    <row r="1009" customFormat="false" ht="12" hidden="false" customHeight="false" outlineLevel="0" collapsed="false">
      <c r="A1009" s="182" t="s">
        <v>3040</v>
      </c>
      <c r="B1009" s="182" t="s">
        <v>3041</v>
      </c>
    </row>
    <row r="1010" customFormat="false" ht="12" hidden="false" customHeight="false" outlineLevel="0" collapsed="false">
      <c r="A1010" s="182" t="s">
        <v>3042</v>
      </c>
      <c r="B1010" s="182" t="s">
        <v>3043</v>
      </c>
    </row>
    <row r="1011" customFormat="false" ht="12" hidden="false" customHeight="false" outlineLevel="0" collapsed="false">
      <c r="A1011" s="182" t="s">
        <v>3044</v>
      </c>
      <c r="B1011" s="182" t="s">
        <v>3045</v>
      </c>
    </row>
    <row r="1012" customFormat="false" ht="12" hidden="false" customHeight="false" outlineLevel="0" collapsed="false">
      <c r="A1012" s="182" t="s">
        <v>3046</v>
      </c>
      <c r="B1012" s="182" t="s">
        <v>3047</v>
      </c>
    </row>
    <row r="1013" customFormat="false" ht="12" hidden="false" customHeight="false" outlineLevel="0" collapsed="false">
      <c r="A1013" s="182" t="s">
        <v>3048</v>
      </c>
      <c r="B1013" s="182" t="s">
        <v>3049</v>
      </c>
    </row>
    <row r="1014" customFormat="false" ht="12" hidden="false" customHeight="false" outlineLevel="0" collapsed="false">
      <c r="A1014" s="182" t="s">
        <v>3050</v>
      </c>
      <c r="B1014" s="182" t="s">
        <v>3051</v>
      </c>
    </row>
    <row r="1015" customFormat="false" ht="12" hidden="false" customHeight="false" outlineLevel="0" collapsed="false">
      <c r="A1015" s="182" t="s">
        <v>3052</v>
      </c>
      <c r="B1015" s="182" t="s">
        <v>3053</v>
      </c>
    </row>
    <row r="1016" customFormat="false" ht="12" hidden="false" customHeight="false" outlineLevel="0" collapsed="false">
      <c r="A1016" s="182" t="s">
        <v>3054</v>
      </c>
      <c r="B1016" s="182" t="s">
        <v>3055</v>
      </c>
    </row>
    <row r="1017" customFormat="false" ht="12" hidden="false" customHeight="false" outlineLevel="0" collapsed="false">
      <c r="A1017" s="182" t="s">
        <v>3056</v>
      </c>
      <c r="B1017" s="182" t="s">
        <v>3057</v>
      </c>
    </row>
    <row r="1018" customFormat="false" ht="12" hidden="false" customHeight="false" outlineLevel="0" collapsed="false">
      <c r="A1018" s="182" t="s">
        <v>3058</v>
      </c>
      <c r="B1018" s="182" t="s">
        <v>3059</v>
      </c>
    </row>
    <row r="1019" customFormat="false" ht="12" hidden="false" customHeight="false" outlineLevel="0" collapsed="false">
      <c r="A1019" s="182" t="s">
        <v>3060</v>
      </c>
      <c r="B1019" s="182" t="s">
        <v>3061</v>
      </c>
    </row>
    <row r="1020" customFormat="false" ht="12" hidden="false" customHeight="false" outlineLevel="0" collapsed="false">
      <c r="A1020" s="182" t="s">
        <v>3062</v>
      </c>
      <c r="B1020" s="182" t="s">
        <v>3063</v>
      </c>
    </row>
    <row r="1021" customFormat="false" ht="12" hidden="false" customHeight="false" outlineLevel="0" collapsed="false">
      <c r="A1021" s="182" t="s">
        <v>3064</v>
      </c>
      <c r="B1021" s="182" t="s">
        <v>3065</v>
      </c>
    </row>
    <row r="1022" customFormat="false" ht="12" hidden="false" customHeight="false" outlineLevel="0" collapsed="false">
      <c r="A1022" s="182" t="s">
        <v>3066</v>
      </c>
      <c r="B1022" s="182" t="s">
        <v>3067</v>
      </c>
    </row>
    <row r="1023" customFormat="false" ht="12" hidden="false" customHeight="false" outlineLevel="0" collapsed="false">
      <c r="A1023" s="182" t="s">
        <v>3068</v>
      </c>
      <c r="B1023" s="182" t="s">
        <v>3069</v>
      </c>
    </row>
    <row r="1024" customFormat="false" ht="12" hidden="false" customHeight="false" outlineLevel="0" collapsed="false">
      <c r="A1024" s="182" t="s">
        <v>3070</v>
      </c>
      <c r="B1024" s="182" t="s">
        <v>3071</v>
      </c>
    </row>
    <row r="1025" customFormat="false" ht="12" hidden="false" customHeight="false" outlineLevel="0" collapsed="false">
      <c r="A1025" s="182" t="s">
        <v>3072</v>
      </c>
      <c r="B1025" s="182" t="s">
        <v>3073</v>
      </c>
    </row>
    <row r="1026" customFormat="false" ht="12" hidden="false" customHeight="false" outlineLevel="0" collapsed="false">
      <c r="A1026" s="182" t="s">
        <v>3074</v>
      </c>
      <c r="B1026" s="182" t="s">
        <v>3075</v>
      </c>
    </row>
    <row r="1027" customFormat="false" ht="12" hidden="false" customHeight="false" outlineLevel="0" collapsed="false">
      <c r="A1027" s="182" t="s">
        <v>3076</v>
      </c>
      <c r="B1027" s="182" t="s">
        <v>3077</v>
      </c>
    </row>
    <row r="1028" customFormat="false" ht="12" hidden="false" customHeight="false" outlineLevel="0" collapsed="false">
      <c r="A1028" s="182" t="s">
        <v>3078</v>
      </c>
      <c r="B1028" s="182" t="s">
        <v>3079</v>
      </c>
    </row>
    <row r="1029" customFormat="false" ht="12" hidden="false" customHeight="false" outlineLevel="0" collapsed="false">
      <c r="A1029" s="182" t="s">
        <v>3080</v>
      </c>
      <c r="B1029" s="182" t="s">
        <v>3081</v>
      </c>
    </row>
    <row r="1030" customFormat="false" ht="12" hidden="false" customHeight="false" outlineLevel="0" collapsed="false">
      <c r="A1030" s="182" t="s">
        <v>3082</v>
      </c>
      <c r="B1030" s="182" t="s">
        <v>3083</v>
      </c>
    </row>
    <row r="1031" customFormat="false" ht="12" hidden="false" customHeight="false" outlineLevel="0" collapsed="false">
      <c r="A1031" s="182" t="s">
        <v>3084</v>
      </c>
      <c r="B1031" s="182" t="s">
        <v>3085</v>
      </c>
    </row>
    <row r="1032" customFormat="false" ht="12" hidden="false" customHeight="false" outlineLevel="0" collapsed="false">
      <c r="A1032" s="182" t="s">
        <v>3086</v>
      </c>
      <c r="B1032" s="182" t="s">
        <v>3087</v>
      </c>
    </row>
    <row r="1033" customFormat="false" ht="12" hidden="false" customHeight="false" outlineLevel="0" collapsed="false">
      <c r="A1033" s="182" t="s">
        <v>3088</v>
      </c>
      <c r="B1033" s="182" t="s">
        <v>3089</v>
      </c>
    </row>
    <row r="1034" customFormat="false" ht="12" hidden="false" customHeight="false" outlineLevel="0" collapsed="false">
      <c r="A1034" s="182" t="s">
        <v>3090</v>
      </c>
      <c r="B1034" s="182" t="s">
        <v>3091</v>
      </c>
    </row>
    <row r="1035" customFormat="false" ht="12" hidden="false" customHeight="false" outlineLevel="0" collapsed="false">
      <c r="A1035" s="182" t="s">
        <v>3092</v>
      </c>
      <c r="B1035" s="182" t="s">
        <v>3093</v>
      </c>
    </row>
    <row r="1036" customFormat="false" ht="12" hidden="false" customHeight="false" outlineLevel="0" collapsed="false">
      <c r="A1036" s="182" t="s">
        <v>3094</v>
      </c>
      <c r="B1036" s="182" t="s">
        <v>3095</v>
      </c>
    </row>
    <row r="1037" customFormat="false" ht="12" hidden="false" customHeight="false" outlineLevel="0" collapsed="false">
      <c r="A1037" s="182" t="s">
        <v>3096</v>
      </c>
      <c r="B1037" s="182" t="s">
        <v>3097</v>
      </c>
    </row>
    <row r="1038" customFormat="false" ht="12" hidden="false" customHeight="false" outlineLevel="0" collapsed="false">
      <c r="A1038" s="182" t="s">
        <v>3098</v>
      </c>
      <c r="B1038" s="182" t="s">
        <v>3099</v>
      </c>
    </row>
    <row r="1039" customFormat="false" ht="12" hidden="false" customHeight="false" outlineLevel="0" collapsed="false">
      <c r="A1039" s="182" t="s">
        <v>3100</v>
      </c>
      <c r="B1039" s="182" t="s">
        <v>3101</v>
      </c>
    </row>
    <row r="1040" customFormat="false" ht="12" hidden="false" customHeight="false" outlineLevel="0" collapsed="false">
      <c r="A1040" s="182" t="s">
        <v>3102</v>
      </c>
      <c r="B1040" s="182" t="s">
        <v>3103</v>
      </c>
    </row>
    <row r="1041" customFormat="false" ht="12" hidden="false" customHeight="false" outlineLevel="0" collapsed="false">
      <c r="A1041" s="182" t="s">
        <v>3104</v>
      </c>
      <c r="B1041" s="182" t="s">
        <v>3105</v>
      </c>
    </row>
    <row r="1042" customFormat="false" ht="12" hidden="false" customHeight="false" outlineLevel="0" collapsed="false">
      <c r="A1042" s="182" t="s">
        <v>3106</v>
      </c>
      <c r="B1042" s="182" t="s">
        <v>3107</v>
      </c>
    </row>
    <row r="1043" customFormat="false" ht="12" hidden="false" customHeight="false" outlineLevel="0" collapsed="false">
      <c r="A1043" s="182" t="s">
        <v>3108</v>
      </c>
      <c r="B1043" s="182" t="s">
        <v>3109</v>
      </c>
    </row>
    <row r="1044" customFormat="false" ht="12" hidden="false" customHeight="false" outlineLevel="0" collapsed="false">
      <c r="A1044" s="182" t="s">
        <v>3110</v>
      </c>
      <c r="B1044" s="182" t="s">
        <v>3111</v>
      </c>
    </row>
    <row r="1045" customFormat="false" ht="12" hidden="false" customHeight="false" outlineLevel="0" collapsed="false">
      <c r="A1045" s="182" t="s">
        <v>3112</v>
      </c>
      <c r="B1045" s="182" t="s">
        <v>3113</v>
      </c>
    </row>
    <row r="1046" customFormat="false" ht="12" hidden="false" customHeight="false" outlineLevel="0" collapsed="false">
      <c r="A1046" s="182" t="s">
        <v>3114</v>
      </c>
      <c r="B1046" s="182" t="s">
        <v>3115</v>
      </c>
    </row>
    <row r="1047" customFormat="false" ht="12" hidden="false" customHeight="false" outlineLevel="0" collapsed="false">
      <c r="A1047" s="182" t="s">
        <v>3116</v>
      </c>
      <c r="B1047" s="182" t="s">
        <v>3117</v>
      </c>
    </row>
    <row r="1048" customFormat="false" ht="12" hidden="false" customHeight="false" outlineLevel="0" collapsed="false">
      <c r="A1048" s="182" t="s">
        <v>3118</v>
      </c>
      <c r="B1048" s="182" t="s">
        <v>3119</v>
      </c>
    </row>
    <row r="1049" customFormat="false" ht="12" hidden="false" customHeight="false" outlineLevel="0" collapsed="false">
      <c r="A1049" s="182" t="s">
        <v>3120</v>
      </c>
      <c r="B1049" s="182" t="s">
        <v>3121</v>
      </c>
    </row>
    <row r="1050" customFormat="false" ht="12" hidden="false" customHeight="false" outlineLevel="0" collapsed="false">
      <c r="A1050" s="182" t="s">
        <v>3122</v>
      </c>
      <c r="B1050" s="182" t="s">
        <v>3123</v>
      </c>
    </row>
    <row r="1051" customFormat="false" ht="12" hidden="false" customHeight="false" outlineLevel="0" collapsed="false">
      <c r="A1051" s="182" t="s">
        <v>3124</v>
      </c>
      <c r="B1051" s="182" t="s">
        <v>3125</v>
      </c>
    </row>
    <row r="1052" customFormat="false" ht="12" hidden="false" customHeight="false" outlineLevel="0" collapsed="false">
      <c r="A1052" s="182" t="s">
        <v>3126</v>
      </c>
      <c r="B1052" s="182" t="s">
        <v>3127</v>
      </c>
    </row>
    <row r="1053" customFormat="false" ht="12" hidden="false" customHeight="false" outlineLevel="0" collapsed="false">
      <c r="A1053" s="182" t="s">
        <v>3128</v>
      </c>
      <c r="B1053" s="182" t="s">
        <v>3129</v>
      </c>
    </row>
    <row r="1054" customFormat="false" ht="12" hidden="false" customHeight="false" outlineLevel="0" collapsed="false">
      <c r="A1054" s="182" t="s">
        <v>3130</v>
      </c>
      <c r="B1054" s="182" t="s">
        <v>3131</v>
      </c>
    </row>
    <row r="1055" customFormat="false" ht="12" hidden="false" customHeight="false" outlineLevel="0" collapsed="false">
      <c r="A1055" s="182" t="s">
        <v>3132</v>
      </c>
      <c r="B1055" s="182" t="s">
        <v>3133</v>
      </c>
    </row>
    <row r="1056" customFormat="false" ht="12" hidden="false" customHeight="false" outlineLevel="0" collapsed="false">
      <c r="A1056" s="182" t="s">
        <v>3134</v>
      </c>
      <c r="B1056" s="182" t="s">
        <v>3135</v>
      </c>
    </row>
    <row r="1057" customFormat="false" ht="12" hidden="false" customHeight="false" outlineLevel="0" collapsed="false">
      <c r="A1057" s="182" t="s">
        <v>3136</v>
      </c>
      <c r="B1057" s="182" t="s">
        <v>3137</v>
      </c>
    </row>
    <row r="1058" customFormat="false" ht="12" hidden="false" customHeight="false" outlineLevel="0" collapsed="false">
      <c r="A1058" s="182" t="s">
        <v>3138</v>
      </c>
      <c r="B1058" s="182" t="s">
        <v>3139</v>
      </c>
    </row>
    <row r="1059" customFormat="false" ht="12" hidden="false" customHeight="false" outlineLevel="0" collapsed="false">
      <c r="A1059" s="182" t="s">
        <v>3140</v>
      </c>
      <c r="B1059" s="182" t="s">
        <v>3141</v>
      </c>
    </row>
    <row r="1060" customFormat="false" ht="12" hidden="false" customHeight="false" outlineLevel="0" collapsed="false">
      <c r="A1060" s="182" t="s">
        <v>3142</v>
      </c>
      <c r="B1060" s="182" t="s">
        <v>3143</v>
      </c>
    </row>
    <row r="1061" customFormat="false" ht="12" hidden="false" customHeight="false" outlineLevel="0" collapsed="false">
      <c r="A1061" s="182" t="s">
        <v>3144</v>
      </c>
      <c r="B1061" s="182" t="s">
        <v>3145</v>
      </c>
    </row>
    <row r="1062" customFormat="false" ht="12" hidden="false" customHeight="false" outlineLevel="0" collapsed="false">
      <c r="A1062" s="182" t="s">
        <v>3146</v>
      </c>
      <c r="B1062" s="182" t="s">
        <v>3147</v>
      </c>
    </row>
    <row r="1063" customFormat="false" ht="12" hidden="false" customHeight="false" outlineLevel="0" collapsed="false">
      <c r="A1063" s="182" t="s">
        <v>3148</v>
      </c>
      <c r="B1063" s="182" t="s">
        <v>3149</v>
      </c>
    </row>
    <row r="1064" customFormat="false" ht="12" hidden="false" customHeight="false" outlineLevel="0" collapsed="false">
      <c r="A1064" s="182" t="s">
        <v>3150</v>
      </c>
      <c r="B1064" s="182" t="s">
        <v>3151</v>
      </c>
    </row>
    <row r="1065" customFormat="false" ht="12" hidden="false" customHeight="false" outlineLevel="0" collapsed="false">
      <c r="A1065" s="182" t="s">
        <v>3152</v>
      </c>
      <c r="B1065" s="182" t="s">
        <v>3153</v>
      </c>
    </row>
    <row r="1066" customFormat="false" ht="12" hidden="false" customHeight="false" outlineLevel="0" collapsed="false">
      <c r="A1066" s="182" t="s">
        <v>3154</v>
      </c>
      <c r="B1066" s="182" t="s">
        <v>3155</v>
      </c>
    </row>
    <row r="1067" customFormat="false" ht="12" hidden="false" customHeight="false" outlineLevel="0" collapsed="false">
      <c r="A1067" s="182" t="s">
        <v>3156</v>
      </c>
      <c r="B1067" s="182" t="s">
        <v>3157</v>
      </c>
    </row>
    <row r="1068" customFormat="false" ht="12" hidden="false" customHeight="false" outlineLevel="0" collapsed="false">
      <c r="A1068" s="182" t="s">
        <v>3158</v>
      </c>
      <c r="B1068" s="182" t="s">
        <v>3159</v>
      </c>
    </row>
    <row r="1069" customFormat="false" ht="12" hidden="false" customHeight="false" outlineLevel="0" collapsed="false">
      <c r="A1069" s="182" t="s">
        <v>3160</v>
      </c>
      <c r="B1069" s="182" t="s">
        <v>3161</v>
      </c>
    </row>
    <row r="1070" customFormat="false" ht="12" hidden="false" customHeight="false" outlineLevel="0" collapsed="false">
      <c r="A1070" s="182" t="s">
        <v>3162</v>
      </c>
      <c r="B1070" s="182" t="s">
        <v>3163</v>
      </c>
    </row>
    <row r="1071" customFormat="false" ht="12" hidden="false" customHeight="false" outlineLevel="0" collapsed="false">
      <c r="A1071" s="182" t="s">
        <v>3164</v>
      </c>
      <c r="B1071" s="182" t="s">
        <v>3165</v>
      </c>
    </row>
    <row r="1072" customFormat="false" ht="12" hidden="false" customHeight="false" outlineLevel="0" collapsed="false">
      <c r="A1072" s="182" t="s">
        <v>3166</v>
      </c>
      <c r="B1072" s="182" t="s">
        <v>3167</v>
      </c>
    </row>
    <row r="1073" customFormat="false" ht="12" hidden="false" customHeight="false" outlineLevel="0" collapsed="false">
      <c r="A1073" s="182" t="s">
        <v>3168</v>
      </c>
      <c r="B1073" s="182" t="s">
        <v>3169</v>
      </c>
    </row>
    <row r="1074" customFormat="false" ht="12" hidden="false" customHeight="false" outlineLevel="0" collapsed="false">
      <c r="A1074" s="182" t="s">
        <v>3170</v>
      </c>
      <c r="B1074" s="182" t="s">
        <v>3171</v>
      </c>
    </row>
    <row r="1075" customFormat="false" ht="12" hidden="false" customHeight="false" outlineLevel="0" collapsed="false">
      <c r="A1075" s="182" t="s">
        <v>3172</v>
      </c>
      <c r="B1075" s="182" t="s">
        <v>3173</v>
      </c>
    </row>
    <row r="1076" customFormat="false" ht="12" hidden="false" customHeight="false" outlineLevel="0" collapsed="false">
      <c r="A1076" s="182" t="s">
        <v>3174</v>
      </c>
      <c r="B1076" s="182" t="s">
        <v>3175</v>
      </c>
    </row>
    <row r="1077" customFormat="false" ht="12" hidden="false" customHeight="false" outlineLevel="0" collapsed="false">
      <c r="A1077" s="182" t="s">
        <v>3176</v>
      </c>
      <c r="B1077" s="182" t="s">
        <v>3177</v>
      </c>
    </row>
    <row r="1078" customFormat="false" ht="12" hidden="false" customHeight="false" outlineLevel="0" collapsed="false">
      <c r="A1078" s="182" t="s">
        <v>3178</v>
      </c>
      <c r="B1078" s="182" t="s">
        <v>3179</v>
      </c>
    </row>
    <row r="1079" customFormat="false" ht="12" hidden="false" customHeight="false" outlineLevel="0" collapsed="false">
      <c r="A1079" s="182" t="s">
        <v>3180</v>
      </c>
      <c r="B1079" s="182" t="s">
        <v>3181</v>
      </c>
    </row>
    <row r="1080" customFormat="false" ht="12" hidden="false" customHeight="false" outlineLevel="0" collapsed="false">
      <c r="A1080" s="182" t="s">
        <v>3182</v>
      </c>
      <c r="B1080" s="182" t="s">
        <v>3183</v>
      </c>
    </row>
    <row r="1081" customFormat="false" ht="12" hidden="false" customHeight="false" outlineLevel="0" collapsed="false">
      <c r="A1081" s="182" t="s">
        <v>3184</v>
      </c>
      <c r="B1081" s="182" t="s">
        <v>3185</v>
      </c>
    </row>
    <row r="1082" customFormat="false" ht="12" hidden="false" customHeight="false" outlineLevel="0" collapsed="false">
      <c r="A1082" s="182" t="s">
        <v>3186</v>
      </c>
      <c r="B1082" s="182" t="s">
        <v>3187</v>
      </c>
    </row>
    <row r="1083" customFormat="false" ht="12" hidden="false" customHeight="false" outlineLevel="0" collapsed="false">
      <c r="A1083" s="182" t="s">
        <v>3188</v>
      </c>
      <c r="B1083" s="182" t="s">
        <v>3189</v>
      </c>
    </row>
    <row r="1084" customFormat="false" ht="12" hidden="false" customHeight="false" outlineLevel="0" collapsed="false">
      <c r="A1084" s="182" t="s">
        <v>3190</v>
      </c>
      <c r="B1084" s="182" t="s">
        <v>3191</v>
      </c>
    </row>
    <row r="1085" customFormat="false" ht="12" hidden="false" customHeight="false" outlineLevel="0" collapsed="false">
      <c r="A1085" s="182" t="s">
        <v>3192</v>
      </c>
      <c r="B1085" s="182" t="s">
        <v>3193</v>
      </c>
    </row>
    <row r="1086" customFormat="false" ht="12" hidden="false" customHeight="false" outlineLevel="0" collapsed="false">
      <c r="A1086" s="182" t="s">
        <v>3194</v>
      </c>
      <c r="B1086" s="182" t="s">
        <v>3195</v>
      </c>
    </row>
    <row r="1087" customFormat="false" ht="12" hidden="false" customHeight="false" outlineLevel="0" collapsed="false">
      <c r="A1087" s="182" t="s">
        <v>3196</v>
      </c>
      <c r="B1087" s="182" t="s">
        <v>3197</v>
      </c>
    </row>
    <row r="1088" customFormat="false" ht="12" hidden="false" customHeight="false" outlineLevel="0" collapsed="false">
      <c r="A1088" s="182" t="s">
        <v>3198</v>
      </c>
      <c r="B1088" s="182" t="s">
        <v>3199</v>
      </c>
    </row>
    <row r="1089" customFormat="false" ht="12" hidden="false" customHeight="false" outlineLevel="0" collapsed="false">
      <c r="A1089" s="182" t="s">
        <v>3200</v>
      </c>
      <c r="B1089" s="182" t="s">
        <v>3201</v>
      </c>
    </row>
    <row r="1090" customFormat="false" ht="12" hidden="false" customHeight="false" outlineLevel="0" collapsed="false">
      <c r="A1090" s="182" t="s">
        <v>3202</v>
      </c>
      <c r="B1090" s="182" t="s">
        <v>3203</v>
      </c>
    </row>
    <row r="1091" customFormat="false" ht="12" hidden="false" customHeight="false" outlineLevel="0" collapsed="false">
      <c r="A1091" s="182" t="s">
        <v>3204</v>
      </c>
      <c r="B1091" s="182" t="s">
        <v>3205</v>
      </c>
    </row>
    <row r="1092" customFormat="false" ht="12" hidden="false" customHeight="false" outlineLevel="0" collapsed="false">
      <c r="A1092" s="182" t="s">
        <v>3206</v>
      </c>
      <c r="B1092" s="182" t="s">
        <v>3207</v>
      </c>
    </row>
    <row r="1093" customFormat="false" ht="12" hidden="false" customHeight="false" outlineLevel="0" collapsed="false">
      <c r="A1093" s="182" t="s">
        <v>3208</v>
      </c>
      <c r="B1093" s="182" t="s">
        <v>3209</v>
      </c>
    </row>
    <row r="1094" customFormat="false" ht="12" hidden="false" customHeight="false" outlineLevel="0" collapsed="false">
      <c r="A1094" s="182" t="s">
        <v>3210</v>
      </c>
      <c r="B1094" s="182" t="s">
        <v>3211</v>
      </c>
    </row>
    <row r="1095" customFormat="false" ht="12" hidden="false" customHeight="false" outlineLevel="0" collapsed="false">
      <c r="A1095" s="182" t="s">
        <v>3212</v>
      </c>
      <c r="B1095" s="182" t="s">
        <v>3213</v>
      </c>
    </row>
    <row r="1096" customFormat="false" ht="12" hidden="false" customHeight="false" outlineLevel="0" collapsed="false">
      <c r="A1096" s="182" t="s">
        <v>3214</v>
      </c>
      <c r="B1096" s="182" t="s">
        <v>3215</v>
      </c>
    </row>
    <row r="1097" customFormat="false" ht="12" hidden="false" customHeight="false" outlineLevel="0" collapsed="false">
      <c r="A1097" s="182" t="s">
        <v>3216</v>
      </c>
      <c r="B1097" s="182" t="s">
        <v>3217</v>
      </c>
    </row>
    <row r="1098" customFormat="false" ht="12" hidden="false" customHeight="false" outlineLevel="0" collapsed="false">
      <c r="A1098" s="182" t="s">
        <v>3218</v>
      </c>
      <c r="B1098" s="182" t="s">
        <v>3219</v>
      </c>
    </row>
    <row r="1099" customFormat="false" ht="12" hidden="false" customHeight="false" outlineLevel="0" collapsed="false">
      <c r="A1099" s="182" t="s">
        <v>3220</v>
      </c>
      <c r="B1099" s="182" t="s">
        <v>3221</v>
      </c>
    </row>
    <row r="1100" customFormat="false" ht="12" hidden="false" customHeight="false" outlineLevel="0" collapsed="false">
      <c r="A1100" s="182" t="s">
        <v>3222</v>
      </c>
      <c r="B1100" s="182" t="s">
        <v>3223</v>
      </c>
    </row>
    <row r="1101" customFormat="false" ht="12" hidden="false" customHeight="false" outlineLevel="0" collapsed="false">
      <c r="A1101" s="182" t="s">
        <v>3224</v>
      </c>
      <c r="B1101" s="182" t="s">
        <v>3225</v>
      </c>
    </row>
    <row r="1102" customFormat="false" ht="12" hidden="false" customHeight="false" outlineLevel="0" collapsed="false">
      <c r="A1102" s="182" t="s">
        <v>3226</v>
      </c>
      <c r="B1102" s="182" t="s">
        <v>3227</v>
      </c>
    </row>
    <row r="1103" customFormat="false" ht="12" hidden="false" customHeight="false" outlineLevel="0" collapsed="false">
      <c r="A1103" s="182" t="s">
        <v>3228</v>
      </c>
      <c r="B1103" s="182" t="s">
        <v>3229</v>
      </c>
    </row>
    <row r="1104" customFormat="false" ht="12" hidden="false" customHeight="false" outlineLevel="0" collapsed="false">
      <c r="A1104" s="182" t="s">
        <v>3230</v>
      </c>
      <c r="B1104" s="182" t="s">
        <v>3231</v>
      </c>
    </row>
    <row r="1105" customFormat="false" ht="12" hidden="false" customHeight="false" outlineLevel="0" collapsed="false">
      <c r="A1105" s="182" t="s">
        <v>3232</v>
      </c>
      <c r="B1105" s="182" t="s">
        <v>3233</v>
      </c>
    </row>
    <row r="1106" customFormat="false" ht="12" hidden="false" customHeight="false" outlineLevel="0" collapsed="false">
      <c r="A1106" s="182" t="s">
        <v>3234</v>
      </c>
      <c r="B1106" s="182" t="s">
        <v>3235</v>
      </c>
    </row>
    <row r="1107" customFormat="false" ht="12" hidden="false" customHeight="false" outlineLevel="0" collapsed="false">
      <c r="A1107" s="182" t="s">
        <v>3236</v>
      </c>
      <c r="B1107" s="182" t="s">
        <v>3237</v>
      </c>
    </row>
    <row r="1108" customFormat="false" ht="12" hidden="false" customHeight="false" outlineLevel="0" collapsed="false">
      <c r="A1108" s="182" t="s">
        <v>3238</v>
      </c>
      <c r="B1108" s="182" t="s">
        <v>3239</v>
      </c>
    </row>
    <row r="1109" customFormat="false" ht="12" hidden="false" customHeight="false" outlineLevel="0" collapsed="false">
      <c r="A1109" s="182" t="s">
        <v>3240</v>
      </c>
      <c r="B1109" s="182" t="s">
        <v>3241</v>
      </c>
    </row>
    <row r="1110" customFormat="false" ht="12" hidden="false" customHeight="false" outlineLevel="0" collapsed="false">
      <c r="A1110" s="182" t="s">
        <v>3242</v>
      </c>
      <c r="B1110" s="182" t="s">
        <v>3243</v>
      </c>
    </row>
    <row r="1111" customFormat="false" ht="12" hidden="false" customHeight="false" outlineLevel="0" collapsed="false">
      <c r="A1111" s="182" t="s">
        <v>3244</v>
      </c>
      <c r="B1111" s="182" t="s">
        <v>3245</v>
      </c>
    </row>
    <row r="1112" customFormat="false" ht="12" hidden="false" customHeight="false" outlineLevel="0" collapsed="false">
      <c r="A1112" s="182" t="s">
        <v>3246</v>
      </c>
      <c r="B1112" s="182" t="s">
        <v>3247</v>
      </c>
    </row>
    <row r="1113" customFormat="false" ht="12" hidden="false" customHeight="false" outlineLevel="0" collapsed="false">
      <c r="A1113" s="182" t="s">
        <v>3248</v>
      </c>
      <c r="B1113" s="182" t="s">
        <v>3249</v>
      </c>
    </row>
    <row r="1114" customFormat="false" ht="12" hidden="false" customHeight="false" outlineLevel="0" collapsed="false">
      <c r="A1114" s="182" t="s">
        <v>3250</v>
      </c>
      <c r="B1114" s="182" t="s">
        <v>3251</v>
      </c>
    </row>
    <row r="1115" customFormat="false" ht="12" hidden="false" customHeight="false" outlineLevel="0" collapsed="false">
      <c r="A1115" s="182" t="s">
        <v>3252</v>
      </c>
      <c r="B1115" s="182" t="s">
        <v>3253</v>
      </c>
    </row>
    <row r="1116" customFormat="false" ht="12" hidden="false" customHeight="false" outlineLevel="0" collapsed="false">
      <c r="A1116" s="182" t="s">
        <v>3254</v>
      </c>
      <c r="B1116" s="182" t="s">
        <v>3255</v>
      </c>
    </row>
    <row r="1117" customFormat="false" ht="12" hidden="false" customHeight="false" outlineLevel="0" collapsed="false">
      <c r="A1117" s="182" t="s">
        <v>3256</v>
      </c>
      <c r="B1117" s="182" t="s">
        <v>3257</v>
      </c>
    </row>
    <row r="1118" customFormat="false" ht="12" hidden="false" customHeight="false" outlineLevel="0" collapsed="false">
      <c r="A1118" s="182" t="s">
        <v>3258</v>
      </c>
      <c r="B1118" s="182" t="s">
        <v>3259</v>
      </c>
    </row>
    <row r="1119" customFormat="false" ht="12" hidden="false" customHeight="false" outlineLevel="0" collapsed="false">
      <c r="A1119" s="182" t="s">
        <v>3260</v>
      </c>
      <c r="B1119" s="182" t="s">
        <v>3261</v>
      </c>
    </row>
    <row r="1120" customFormat="false" ht="12" hidden="false" customHeight="false" outlineLevel="0" collapsed="false">
      <c r="A1120" s="182" t="s">
        <v>3262</v>
      </c>
      <c r="B1120" s="182" t="s">
        <v>3263</v>
      </c>
    </row>
    <row r="1121" customFormat="false" ht="12" hidden="false" customHeight="false" outlineLevel="0" collapsed="false">
      <c r="A1121" s="182" t="s">
        <v>3264</v>
      </c>
      <c r="B1121" s="182" t="s">
        <v>3265</v>
      </c>
    </row>
    <row r="1122" customFormat="false" ht="12" hidden="false" customHeight="false" outlineLevel="0" collapsed="false">
      <c r="A1122" s="182" t="s">
        <v>3266</v>
      </c>
      <c r="B1122" s="182" t="s">
        <v>3267</v>
      </c>
    </row>
    <row r="1123" customFormat="false" ht="12" hidden="false" customHeight="false" outlineLevel="0" collapsed="false">
      <c r="A1123" s="182" t="s">
        <v>3268</v>
      </c>
      <c r="B1123" s="182" t="s">
        <v>3269</v>
      </c>
    </row>
    <row r="1124" customFormat="false" ht="12" hidden="false" customHeight="false" outlineLevel="0" collapsed="false">
      <c r="A1124" s="182" t="s">
        <v>3270</v>
      </c>
      <c r="B1124" s="182" t="s">
        <v>3271</v>
      </c>
    </row>
    <row r="1125" customFormat="false" ht="12" hidden="false" customHeight="false" outlineLevel="0" collapsed="false">
      <c r="A1125" s="182" t="s">
        <v>3272</v>
      </c>
      <c r="B1125" s="182" t="s">
        <v>3273</v>
      </c>
    </row>
    <row r="1126" customFormat="false" ht="12" hidden="false" customHeight="false" outlineLevel="0" collapsed="false">
      <c r="A1126" s="182" t="s">
        <v>3274</v>
      </c>
      <c r="B1126" s="182" t="s">
        <v>3275</v>
      </c>
    </row>
    <row r="1127" customFormat="false" ht="12" hidden="false" customHeight="false" outlineLevel="0" collapsed="false">
      <c r="A1127" s="182" t="s">
        <v>3276</v>
      </c>
      <c r="B1127" s="182" t="s">
        <v>3277</v>
      </c>
    </row>
    <row r="1128" customFormat="false" ht="12" hidden="false" customHeight="false" outlineLevel="0" collapsed="false">
      <c r="A1128" s="182" t="s">
        <v>3278</v>
      </c>
      <c r="B1128" s="182" t="s">
        <v>3279</v>
      </c>
    </row>
    <row r="1129" customFormat="false" ht="12" hidden="false" customHeight="false" outlineLevel="0" collapsed="false">
      <c r="A1129" s="182" t="s">
        <v>3280</v>
      </c>
      <c r="B1129" s="182" t="s">
        <v>3281</v>
      </c>
    </row>
    <row r="1130" customFormat="false" ht="12" hidden="false" customHeight="false" outlineLevel="0" collapsed="false">
      <c r="A1130" s="182" t="s">
        <v>3282</v>
      </c>
      <c r="B1130" s="182" t="s">
        <v>3283</v>
      </c>
    </row>
    <row r="1131" customFormat="false" ht="12" hidden="false" customHeight="false" outlineLevel="0" collapsed="false">
      <c r="A1131" s="182" t="s">
        <v>3284</v>
      </c>
      <c r="B1131" s="182" t="s">
        <v>3285</v>
      </c>
    </row>
    <row r="1132" customFormat="false" ht="12" hidden="false" customHeight="false" outlineLevel="0" collapsed="false">
      <c r="A1132" s="182" t="s">
        <v>3286</v>
      </c>
      <c r="B1132" s="182" t="s">
        <v>3287</v>
      </c>
    </row>
    <row r="1133" customFormat="false" ht="12" hidden="false" customHeight="false" outlineLevel="0" collapsed="false">
      <c r="A1133" s="182" t="s">
        <v>3288</v>
      </c>
      <c r="B1133" s="182" t="s">
        <v>3289</v>
      </c>
    </row>
    <row r="1134" customFormat="false" ht="12" hidden="false" customHeight="false" outlineLevel="0" collapsed="false">
      <c r="A1134" s="182" t="s">
        <v>3290</v>
      </c>
      <c r="B1134" s="182" t="s">
        <v>3291</v>
      </c>
    </row>
    <row r="1135" customFormat="false" ht="12" hidden="false" customHeight="false" outlineLevel="0" collapsed="false">
      <c r="A1135" s="182" t="s">
        <v>3292</v>
      </c>
      <c r="B1135" s="182" t="s">
        <v>3293</v>
      </c>
    </row>
    <row r="1136" customFormat="false" ht="12" hidden="false" customHeight="false" outlineLevel="0" collapsed="false">
      <c r="A1136" s="182" t="s">
        <v>3294</v>
      </c>
      <c r="B1136" s="182" t="s">
        <v>3295</v>
      </c>
    </row>
    <row r="1137" customFormat="false" ht="12" hidden="false" customHeight="false" outlineLevel="0" collapsed="false">
      <c r="A1137" s="182" t="s">
        <v>3296</v>
      </c>
      <c r="B1137" s="182" t="s">
        <v>3297</v>
      </c>
    </row>
    <row r="1138" customFormat="false" ht="12" hidden="false" customHeight="false" outlineLevel="0" collapsed="false">
      <c r="A1138" s="182" t="s">
        <v>3298</v>
      </c>
      <c r="B1138" s="182" t="s">
        <v>3299</v>
      </c>
    </row>
    <row r="1139" customFormat="false" ht="12" hidden="false" customHeight="false" outlineLevel="0" collapsed="false">
      <c r="A1139" s="182" t="s">
        <v>3300</v>
      </c>
      <c r="B1139" s="182" t="s">
        <v>3301</v>
      </c>
    </row>
    <row r="1140" customFormat="false" ht="12" hidden="false" customHeight="false" outlineLevel="0" collapsed="false">
      <c r="A1140" s="182" t="s">
        <v>3302</v>
      </c>
      <c r="B1140" s="182" t="s">
        <v>3303</v>
      </c>
    </row>
    <row r="1141" customFormat="false" ht="12" hidden="false" customHeight="false" outlineLevel="0" collapsed="false">
      <c r="A1141" s="182" t="s">
        <v>3304</v>
      </c>
      <c r="B1141" s="182" t="s">
        <v>3305</v>
      </c>
    </row>
    <row r="1142" customFormat="false" ht="12" hidden="false" customHeight="false" outlineLevel="0" collapsed="false">
      <c r="A1142" s="182" t="s">
        <v>3306</v>
      </c>
      <c r="B1142" s="182" t="s">
        <v>3307</v>
      </c>
    </row>
    <row r="1143" customFormat="false" ht="12" hidden="false" customHeight="false" outlineLevel="0" collapsed="false">
      <c r="A1143" s="182" t="s">
        <v>3308</v>
      </c>
      <c r="B1143" s="182" t="s">
        <v>3309</v>
      </c>
    </row>
    <row r="1144" customFormat="false" ht="12" hidden="false" customHeight="false" outlineLevel="0" collapsed="false">
      <c r="A1144" s="182" t="s">
        <v>3310</v>
      </c>
      <c r="B1144" s="182" t="s">
        <v>3311</v>
      </c>
    </row>
    <row r="1145" customFormat="false" ht="12" hidden="false" customHeight="false" outlineLevel="0" collapsed="false">
      <c r="A1145" s="182" t="s">
        <v>3312</v>
      </c>
      <c r="B1145" s="182" t="s">
        <v>3313</v>
      </c>
    </row>
    <row r="1146" customFormat="false" ht="12" hidden="false" customHeight="false" outlineLevel="0" collapsed="false">
      <c r="A1146" s="182" t="s">
        <v>3314</v>
      </c>
      <c r="B1146" s="182" t="s">
        <v>3315</v>
      </c>
    </row>
    <row r="1147" customFormat="false" ht="12" hidden="false" customHeight="false" outlineLevel="0" collapsed="false">
      <c r="A1147" s="182" t="s">
        <v>3316</v>
      </c>
      <c r="B1147" s="182" t="s">
        <v>3317</v>
      </c>
    </row>
    <row r="1148" customFormat="false" ht="12" hidden="false" customHeight="false" outlineLevel="0" collapsed="false">
      <c r="A1148" s="182" t="s">
        <v>3318</v>
      </c>
      <c r="B1148" s="182" t="s">
        <v>3319</v>
      </c>
    </row>
    <row r="1149" customFormat="false" ht="12" hidden="false" customHeight="false" outlineLevel="0" collapsed="false">
      <c r="A1149" s="182" t="s">
        <v>3320</v>
      </c>
      <c r="B1149" s="182" t="s">
        <v>3321</v>
      </c>
    </row>
    <row r="1150" customFormat="false" ht="12" hidden="false" customHeight="false" outlineLevel="0" collapsed="false">
      <c r="A1150" s="182" t="s">
        <v>3322</v>
      </c>
      <c r="B1150" s="182" t="s">
        <v>3323</v>
      </c>
    </row>
    <row r="1151" customFormat="false" ht="12" hidden="false" customHeight="false" outlineLevel="0" collapsed="false">
      <c r="A1151" s="182" t="s">
        <v>3324</v>
      </c>
      <c r="B1151" s="182" t="s">
        <v>3325</v>
      </c>
    </row>
    <row r="1152" customFormat="false" ht="12" hidden="false" customHeight="false" outlineLevel="0" collapsed="false">
      <c r="A1152" s="182" t="s">
        <v>3326</v>
      </c>
      <c r="B1152" s="182" t="s">
        <v>3327</v>
      </c>
    </row>
    <row r="1153" customFormat="false" ht="12" hidden="false" customHeight="false" outlineLevel="0" collapsed="false">
      <c r="A1153" s="182" t="s">
        <v>3328</v>
      </c>
      <c r="B1153" s="182" t="s">
        <v>3329</v>
      </c>
    </row>
    <row r="1154" customFormat="false" ht="12" hidden="false" customHeight="false" outlineLevel="0" collapsed="false">
      <c r="A1154" s="182" t="s">
        <v>3330</v>
      </c>
      <c r="B1154" s="182" t="s">
        <v>3331</v>
      </c>
    </row>
    <row r="1155" customFormat="false" ht="12" hidden="false" customHeight="false" outlineLevel="0" collapsed="false">
      <c r="A1155" s="182" t="s">
        <v>3332</v>
      </c>
      <c r="B1155" s="182" t="s">
        <v>3333</v>
      </c>
    </row>
    <row r="1156" customFormat="false" ht="12" hidden="false" customHeight="false" outlineLevel="0" collapsed="false">
      <c r="A1156" s="182" t="s">
        <v>3334</v>
      </c>
      <c r="B1156" s="182" t="s">
        <v>3335</v>
      </c>
    </row>
    <row r="1157" customFormat="false" ht="12" hidden="false" customHeight="false" outlineLevel="0" collapsed="false">
      <c r="A1157" s="182" t="s">
        <v>3336</v>
      </c>
      <c r="B1157" s="182" t="s">
        <v>3337</v>
      </c>
    </row>
    <row r="1158" customFormat="false" ht="12" hidden="false" customHeight="false" outlineLevel="0" collapsed="false">
      <c r="A1158" s="182" t="s">
        <v>3338</v>
      </c>
      <c r="B1158" s="182" t="s">
        <v>3339</v>
      </c>
    </row>
    <row r="1159" customFormat="false" ht="12" hidden="false" customHeight="false" outlineLevel="0" collapsed="false">
      <c r="A1159" s="182" t="s">
        <v>3340</v>
      </c>
      <c r="B1159" s="182" t="s">
        <v>3341</v>
      </c>
    </row>
    <row r="1160" customFormat="false" ht="12" hidden="false" customHeight="false" outlineLevel="0" collapsed="false">
      <c r="A1160" s="182" t="s">
        <v>3342</v>
      </c>
      <c r="B1160" s="182" t="s">
        <v>3343</v>
      </c>
    </row>
    <row r="1161" customFormat="false" ht="12" hidden="false" customHeight="false" outlineLevel="0" collapsed="false">
      <c r="A1161" s="182" t="s">
        <v>3344</v>
      </c>
      <c r="B1161" s="182" t="s">
        <v>3345</v>
      </c>
    </row>
    <row r="1162" customFormat="false" ht="12" hidden="false" customHeight="false" outlineLevel="0" collapsed="false">
      <c r="A1162" s="182" t="s">
        <v>3346</v>
      </c>
      <c r="B1162" s="182" t="s">
        <v>3347</v>
      </c>
    </row>
    <row r="1163" customFormat="false" ht="12" hidden="false" customHeight="false" outlineLevel="0" collapsed="false">
      <c r="A1163" s="182" t="s">
        <v>3348</v>
      </c>
      <c r="B1163" s="182" t="s">
        <v>3349</v>
      </c>
    </row>
    <row r="1164" customFormat="false" ht="12" hidden="false" customHeight="false" outlineLevel="0" collapsed="false">
      <c r="A1164" s="182" t="s">
        <v>3350</v>
      </c>
      <c r="B1164" s="182" t="s">
        <v>3351</v>
      </c>
    </row>
    <row r="1165" customFormat="false" ht="12" hidden="false" customHeight="false" outlineLevel="0" collapsed="false">
      <c r="A1165" s="182" t="s">
        <v>3352</v>
      </c>
      <c r="B1165" s="182" t="s">
        <v>3353</v>
      </c>
    </row>
    <row r="1166" customFormat="false" ht="12" hidden="false" customHeight="false" outlineLevel="0" collapsed="false">
      <c r="A1166" s="182" t="s">
        <v>3354</v>
      </c>
      <c r="B1166" s="182" t="s">
        <v>3355</v>
      </c>
    </row>
    <row r="1167" customFormat="false" ht="12" hidden="false" customHeight="false" outlineLevel="0" collapsed="false">
      <c r="A1167" s="182" t="s">
        <v>3356</v>
      </c>
      <c r="B1167" s="182" t="s">
        <v>3357</v>
      </c>
    </row>
    <row r="1168" customFormat="false" ht="12" hidden="false" customHeight="false" outlineLevel="0" collapsed="false">
      <c r="A1168" s="182" t="s">
        <v>3358</v>
      </c>
      <c r="B1168" s="182" t="s">
        <v>3359</v>
      </c>
    </row>
    <row r="1169" customFormat="false" ht="12" hidden="false" customHeight="false" outlineLevel="0" collapsed="false">
      <c r="A1169" s="182" t="s">
        <v>3360</v>
      </c>
      <c r="B1169" s="182" t="s">
        <v>3361</v>
      </c>
    </row>
    <row r="1170" customFormat="false" ht="12" hidden="false" customHeight="false" outlineLevel="0" collapsed="false">
      <c r="A1170" s="182" t="s">
        <v>3362</v>
      </c>
      <c r="B1170" s="182" t="s">
        <v>3363</v>
      </c>
    </row>
    <row r="1171" customFormat="false" ht="12" hidden="false" customHeight="false" outlineLevel="0" collapsed="false">
      <c r="A1171" s="182" t="s">
        <v>3364</v>
      </c>
      <c r="B1171" s="182" t="s">
        <v>3365</v>
      </c>
    </row>
    <row r="1172" customFormat="false" ht="12" hidden="false" customHeight="false" outlineLevel="0" collapsed="false">
      <c r="A1172" s="182" t="s">
        <v>3366</v>
      </c>
      <c r="B1172" s="182" t="s">
        <v>3367</v>
      </c>
    </row>
    <row r="1173" customFormat="false" ht="12" hidden="false" customHeight="false" outlineLevel="0" collapsed="false">
      <c r="A1173" s="182" t="s">
        <v>3368</v>
      </c>
      <c r="B1173" s="182" t="s">
        <v>3369</v>
      </c>
    </row>
    <row r="1174" customFormat="false" ht="12" hidden="false" customHeight="false" outlineLevel="0" collapsed="false">
      <c r="A1174" s="182" t="s">
        <v>3370</v>
      </c>
      <c r="B1174" s="182" t="s">
        <v>3371</v>
      </c>
    </row>
    <row r="1175" customFormat="false" ht="12" hidden="false" customHeight="false" outlineLevel="0" collapsed="false">
      <c r="A1175" s="182" t="s">
        <v>3372</v>
      </c>
      <c r="B1175" s="182" t="s">
        <v>3373</v>
      </c>
    </row>
    <row r="1176" customFormat="false" ht="12" hidden="false" customHeight="false" outlineLevel="0" collapsed="false">
      <c r="A1176" s="182" t="s">
        <v>3374</v>
      </c>
      <c r="B1176" s="182" t="s">
        <v>3375</v>
      </c>
    </row>
    <row r="1177" customFormat="false" ht="12" hidden="false" customHeight="false" outlineLevel="0" collapsed="false">
      <c r="A1177" s="182" t="s">
        <v>3376</v>
      </c>
      <c r="B1177" s="182" t="s">
        <v>3377</v>
      </c>
    </row>
    <row r="1178" customFormat="false" ht="12" hidden="false" customHeight="false" outlineLevel="0" collapsed="false">
      <c r="A1178" s="182" t="s">
        <v>3378</v>
      </c>
      <c r="B1178" s="182" t="s">
        <v>3379</v>
      </c>
    </row>
    <row r="1179" customFormat="false" ht="12" hidden="false" customHeight="false" outlineLevel="0" collapsed="false">
      <c r="A1179" s="182" t="s">
        <v>3380</v>
      </c>
      <c r="B1179" s="182" t="s">
        <v>3381</v>
      </c>
    </row>
    <row r="1180" customFormat="false" ht="12" hidden="false" customHeight="false" outlineLevel="0" collapsed="false">
      <c r="A1180" s="182" t="s">
        <v>3382</v>
      </c>
      <c r="B1180" s="182" t="s">
        <v>3383</v>
      </c>
    </row>
    <row r="1181" customFormat="false" ht="12" hidden="false" customHeight="false" outlineLevel="0" collapsed="false">
      <c r="A1181" s="182" t="s">
        <v>3384</v>
      </c>
      <c r="B1181" s="182" t="s">
        <v>3385</v>
      </c>
    </row>
    <row r="1182" customFormat="false" ht="12" hidden="false" customHeight="false" outlineLevel="0" collapsed="false">
      <c r="A1182" s="182" t="s">
        <v>3386</v>
      </c>
      <c r="B1182" s="182" t="s">
        <v>3387</v>
      </c>
    </row>
    <row r="1183" customFormat="false" ht="12" hidden="false" customHeight="false" outlineLevel="0" collapsed="false">
      <c r="A1183" s="182" t="s">
        <v>3388</v>
      </c>
      <c r="B1183" s="182" t="s">
        <v>3389</v>
      </c>
    </row>
    <row r="1184" customFormat="false" ht="12" hidden="false" customHeight="false" outlineLevel="0" collapsed="false">
      <c r="A1184" s="182" t="s">
        <v>3390</v>
      </c>
      <c r="B1184" s="182" t="s">
        <v>3391</v>
      </c>
    </row>
    <row r="1185" customFormat="false" ht="12" hidden="false" customHeight="false" outlineLevel="0" collapsed="false">
      <c r="A1185" s="182" t="s">
        <v>3392</v>
      </c>
      <c r="B1185" s="182" t="s">
        <v>3393</v>
      </c>
    </row>
    <row r="1186" customFormat="false" ht="12" hidden="false" customHeight="false" outlineLevel="0" collapsed="false">
      <c r="A1186" s="182" t="s">
        <v>3394</v>
      </c>
      <c r="B1186" s="182" t="s">
        <v>3395</v>
      </c>
    </row>
    <row r="1187" customFormat="false" ht="12" hidden="false" customHeight="false" outlineLevel="0" collapsed="false">
      <c r="A1187" s="182" t="s">
        <v>3396</v>
      </c>
      <c r="B1187" s="182" t="s">
        <v>3397</v>
      </c>
    </row>
    <row r="1188" customFormat="false" ht="12" hidden="false" customHeight="false" outlineLevel="0" collapsed="false">
      <c r="A1188" s="182" t="s">
        <v>3398</v>
      </c>
      <c r="B1188" s="182" t="s">
        <v>3399</v>
      </c>
    </row>
    <row r="1189" customFormat="false" ht="12" hidden="false" customHeight="false" outlineLevel="0" collapsed="false">
      <c r="A1189" s="182" t="s">
        <v>3400</v>
      </c>
      <c r="B1189" s="182" t="s">
        <v>3401</v>
      </c>
    </row>
    <row r="1190" customFormat="false" ht="12" hidden="false" customHeight="false" outlineLevel="0" collapsed="false">
      <c r="A1190" s="182" t="s">
        <v>3402</v>
      </c>
      <c r="B1190" s="182" t="s">
        <v>3403</v>
      </c>
    </row>
    <row r="1191" customFormat="false" ht="12" hidden="false" customHeight="false" outlineLevel="0" collapsed="false">
      <c r="A1191" s="182" t="s">
        <v>3404</v>
      </c>
      <c r="B1191" s="182" t="s">
        <v>3405</v>
      </c>
    </row>
    <row r="1192" customFormat="false" ht="12" hidden="false" customHeight="false" outlineLevel="0" collapsed="false">
      <c r="A1192" s="182" t="s">
        <v>3406</v>
      </c>
      <c r="B1192" s="182" t="s">
        <v>3407</v>
      </c>
    </row>
    <row r="1193" customFormat="false" ht="12" hidden="false" customHeight="false" outlineLevel="0" collapsed="false">
      <c r="A1193" s="182" t="s">
        <v>3408</v>
      </c>
      <c r="B1193" s="182" t="s">
        <v>3409</v>
      </c>
    </row>
    <row r="1194" customFormat="false" ht="12" hidden="false" customHeight="false" outlineLevel="0" collapsed="false">
      <c r="A1194" s="182" t="s">
        <v>3410</v>
      </c>
      <c r="B1194" s="182" t="s">
        <v>3411</v>
      </c>
    </row>
    <row r="1195" customFormat="false" ht="12" hidden="false" customHeight="false" outlineLevel="0" collapsed="false">
      <c r="A1195" s="182" t="s">
        <v>3412</v>
      </c>
      <c r="B1195" s="182" t="s">
        <v>3413</v>
      </c>
    </row>
    <row r="1196" customFormat="false" ht="12" hidden="false" customHeight="false" outlineLevel="0" collapsed="false">
      <c r="A1196" s="182" t="s">
        <v>3414</v>
      </c>
      <c r="B1196" s="182" t="s">
        <v>3415</v>
      </c>
    </row>
    <row r="1197" customFormat="false" ht="12" hidden="false" customHeight="false" outlineLevel="0" collapsed="false">
      <c r="A1197" s="182" t="s">
        <v>3416</v>
      </c>
      <c r="B1197" s="182" t="s">
        <v>3417</v>
      </c>
    </row>
    <row r="1198" customFormat="false" ht="12" hidden="false" customHeight="false" outlineLevel="0" collapsed="false">
      <c r="A1198" s="182" t="s">
        <v>3418</v>
      </c>
      <c r="B1198" s="182" t="s">
        <v>3419</v>
      </c>
    </row>
    <row r="1199" customFormat="false" ht="12" hidden="false" customHeight="false" outlineLevel="0" collapsed="false">
      <c r="A1199" s="182" t="s">
        <v>3420</v>
      </c>
      <c r="B1199" s="182" t="s">
        <v>3421</v>
      </c>
    </row>
    <row r="1200" customFormat="false" ht="12" hidden="false" customHeight="false" outlineLevel="0" collapsed="false">
      <c r="A1200" s="182" t="s">
        <v>3422</v>
      </c>
      <c r="B1200" s="182" t="s">
        <v>3423</v>
      </c>
    </row>
    <row r="1201" customFormat="false" ht="12" hidden="false" customHeight="false" outlineLevel="0" collapsed="false">
      <c r="A1201" s="182" t="s">
        <v>3424</v>
      </c>
      <c r="B1201" s="182" t="s">
        <v>3425</v>
      </c>
    </row>
    <row r="1202" customFormat="false" ht="12" hidden="false" customHeight="false" outlineLevel="0" collapsed="false">
      <c r="A1202" s="182" t="s">
        <v>3426</v>
      </c>
      <c r="B1202" s="182" t="s">
        <v>3427</v>
      </c>
    </row>
    <row r="1203" customFormat="false" ht="12" hidden="false" customHeight="false" outlineLevel="0" collapsed="false">
      <c r="A1203" s="182" t="s">
        <v>3428</v>
      </c>
      <c r="B1203" s="182" t="s">
        <v>3429</v>
      </c>
    </row>
    <row r="1204" customFormat="false" ht="12" hidden="false" customHeight="false" outlineLevel="0" collapsed="false">
      <c r="A1204" s="182" t="s">
        <v>3430</v>
      </c>
      <c r="B1204" s="182" t="s">
        <v>3431</v>
      </c>
    </row>
    <row r="1205" customFormat="false" ht="12" hidden="false" customHeight="false" outlineLevel="0" collapsed="false">
      <c r="A1205" s="182" t="s">
        <v>3432</v>
      </c>
      <c r="B1205" s="182" t="s">
        <v>3433</v>
      </c>
    </row>
    <row r="1206" customFormat="false" ht="12" hidden="false" customHeight="false" outlineLevel="0" collapsed="false">
      <c r="A1206" s="182" t="s">
        <v>3434</v>
      </c>
      <c r="B1206" s="182" t="s">
        <v>3435</v>
      </c>
    </row>
    <row r="1207" customFormat="false" ht="12" hidden="false" customHeight="false" outlineLevel="0" collapsed="false">
      <c r="A1207" s="182" t="s">
        <v>3436</v>
      </c>
      <c r="B1207" s="182" t="s">
        <v>3437</v>
      </c>
    </row>
    <row r="1208" customFormat="false" ht="12" hidden="false" customHeight="false" outlineLevel="0" collapsed="false">
      <c r="A1208" s="182" t="s">
        <v>3438</v>
      </c>
      <c r="B1208" s="182" t="s">
        <v>3439</v>
      </c>
    </row>
    <row r="1209" customFormat="false" ht="12" hidden="false" customHeight="false" outlineLevel="0" collapsed="false">
      <c r="A1209" s="182" t="s">
        <v>3440</v>
      </c>
      <c r="B1209" s="182" t="s">
        <v>3441</v>
      </c>
    </row>
    <row r="1210" customFormat="false" ht="12" hidden="false" customHeight="false" outlineLevel="0" collapsed="false">
      <c r="A1210" s="182" t="s">
        <v>3442</v>
      </c>
      <c r="B1210" s="182" t="s">
        <v>3443</v>
      </c>
    </row>
    <row r="1211" customFormat="false" ht="12" hidden="false" customHeight="false" outlineLevel="0" collapsed="false">
      <c r="A1211" s="182" t="s">
        <v>3444</v>
      </c>
      <c r="B1211" s="182" t="s">
        <v>3445</v>
      </c>
    </row>
    <row r="1212" customFormat="false" ht="12" hidden="false" customHeight="false" outlineLevel="0" collapsed="false">
      <c r="A1212" s="182" t="s">
        <v>3446</v>
      </c>
      <c r="B1212" s="182" t="s">
        <v>3447</v>
      </c>
    </row>
    <row r="1213" customFormat="false" ht="12" hidden="false" customHeight="false" outlineLevel="0" collapsed="false">
      <c r="A1213" s="182" t="s">
        <v>3448</v>
      </c>
      <c r="B1213" s="182" t="s">
        <v>3449</v>
      </c>
    </row>
    <row r="1214" customFormat="false" ht="12" hidden="false" customHeight="false" outlineLevel="0" collapsed="false">
      <c r="A1214" s="182" t="s">
        <v>3450</v>
      </c>
      <c r="B1214" s="182" t="s">
        <v>3451</v>
      </c>
    </row>
    <row r="1215" customFormat="false" ht="12" hidden="false" customHeight="false" outlineLevel="0" collapsed="false">
      <c r="A1215" s="182" t="s">
        <v>3452</v>
      </c>
      <c r="B1215" s="182" t="s">
        <v>3453</v>
      </c>
    </row>
    <row r="1216" customFormat="false" ht="12" hidden="false" customHeight="false" outlineLevel="0" collapsed="false">
      <c r="A1216" s="182" t="s">
        <v>3454</v>
      </c>
      <c r="B1216" s="182" t="s">
        <v>3455</v>
      </c>
    </row>
    <row r="1217" customFormat="false" ht="12" hidden="false" customHeight="false" outlineLevel="0" collapsed="false">
      <c r="A1217" s="182" t="s">
        <v>3456</v>
      </c>
      <c r="B1217" s="182" t="s">
        <v>3457</v>
      </c>
    </row>
    <row r="1218" customFormat="false" ht="12" hidden="false" customHeight="false" outlineLevel="0" collapsed="false">
      <c r="A1218" s="182" t="s">
        <v>3458</v>
      </c>
      <c r="B1218" s="182" t="s">
        <v>3459</v>
      </c>
    </row>
    <row r="1219" customFormat="false" ht="12" hidden="false" customHeight="false" outlineLevel="0" collapsed="false">
      <c r="A1219" s="182" t="s">
        <v>3460</v>
      </c>
      <c r="B1219" s="182" t="s">
        <v>3461</v>
      </c>
    </row>
    <row r="1220" customFormat="false" ht="12" hidden="false" customHeight="false" outlineLevel="0" collapsed="false">
      <c r="A1220" s="182" t="s">
        <v>3462</v>
      </c>
      <c r="B1220" s="182" t="s">
        <v>3463</v>
      </c>
    </row>
    <row r="1221" customFormat="false" ht="12" hidden="false" customHeight="false" outlineLevel="0" collapsed="false">
      <c r="A1221" s="182" t="s">
        <v>3464</v>
      </c>
      <c r="B1221" s="182" t="s">
        <v>3465</v>
      </c>
    </row>
    <row r="1222" customFormat="false" ht="12" hidden="false" customHeight="false" outlineLevel="0" collapsed="false">
      <c r="A1222" s="182" t="s">
        <v>3466</v>
      </c>
      <c r="B1222" s="182" t="s">
        <v>3467</v>
      </c>
    </row>
    <row r="1223" customFormat="false" ht="12" hidden="false" customHeight="false" outlineLevel="0" collapsed="false">
      <c r="A1223" s="182" t="s">
        <v>3468</v>
      </c>
      <c r="B1223" s="182" t="s">
        <v>3469</v>
      </c>
    </row>
    <row r="1224" customFormat="false" ht="12" hidden="false" customHeight="false" outlineLevel="0" collapsed="false">
      <c r="A1224" s="182" t="s">
        <v>3470</v>
      </c>
      <c r="B1224" s="182" t="s">
        <v>3471</v>
      </c>
    </row>
    <row r="1225" customFormat="false" ht="12" hidden="false" customHeight="false" outlineLevel="0" collapsed="false">
      <c r="A1225" s="182" t="s">
        <v>3472</v>
      </c>
      <c r="B1225" s="182" t="s">
        <v>3473</v>
      </c>
    </row>
    <row r="1226" customFormat="false" ht="12" hidden="false" customHeight="false" outlineLevel="0" collapsed="false">
      <c r="A1226" s="182" t="s">
        <v>3474</v>
      </c>
      <c r="B1226" s="182" t="s">
        <v>3475</v>
      </c>
    </row>
    <row r="1227" customFormat="false" ht="12" hidden="false" customHeight="false" outlineLevel="0" collapsed="false">
      <c r="A1227" s="182" t="s">
        <v>3476</v>
      </c>
      <c r="B1227" s="182" t="s">
        <v>3477</v>
      </c>
    </row>
    <row r="1228" customFormat="false" ht="12" hidden="false" customHeight="false" outlineLevel="0" collapsed="false">
      <c r="A1228" s="182" t="s">
        <v>3478</v>
      </c>
      <c r="B1228" s="182" t="s">
        <v>3479</v>
      </c>
    </row>
    <row r="1229" customFormat="false" ht="12" hidden="false" customHeight="false" outlineLevel="0" collapsed="false">
      <c r="A1229" s="182" t="s">
        <v>3480</v>
      </c>
      <c r="B1229" s="182" t="s">
        <v>3481</v>
      </c>
    </row>
    <row r="1230" customFormat="false" ht="12" hidden="false" customHeight="false" outlineLevel="0" collapsed="false">
      <c r="A1230" s="182" t="s">
        <v>3482</v>
      </c>
      <c r="B1230" s="182" t="s">
        <v>3483</v>
      </c>
    </row>
    <row r="1231" customFormat="false" ht="12" hidden="false" customHeight="false" outlineLevel="0" collapsed="false">
      <c r="A1231" s="182" t="s">
        <v>3484</v>
      </c>
      <c r="B1231" s="182" t="s">
        <v>3485</v>
      </c>
    </row>
    <row r="1232" customFormat="false" ht="12" hidden="false" customHeight="false" outlineLevel="0" collapsed="false">
      <c r="A1232" s="182" t="s">
        <v>3486</v>
      </c>
      <c r="B1232" s="182" t="s">
        <v>3487</v>
      </c>
    </row>
    <row r="1233" customFormat="false" ht="12" hidden="false" customHeight="false" outlineLevel="0" collapsed="false">
      <c r="A1233" s="182" t="s">
        <v>3488</v>
      </c>
      <c r="B1233" s="182" t="s">
        <v>3489</v>
      </c>
    </row>
    <row r="1234" customFormat="false" ht="12" hidden="false" customHeight="false" outlineLevel="0" collapsed="false">
      <c r="A1234" s="182" t="s">
        <v>3490</v>
      </c>
      <c r="B1234" s="182" t="s">
        <v>3491</v>
      </c>
    </row>
    <row r="1235" customFormat="false" ht="12" hidden="false" customHeight="false" outlineLevel="0" collapsed="false">
      <c r="A1235" s="182" t="s">
        <v>3492</v>
      </c>
      <c r="B1235" s="182" t="s">
        <v>3493</v>
      </c>
    </row>
    <row r="1236" customFormat="false" ht="12" hidden="false" customHeight="false" outlineLevel="0" collapsed="false">
      <c r="A1236" s="182" t="s">
        <v>3494</v>
      </c>
      <c r="B1236" s="182" t="s">
        <v>3495</v>
      </c>
    </row>
    <row r="1237" customFormat="false" ht="12" hidden="false" customHeight="false" outlineLevel="0" collapsed="false">
      <c r="A1237" s="182" t="s">
        <v>3496</v>
      </c>
      <c r="B1237" s="182" t="s">
        <v>3497</v>
      </c>
    </row>
    <row r="1238" customFormat="false" ht="12" hidden="false" customHeight="false" outlineLevel="0" collapsed="false">
      <c r="A1238" s="182" t="s">
        <v>3498</v>
      </c>
      <c r="B1238" s="182" t="s">
        <v>3499</v>
      </c>
    </row>
    <row r="1239" customFormat="false" ht="12" hidden="false" customHeight="false" outlineLevel="0" collapsed="false">
      <c r="A1239" s="182" t="s">
        <v>3500</v>
      </c>
      <c r="B1239" s="182" t="s">
        <v>3501</v>
      </c>
    </row>
    <row r="1240" customFormat="false" ht="12" hidden="false" customHeight="false" outlineLevel="0" collapsed="false">
      <c r="A1240" s="182" t="s">
        <v>3502</v>
      </c>
      <c r="B1240" s="182" t="s">
        <v>3503</v>
      </c>
    </row>
    <row r="1241" customFormat="false" ht="12" hidden="false" customHeight="false" outlineLevel="0" collapsed="false">
      <c r="A1241" s="182" t="s">
        <v>3504</v>
      </c>
      <c r="B1241" s="182" t="s">
        <v>3505</v>
      </c>
    </row>
    <row r="1242" customFormat="false" ht="12" hidden="false" customHeight="false" outlineLevel="0" collapsed="false">
      <c r="A1242" s="182" t="s">
        <v>3506</v>
      </c>
      <c r="B1242" s="182" t="s">
        <v>3507</v>
      </c>
    </row>
    <row r="1243" customFormat="false" ht="12" hidden="false" customHeight="false" outlineLevel="0" collapsed="false">
      <c r="A1243" s="182" t="s">
        <v>3508</v>
      </c>
      <c r="B1243" s="182" t="s">
        <v>3509</v>
      </c>
    </row>
    <row r="1244" customFormat="false" ht="12" hidden="false" customHeight="false" outlineLevel="0" collapsed="false">
      <c r="A1244" s="182" t="s">
        <v>3510</v>
      </c>
      <c r="B1244" s="182" t="s">
        <v>3511</v>
      </c>
    </row>
    <row r="1245" customFormat="false" ht="12" hidden="false" customHeight="false" outlineLevel="0" collapsed="false">
      <c r="A1245" s="182" t="s">
        <v>3512</v>
      </c>
      <c r="B1245" s="182" t="s">
        <v>3513</v>
      </c>
    </row>
    <row r="1246" customFormat="false" ht="12" hidden="false" customHeight="false" outlineLevel="0" collapsed="false">
      <c r="A1246" s="182" t="s">
        <v>3514</v>
      </c>
      <c r="B1246" s="182" t="s">
        <v>3515</v>
      </c>
    </row>
    <row r="1247" customFormat="false" ht="12" hidden="false" customHeight="false" outlineLevel="0" collapsed="false">
      <c r="A1247" s="182" t="s">
        <v>3516</v>
      </c>
      <c r="B1247" s="182" t="s">
        <v>3517</v>
      </c>
    </row>
    <row r="1248" customFormat="false" ht="12" hidden="false" customHeight="false" outlineLevel="0" collapsed="false">
      <c r="A1248" s="182" t="s">
        <v>3518</v>
      </c>
      <c r="B1248" s="182" t="s">
        <v>3519</v>
      </c>
    </row>
    <row r="1249" customFormat="false" ht="12" hidden="false" customHeight="false" outlineLevel="0" collapsed="false">
      <c r="A1249" s="182" t="s">
        <v>3520</v>
      </c>
      <c r="B1249" s="182" t="s">
        <v>3521</v>
      </c>
    </row>
    <row r="1250" customFormat="false" ht="12" hidden="false" customHeight="false" outlineLevel="0" collapsed="false">
      <c r="A1250" s="182" t="s">
        <v>3522</v>
      </c>
      <c r="B1250" s="182" t="s">
        <v>3523</v>
      </c>
    </row>
    <row r="1251" customFormat="false" ht="12" hidden="false" customHeight="false" outlineLevel="0" collapsed="false">
      <c r="A1251" s="182" t="s">
        <v>3524</v>
      </c>
      <c r="B1251" s="182" t="s">
        <v>3525</v>
      </c>
    </row>
    <row r="1252" customFormat="false" ht="12" hidden="false" customHeight="false" outlineLevel="0" collapsed="false">
      <c r="A1252" s="182" t="s">
        <v>3526</v>
      </c>
      <c r="B1252" s="182" t="s">
        <v>3527</v>
      </c>
    </row>
    <row r="1253" customFormat="false" ht="12" hidden="false" customHeight="false" outlineLevel="0" collapsed="false">
      <c r="A1253" s="182" t="s">
        <v>3528</v>
      </c>
      <c r="B1253" s="182" t="s">
        <v>3529</v>
      </c>
    </row>
    <row r="1254" customFormat="false" ht="12" hidden="false" customHeight="false" outlineLevel="0" collapsed="false">
      <c r="A1254" s="182" t="s">
        <v>3530</v>
      </c>
      <c r="B1254" s="182" t="s">
        <v>3531</v>
      </c>
    </row>
    <row r="1255" customFormat="false" ht="12" hidden="false" customHeight="false" outlineLevel="0" collapsed="false">
      <c r="A1255" s="182" t="s">
        <v>3532</v>
      </c>
      <c r="B1255" s="182" t="s">
        <v>3533</v>
      </c>
    </row>
    <row r="1256" customFormat="false" ht="12" hidden="false" customHeight="false" outlineLevel="0" collapsed="false">
      <c r="A1256" s="182" t="s">
        <v>3534</v>
      </c>
      <c r="B1256" s="182" t="s">
        <v>3535</v>
      </c>
    </row>
    <row r="1257" customFormat="false" ht="12" hidden="false" customHeight="false" outlineLevel="0" collapsed="false">
      <c r="A1257" s="182" t="s">
        <v>3536</v>
      </c>
      <c r="B1257" s="182" t="s">
        <v>3537</v>
      </c>
    </row>
    <row r="1258" customFormat="false" ht="12" hidden="false" customHeight="false" outlineLevel="0" collapsed="false">
      <c r="A1258" s="182" t="s">
        <v>3538</v>
      </c>
      <c r="B1258" s="182" t="s">
        <v>3539</v>
      </c>
    </row>
    <row r="1259" customFormat="false" ht="12" hidden="false" customHeight="false" outlineLevel="0" collapsed="false">
      <c r="A1259" s="182" t="s">
        <v>3540</v>
      </c>
      <c r="B1259" s="182" t="s">
        <v>3541</v>
      </c>
    </row>
    <row r="1260" customFormat="false" ht="12" hidden="false" customHeight="false" outlineLevel="0" collapsed="false">
      <c r="A1260" s="182" t="s">
        <v>3542</v>
      </c>
      <c r="B1260" s="182" t="s">
        <v>3543</v>
      </c>
    </row>
    <row r="1261" customFormat="false" ht="12" hidden="false" customHeight="false" outlineLevel="0" collapsed="false">
      <c r="A1261" s="182" t="s">
        <v>3544</v>
      </c>
      <c r="B1261" s="182" t="s">
        <v>3545</v>
      </c>
    </row>
    <row r="1262" customFormat="false" ht="12" hidden="false" customHeight="false" outlineLevel="0" collapsed="false">
      <c r="A1262" s="182" t="s">
        <v>3546</v>
      </c>
      <c r="B1262" s="182" t="s">
        <v>798</v>
      </c>
    </row>
    <row r="1263" customFormat="false" ht="12" hidden="false" customHeight="false" outlineLevel="0" collapsed="false">
      <c r="A1263" s="182" t="s">
        <v>3547</v>
      </c>
      <c r="B1263" s="182" t="s">
        <v>3548</v>
      </c>
    </row>
    <row r="1264" customFormat="false" ht="12" hidden="false" customHeight="false" outlineLevel="0" collapsed="false">
      <c r="A1264" s="182" t="s">
        <v>3549</v>
      </c>
      <c r="B1264" s="182" t="s">
        <v>3550</v>
      </c>
    </row>
    <row r="1265" customFormat="false" ht="12" hidden="false" customHeight="false" outlineLevel="0" collapsed="false">
      <c r="A1265" s="182" t="s">
        <v>3551</v>
      </c>
      <c r="B1265" s="182" t="s">
        <v>3552</v>
      </c>
    </row>
    <row r="1266" customFormat="false" ht="12" hidden="false" customHeight="false" outlineLevel="0" collapsed="false">
      <c r="A1266" s="182" t="s">
        <v>3553</v>
      </c>
      <c r="B1266" s="182" t="s">
        <v>3554</v>
      </c>
    </row>
    <row r="1267" customFormat="false" ht="12" hidden="false" customHeight="false" outlineLevel="0" collapsed="false">
      <c r="A1267" s="182" t="s">
        <v>3555</v>
      </c>
      <c r="B1267" s="182" t="s">
        <v>3556</v>
      </c>
    </row>
    <row r="1268" customFormat="false" ht="12" hidden="false" customHeight="false" outlineLevel="0" collapsed="false">
      <c r="A1268" s="182" t="s">
        <v>3557</v>
      </c>
      <c r="B1268" s="182" t="s">
        <v>3558</v>
      </c>
    </row>
    <row r="1269" customFormat="false" ht="12" hidden="false" customHeight="false" outlineLevel="0" collapsed="false">
      <c r="A1269" s="182" t="s">
        <v>3559</v>
      </c>
      <c r="B1269" s="182" t="s">
        <v>803</v>
      </c>
    </row>
    <row r="1270" customFormat="false" ht="12" hidden="false" customHeight="false" outlineLevel="0" collapsed="false">
      <c r="A1270" s="182" t="s">
        <v>3560</v>
      </c>
      <c r="B1270" s="182" t="s">
        <v>3561</v>
      </c>
    </row>
    <row r="1271" customFormat="false" ht="12" hidden="false" customHeight="false" outlineLevel="0" collapsed="false">
      <c r="A1271" s="182" t="s">
        <v>3562</v>
      </c>
      <c r="B1271" s="182" t="s">
        <v>3563</v>
      </c>
    </row>
    <row r="1272" customFormat="false" ht="12" hidden="false" customHeight="false" outlineLevel="0" collapsed="false">
      <c r="A1272" s="182" t="s">
        <v>3564</v>
      </c>
      <c r="B1272" s="182" t="s">
        <v>3565</v>
      </c>
    </row>
    <row r="1273" customFormat="false" ht="12" hidden="false" customHeight="false" outlineLevel="0" collapsed="false">
      <c r="A1273" s="182" t="s">
        <v>3566</v>
      </c>
      <c r="B1273" s="182" t="s">
        <v>3567</v>
      </c>
    </row>
    <row r="1274" customFormat="false" ht="12" hidden="false" customHeight="false" outlineLevel="0" collapsed="false">
      <c r="A1274" s="182" t="s">
        <v>3568</v>
      </c>
      <c r="B1274" s="182" t="s">
        <v>3569</v>
      </c>
    </row>
    <row r="1275" customFormat="false" ht="12" hidden="false" customHeight="false" outlineLevel="0" collapsed="false">
      <c r="A1275" s="182" t="s">
        <v>3570</v>
      </c>
      <c r="B1275" s="182" t="s">
        <v>3571</v>
      </c>
    </row>
    <row r="1276" customFormat="false" ht="12" hidden="false" customHeight="false" outlineLevel="0" collapsed="false">
      <c r="A1276" s="182" t="s">
        <v>3572</v>
      </c>
      <c r="B1276" s="182" t="s">
        <v>3573</v>
      </c>
    </row>
    <row r="1277" customFormat="false" ht="12" hidden="false" customHeight="false" outlineLevel="0" collapsed="false">
      <c r="A1277" s="182" t="s">
        <v>3574</v>
      </c>
      <c r="B1277" s="182" t="s">
        <v>3575</v>
      </c>
    </row>
    <row r="1278" customFormat="false" ht="12" hidden="false" customHeight="false" outlineLevel="0" collapsed="false">
      <c r="A1278" s="182" t="s">
        <v>3576</v>
      </c>
      <c r="B1278" s="182" t="s">
        <v>3577</v>
      </c>
    </row>
    <row r="1279" customFormat="false" ht="12" hidden="false" customHeight="false" outlineLevel="0" collapsed="false">
      <c r="A1279" s="182" t="s">
        <v>3578</v>
      </c>
      <c r="B1279" s="182" t="s">
        <v>808</v>
      </c>
    </row>
    <row r="1280" customFormat="false" ht="12" hidden="false" customHeight="false" outlineLevel="0" collapsed="false">
      <c r="A1280" s="182" t="s">
        <v>3579</v>
      </c>
      <c r="B1280" s="182" t="s">
        <v>3580</v>
      </c>
    </row>
    <row r="1281" customFormat="false" ht="12" hidden="false" customHeight="false" outlineLevel="0" collapsed="false">
      <c r="A1281" s="182" t="s">
        <v>3581</v>
      </c>
      <c r="B1281" s="182" t="s">
        <v>3582</v>
      </c>
    </row>
    <row r="1282" customFormat="false" ht="12" hidden="false" customHeight="false" outlineLevel="0" collapsed="false">
      <c r="A1282" s="182" t="s">
        <v>3583</v>
      </c>
      <c r="B1282" s="182" t="s">
        <v>3584</v>
      </c>
    </row>
    <row r="1283" customFormat="false" ht="12" hidden="false" customHeight="false" outlineLevel="0" collapsed="false">
      <c r="A1283" s="182" t="s">
        <v>3585</v>
      </c>
      <c r="B1283" s="182" t="s">
        <v>813</v>
      </c>
    </row>
    <row r="1284" customFormat="false" ht="12" hidden="false" customHeight="false" outlineLevel="0" collapsed="false">
      <c r="A1284" s="182" t="s">
        <v>3586</v>
      </c>
      <c r="B1284" s="182" t="s">
        <v>818</v>
      </c>
    </row>
    <row r="1285" customFormat="false" ht="12" hidden="false" customHeight="false" outlineLevel="0" collapsed="false">
      <c r="A1285" s="182" t="s">
        <v>3587</v>
      </c>
      <c r="B1285" s="182" t="s">
        <v>823</v>
      </c>
    </row>
    <row r="1286" customFormat="false" ht="12" hidden="false" customHeight="false" outlineLevel="0" collapsed="false">
      <c r="A1286" s="182" t="s">
        <v>3588</v>
      </c>
      <c r="B1286" s="182" t="s">
        <v>3589</v>
      </c>
    </row>
    <row r="1287" customFormat="false" ht="12" hidden="false" customHeight="false" outlineLevel="0" collapsed="false">
      <c r="A1287" s="182" t="s">
        <v>3590</v>
      </c>
      <c r="B1287" s="182" t="s">
        <v>3591</v>
      </c>
    </row>
    <row r="1288" customFormat="false" ht="12" hidden="false" customHeight="false" outlineLevel="0" collapsed="false">
      <c r="A1288" s="182" t="s">
        <v>3592</v>
      </c>
      <c r="B1288" s="182" t="s">
        <v>3593</v>
      </c>
    </row>
    <row r="1289" customFormat="false" ht="12" hidden="false" customHeight="false" outlineLevel="0" collapsed="false">
      <c r="A1289" s="182" t="s">
        <v>3594</v>
      </c>
      <c r="B1289" s="182" t="s">
        <v>3595</v>
      </c>
    </row>
    <row r="1290" customFormat="false" ht="12" hidden="false" customHeight="false" outlineLevel="0" collapsed="false">
      <c r="A1290" s="182" t="s">
        <v>3596</v>
      </c>
      <c r="B1290" s="182" t="s">
        <v>3597</v>
      </c>
    </row>
    <row r="1291" customFormat="false" ht="12" hidden="false" customHeight="false" outlineLevel="0" collapsed="false">
      <c r="A1291" s="182" t="s">
        <v>3598</v>
      </c>
      <c r="B1291" s="182" t="s">
        <v>3599</v>
      </c>
    </row>
    <row r="1292" customFormat="false" ht="12" hidden="false" customHeight="false" outlineLevel="0" collapsed="false">
      <c r="A1292" s="182" t="s">
        <v>3600</v>
      </c>
      <c r="B1292" s="182" t="s">
        <v>3601</v>
      </c>
    </row>
    <row r="1293" customFormat="false" ht="12" hidden="false" customHeight="false" outlineLevel="0" collapsed="false">
      <c r="A1293" s="182" t="s">
        <v>3602</v>
      </c>
      <c r="B1293" s="182" t="s">
        <v>3603</v>
      </c>
    </row>
    <row r="1294" customFormat="false" ht="12" hidden="false" customHeight="false" outlineLevel="0" collapsed="false">
      <c r="A1294" s="182" t="s">
        <v>3604</v>
      </c>
      <c r="B1294" s="182" t="s">
        <v>3605</v>
      </c>
    </row>
    <row r="1295" customFormat="false" ht="12" hidden="false" customHeight="false" outlineLevel="0" collapsed="false">
      <c r="A1295" s="182" t="s">
        <v>3606</v>
      </c>
      <c r="B1295" s="182" t="s">
        <v>3607</v>
      </c>
    </row>
    <row r="1296" customFormat="false" ht="12" hidden="false" customHeight="false" outlineLevel="0" collapsed="false">
      <c r="A1296" s="182" t="s">
        <v>3608</v>
      </c>
      <c r="B1296" s="182" t="s">
        <v>3609</v>
      </c>
    </row>
    <row r="1297" customFormat="false" ht="12" hidden="false" customHeight="false" outlineLevel="0" collapsed="false">
      <c r="A1297" s="182" t="s">
        <v>3610</v>
      </c>
      <c r="B1297" s="182" t="s">
        <v>3611</v>
      </c>
    </row>
    <row r="1298" customFormat="false" ht="12" hidden="false" customHeight="false" outlineLevel="0" collapsed="false">
      <c r="A1298" s="182" t="s">
        <v>3612</v>
      </c>
      <c r="B1298" s="182" t="s">
        <v>3613</v>
      </c>
    </row>
    <row r="1299" customFormat="false" ht="12" hidden="false" customHeight="false" outlineLevel="0" collapsed="false">
      <c r="A1299" s="182" t="s">
        <v>3614</v>
      </c>
      <c r="B1299" s="182" t="s">
        <v>3615</v>
      </c>
    </row>
    <row r="1300" customFormat="false" ht="12" hidden="false" customHeight="false" outlineLevel="0" collapsed="false">
      <c r="A1300" s="182" t="s">
        <v>3616</v>
      </c>
      <c r="B1300" s="182" t="s">
        <v>828</v>
      </c>
    </row>
    <row r="1301" customFormat="false" ht="12" hidden="false" customHeight="false" outlineLevel="0" collapsed="false">
      <c r="A1301" s="182" t="s">
        <v>3617</v>
      </c>
      <c r="B1301" s="182" t="s">
        <v>3618</v>
      </c>
    </row>
    <row r="1302" customFormat="false" ht="12" hidden="false" customHeight="false" outlineLevel="0" collapsed="false">
      <c r="A1302" s="182" t="s">
        <v>3619</v>
      </c>
      <c r="B1302" s="182" t="s">
        <v>3620</v>
      </c>
    </row>
    <row r="1303" customFormat="false" ht="12" hidden="false" customHeight="false" outlineLevel="0" collapsed="false">
      <c r="A1303" s="182" t="s">
        <v>3621</v>
      </c>
      <c r="B1303" s="182" t="s">
        <v>833</v>
      </c>
    </row>
    <row r="1304" customFormat="false" ht="12" hidden="false" customHeight="false" outlineLevel="0" collapsed="false">
      <c r="A1304" s="182" t="s">
        <v>3622</v>
      </c>
      <c r="B1304" s="182" t="s">
        <v>3623</v>
      </c>
    </row>
    <row r="1305" customFormat="false" ht="12" hidden="false" customHeight="false" outlineLevel="0" collapsed="false">
      <c r="A1305" s="182" t="s">
        <v>3624</v>
      </c>
      <c r="B1305" s="182" t="s">
        <v>3625</v>
      </c>
    </row>
    <row r="1306" customFormat="false" ht="12" hidden="false" customHeight="false" outlineLevel="0" collapsed="false">
      <c r="A1306" s="182" t="s">
        <v>3626</v>
      </c>
      <c r="B1306" s="182" t="s">
        <v>3627</v>
      </c>
    </row>
    <row r="1307" customFormat="false" ht="12" hidden="false" customHeight="false" outlineLevel="0" collapsed="false">
      <c r="A1307" s="182" t="s">
        <v>3628</v>
      </c>
      <c r="B1307" s="182" t="s">
        <v>3629</v>
      </c>
    </row>
    <row r="1308" customFormat="false" ht="12" hidden="false" customHeight="false" outlineLevel="0" collapsed="false">
      <c r="A1308" s="182" t="s">
        <v>3630</v>
      </c>
      <c r="B1308" s="182" t="s">
        <v>3631</v>
      </c>
    </row>
    <row r="1309" customFormat="false" ht="12" hidden="false" customHeight="false" outlineLevel="0" collapsed="false">
      <c r="A1309" s="182" t="s">
        <v>3632</v>
      </c>
      <c r="B1309" s="182" t="s">
        <v>3633</v>
      </c>
    </row>
    <row r="1310" customFormat="false" ht="12" hidden="false" customHeight="false" outlineLevel="0" collapsed="false">
      <c r="A1310" s="182" t="s">
        <v>3634</v>
      </c>
      <c r="B1310" s="182" t="s">
        <v>3635</v>
      </c>
    </row>
    <row r="1311" customFormat="false" ht="12" hidden="false" customHeight="false" outlineLevel="0" collapsed="false">
      <c r="A1311" s="182" t="s">
        <v>3636</v>
      </c>
      <c r="B1311" s="182" t="s">
        <v>3637</v>
      </c>
    </row>
    <row r="1312" customFormat="false" ht="12" hidden="false" customHeight="false" outlineLevel="0" collapsed="false">
      <c r="A1312" s="182" t="s">
        <v>3638</v>
      </c>
      <c r="B1312" s="182" t="s">
        <v>3639</v>
      </c>
    </row>
    <row r="1313" customFormat="false" ht="12" hidden="false" customHeight="false" outlineLevel="0" collapsed="false">
      <c r="A1313" s="182" t="s">
        <v>3640</v>
      </c>
      <c r="B1313" s="182" t="s">
        <v>3641</v>
      </c>
    </row>
    <row r="1314" customFormat="false" ht="12" hidden="false" customHeight="false" outlineLevel="0" collapsed="false">
      <c r="A1314" s="182" t="s">
        <v>3642</v>
      </c>
      <c r="B1314" s="182" t="s">
        <v>3643</v>
      </c>
    </row>
    <row r="1315" customFormat="false" ht="12" hidden="false" customHeight="false" outlineLevel="0" collapsed="false">
      <c r="A1315" s="182" t="s">
        <v>3644</v>
      </c>
      <c r="B1315" s="182" t="s">
        <v>3645</v>
      </c>
    </row>
    <row r="1316" customFormat="false" ht="12" hidden="false" customHeight="false" outlineLevel="0" collapsed="false">
      <c r="A1316" s="182" t="s">
        <v>3646</v>
      </c>
      <c r="B1316" s="182" t="s">
        <v>3647</v>
      </c>
    </row>
    <row r="1317" customFormat="false" ht="12" hidden="false" customHeight="false" outlineLevel="0" collapsed="false">
      <c r="A1317" s="182" t="s">
        <v>3648</v>
      </c>
      <c r="B1317" s="182" t="s">
        <v>3649</v>
      </c>
    </row>
    <row r="1318" customFormat="false" ht="12" hidden="false" customHeight="false" outlineLevel="0" collapsed="false">
      <c r="A1318" s="182" t="s">
        <v>3650</v>
      </c>
      <c r="B1318" s="182" t="s">
        <v>3651</v>
      </c>
    </row>
    <row r="1319" customFormat="false" ht="12" hidden="false" customHeight="false" outlineLevel="0" collapsed="false">
      <c r="A1319" s="182" t="s">
        <v>3652</v>
      </c>
      <c r="B1319" s="182" t="s">
        <v>3653</v>
      </c>
    </row>
    <row r="1320" customFormat="false" ht="12" hidden="false" customHeight="false" outlineLevel="0" collapsed="false">
      <c r="A1320" s="182" t="s">
        <v>3654</v>
      </c>
      <c r="B1320" s="182" t="s">
        <v>3655</v>
      </c>
    </row>
    <row r="1321" customFormat="false" ht="12" hidden="false" customHeight="false" outlineLevel="0" collapsed="false">
      <c r="A1321" s="182" t="s">
        <v>3656</v>
      </c>
      <c r="B1321" s="182" t="s">
        <v>3657</v>
      </c>
    </row>
    <row r="1322" customFormat="false" ht="12" hidden="false" customHeight="false" outlineLevel="0" collapsed="false">
      <c r="A1322" s="182" t="s">
        <v>3658</v>
      </c>
      <c r="B1322" s="182" t="s">
        <v>3659</v>
      </c>
    </row>
    <row r="1323" customFormat="false" ht="12" hidden="false" customHeight="false" outlineLevel="0" collapsed="false">
      <c r="A1323" s="182" t="s">
        <v>3660</v>
      </c>
      <c r="B1323" s="182" t="s">
        <v>3661</v>
      </c>
    </row>
    <row r="1324" customFormat="false" ht="12" hidden="false" customHeight="false" outlineLevel="0" collapsed="false">
      <c r="A1324" s="182" t="s">
        <v>3662</v>
      </c>
      <c r="B1324" s="182" t="s">
        <v>3663</v>
      </c>
    </row>
    <row r="1325" customFormat="false" ht="12" hidden="false" customHeight="false" outlineLevel="0" collapsed="false">
      <c r="A1325" s="182" t="s">
        <v>3664</v>
      </c>
      <c r="B1325" s="182" t="s">
        <v>3665</v>
      </c>
    </row>
    <row r="1326" customFormat="false" ht="12" hidden="false" customHeight="false" outlineLevel="0" collapsed="false">
      <c r="A1326" s="182" t="s">
        <v>3666</v>
      </c>
      <c r="B1326" s="182" t="s">
        <v>3667</v>
      </c>
    </row>
    <row r="1327" customFormat="false" ht="12" hidden="false" customHeight="false" outlineLevel="0" collapsed="false">
      <c r="A1327" s="182" t="s">
        <v>3668</v>
      </c>
      <c r="B1327" s="182" t="s">
        <v>3669</v>
      </c>
    </row>
    <row r="1328" customFormat="false" ht="12" hidden="false" customHeight="false" outlineLevel="0" collapsed="false">
      <c r="A1328" s="182" t="s">
        <v>3670</v>
      </c>
      <c r="B1328" s="182" t="s">
        <v>3671</v>
      </c>
    </row>
    <row r="1329" customFormat="false" ht="12" hidden="false" customHeight="false" outlineLevel="0" collapsed="false">
      <c r="A1329" s="182" t="s">
        <v>3672</v>
      </c>
      <c r="B1329" s="182" t="s">
        <v>3673</v>
      </c>
    </row>
    <row r="1330" customFormat="false" ht="12" hidden="false" customHeight="false" outlineLevel="0" collapsed="false">
      <c r="A1330" s="182" t="s">
        <v>3674</v>
      </c>
      <c r="B1330" s="182" t="s">
        <v>3675</v>
      </c>
    </row>
    <row r="1331" customFormat="false" ht="12" hidden="false" customHeight="false" outlineLevel="0" collapsed="false">
      <c r="A1331" s="182" t="s">
        <v>3676</v>
      </c>
      <c r="B1331" s="182" t="s">
        <v>3677</v>
      </c>
    </row>
    <row r="1332" customFormat="false" ht="12" hidden="false" customHeight="false" outlineLevel="0" collapsed="false">
      <c r="A1332" s="182" t="s">
        <v>3678</v>
      </c>
      <c r="B1332" s="182" t="s">
        <v>3679</v>
      </c>
    </row>
    <row r="1333" customFormat="false" ht="12" hidden="false" customHeight="false" outlineLevel="0" collapsed="false">
      <c r="A1333" s="182" t="s">
        <v>3680</v>
      </c>
      <c r="B1333" s="182" t="s">
        <v>3681</v>
      </c>
    </row>
    <row r="1334" customFormat="false" ht="12" hidden="false" customHeight="false" outlineLevel="0" collapsed="false">
      <c r="A1334" s="182" t="s">
        <v>3682</v>
      </c>
      <c r="B1334" s="182" t="s">
        <v>3683</v>
      </c>
    </row>
    <row r="1335" customFormat="false" ht="12" hidden="false" customHeight="false" outlineLevel="0" collapsed="false">
      <c r="A1335" s="182" t="s">
        <v>3684</v>
      </c>
      <c r="B1335" s="182" t="s">
        <v>3685</v>
      </c>
    </row>
    <row r="1336" customFormat="false" ht="12" hidden="false" customHeight="false" outlineLevel="0" collapsed="false">
      <c r="A1336" s="182" t="s">
        <v>3686</v>
      </c>
      <c r="B1336" s="182" t="s">
        <v>3687</v>
      </c>
    </row>
    <row r="1337" customFormat="false" ht="12" hidden="false" customHeight="false" outlineLevel="0" collapsed="false">
      <c r="A1337" s="182" t="s">
        <v>3688</v>
      </c>
      <c r="B1337" s="182" t="s">
        <v>3689</v>
      </c>
    </row>
    <row r="1338" customFormat="false" ht="12" hidden="false" customHeight="false" outlineLevel="0" collapsed="false">
      <c r="A1338" s="182" t="s">
        <v>3690</v>
      </c>
      <c r="B1338" s="182" t="s">
        <v>3691</v>
      </c>
    </row>
    <row r="1339" customFormat="false" ht="12" hidden="false" customHeight="false" outlineLevel="0" collapsed="false">
      <c r="A1339" s="182" t="s">
        <v>3692</v>
      </c>
      <c r="B1339" s="182" t="s">
        <v>3693</v>
      </c>
    </row>
    <row r="1340" customFormat="false" ht="12" hidden="false" customHeight="false" outlineLevel="0" collapsed="false">
      <c r="A1340" s="182" t="s">
        <v>3694</v>
      </c>
      <c r="B1340" s="182" t="s">
        <v>3695</v>
      </c>
    </row>
    <row r="1341" customFormat="false" ht="12" hidden="false" customHeight="false" outlineLevel="0" collapsed="false">
      <c r="A1341" s="182" t="s">
        <v>3696</v>
      </c>
      <c r="B1341" s="182" t="s">
        <v>3697</v>
      </c>
    </row>
    <row r="1342" customFormat="false" ht="12" hidden="false" customHeight="false" outlineLevel="0" collapsed="false">
      <c r="A1342" s="182" t="s">
        <v>3698</v>
      </c>
      <c r="B1342" s="182" t="s">
        <v>3699</v>
      </c>
    </row>
    <row r="1343" customFormat="false" ht="12" hidden="false" customHeight="false" outlineLevel="0" collapsed="false">
      <c r="A1343" s="182" t="s">
        <v>3700</v>
      </c>
      <c r="B1343" s="182" t="s">
        <v>3701</v>
      </c>
    </row>
    <row r="1344" customFormat="false" ht="12" hidden="false" customHeight="false" outlineLevel="0" collapsed="false">
      <c r="A1344" s="182" t="s">
        <v>3702</v>
      </c>
      <c r="B1344" s="182" t="s">
        <v>3703</v>
      </c>
    </row>
    <row r="1345" customFormat="false" ht="12" hidden="false" customHeight="false" outlineLevel="0" collapsed="false">
      <c r="A1345" s="182" t="s">
        <v>3704</v>
      </c>
      <c r="B1345" s="182" t="s">
        <v>3705</v>
      </c>
    </row>
    <row r="1346" customFormat="false" ht="12" hidden="false" customHeight="false" outlineLevel="0" collapsed="false">
      <c r="A1346" s="182" t="s">
        <v>3706</v>
      </c>
      <c r="B1346" s="182" t="s">
        <v>3707</v>
      </c>
    </row>
    <row r="1347" customFormat="false" ht="12" hidden="false" customHeight="false" outlineLevel="0" collapsed="false">
      <c r="A1347" s="182" t="s">
        <v>3708</v>
      </c>
      <c r="B1347" s="182" t="s">
        <v>3709</v>
      </c>
    </row>
    <row r="1348" customFormat="false" ht="12" hidden="false" customHeight="false" outlineLevel="0" collapsed="false">
      <c r="A1348" s="182" t="s">
        <v>3710</v>
      </c>
      <c r="B1348" s="182" t="s">
        <v>3711</v>
      </c>
    </row>
    <row r="1349" customFormat="false" ht="12" hidden="false" customHeight="false" outlineLevel="0" collapsed="false">
      <c r="A1349" s="182" t="s">
        <v>3712</v>
      </c>
      <c r="B1349" s="182" t="s">
        <v>3713</v>
      </c>
    </row>
    <row r="1350" customFormat="false" ht="12" hidden="false" customHeight="false" outlineLevel="0" collapsed="false">
      <c r="A1350" s="182" t="s">
        <v>3714</v>
      </c>
      <c r="B1350" s="182" t="s">
        <v>3715</v>
      </c>
    </row>
    <row r="1351" customFormat="false" ht="12" hidden="false" customHeight="false" outlineLevel="0" collapsed="false">
      <c r="A1351" s="182" t="s">
        <v>3716</v>
      </c>
      <c r="B1351" s="182" t="s">
        <v>3717</v>
      </c>
    </row>
    <row r="1352" customFormat="false" ht="12" hidden="false" customHeight="false" outlineLevel="0" collapsed="false">
      <c r="A1352" s="182" t="s">
        <v>3718</v>
      </c>
      <c r="B1352" s="182" t="s">
        <v>3719</v>
      </c>
    </row>
    <row r="1353" customFormat="false" ht="12" hidden="false" customHeight="false" outlineLevel="0" collapsed="false">
      <c r="A1353" s="182" t="s">
        <v>3720</v>
      </c>
      <c r="B1353" s="182" t="s">
        <v>3721</v>
      </c>
    </row>
    <row r="1354" customFormat="false" ht="12" hidden="false" customHeight="false" outlineLevel="0" collapsed="false">
      <c r="A1354" s="182" t="s">
        <v>3722</v>
      </c>
      <c r="B1354" s="182" t="s">
        <v>3723</v>
      </c>
    </row>
    <row r="1355" customFormat="false" ht="12" hidden="false" customHeight="false" outlineLevel="0" collapsed="false">
      <c r="A1355" s="182" t="s">
        <v>3724</v>
      </c>
      <c r="B1355" s="182" t="s">
        <v>838</v>
      </c>
    </row>
    <row r="1356" customFormat="false" ht="12" hidden="false" customHeight="false" outlineLevel="0" collapsed="false">
      <c r="A1356" s="182" t="s">
        <v>3725</v>
      </c>
      <c r="B1356" s="182" t="s">
        <v>3726</v>
      </c>
    </row>
    <row r="1357" customFormat="false" ht="12" hidden="false" customHeight="false" outlineLevel="0" collapsed="false">
      <c r="A1357" s="182" t="s">
        <v>3727</v>
      </c>
      <c r="B1357" s="182" t="s">
        <v>843</v>
      </c>
    </row>
    <row r="1358" customFormat="false" ht="12" hidden="false" customHeight="false" outlineLevel="0" collapsed="false">
      <c r="A1358" s="182" t="s">
        <v>3728</v>
      </c>
      <c r="B1358" s="182" t="s">
        <v>3729</v>
      </c>
    </row>
    <row r="1359" customFormat="false" ht="12" hidden="false" customHeight="false" outlineLevel="0" collapsed="false">
      <c r="A1359" s="182" t="s">
        <v>3730</v>
      </c>
      <c r="B1359" s="182" t="s">
        <v>3731</v>
      </c>
    </row>
    <row r="1360" customFormat="false" ht="12" hidden="false" customHeight="false" outlineLevel="0" collapsed="false">
      <c r="A1360" s="182" t="s">
        <v>3732</v>
      </c>
      <c r="B1360" s="182" t="s">
        <v>3733</v>
      </c>
    </row>
    <row r="1361" customFormat="false" ht="12" hidden="false" customHeight="false" outlineLevel="0" collapsed="false">
      <c r="A1361" s="182" t="s">
        <v>3734</v>
      </c>
      <c r="B1361" s="182" t="s">
        <v>3735</v>
      </c>
    </row>
    <row r="1362" customFormat="false" ht="12" hidden="false" customHeight="false" outlineLevel="0" collapsed="false">
      <c r="A1362" s="182" t="s">
        <v>3736</v>
      </c>
      <c r="B1362" s="182" t="s">
        <v>3737</v>
      </c>
    </row>
    <row r="1363" customFormat="false" ht="12" hidden="false" customHeight="false" outlineLevel="0" collapsed="false">
      <c r="A1363" s="182" t="s">
        <v>3738</v>
      </c>
      <c r="B1363" s="182" t="s">
        <v>3739</v>
      </c>
    </row>
    <row r="1364" customFormat="false" ht="12" hidden="false" customHeight="false" outlineLevel="0" collapsed="false">
      <c r="A1364" s="182" t="s">
        <v>3740</v>
      </c>
      <c r="B1364" s="182" t="s">
        <v>3741</v>
      </c>
    </row>
    <row r="1365" customFormat="false" ht="12" hidden="false" customHeight="false" outlineLevel="0" collapsed="false">
      <c r="A1365" s="182" t="s">
        <v>3742</v>
      </c>
      <c r="B1365" s="182" t="s">
        <v>3743</v>
      </c>
    </row>
    <row r="1366" customFormat="false" ht="12" hidden="false" customHeight="false" outlineLevel="0" collapsed="false">
      <c r="A1366" s="182" t="s">
        <v>3744</v>
      </c>
      <c r="B1366" s="182" t="s">
        <v>3745</v>
      </c>
    </row>
    <row r="1367" customFormat="false" ht="12" hidden="false" customHeight="false" outlineLevel="0" collapsed="false">
      <c r="A1367" s="182" t="s">
        <v>3746</v>
      </c>
      <c r="B1367" s="182" t="s">
        <v>3747</v>
      </c>
    </row>
    <row r="1368" customFormat="false" ht="12" hidden="false" customHeight="false" outlineLevel="0" collapsed="false">
      <c r="A1368" s="182" t="s">
        <v>3748</v>
      </c>
      <c r="B1368" s="182" t="s">
        <v>3749</v>
      </c>
    </row>
    <row r="1369" customFormat="false" ht="12" hidden="false" customHeight="false" outlineLevel="0" collapsed="false">
      <c r="A1369" s="182" t="s">
        <v>3750</v>
      </c>
      <c r="B1369" s="182" t="s">
        <v>3751</v>
      </c>
    </row>
    <row r="1370" customFormat="false" ht="12" hidden="false" customHeight="false" outlineLevel="0" collapsed="false">
      <c r="A1370" s="182" t="s">
        <v>3752</v>
      </c>
      <c r="B1370" s="182" t="s">
        <v>3753</v>
      </c>
    </row>
    <row r="1371" customFormat="false" ht="12" hidden="false" customHeight="false" outlineLevel="0" collapsed="false">
      <c r="A1371" s="182" t="s">
        <v>3754</v>
      </c>
      <c r="B1371" s="182" t="s">
        <v>3755</v>
      </c>
    </row>
    <row r="1372" customFormat="false" ht="12" hidden="false" customHeight="false" outlineLevel="0" collapsed="false">
      <c r="A1372" s="182" t="s">
        <v>3756</v>
      </c>
      <c r="B1372" s="182" t="s">
        <v>3757</v>
      </c>
    </row>
    <row r="1373" customFormat="false" ht="12" hidden="false" customHeight="false" outlineLevel="0" collapsed="false">
      <c r="A1373" s="182" t="s">
        <v>3758</v>
      </c>
      <c r="B1373" s="182" t="s">
        <v>3759</v>
      </c>
    </row>
    <row r="1374" customFormat="false" ht="12" hidden="false" customHeight="false" outlineLevel="0" collapsed="false">
      <c r="A1374" s="182" t="s">
        <v>3760</v>
      </c>
      <c r="B1374" s="182" t="s">
        <v>3761</v>
      </c>
    </row>
    <row r="1375" customFormat="false" ht="12" hidden="false" customHeight="false" outlineLevel="0" collapsed="false">
      <c r="A1375" s="182" t="s">
        <v>3762</v>
      </c>
      <c r="B1375" s="182" t="s">
        <v>3763</v>
      </c>
    </row>
    <row r="1376" customFormat="false" ht="12" hidden="false" customHeight="false" outlineLevel="0" collapsed="false">
      <c r="A1376" s="182" t="s">
        <v>3764</v>
      </c>
      <c r="B1376" s="182" t="s">
        <v>3765</v>
      </c>
    </row>
    <row r="1377" customFormat="false" ht="12" hidden="false" customHeight="false" outlineLevel="0" collapsed="false">
      <c r="A1377" s="182" t="s">
        <v>3766</v>
      </c>
      <c r="B1377" s="182" t="s">
        <v>3767</v>
      </c>
    </row>
    <row r="1378" customFormat="false" ht="12" hidden="false" customHeight="false" outlineLevel="0" collapsed="false">
      <c r="A1378" s="182" t="s">
        <v>3768</v>
      </c>
      <c r="B1378" s="182" t="s">
        <v>3769</v>
      </c>
    </row>
    <row r="1379" customFormat="false" ht="12" hidden="false" customHeight="false" outlineLevel="0" collapsed="false">
      <c r="A1379" s="182" t="s">
        <v>3770</v>
      </c>
      <c r="B1379" s="182" t="s">
        <v>3771</v>
      </c>
    </row>
    <row r="1380" customFormat="false" ht="12" hidden="false" customHeight="false" outlineLevel="0" collapsed="false">
      <c r="A1380" s="182" t="s">
        <v>3772</v>
      </c>
      <c r="B1380" s="182" t="s">
        <v>3773</v>
      </c>
    </row>
    <row r="1381" customFormat="false" ht="12" hidden="false" customHeight="false" outlineLevel="0" collapsed="false">
      <c r="A1381" s="182" t="s">
        <v>3774</v>
      </c>
      <c r="B1381" s="182" t="s">
        <v>3775</v>
      </c>
    </row>
    <row r="1382" customFormat="false" ht="12" hidden="false" customHeight="false" outlineLevel="0" collapsed="false">
      <c r="A1382" s="182" t="s">
        <v>3776</v>
      </c>
      <c r="B1382" s="182" t="s">
        <v>3777</v>
      </c>
    </row>
    <row r="1383" customFormat="false" ht="12" hidden="false" customHeight="false" outlineLevel="0" collapsed="false">
      <c r="A1383" s="182" t="s">
        <v>3778</v>
      </c>
      <c r="B1383" s="182" t="s">
        <v>3779</v>
      </c>
    </row>
    <row r="1384" customFormat="false" ht="12" hidden="false" customHeight="false" outlineLevel="0" collapsed="false">
      <c r="A1384" s="182" t="s">
        <v>3780</v>
      </c>
      <c r="B1384" s="182" t="s">
        <v>3781</v>
      </c>
    </row>
    <row r="1385" customFormat="false" ht="12" hidden="false" customHeight="false" outlineLevel="0" collapsed="false">
      <c r="A1385" s="182" t="s">
        <v>3782</v>
      </c>
      <c r="B1385" s="182" t="s">
        <v>1404</v>
      </c>
    </row>
    <row r="1386" customFormat="false" ht="12" hidden="false" customHeight="false" outlineLevel="0" collapsed="false">
      <c r="A1386" s="182" t="s">
        <v>3783</v>
      </c>
      <c r="B1386" s="182" t="s">
        <v>3784</v>
      </c>
    </row>
    <row r="1387" customFormat="false" ht="12" hidden="false" customHeight="false" outlineLevel="0" collapsed="false">
      <c r="A1387" s="182" t="s">
        <v>3785</v>
      </c>
      <c r="B1387" s="182" t="s">
        <v>848</v>
      </c>
    </row>
    <row r="1388" customFormat="false" ht="12" hidden="false" customHeight="false" outlineLevel="0" collapsed="false">
      <c r="A1388" s="182" t="s">
        <v>3786</v>
      </c>
      <c r="B1388" s="182" t="s">
        <v>3787</v>
      </c>
    </row>
    <row r="1389" customFormat="false" ht="12" hidden="false" customHeight="false" outlineLevel="0" collapsed="false">
      <c r="A1389" s="182" t="s">
        <v>3788</v>
      </c>
      <c r="B1389" s="182" t="s">
        <v>853</v>
      </c>
    </row>
    <row r="1390" customFormat="false" ht="12" hidden="false" customHeight="false" outlineLevel="0" collapsed="false">
      <c r="A1390" s="182" t="s">
        <v>3789</v>
      </c>
      <c r="B1390" s="182" t="s">
        <v>3790</v>
      </c>
    </row>
    <row r="1391" customFormat="false" ht="12" hidden="false" customHeight="false" outlineLevel="0" collapsed="false">
      <c r="A1391" s="182" t="s">
        <v>3791</v>
      </c>
      <c r="B1391" s="182" t="s">
        <v>858</v>
      </c>
    </row>
    <row r="1392" customFormat="false" ht="12" hidden="false" customHeight="false" outlineLevel="0" collapsed="false">
      <c r="A1392" s="182" t="s">
        <v>3792</v>
      </c>
      <c r="B1392" s="182" t="s">
        <v>863</v>
      </c>
    </row>
    <row r="1393" customFormat="false" ht="12" hidden="false" customHeight="false" outlineLevel="0" collapsed="false">
      <c r="A1393" s="182" t="s">
        <v>3793</v>
      </c>
      <c r="B1393" s="182" t="s">
        <v>120</v>
      </c>
    </row>
    <row r="1394" customFormat="false" ht="12" hidden="false" customHeight="false" outlineLevel="0" collapsed="false">
      <c r="A1394" s="182" t="s">
        <v>3794</v>
      </c>
      <c r="B1394" s="182" t="s">
        <v>3795</v>
      </c>
    </row>
    <row r="1395" customFormat="false" ht="12" hidden="false" customHeight="false" outlineLevel="0" collapsed="false">
      <c r="A1395" s="182" t="s">
        <v>3796</v>
      </c>
      <c r="B1395" s="182" t="s">
        <v>3797</v>
      </c>
    </row>
    <row r="1396" customFormat="false" ht="12" hidden="false" customHeight="false" outlineLevel="0" collapsed="false">
      <c r="A1396" s="182" t="s">
        <v>3798</v>
      </c>
      <c r="B1396" s="182" t="s">
        <v>3799</v>
      </c>
    </row>
    <row r="1397" customFormat="false" ht="12" hidden="false" customHeight="false" outlineLevel="0" collapsed="false">
      <c r="A1397" s="182" t="s">
        <v>3800</v>
      </c>
      <c r="B1397" s="182" t="s">
        <v>868</v>
      </c>
    </row>
    <row r="1398" customFormat="false" ht="12" hidden="false" customHeight="false" outlineLevel="0" collapsed="false">
      <c r="A1398" s="182" t="s">
        <v>3801</v>
      </c>
      <c r="B1398" s="182" t="s">
        <v>3802</v>
      </c>
    </row>
    <row r="1399" customFormat="false" ht="12" hidden="false" customHeight="false" outlineLevel="0" collapsed="false">
      <c r="A1399" s="182" t="s">
        <v>3803</v>
      </c>
      <c r="B1399" s="182" t="s">
        <v>3804</v>
      </c>
    </row>
    <row r="1400" customFormat="false" ht="12" hidden="false" customHeight="false" outlineLevel="0" collapsed="false">
      <c r="A1400" s="182" t="s">
        <v>3805</v>
      </c>
      <c r="B1400" s="182" t="s">
        <v>3806</v>
      </c>
    </row>
    <row r="1401" customFormat="false" ht="12" hidden="false" customHeight="false" outlineLevel="0" collapsed="false">
      <c r="A1401" s="182" t="s">
        <v>3807</v>
      </c>
      <c r="B1401" s="182" t="s">
        <v>3808</v>
      </c>
    </row>
    <row r="1402" customFormat="false" ht="12" hidden="false" customHeight="false" outlineLevel="0" collapsed="false">
      <c r="A1402" s="182" t="s">
        <v>3809</v>
      </c>
      <c r="B1402" s="182" t="s">
        <v>3810</v>
      </c>
    </row>
    <row r="1403" customFormat="false" ht="12" hidden="false" customHeight="false" outlineLevel="0" collapsed="false">
      <c r="A1403" s="182" t="s">
        <v>3811</v>
      </c>
      <c r="B1403" s="182" t="s">
        <v>3812</v>
      </c>
    </row>
    <row r="1404" customFormat="false" ht="12" hidden="false" customHeight="false" outlineLevel="0" collapsed="false">
      <c r="A1404" s="182" t="s">
        <v>3813</v>
      </c>
      <c r="B1404" s="182" t="s">
        <v>3814</v>
      </c>
    </row>
    <row r="1405" customFormat="false" ht="12" hidden="false" customHeight="false" outlineLevel="0" collapsed="false">
      <c r="A1405" s="182" t="s">
        <v>3815</v>
      </c>
      <c r="B1405" s="182" t="s">
        <v>3816</v>
      </c>
    </row>
    <row r="1406" customFormat="false" ht="12" hidden="false" customHeight="false" outlineLevel="0" collapsed="false">
      <c r="A1406" s="182" t="s">
        <v>3817</v>
      </c>
      <c r="B1406" s="182" t="s">
        <v>3818</v>
      </c>
    </row>
    <row r="1407" customFormat="false" ht="12" hidden="false" customHeight="false" outlineLevel="0" collapsed="false">
      <c r="A1407" s="182" t="s">
        <v>3819</v>
      </c>
      <c r="B1407" s="182" t="s">
        <v>3820</v>
      </c>
    </row>
    <row r="1408" customFormat="false" ht="12" hidden="false" customHeight="false" outlineLevel="0" collapsed="false">
      <c r="A1408" s="182" t="s">
        <v>3821</v>
      </c>
      <c r="B1408" s="182" t="s">
        <v>3822</v>
      </c>
    </row>
    <row r="1409" customFormat="false" ht="12" hidden="false" customHeight="false" outlineLevel="0" collapsed="false">
      <c r="A1409" s="182" t="s">
        <v>3823</v>
      </c>
      <c r="B1409" s="182" t="s">
        <v>3824</v>
      </c>
    </row>
    <row r="1410" customFormat="false" ht="12" hidden="false" customHeight="false" outlineLevel="0" collapsed="false">
      <c r="A1410" s="182" t="s">
        <v>3825</v>
      </c>
      <c r="B1410" s="182" t="s">
        <v>3826</v>
      </c>
    </row>
    <row r="1411" customFormat="false" ht="12" hidden="false" customHeight="false" outlineLevel="0" collapsed="false">
      <c r="A1411" s="182" t="s">
        <v>3827</v>
      </c>
      <c r="B1411" s="182" t="s">
        <v>3828</v>
      </c>
    </row>
    <row r="1412" customFormat="false" ht="12" hidden="false" customHeight="false" outlineLevel="0" collapsed="false">
      <c r="A1412" s="182" t="s">
        <v>3829</v>
      </c>
      <c r="B1412" s="182" t="s">
        <v>3830</v>
      </c>
    </row>
    <row r="1413" customFormat="false" ht="12" hidden="false" customHeight="false" outlineLevel="0" collapsed="false">
      <c r="A1413" s="182" t="s">
        <v>3831</v>
      </c>
      <c r="B1413" s="182" t="s">
        <v>3832</v>
      </c>
    </row>
    <row r="1414" customFormat="false" ht="12" hidden="false" customHeight="false" outlineLevel="0" collapsed="false">
      <c r="A1414" s="182" t="s">
        <v>3833</v>
      </c>
      <c r="B1414" s="182" t="s">
        <v>3834</v>
      </c>
    </row>
    <row r="1415" customFormat="false" ht="12" hidden="false" customHeight="false" outlineLevel="0" collapsed="false">
      <c r="A1415" s="182" t="s">
        <v>3835</v>
      </c>
      <c r="B1415" s="182" t="s">
        <v>3836</v>
      </c>
    </row>
    <row r="1416" customFormat="false" ht="12" hidden="false" customHeight="false" outlineLevel="0" collapsed="false">
      <c r="A1416" s="182" t="s">
        <v>3837</v>
      </c>
      <c r="B1416" s="182" t="s">
        <v>3838</v>
      </c>
    </row>
    <row r="1417" customFormat="false" ht="12" hidden="false" customHeight="false" outlineLevel="0" collapsed="false">
      <c r="A1417" s="182" t="s">
        <v>3839</v>
      </c>
      <c r="B1417" s="182" t="s">
        <v>3840</v>
      </c>
    </row>
    <row r="1418" customFormat="false" ht="12" hidden="false" customHeight="false" outlineLevel="0" collapsed="false">
      <c r="A1418" s="182" t="s">
        <v>3841</v>
      </c>
      <c r="B1418" s="182" t="s">
        <v>3842</v>
      </c>
    </row>
    <row r="1419" customFormat="false" ht="12" hidden="false" customHeight="false" outlineLevel="0" collapsed="false">
      <c r="A1419" s="182" t="s">
        <v>3843</v>
      </c>
      <c r="B1419" s="182" t="s">
        <v>3844</v>
      </c>
    </row>
    <row r="1420" customFormat="false" ht="12" hidden="false" customHeight="false" outlineLevel="0" collapsed="false">
      <c r="A1420" s="182" t="s">
        <v>3845</v>
      </c>
      <c r="B1420" s="182" t="s">
        <v>3846</v>
      </c>
    </row>
    <row r="1421" customFormat="false" ht="12" hidden="false" customHeight="false" outlineLevel="0" collapsed="false">
      <c r="A1421" s="182" t="s">
        <v>3847</v>
      </c>
      <c r="B1421" s="182" t="s">
        <v>3848</v>
      </c>
    </row>
    <row r="1422" customFormat="false" ht="12" hidden="false" customHeight="false" outlineLevel="0" collapsed="false">
      <c r="A1422" s="182" t="s">
        <v>3849</v>
      </c>
      <c r="B1422" s="182" t="s">
        <v>3850</v>
      </c>
    </row>
    <row r="1423" customFormat="false" ht="12" hidden="false" customHeight="false" outlineLevel="0" collapsed="false">
      <c r="A1423" s="182" t="s">
        <v>3851</v>
      </c>
      <c r="B1423" s="182" t="s">
        <v>3852</v>
      </c>
    </row>
    <row r="1424" customFormat="false" ht="12" hidden="false" customHeight="false" outlineLevel="0" collapsed="false">
      <c r="A1424" s="182" t="s">
        <v>3853</v>
      </c>
      <c r="B1424" s="182" t="s">
        <v>3854</v>
      </c>
    </row>
    <row r="1425" customFormat="false" ht="12" hidden="false" customHeight="false" outlineLevel="0" collapsed="false">
      <c r="A1425" s="182" t="s">
        <v>3855</v>
      </c>
      <c r="B1425" s="182" t="s">
        <v>3856</v>
      </c>
    </row>
    <row r="1426" customFormat="false" ht="12" hidden="false" customHeight="false" outlineLevel="0" collapsed="false">
      <c r="A1426" s="182" t="s">
        <v>3857</v>
      </c>
      <c r="B1426" s="182" t="s">
        <v>3858</v>
      </c>
    </row>
    <row r="1427" customFormat="false" ht="12" hidden="false" customHeight="false" outlineLevel="0" collapsed="false">
      <c r="A1427" s="182" t="s">
        <v>3859</v>
      </c>
      <c r="B1427" s="182" t="s">
        <v>3860</v>
      </c>
    </row>
    <row r="1428" customFormat="false" ht="12" hidden="false" customHeight="false" outlineLevel="0" collapsed="false">
      <c r="A1428" s="182" t="s">
        <v>3861</v>
      </c>
      <c r="B1428" s="182" t="s">
        <v>3862</v>
      </c>
    </row>
    <row r="1429" customFormat="false" ht="12" hidden="false" customHeight="false" outlineLevel="0" collapsed="false">
      <c r="A1429" s="182" t="s">
        <v>3863</v>
      </c>
      <c r="B1429" s="182" t="s">
        <v>3864</v>
      </c>
    </row>
    <row r="1430" customFormat="false" ht="12" hidden="false" customHeight="false" outlineLevel="0" collapsed="false">
      <c r="A1430" s="182" t="s">
        <v>3865</v>
      </c>
      <c r="B1430" s="182" t="s">
        <v>3866</v>
      </c>
    </row>
    <row r="1431" customFormat="false" ht="12" hidden="false" customHeight="false" outlineLevel="0" collapsed="false">
      <c r="A1431" s="182" t="s">
        <v>3867</v>
      </c>
      <c r="B1431" s="182" t="s">
        <v>3868</v>
      </c>
    </row>
    <row r="1432" customFormat="false" ht="12" hidden="false" customHeight="false" outlineLevel="0" collapsed="false">
      <c r="A1432" s="182" t="s">
        <v>3869</v>
      </c>
      <c r="B1432" s="182" t="s">
        <v>3870</v>
      </c>
    </row>
    <row r="1433" customFormat="false" ht="12" hidden="false" customHeight="false" outlineLevel="0" collapsed="false">
      <c r="A1433" s="182" t="s">
        <v>3871</v>
      </c>
      <c r="B1433" s="182" t="s">
        <v>3872</v>
      </c>
    </row>
    <row r="1434" customFormat="false" ht="12" hidden="false" customHeight="false" outlineLevel="0" collapsed="false">
      <c r="A1434" s="182" t="s">
        <v>3873</v>
      </c>
      <c r="B1434" s="182" t="s">
        <v>3874</v>
      </c>
    </row>
    <row r="1435" customFormat="false" ht="12" hidden="false" customHeight="false" outlineLevel="0" collapsed="false">
      <c r="A1435" s="182" t="s">
        <v>3875</v>
      </c>
      <c r="B1435" s="182" t="s">
        <v>3876</v>
      </c>
    </row>
    <row r="1436" customFormat="false" ht="12" hidden="false" customHeight="false" outlineLevel="0" collapsed="false">
      <c r="A1436" s="182" t="s">
        <v>3877</v>
      </c>
      <c r="B1436" s="182" t="s">
        <v>3878</v>
      </c>
    </row>
    <row r="1437" customFormat="false" ht="12" hidden="false" customHeight="false" outlineLevel="0" collapsed="false">
      <c r="A1437" s="182" t="s">
        <v>3879</v>
      </c>
      <c r="B1437" s="182" t="s">
        <v>3880</v>
      </c>
    </row>
    <row r="1438" customFormat="false" ht="12" hidden="false" customHeight="false" outlineLevel="0" collapsed="false">
      <c r="A1438" s="182" t="s">
        <v>3881</v>
      </c>
      <c r="B1438" s="182" t="s">
        <v>3882</v>
      </c>
    </row>
    <row r="1439" customFormat="false" ht="12" hidden="false" customHeight="false" outlineLevel="0" collapsed="false">
      <c r="A1439" s="182" t="s">
        <v>3883</v>
      </c>
      <c r="B1439" s="182" t="s">
        <v>3884</v>
      </c>
    </row>
    <row r="1440" customFormat="false" ht="12" hidden="false" customHeight="false" outlineLevel="0" collapsed="false">
      <c r="A1440" s="182" t="s">
        <v>3885</v>
      </c>
      <c r="B1440" s="182" t="s">
        <v>3886</v>
      </c>
    </row>
    <row r="1441" customFormat="false" ht="12" hidden="false" customHeight="false" outlineLevel="0" collapsed="false">
      <c r="A1441" s="182" t="s">
        <v>3887</v>
      </c>
      <c r="B1441" s="182" t="s">
        <v>3888</v>
      </c>
    </row>
    <row r="1442" customFormat="false" ht="12" hidden="false" customHeight="false" outlineLevel="0" collapsed="false">
      <c r="A1442" s="182" t="s">
        <v>3889</v>
      </c>
      <c r="B1442" s="182" t="s">
        <v>3890</v>
      </c>
    </row>
    <row r="1443" customFormat="false" ht="12" hidden="false" customHeight="false" outlineLevel="0" collapsed="false">
      <c r="A1443" s="182" t="s">
        <v>3891</v>
      </c>
      <c r="B1443" s="182" t="s">
        <v>3892</v>
      </c>
    </row>
    <row r="1444" customFormat="false" ht="12" hidden="false" customHeight="false" outlineLevel="0" collapsed="false">
      <c r="A1444" s="182" t="s">
        <v>3893</v>
      </c>
      <c r="B1444" s="182" t="s">
        <v>3894</v>
      </c>
    </row>
    <row r="1445" customFormat="false" ht="12" hidden="false" customHeight="false" outlineLevel="0" collapsed="false">
      <c r="A1445" s="182" t="s">
        <v>3895</v>
      </c>
      <c r="B1445" s="182" t="s">
        <v>3896</v>
      </c>
    </row>
    <row r="1446" customFormat="false" ht="12" hidden="false" customHeight="false" outlineLevel="0" collapsed="false">
      <c r="A1446" s="182" t="s">
        <v>3897</v>
      </c>
      <c r="B1446" s="182" t="s">
        <v>3898</v>
      </c>
    </row>
    <row r="1447" customFormat="false" ht="12" hidden="false" customHeight="false" outlineLevel="0" collapsed="false">
      <c r="A1447" s="182" t="s">
        <v>3899</v>
      </c>
      <c r="B1447" s="182" t="s">
        <v>3900</v>
      </c>
    </row>
    <row r="1448" customFormat="false" ht="12" hidden="false" customHeight="false" outlineLevel="0" collapsed="false">
      <c r="A1448" s="182" t="s">
        <v>3901</v>
      </c>
      <c r="B1448" s="182" t="s">
        <v>3902</v>
      </c>
    </row>
    <row r="1449" customFormat="false" ht="12" hidden="false" customHeight="false" outlineLevel="0" collapsed="false">
      <c r="A1449" s="182" t="s">
        <v>3903</v>
      </c>
      <c r="B1449" s="182" t="s">
        <v>3904</v>
      </c>
    </row>
    <row r="1450" customFormat="false" ht="12" hidden="false" customHeight="false" outlineLevel="0" collapsed="false">
      <c r="A1450" s="182" t="s">
        <v>3905</v>
      </c>
      <c r="B1450" s="182" t="s">
        <v>3906</v>
      </c>
    </row>
    <row r="1451" customFormat="false" ht="12" hidden="false" customHeight="false" outlineLevel="0" collapsed="false">
      <c r="A1451" s="182" t="s">
        <v>3907</v>
      </c>
      <c r="B1451" s="182" t="s">
        <v>3908</v>
      </c>
    </row>
    <row r="1452" customFormat="false" ht="12" hidden="false" customHeight="false" outlineLevel="0" collapsed="false">
      <c r="A1452" s="182" t="s">
        <v>3909</v>
      </c>
      <c r="B1452" s="182" t="s">
        <v>3910</v>
      </c>
    </row>
    <row r="1453" customFormat="false" ht="12" hidden="false" customHeight="false" outlineLevel="0" collapsed="false">
      <c r="A1453" s="182" t="s">
        <v>3911</v>
      </c>
      <c r="B1453" s="182" t="s">
        <v>3912</v>
      </c>
    </row>
    <row r="1454" customFormat="false" ht="12" hidden="false" customHeight="false" outlineLevel="0" collapsed="false">
      <c r="A1454" s="182" t="s">
        <v>3913</v>
      </c>
      <c r="B1454" s="182" t="s">
        <v>3914</v>
      </c>
    </row>
    <row r="1455" customFormat="false" ht="12" hidden="false" customHeight="false" outlineLevel="0" collapsed="false">
      <c r="A1455" s="182" t="s">
        <v>3915</v>
      </c>
      <c r="B1455" s="182" t="s">
        <v>3916</v>
      </c>
    </row>
    <row r="1456" customFormat="false" ht="12" hidden="false" customHeight="false" outlineLevel="0" collapsed="false">
      <c r="A1456" s="182" t="s">
        <v>3917</v>
      </c>
      <c r="B1456" s="182" t="s">
        <v>3918</v>
      </c>
    </row>
    <row r="1457" customFormat="false" ht="12" hidden="false" customHeight="false" outlineLevel="0" collapsed="false">
      <c r="A1457" s="182" t="s">
        <v>3919</v>
      </c>
      <c r="B1457" s="182" t="s">
        <v>3920</v>
      </c>
    </row>
    <row r="1458" customFormat="false" ht="12" hidden="false" customHeight="false" outlineLevel="0" collapsed="false">
      <c r="A1458" s="182" t="s">
        <v>3921</v>
      </c>
    </row>
    <row r="1459" customFormat="false" ht="12" hidden="false" customHeight="false" outlineLevel="0" collapsed="false">
      <c r="A1459" s="182" t="s">
        <v>3922</v>
      </c>
    </row>
    <row r="1460" customFormat="false" ht="12" hidden="false" customHeight="false" outlineLevel="0" collapsed="false">
      <c r="A1460" s="182" t="s">
        <v>3923</v>
      </c>
    </row>
    <row r="1461" customFormat="false" ht="12" hidden="false" customHeight="false" outlineLevel="0" collapsed="false">
      <c r="A1461" s="182" t="s">
        <v>3924</v>
      </c>
    </row>
    <row r="1462" customFormat="false" ht="12" hidden="false" customHeight="false" outlineLevel="0" collapsed="false">
      <c r="A1462" s="182" t="s">
        <v>3925</v>
      </c>
    </row>
    <row r="1463" customFormat="false" ht="12" hidden="false" customHeight="false" outlineLevel="0" collapsed="false">
      <c r="A1463" s="182" t="s">
        <v>3926</v>
      </c>
    </row>
    <row r="1464" customFormat="false" ht="12" hidden="false" customHeight="false" outlineLevel="0" collapsed="false">
      <c r="A1464" s="182" t="s">
        <v>3927</v>
      </c>
    </row>
    <row r="1465" customFormat="false" ht="12" hidden="false" customHeight="false" outlineLevel="0" collapsed="false">
      <c r="A1465" s="182" t="s">
        <v>3928</v>
      </c>
    </row>
    <row r="1466" customFormat="false" ht="12" hidden="false" customHeight="false" outlineLevel="0" collapsed="false">
      <c r="A1466" s="182" t="s">
        <v>3929</v>
      </c>
    </row>
    <row r="1467" customFormat="false" ht="12" hidden="false" customHeight="false" outlineLevel="0" collapsed="false">
      <c r="A1467" s="182" t="s">
        <v>3930</v>
      </c>
    </row>
    <row r="1468" customFormat="false" ht="12" hidden="false" customHeight="false" outlineLevel="0" collapsed="false">
      <c r="A1468" s="182" t="s">
        <v>3931</v>
      </c>
    </row>
    <row r="1469" customFormat="false" ht="12" hidden="false" customHeight="false" outlineLevel="0" collapsed="false">
      <c r="A1469" s="182" t="s">
        <v>3932</v>
      </c>
    </row>
    <row r="1470" customFormat="false" ht="12" hidden="false" customHeight="false" outlineLevel="0" collapsed="false">
      <c r="A1470" s="182" t="s">
        <v>3933</v>
      </c>
    </row>
    <row r="1471" customFormat="false" ht="12" hidden="false" customHeight="false" outlineLevel="0" collapsed="false">
      <c r="A1471" s="182" t="s">
        <v>3934</v>
      </c>
    </row>
    <row r="1472" customFormat="false" ht="12" hidden="false" customHeight="false" outlineLevel="0" collapsed="false">
      <c r="A1472" s="182" t="s">
        <v>3935</v>
      </c>
    </row>
    <row r="1473" customFormat="false" ht="12" hidden="false" customHeight="false" outlineLevel="0" collapsed="false">
      <c r="A1473" s="182" t="s">
        <v>3936</v>
      </c>
    </row>
    <row r="1474" customFormat="false" ht="12" hidden="false" customHeight="false" outlineLevel="0" collapsed="false">
      <c r="A1474" s="182" t="s">
        <v>3937</v>
      </c>
    </row>
    <row r="1475" customFormat="false" ht="12" hidden="false" customHeight="false" outlineLevel="0" collapsed="false">
      <c r="A1475" s="182" t="s">
        <v>3938</v>
      </c>
    </row>
    <row r="1476" customFormat="false" ht="12" hidden="false" customHeight="false" outlineLevel="0" collapsed="false">
      <c r="A1476" s="182" t="s">
        <v>3939</v>
      </c>
    </row>
    <row r="1477" customFormat="false" ht="12" hidden="false" customHeight="false" outlineLevel="0" collapsed="false">
      <c r="A1477" s="182" t="s">
        <v>3940</v>
      </c>
    </row>
    <row r="1478" customFormat="false" ht="12" hidden="false" customHeight="false" outlineLevel="0" collapsed="false">
      <c r="A1478" s="182" t="s">
        <v>3941</v>
      </c>
    </row>
    <row r="1479" customFormat="false" ht="12" hidden="false" customHeight="false" outlineLevel="0" collapsed="false">
      <c r="A1479" s="182" t="s">
        <v>3942</v>
      </c>
    </row>
    <row r="1480" customFormat="false" ht="12" hidden="false" customHeight="false" outlineLevel="0" collapsed="false">
      <c r="A1480" s="182" t="s">
        <v>3943</v>
      </c>
    </row>
    <row r="1481" customFormat="false" ht="12" hidden="false" customHeight="false" outlineLevel="0" collapsed="false">
      <c r="A1481" s="182" t="s">
        <v>3944</v>
      </c>
    </row>
    <row r="1482" customFormat="false" ht="12" hidden="false" customHeight="false" outlineLevel="0" collapsed="false">
      <c r="A1482" s="182" t="s">
        <v>3945</v>
      </c>
    </row>
    <row r="1483" customFormat="false" ht="12" hidden="false" customHeight="false" outlineLevel="0" collapsed="false">
      <c r="A1483" s="182" t="s">
        <v>3946</v>
      </c>
    </row>
    <row r="1484" customFormat="false" ht="12" hidden="false" customHeight="false" outlineLevel="0" collapsed="false">
      <c r="A1484" s="182" t="s">
        <v>3947</v>
      </c>
    </row>
    <row r="1485" customFormat="false" ht="12" hidden="false" customHeight="false" outlineLevel="0" collapsed="false">
      <c r="A1485" s="182" t="s">
        <v>3948</v>
      </c>
    </row>
    <row r="1486" customFormat="false" ht="12" hidden="false" customHeight="false" outlineLevel="0" collapsed="false">
      <c r="A1486" s="182" t="s">
        <v>3949</v>
      </c>
    </row>
    <row r="1487" customFormat="false" ht="12" hidden="false" customHeight="false" outlineLevel="0" collapsed="false">
      <c r="A1487" s="182" t="s">
        <v>3950</v>
      </c>
    </row>
    <row r="1488" customFormat="false" ht="12" hidden="false" customHeight="false" outlineLevel="0" collapsed="false">
      <c r="A1488" s="182" t="s">
        <v>3951</v>
      </c>
    </row>
    <row r="1489" customFormat="false" ht="12" hidden="false" customHeight="false" outlineLevel="0" collapsed="false">
      <c r="A1489" s="182" t="s">
        <v>3952</v>
      </c>
    </row>
    <row r="1490" customFormat="false" ht="12" hidden="false" customHeight="false" outlineLevel="0" collapsed="false">
      <c r="A1490" s="182" t="s">
        <v>3953</v>
      </c>
    </row>
    <row r="1491" customFormat="false" ht="12" hidden="false" customHeight="false" outlineLevel="0" collapsed="false">
      <c r="A1491" s="182" t="s">
        <v>3954</v>
      </c>
    </row>
    <row r="1492" customFormat="false" ht="12" hidden="false" customHeight="false" outlineLevel="0" collapsed="false">
      <c r="A1492" s="182" t="s">
        <v>3955</v>
      </c>
    </row>
    <row r="1493" customFormat="false" ht="12" hidden="false" customHeight="false" outlineLevel="0" collapsed="false">
      <c r="A1493" s="182" t="s">
        <v>3956</v>
      </c>
    </row>
    <row r="1494" customFormat="false" ht="12" hidden="false" customHeight="false" outlineLevel="0" collapsed="false">
      <c r="A1494" s="182" t="s">
        <v>3957</v>
      </c>
    </row>
    <row r="1495" customFormat="false" ht="12" hidden="false" customHeight="false" outlineLevel="0" collapsed="false">
      <c r="A1495" s="182" t="s">
        <v>3958</v>
      </c>
    </row>
    <row r="1496" customFormat="false" ht="12" hidden="false" customHeight="false" outlineLevel="0" collapsed="false">
      <c r="A1496" s="182" t="s">
        <v>3959</v>
      </c>
    </row>
    <row r="1497" customFormat="false" ht="12" hidden="false" customHeight="false" outlineLevel="0" collapsed="false">
      <c r="A1497" s="182" t="s">
        <v>3960</v>
      </c>
    </row>
    <row r="1498" customFormat="false" ht="12" hidden="false" customHeight="false" outlineLevel="0" collapsed="false">
      <c r="A1498" s="182" t="s">
        <v>3961</v>
      </c>
    </row>
    <row r="1499" customFormat="false" ht="12" hidden="false" customHeight="false" outlineLevel="0" collapsed="false">
      <c r="A1499" s="182" t="s">
        <v>3962</v>
      </c>
    </row>
    <row r="1500" customFormat="false" ht="12" hidden="false" customHeight="false" outlineLevel="0" collapsed="false">
      <c r="A1500" s="182" t="s">
        <v>3963</v>
      </c>
    </row>
    <row r="1501" customFormat="false" ht="12" hidden="false" customHeight="false" outlineLevel="0" collapsed="false">
      <c r="A1501" s="182" t="s">
        <v>3964</v>
      </c>
    </row>
    <row r="1502" customFormat="false" ht="12" hidden="false" customHeight="false" outlineLevel="0" collapsed="false">
      <c r="A1502" s="182" t="s">
        <v>3965</v>
      </c>
    </row>
    <row r="1503" customFormat="false" ht="12" hidden="false" customHeight="false" outlineLevel="0" collapsed="false">
      <c r="A1503" s="182" t="s">
        <v>3966</v>
      </c>
    </row>
    <row r="1504" customFormat="false" ht="12" hidden="false" customHeight="false" outlineLevel="0" collapsed="false">
      <c r="A1504" s="182" t="s">
        <v>3967</v>
      </c>
    </row>
    <row r="1505" customFormat="false" ht="12" hidden="false" customHeight="false" outlineLevel="0" collapsed="false">
      <c r="A1505" s="182" t="s">
        <v>3968</v>
      </c>
    </row>
    <row r="1506" customFormat="false" ht="12" hidden="false" customHeight="false" outlineLevel="0" collapsed="false">
      <c r="A1506" s="182" t="s">
        <v>3969</v>
      </c>
    </row>
    <row r="1507" customFormat="false" ht="12" hidden="false" customHeight="false" outlineLevel="0" collapsed="false">
      <c r="A1507" s="182" t="s">
        <v>3970</v>
      </c>
    </row>
    <row r="1508" customFormat="false" ht="12" hidden="false" customHeight="false" outlineLevel="0" collapsed="false">
      <c r="A1508" s="182" t="s">
        <v>3971</v>
      </c>
    </row>
    <row r="1509" customFormat="false" ht="12" hidden="false" customHeight="false" outlineLevel="0" collapsed="false">
      <c r="A1509" s="182" t="s">
        <v>3972</v>
      </c>
    </row>
    <row r="1510" customFormat="false" ht="12" hidden="false" customHeight="false" outlineLevel="0" collapsed="false">
      <c r="A1510" s="182" t="s">
        <v>3973</v>
      </c>
    </row>
    <row r="1511" customFormat="false" ht="12" hidden="false" customHeight="false" outlineLevel="0" collapsed="false">
      <c r="A1511" s="182" t="s">
        <v>3974</v>
      </c>
    </row>
    <row r="1512" customFormat="false" ht="12" hidden="false" customHeight="false" outlineLevel="0" collapsed="false">
      <c r="A1512" s="182" t="s">
        <v>3975</v>
      </c>
    </row>
    <row r="1513" customFormat="false" ht="12" hidden="false" customHeight="false" outlineLevel="0" collapsed="false">
      <c r="A1513" s="182" t="s">
        <v>3976</v>
      </c>
    </row>
    <row r="1514" customFormat="false" ht="12" hidden="false" customHeight="false" outlineLevel="0" collapsed="false">
      <c r="A1514" s="182" t="s">
        <v>3977</v>
      </c>
    </row>
    <row r="1515" customFormat="false" ht="12" hidden="false" customHeight="false" outlineLevel="0" collapsed="false">
      <c r="A1515" s="182" t="s">
        <v>3978</v>
      </c>
    </row>
    <row r="1516" customFormat="false" ht="12" hidden="false" customHeight="false" outlineLevel="0" collapsed="false">
      <c r="A1516" s="182" t="s">
        <v>3979</v>
      </c>
    </row>
    <row r="1517" customFormat="false" ht="12" hidden="false" customHeight="false" outlineLevel="0" collapsed="false">
      <c r="A1517" s="182" t="s">
        <v>3980</v>
      </c>
    </row>
    <row r="1518" customFormat="false" ht="12" hidden="false" customHeight="false" outlineLevel="0" collapsed="false">
      <c r="A1518" s="182" t="s">
        <v>3981</v>
      </c>
    </row>
    <row r="1519" customFormat="false" ht="12" hidden="false" customHeight="false" outlineLevel="0" collapsed="false">
      <c r="A1519" s="182" t="s">
        <v>3982</v>
      </c>
    </row>
    <row r="1520" customFormat="false" ht="12" hidden="false" customHeight="false" outlineLevel="0" collapsed="false">
      <c r="A1520" s="182" t="s">
        <v>3983</v>
      </c>
    </row>
    <row r="1521" customFormat="false" ht="12" hidden="false" customHeight="false" outlineLevel="0" collapsed="false">
      <c r="A1521" s="182" t="s">
        <v>3984</v>
      </c>
    </row>
    <row r="1522" customFormat="false" ht="12" hidden="false" customHeight="false" outlineLevel="0" collapsed="false">
      <c r="A1522" s="182" t="s">
        <v>3985</v>
      </c>
    </row>
    <row r="1523" customFormat="false" ht="12" hidden="false" customHeight="false" outlineLevel="0" collapsed="false">
      <c r="A1523" s="182" t="s">
        <v>3986</v>
      </c>
    </row>
    <row r="1524" customFormat="false" ht="12" hidden="false" customHeight="false" outlineLevel="0" collapsed="false">
      <c r="A1524" s="182" t="s">
        <v>3987</v>
      </c>
    </row>
    <row r="1525" customFormat="false" ht="12" hidden="false" customHeight="false" outlineLevel="0" collapsed="false">
      <c r="A1525" s="182" t="s">
        <v>3988</v>
      </c>
    </row>
    <row r="1526" customFormat="false" ht="12" hidden="false" customHeight="false" outlineLevel="0" collapsed="false">
      <c r="A1526" s="182" t="s">
        <v>3989</v>
      </c>
    </row>
    <row r="1527" customFormat="false" ht="12" hidden="false" customHeight="false" outlineLevel="0" collapsed="false">
      <c r="A1527" s="182" t="s">
        <v>3990</v>
      </c>
    </row>
    <row r="1528" customFormat="false" ht="12" hidden="false" customHeight="false" outlineLevel="0" collapsed="false">
      <c r="A1528" s="182" t="s">
        <v>3991</v>
      </c>
    </row>
    <row r="1529" customFormat="false" ht="12" hidden="false" customHeight="false" outlineLevel="0" collapsed="false">
      <c r="A1529" s="182" t="s">
        <v>3992</v>
      </c>
    </row>
    <row r="1530" customFormat="false" ht="12" hidden="false" customHeight="false" outlineLevel="0" collapsed="false">
      <c r="A1530" s="182" t="s">
        <v>3993</v>
      </c>
    </row>
    <row r="1531" customFormat="false" ht="12" hidden="false" customHeight="false" outlineLevel="0" collapsed="false">
      <c r="A1531" s="182" t="s">
        <v>3994</v>
      </c>
    </row>
    <row r="1532" customFormat="false" ht="12" hidden="false" customHeight="false" outlineLevel="0" collapsed="false">
      <c r="A1532" s="182" t="s">
        <v>3995</v>
      </c>
    </row>
    <row r="1533" customFormat="false" ht="12" hidden="false" customHeight="false" outlineLevel="0" collapsed="false">
      <c r="A1533" s="182" t="s">
        <v>3996</v>
      </c>
    </row>
    <row r="1534" customFormat="false" ht="12" hidden="false" customHeight="false" outlineLevel="0" collapsed="false">
      <c r="A1534" s="182" t="s">
        <v>3997</v>
      </c>
    </row>
    <row r="1535" customFormat="false" ht="12" hidden="false" customHeight="false" outlineLevel="0" collapsed="false">
      <c r="A1535" s="182" t="s">
        <v>3998</v>
      </c>
    </row>
    <row r="1536" customFormat="false" ht="12" hidden="false" customHeight="false" outlineLevel="0" collapsed="false">
      <c r="A1536" s="182" t="s">
        <v>3999</v>
      </c>
    </row>
    <row r="1537" customFormat="false" ht="12" hidden="false" customHeight="false" outlineLevel="0" collapsed="false">
      <c r="A1537" s="182" t="s">
        <v>4000</v>
      </c>
    </row>
    <row r="1538" customFormat="false" ht="12" hidden="false" customHeight="false" outlineLevel="0" collapsed="false">
      <c r="A1538" s="182" t="s">
        <v>4001</v>
      </c>
    </row>
    <row r="1539" customFormat="false" ht="12" hidden="false" customHeight="false" outlineLevel="0" collapsed="false">
      <c r="A1539" s="182" t="s">
        <v>4002</v>
      </c>
    </row>
    <row r="1540" customFormat="false" ht="12" hidden="false" customHeight="false" outlineLevel="0" collapsed="false">
      <c r="A1540" s="182" t="s">
        <v>4003</v>
      </c>
    </row>
    <row r="1541" customFormat="false" ht="12" hidden="false" customHeight="false" outlineLevel="0" collapsed="false">
      <c r="A1541" s="182" t="s">
        <v>4004</v>
      </c>
    </row>
    <row r="1542" customFormat="false" ht="12" hidden="false" customHeight="false" outlineLevel="0" collapsed="false">
      <c r="A1542" s="182" t="s">
        <v>4005</v>
      </c>
    </row>
    <row r="1543" customFormat="false" ht="12" hidden="false" customHeight="false" outlineLevel="0" collapsed="false">
      <c r="A1543" s="182" t="s">
        <v>4006</v>
      </c>
    </row>
    <row r="1544" customFormat="false" ht="12" hidden="false" customHeight="false" outlineLevel="0" collapsed="false">
      <c r="A1544" s="182" t="s">
        <v>4007</v>
      </c>
    </row>
    <row r="1545" customFormat="false" ht="12" hidden="false" customHeight="false" outlineLevel="0" collapsed="false">
      <c r="A1545" s="182" t="s">
        <v>4008</v>
      </c>
    </row>
    <row r="1546" customFormat="false" ht="12" hidden="false" customHeight="false" outlineLevel="0" collapsed="false">
      <c r="A1546" s="182" t="s">
        <v>4009</v>
      </c>
    </row>
    <row r="1547" customFormat="false" ht="12" hidden="false" customHeight="false" outlineLevel="0" collapsed="false">
      <c r="A1547" s="182" t="s">
        <v>4010</v>
      </c>
    </row>
    <row r="1548" customFormat="false" ht="12" hidden="false" customHeight="false" outlineLevel="0" collapsed="false">
      <c r="A1548" s="182" t="s">
        <v>4011</v>
      </c>
    </row>
    <row r="1549" customFormat="false" ht="12" hidden="false" customHeight="false" outlineLevel="0" collapsed="false">
      <c r="A1549" s="182" t="s">
        <v>4012</v>
      </c>
    </row>
    <row r="1550" customFormat="false" ht="12" hidden="false" customHeight="false" outlineLevel="0" collapsed="false">
      <c r="A1550" s="182" t="s">
        <v>4013</v>
      </c>
    </row>
    <row r="1551" customFormat="false" ht="12" hidden="false" customHeight="false" outlineLevel="0" collapsed="false">
      <c r="A1551" s="182" t="s">
        <v>4014</v>
      </c>
    </row>
    <row r="1552" customFormat="false" ht="12" hidden="false" customHeight="false" outlineLevel="0" collapsed="false">
      <c r="A1552" s="182" t="s">
        <v>4015</v>
      </c>
    </row>
    <row r="1553" customFormat="false" ht="12" hidden="false" customHeight="false" outlineLevel="0" collapsed="false">
      <c r="A1553" s="182" t="s">
        <v>4016</v>
      </c>
    </row>
    <row r="1554" customFormat="false" ht="12" hidden="false" customHeight="false" outlineLevel="0" collapsed="false">
      <c r="A1554" s="182" t="s">
        <v>4017</v>
      </c>
    </row>
    <row r="1555" customFormat="false" ht="12" hidden="false" customHeight="false" outlineLevel="0" collapsed="false">
      <c r="A1555" s="182" t="s">
        <v>4018</v>
      </c>
    </row>
    <row r="1556" customFormat="false" ht="12" hidden="false" customHeight="false" outlineLevel="0" collapsed="false">
      <c r="A1556" s="182" t="s">
        <v>4019</v>
      </c>
    </row>
    <row r="1557" customFormat="false" ht="12" hidden="false" customHeight="false" outlineLevel="0" collapsed="false">
      <c r="A1557" s="182" t="s">
        <v>4020</v>
      </c>
    </row>
    <row r="1558" customFormat="false" ht="12" hidden="false" customHeight="false" outlineLevel="0" collapsed="false">
      <c r="A1558" s="182" t="s">
        <v>4021</v>
      </c>
    </row>
    <row r="1559" customFormat="false" ht="12" hidden="false" customHeight="false" outlineLevel="0" collapsed="false">
      <c r="A1559" s="182" t="s">
        <v>4022</v>
      </c>
    </row>
    <row r="1560" customFormat="false" ht="12" hidden="false" customHeight="false" outlineLevel="0" collapsed="false">
      <c r="A1560" s="182" t="s">
        <v>4023</v>
      </c>
    </row>
    <row r="1561" customFormat="false" ht="12" hidden="false" customHeight="false" outlineLevel="0" collapsed="false">
      <c r="A1561" s="182" t="s">
        <v>4024</v>
      </c>
    </row>
    <row r="1562" customFormat="false" ht="12" hidden="false" customHeight="false" outlineLevel="0" collapsed="false">
      <c r="A1562" s="182" t="s">
        <v>4025</v>
      </c>
    </row>
    <row r="1563" customFormat="false" ht="12" hidden="false" customHeight="false" outlineLevel="0" collapsed="false">
      <c r="A1563" s="182" t="s">
        <v>4026</v>
      </c>
    </row>
    <row r="1564" customFormat="false" ht="12" hidden="false" customHeight="false" outlineLevel="0" collapsed="false">
      <c r="A1564" s="182" t="s">
        <v>4027</v>
      </c>
    </row>
    <row r="1565" customFormat="false" ht="12" hidden="false" customHeight="false" outlineLevel="0" collapsed="false">
      <c r="A1565" s="182" t="s">
        <v>4028</v>
      </c>
    </row>
    <row r="1566" customFormat="false" ht="12" hidden="false" customHeight="false" outlineLevel="0" collapsed="false">
      <c r="A1566" s="182" t="s">
        <v>4029</v>
      </c>
    </row>
    <row r="1567" customFormat="false" ht="12" hidden="false" customHeight="false" outlineLevel="0" collapsed="false">
      <c r="A1567" s="182" t="s">
        <v>4030</v>
      </c>
    </row>
    <row r="1568" customFormat="false" ht="12" hidden="false" customHeight="false" outlineLevel="0" collapsed="false">
      <c r="A1568" s="182" t="s">
        <v>4031</v>
      </c>
    </row>
    <row r="1569" customFormat="false" ht="12" hidden="false" customHeight="false" outlineLevel="0" collapsed="false">
      <c r="A1569" s="182" t="s">
        <v>4032</v>
      </c>
    </row>
    <row r="1570" customFormat="false" ht="12" hidden="false" customHeight="false" outlineLevel="0" collapsed="false">
      <c r="A1570" s="182" t="s">
        <v>4033</v>
      </c>
    </row>
    <row r="1571" customFormat="false" ht="12" hidden="false" customHeight="false" outlineLevel="0" collapsed="false">
      <c r="A1571" s="182" t="s">
        <v>4034</v>
      </c>
    </row>
    <row r="1572" customFormat="false" ht="12" hidden="false" customHeight="false" outlineLevel="0" collapsed="false">
      <c r="A1572" s="182" t="s">
        <v>4035</v>
      </c>
    </row>
    <row r="1573" customFormat="false" ht="12" hidden="false" customHeight="false" outlineLevel="0" collapsed="false">
      <c r="A1573" s="182" t="s">
        <v>4036</v>
      </c>
    </row>
    <row r="1574" customFormat="false" ht="12" hidden="false" customHeight="false" outlineLevel="0" collapsed="false">
      <c r="A1574" s="182" t="s">
        <v>4037</v>
      </c>
    </row>
    <row r="1575" customFormat="false" ht="12" hidden="false" customHeight="false" outlineLevel="0" collapsed="false">
      <c r="A1575" s="182" t="s">
        <v>4038</v>
      </c>
    </row>
    <row r="1576" customFormat="false" ht="12" hidden="false" customHeight="false" outlineLevel="0" collapsed="false">
      <c r="A1576" s="182" t="s">
        <v>4039</v>
      </c>
    </row>
    <row r="1577" customFormat="false" ht="12" hidden="false" customHeight="false" outlineLevel="0" collapsed="false">
      <c r="A1577" s="182" t="s">
        <v>4040</v>
      </c>
    </row>
    <row r="1578" customFormat="false" ht="12" hidden="false" customHeight="false" outlineLevel="0" collapsed="false">
      <c r="A1578" s="182" t="s">
        <v>4041</v>
      </c>
    </row>
    <row r="1579" customFormat="false" ht="12" hidden="false" customHeight="false" outlineLevel="0" collapsed="false">
      <c r="A1579" s="182" t="s">
        <v>4042</v>
      </c>
    </row>
    <row r="1580" customFormat="false" ht="12" hidden="false" customHeight="false" outlineLevel="0" collapsed="false">
      <c r="A1580" s="182" t="s">
        <v>4043</v>
      </c>
    </row>
    <row r="1581" customFormat="false" ht="12" hidden="false" customHeight="false" outlineLevel="0" collapsed="false">
      <c r="A1581" s="182" t="s">
        <v>4044</v>
      </c>
    </row>
    <row r="1582" customFormat="false" ht="12" hidden="false" customHeight="false" outlineLevel="0" collapsed="false">
      <c r="A1582" s="182" t="s">
        <v>4045</v>
      </c>
    </row>
    <row r="1583" customFormat="false" ht="12" hidden="false" customHeight="false" outlineLevel="0" collapsed="false">
      <c r="A1583" s="182" t="s">
        <v>4046</v>
      </c>
    </row>
    <row r="1584" customFormat="false" ht="12" hidden="false" customHeight="false" outlineLevel="0" collapsed="false">
      <c r="A1584" s="182" t="s">
        <v>4047</v>
      </c>
    </row>
    <row r="1585" customFormat="false" ht="12" hidden="false" customHeight="false" outlineLevel="0" collapsed="false">
      <c r="A1585" s="182" t="s">
        <v>4048</v>
      </c>
    </row>
    <row r="1586" customFormat="false" ht="12" hidden="false" customHeight="false" outlineLevel="0" collapsed="false">
      <c r="A1586" s="182" t="s">
        <v>4049</v>
      </c>
    </row>
    <row r="1587" customFormat="false" ht="12" hidden="false" customHeight="false" outlineLevel="0" collapsed="false">
      <c r="A1587" s="182" t="s">
        <v>4050</v>
      </c>
    </row>
    <row r="1588" customFormat="false" ht="12" hidden="false" customHeight="false" outlineLevel="0" collapsed="false">
      <c r="A1588" s="182" t="s">
        <v>4051</v>
      </c>
    </row>
    <row r="1589" customFormat="false" ht="12" hidden="false" customHeight="false" outlineLevel="0" collapsed="false">
      <c r="A1589" s="182" t="s">
        <v>4052</v>
      </c>
    </row>
    <row r="1590" customFormat="false" ht="12" hidden="false" customHeight="false" outlineLevel="0" collapsed="false">
      <c r="A1590" s="182" t="s">
        <v>4053</v>
      </c>
    </row>
    <row r="1591" customFormat="false" ht="12" hidden="false" customHeight="false" outlineLevel="0" collapsed="false">
      <c r="A1591" s="182" t="s">
        <v>4054</v>
      </c>
    </row>
    <row r="1592" customFormat="false" ht="12" hidden="false" customHeight="false" outlineLevel="0" collapsed="false">
      <c r="A1592" s="182" t="s">
        <v>4055</v>
      </c>
    </row>
    <row r="1593" customFormat="false" ht="12" hidden="false" customHeight="false" outlineLevel="0" collapsed="false">
      <c r="A1593" s="182" t="s">
        <v>4056</v>
      </c>
    </row>
    <row r="1594" customFormat="false" ht="12" hidden="false" customHeight="false" outlineLevel="0" collapsed="false">
      <c r="A1594" s="182" t="s">
        <v>4057</v>
      </c>
    </row>
    <row r="1595" customFormat="false" ht="12" hidden="false" customHeight="false" outlineLevel="0" collapsed="false">
      <c r="A1595" s="182" t="s">
        <v>4058</v>
      </c>
    </row>
    <row r="1596" customFormat="false" ht="12" hidden="false" customHeight="false" outlineLevel="0" collapsed="false">
      <c r="A1596" s="182" t="s">
        <v>4059</v>
      </c>
    </row>
    <row r="1597" customFormat="false" ht="12" hidden="false" customHeight="false" outlineLevel="0" collapsed="false">
      <c r="A1597" s="182" t="s">
        <v>4060</v>
      </c>
    </row>
    <row r="1598" customFormat="false" ht="12" hidden="false" customHeight="false" outlineLevel="0" collapsed="false">
      <c r="A1598" s="182" t="s">
        <v>4061</v>
      </c>
    </row>
    <row r="1599" customFormat="false" ht="12" hidden="false" customHeight="false" outlineLevel="0" collapsed="false">
      <c r="A1599" s="182" t="s">
        <v>4062</v>
      </c>
    </row>
    <row r="1600" customFormat="false" ht="12" hidden="false" customHeight="false" outlineLevel="0" collapsed="false">
      <c r="A1600" s="182" t="s">
        <v>4063</v>
      </c>
    </row>
    <row r="1601" customFormat="false" ht="12" hidden="false" customHeight="false" outlineLevel="0" collapsed="false">
      <c r="A1601" s="182" t="s">
        <v>4064</v>
      </c>
    </row>
    <row r="1602" customFormat="false" ht="12" hidden="false" customHeight="false" outlineLevel="0" collapsed="false">
      <c r="A1602" s="182" t="s">
        <v>4065</v>
      </c>
    </row>
    <row r="1603" customFormat="false" ht="12" hidden="false" customHeight="false" outlineLevel="0" collapsed="false">
      <c r="A1603" s="182" t="s">
        <v>4066</v>
      </c>
    </row>
    <row r="1604" customFormat="false" ht="12" hidden="false" customHeight="false" outlineLevel="0" collapsed="false">
      <c r="A1604" s="182" t="s">
        <v>4067</v>
      </c>
    </row>
    <row r="1605" customFormat="false" ht="12" hidden="false" customHeight="false" outlineLevel="0" collapsed="false">
      <c r="A1605" s="182" t="s">
        <v>4068</v>
      </c>
    </row>
    <row r="1606" customFormat="false" ht="12" hidden="false" customHeight="false" outlineLevel="0" collapsed="false">
      <c r="A1606" s="182" t="s">
        <v>4069</v>
      </c>
    </row>
    <row r="1607" customFormat="false" ht="12" hidden="false" customHeight="false" outlineLevel="0" collapsed="false">
      <c r="A1607" s="182" t="s">
        <v>4070</v>
      </c>
    </row>
    <row r="1608" customFormat="false" ht="12" hidden="false" customHeight="false" outlineLevel="0" collapsed="false">
      <c r="A1608" s="182" t="s">
        <v>4071</v>
      </c>
    </row>
    <row r="1609" customFormat="false" ht="12" hidden="false" customHeight="false" outlineLevel="0" collapsed="false">
      <c r="A1609" s="182" t="s">
        <v>4072</v>
      </c>
    </row>
    <row r="1610" customFormat="false" ht="12" hidden="false" customHeight="false" outlineLevel="0" collapsed="false">
      <c r="A1610" s="182" t="s">
        <v>4073</v>
      </c>
    </row>
    <row r="1611" customFormat="false" ht="12" hidden="false" customHeight="false" outlineLevel="0" collapsed="false">
      <c r="A1611" s="182" t="s">
        <v>4074</v>
      </c>
    </row>
    <row r="1612" customFormat="false" ht="12" hidden="false" customHeight="false" outlineLevel="0" collapsed="false">
      <c r="A1612" s="182" t="s">
        <v>4075</v>
      </c>
    </row>
    <row r="1613" customFormat="false" ht="12" hidden="false" customHeight="false" outlineLevel="0" collapsed="false">
      <c r="A1613" s="182" t="s">
        <v>4076</v>
      </c>
    </row>
    <row r="1614" customFormat="false" ht="12" hidden="false" customHeight="false" outlineLevel="0" collapsed="false">
      <c r="A1614" s="182" t="s">
        <v>4077</v>
      </c>
    </row>
    <row r="1615" customFormat="false" ht="12" hidden="false" customHeight="false" outlineLevel="0" collapsed="false">
      <c r="A1615" s="182" t="s">
        <v>4078</v>
      </c>
    </row>
    <row r="1616" customFormat="false" ht="12" hidden="false" customHeight="false" outlineLevel="0" collapsed="false">
      <c r="A1616" s="182" t="s">
        <v>4079</v>
      </c>
    </row>
    <row r="1617" customFormat="false" ht="12" hidden="false" customHeight="false" outlineLevel="0" collapsed="false">
      <c r="A1617" s="182" t="s">
        <v>4080</v>
      </c>
    </row>
    <row r="1618" customFormat="false" ht="12" hidden="false" customHeight="false" outlineLevel="0" collapsed="false">
      <c r="A1618" s="182" t="s">
        <v>4081</v>
      </c>
    </row>
    <row r="1619" customFormat="false" ht="12" hidden="false" customHeight="false" outlineLevel="0" collapsed="false">
      <c r="A1619" s="182" t="s">
        <v>4082</v>
      </c>
    </row>
    <row r="1620" customFormat="false" ht="12" hidden="false" customHeight="false" outlineLevel="0" collapsed="false">
      <c r="A1620" s="182" t="s">
        <v>4083</v>
      </c>
    </row>
    <row r="1621" customFormat="false" ht="12" hidden="false" customHeight="false" outlineLevel="0" collapsed="false">
      <c r="A1621" s="182" t="s">
        <v>4084</v>
      </c>
    </row>
    <row r="1622" customFormat="false" ht="12" hidden="false" customHeight="false" outlineLevel="0" collapsed="false">
      <c r="A1622" s="182" t="s">
        <v>4085</v>
      </c>
    </row>
    <row r="1623" customFormat="false" ht="12" hidden="false" customHeight="false" outlineLevel="0" collapsed="false">
      <c r="A1623" s="182" t="s">
        <v>4086</v>
      </c>
    </row>
    <row r="1624" customFormat="false" ht="12" hidden="false" customHeight="false" outlineLevel="0" collapsed="false">
      <c r="A1624" s="182" t="s">
        <v>4087</v>
      </c>
    </row>
    <row r="1625" customFormat="false" ht="12" hidden="false" customHeight="false" outlineLevel="0" collapsed="false">
      <c r="A1625" s="182" t="s">
        <v>4088</v>
      </c>
    </row>
    <row r="1626" customFormat="false" ht="12" hidden="false" customHeight="false" outlineLevel="0" collapsed="false">
      <c r="A1626" s="182" t="s">
        <v>4089</v>
      </c>
    </row>
    <row r="1627" customFormat="false" ht="12" hidden="false" customHeight="false" outlineLevel="0" collapsed="false">
      <c r="A1627" s="182" t="s">
        <v>4090</v>
      </c>
    </row>
    <row r="1628" customFormat="false" ht="12" hidden="false" customHeight="false" outlineLevel="0" collapsed="false">
      <c r="A1628" s="182" t="s">
        <v>4091</v>
      </c>
    </row>
    <row r="1629" customFormat="false" ht="12" hidden="false" customHeight="false" outlineLevel="0" collapsed="false">
      <c r="A1629" s="182" t="s">
        <v>4092</v>
      </c>
    </row>
    <row r="1630" customFormat="false" ht="12" hidden="false" customHeight="false" outlineLevel="0" collapsed="false">
      <c r="A1630" s="182" t="s">
        <v>4093</v>
      </c>
    </row>
    <row r="1631" customFormat="false" ht="12" hidden="false" customHeight="false" outlineLevel="0" collapsed="false">
      <c r="A1631" s="182" t="s">
        <v>4094</v>
      </c>
    </row>
    <row r="1632" customFormat="false" ht="12" hidden="false" customHeight="false" outlineLevel="0" collapsed="false">
      <c r="A1632" s="182" t="s">
        <v>4095</v>
      </c>
    </row>
    <row r="1633" customFormat="false" ht="12" hidden="false" customHeight="false" outlineLevel="0" collapsed="false">
      <c r="A1633" s="182" t="s">
        <v>4096</v>
      </c>
    </row>
    <row r="1634" customFormat="false" ht="12" hidden="false" customHeight="false" outlineLevel="0" collapsed="false">
      <c r="A1634" s="182" t="s">
        <v>4097</v>
      </c>
    </row>
    <row r="1635" customFormat="false" ht="12" hidden="false" customHeight="false" outlineLevel="0" collapsed="false">
      <c r="A1635" s="182" t="s">
        <v>4098</v>
      </c>
    </row>
    <row r="1636" customFormat="false" ht="12" hidden="false" customHeight="false" outlineLevel="0" collapsed="false">
      <c r="A1636" s="182" t="s">
        <v>4099</v>
      </c>
    </row>
    <row r="1637" customFormat="false" ht="12" hidden="false" customHeight="false" outlineLevel="0" collapsed="false">
      <c r="A1637" s="182" t="s">
        <v>4100</v>
      </c>
    </row>
    <row r="1638" customFormat="false" ht="12" hidden="false" customHeight="false" outlineLevel="0" collapsed="false">
      <c r="A1638" s="182" t="s">
        <v>4101</v>
      </c>
    </row>
    <row r="1639" customFormat="false" ht="12" hidden="false" customHeight="false" outlineLevel="0" collapsed="false">
      <c r="A1639" s="182" t="s">
        <v>4102</v>
      </c>
    </row>
    <row r="1640" customFormat="false" ht="12" hidden="false" customHeight="false" outlineLevel="0" collapsed="false">
      <c r="A1640" s="182" t="s">
        <v>4103</v>
      </c>
    </row>
    <row r="1641" customFormat="false" ht="12" hidden="false" customHeight="false" outlineLevel="0" collapsed="false">
      <c r="A1641" s="182" t="s">
        <v>4104</v>
      </c>
    </row>
    <row r="1642" customFormat="false" ht="12" hidden="false" customHeight="false" outlineLevel="0" collapsed="false">
      <c r="A1642" s="182" t="s">
        <v>4105</v>
      </c>
    </row>
    <row r="1643" customFormat="false" ht="12" hidden="false" customHeight="false" outlineLevel="0" collapsed="false">
      <c r="A1643" s="182" t="s">
        <v>4106</v>
      </c>
    </row>
    <row r="1644" customFormat="false" ht="12" hidden="false" customHeight="false" outlineLevel="0" collapsed="false">
      <c r="A1644" s="182" t="s">
        <v>4107</v>
      </c>
    </row>
    <row r="1645" customFormat="false" ht="12" hidden="false" customHeight="false" outlineLevel="0" collapsed="false">
      <c r="A1645" s="182" t="s">
        <v>4108</v>
      </c>
    </row>
    <row r="1646" customFormat="false" ht="12" hidden="false" customHeight="false" outlineLevel="0" collapsed="false">
      <c r="A1646" s="182" t="s">
        <v>4109</v>
      </c>
    </row>
    <row r="1647" customFormat="false" ht="12" hidden="false" customHeight="false" outlineLevel="0" collapsed="false">
      <c r="A1647" s="182" t="s">
        <v>4110</v>
      </c>
    </row>
    <row r="1648" customFormat="false" ht="12" hidden="false" customHeight="false" outlineLevel="0" collapsed="false">
      <c r="A1648" s="182" t="s">
        <v>4111</v>
      </c>
    </row>
    <row r="1649" customFormat="false" ht="12" hidden="false" customHeight="false" outlineLevel="0" collapsed="false">
      <c r="A1649" s="182" t="s">
        <v>4112</v>
      </c>
    </row>
    <row r="1650" customFormat="false" ht="12" hidden="false" customHeight="false" outlineLevel="0" collapsed="false">
      <c r="A1650" s="182" t="s">
        <v>4113</v>
      </c>
    </row>
    <row r="1651" customFormat="false" ht="12" hidden="false" customHeight="false" outlineLevel="0" collapsed="false">
      <c r="A1651" s="182" t="s">
        <v>4114</v>
      </c>
    </row>
    <row r="1652" customFormat="false" ht="12" hidden="false" customHeight="false" outlineLevel="0" collapsed="false">
      <c r="A1652" s="182" t="s">
        <v>4115</v>
      </c>
    </row>
    <row r="1653" customFormat="false" ht="12" hidden="false" customHeight="false" outlineLevel="0" collapsed="false">
      <c r="A1653" s="182" t="s">
        <v>4116</v>
      </c>
    </row>
    <row r="1654" customFormat="false" ht="12" hidden="false" customHeight="false" outlineLevel="0" collapsed="false">
      <c r="A1654" s="182" t="s">
        <v>4117</v>
      </c>
    </row>
    <row r="1655" customFormat="false" ht="12" hidden="false" customHeight="false" outlineLevel="0" collapsed="false">
      <c r="A1655" s="182" t="s">
        <v>4118</v>
      </c>
    </row>
    <row r="1656" customFormat="false" ht="12" hidden="false" customHeight="false" outlineLevel="0" collapsed="false">
      <c r="A1656" s="182" t="s">
        <v>4119</v>
      </c>
    </row>
    <row r="1657" customFormat="false" ht="12" hidden="false" customHeight="false" outlineLevel="0" collapsed="false">
      <c r="A1657" s="182" t="s">
        <v>4120</v>
      </c>
    </row>
    <row r="1658" customFormat="false" ht="12" hidden="false" customHeight="false" outlineLevel="0" collapsed="false">
      <c r="A1658" s="182" t="s">
        <v>4121</v>
      </c>
    </row>
    <row r="1659" customFormat="false" ht="12" hidden="false" customHeight="false" outlineLevel="0" collapsed="false">
      <c r="A1659" s="182" t="s">
        <v>4122</v>
      </c>
    </row>
    <row r="1660" customFormat="false" ht="12" hidden="false" customHeight="false" outlineLevel="0" collapsed="false">
      <c r="A1660" s="182" t="s">
        <v>4123</v>
      </c>
    </row>
    <row r="1661" customFormat="false" ht="12" hidden="false" customHeight="false" outlineLevel="0" collapsed="false">
      <c r="A1661" s="182" t="s">
        <v>4124</v>
      </c>
    </row>
    <row r="1662" customFormat="false" ht="12" hidden="false" customHeight="false" outlineLevel="0" collapsed="false">
      <c r="A1662" s="182" t="s">
        <v>4125</v>
      </c>
    </row>
    <row r="1663" customFormat="false" ht="12" hidden="false" customHeight="false" outlineLevel="0" collapsed="false">
      <c r="A1663" s="182" t="s">
        <v>4126</v>
      </c>
    </row>
    <row r="1664" customFormat="false" ht="12" hidden="false" customHeight="false" outlineLevel="0" collapsed="false">
      <c r="A1664" s="182" t="s">
        <v>4127</v>
      </c>
    </row>
    <row r="1665" customFormat="false" ht="12" hidden="false" customHeight="false" outlineLevel="0" collapsed="false">
      <c r="A1665" s="182" t="s">
        <v>4128</v>
      </c>
    </row>
    <row r="1666" customFormat="false" ht="12" hidden="false" customHeight="false" outlineLevel="0" collapsed="false">
      <c r="A1666" s="182" t="s">
        <v>4129</v>
      </c>
    </row>
    <row r="1667" customFormat="false" ht="12" hidden="false" customHeight="false" outlineLevel="0" collapsed="false">
      <c r="A1667" s="182" t="s">
        <v>4130</v>
      </c>
    </row>
    <row r="1668" customFormat="false" ht="12" hidden="false" customHeight="false" outlineLevel="0" collapsed="false">
      <c r="A1668" s="182" t="s">
        <v>4131</v>
      </c>
    </row>
    <row r="1669" customFormat="false" ht="12" hidden="false" customHeight="false" outlineLevel="0" collapsed="false">
      <c r="A1669" s="182" t="s">
        <v>4132</v>
      </c>
    </row>
    <row r="1670" customFormat="false" ht="12" hidden="false" customHeight="false" outlineLevel="0" collapsed="false">
      <c r="A1670" s="182" t="s">
        <v>4133</v>
      </c>
    </row>
    <row r="1671" customFormat="false" ht="12" hidden="false" customHeight="false" outlineLevel="0" collapsed="false">
      <c r="A1671" s="182" t="s">
        <v>4134</v>
      </c>
    </row>
    <row r="1672" customFormat="false" ht="12" hidden="false" customHeight="false" outlineLevel="0" collapsed="false">
      <c r="A1672" s="182" t="s">
        <v>4135</v>
      </c>
    </row>
    <row r="1673" customFormat="false" ht="12" hidden="false" customHeight="false" outlineLevel="0" collapsed="false">
      <c r="A1673" s="182" t="s">
        <v>4136</v>
      </c>
    </row>
    <row r="1674" customFormat="false" ht="12" hidden="false" customHeight="false" outlineLevel="0" collapsed="false">
      <c r="A1674" s="182" t="s">
        <v>4137</v>
      </c>
    </row>
    <row r="1675" customFormat="false" ht="12" hidden="false" customHeight="false" outlineLevel="0" collapsed="false">
      <c r="A1675" s="182" t="s">
        <v>4138</v>
      </c>
    </row>
    <row r="1676" customFormat="false" ht="12" hidden="false" customHeight="false" outlineLevel="0" collapsed="false">
      <c r="A1676" s="182" t="s">
        <v>4139</v>
      </c>
    </row>
    <row r="1677" customFormat="false" ht="12" hidden="false" customHeight="false" outlineLevel="0" collapsed="false">
      <c r="A1677" s="182" t="s">
        <v>4140</v>
      </c>
    </row>
    <row r="1678" customFormat="false" ht="12" hidden="false" customHeight="false" outlineLevel="0" collapsed="false">
      <c r="A1678" s="182" t="s">
        <v>4141</v>
      </c>
    </row>
    <row r="1679" customFormat="false" ht="12" hidden="false" customHeight="false" outlineLevel="0" collapsed="false">
      <c r="A1679" s="182" t="s">
        <v>4142</v>
      </c>
    </row>
    <row r="1680" customFormat="false" ht="12" hidden="false" customHeight="false" outlineLevel="0" collapsed="false">
      <c r="A1680" s="182" t="s">
        <v>4143</v>
      </c>
    </row>
    <row r="1681" customFormat="false" ht="12" hidden="false" customHeight="false" outlineLevel="0" collapsed="false">
      <c r="A1681" s="182" t="s">
        <v>4144</v>
      </c>
    </row>
    <row r="1682" customFormat="false" ht="12" hidden="false" customHeight="false" outlineLevel="0" collapsed="false">
      <c r="A1682" s="182" t="s">
        <v>4145</v>
      </c>
    </row>
    <row r="1683" customFormat="false" ht="12" hidden="false" customHeight="false" outlineLevel="0" collapsed="false">
      <c r="A1683" s="182" t="s">
        <v>4146</v>
      </c>
    </row>
    <row r="1684" customFormat="false" ht="12" hidden="false" customHeight="false" outlineLevel="0" collapsed="false">
      <c r="A1684" s="182" t="s">
        <v>4147</v>
      </c>
    </row>
    <row r="1685" customFormat="false" ht="12" hidden="false" customHeight="false" outlineLevel="0" collapsed="false">
      <c r="A1685" s="182" t="s">
        <v>4148</v>
      </c>
    </row>
    <row r="1686" customFormat="false" ht="12" hidden="false" customHeight="false" outlineLevel="0" collapsed="false">
      <c r="A1686" s="182" t="s">
        <v>4149</v>
      </c>
    </row>
    <row r="1687" customFormat="false" ht="12" hidden="false" customHeight="false" outlineLevel="0" collapsed="false">
      <c r="A1687" s="182" t="s">
        <v>4150</v>
      </c>
    </row>
    <row r="1688" customFormat="false" ht="12" hidden="false" customHeight="false" outlineLevel="0" collapsed="false">
      <c r="A1688" s="182" t="s">
        <v>4151</v>
      </c>
    </row>
    <row r="1689" customFormat="false" ht="12" hidden="false" customHeight="false" outlineLevel="0" collapsed="false">
      <c r="A1689" s="182" t="s">
        <v>4152</v>
      </c>
    </row>
    <row r="1690" customFormat="false" ht="12" hidden="false" customHeight="false" outlineLevel="0" collapsed="false">
      <c r="A1690" s="182" t="s">
        <v>4153</v>
      </c>
    </row>
    <row r="1691" customFormat="false" ht="12" hidden="false" customHeight="false" outlineLevel="0" collapsed="false">
      <c r="A1691" s="182" t="s">
        <v>4154</v>
      </c>
    </row>
    <row r="1692" customFormat="false" ht="12" hidden="false" customHeight="false" outlineLevel="0" collapsed="false">
      <c r="A1692" s="182" t="s">
        <v>4155</v>
      </c>
    </row>
    <row r="1693" customFormat="false" ht="12" hidden="false" customHeight="false" outlineLevel="0" collapsed="false">
      <c r="A1693" s="182" t="s">
        <v>4156</v>
      </c>
    </row>
    <row r="1694" customFormat="false" ht="12" hidden="false" customHeight="false" outlineLevel="0" collapsed="false">
      <c r="A1694" s="182" t="s">
        <v>4157</v>
      </c>
    </row>
    <row r="1695" customFormat="false" ht="12" hidden="false" customHeight="false" outlineLevel="0" collapsed="false">
      <c r="A1695" s="182" t="s">
        <v>4158</v>
      </c>
    </row>
    <row r="1696" customFormat="false" ht="12" hidden="false" customHeight="false" outlineLevel="0" collapsed="false">
      <c r="A1696" s="182" t="s">
        <v>4159</v>
      </c>
    </row>
    <row r="1697" customFormat="false" ht="12" hidden="false" customHeight="false" outlineLevel="0" collapsed="false">
      <c r="A1697" s="182" t="s">
        <v>4160</v>
      </c>
    </row>
    <row r="1698" customFormat="false" ht="12" hidden="false" customHeight="false" outlineLevel="0" collapsed="false">
      <c r="A1698" s="182" t="s">
        <v>4161</v>
      </c>
    </row>
    <row r="1699" customFormat="false" ht="12" hidden="false" customHeight="false" outlineLevel="0" collapsed="false">
      <c r="A1699" s="182" t="s">
        <v>4162</v>
      </c>
    </row>
    <row r="1700" customFormat="false" ht="12" hidden="false" customHeight="false" outlineLevel="0" collapsed="false">
      <c r="A1700" s="182" t="s">
        <v>4163</v>
      </c>
    </row>
    <row r="1701" customFormat="false" ht="12" hidden="false" customHeight="false" outlineLevel="0" collapsed="false">
      <c r="A1701" s="182" t="s">
        <v>4164</v>
      </c>
    </row>
    <row r="1702" customFormat="false" ht="12" hidden="false" customHeight="false" outlineLevel="0" collapsed="false">
      <c r="A1702" s="182" t="s">
        <v>4165</v>
      </c>
    </row>
    <row r="1703" customFormat="false" ht="12" hidden="false" customHeight="false" outlineLevel="0" collapsed="false">
      <c r="A1703" s="182" t="s">
        <v>4166</v>
      </c>
    </row>
    <row r="1704" customFormat="false" ht="12" hidden="false" customHeight="false" outlineLevel="0" collapsed="false">
      <c r="A1704" s="182" t="s">
        <v>4167</v>
      </c>
    </row>
    <row r="1705" customFormat="false" ht="12" hidden="false" customHeight="false" outlineLevel="0" collapsed="false">
      <c r="A1705" s="182" t="s">
        <v>4168</v>
      </c>
    </row>
    <row r="1706" customFormat="false" ht="12" hidden="false" customHeight="false" outlineLevel="0" collapsed="false">
      <c r="A1706" s="182" t="s">
        <v>4169</v>
      </c>
    </row>
    <row r="1707" customFormat="false" ht="12" hidden="false" customHeight="false" outlineLevel="0" collapsed="false">
      <c r="A1707" s="182" t="s">
        <v>4170</v>
      </c>
    </row>
    <row r="1708" customFormat="false" ht="12" hidden="false" customHeight="false" outlineLevel="0" collapsed="false">
      <c r="A1708" s="182" t="s">
        <v>4171</v>
      </c>
    </row>
    <row r="1709" customFormat="false" ht="12" hidden="false" customHeight="false" outlineLevel="0" collapsed="false">
      <c r="A1709" s="182" t="s">
        <v>4172</v>
      </c>
    </row>
    <row r="1710" customFormat="false" ht="12" hidden="false" customHeight="false" outlineLevel="0" collapsed="false">
      <c r="A1710" s="182" t="s">
        <v>4173</v>
      </c>
    </row>
    <row r="1711" customFormat="false" ht="12" hidden="false" customHeight="false" outlineLevel="0" collapsed="false">
      <c r="A1711" s="182" t="s">
        <v>4174</v>
      </c>
    </row>
    <row r="1712" customFormat="false" ht="12" hidden="false" customHeight="false" outlineLevel="0" collapsed="false">
      <c r="A1712" s="182" t="s">
        <v>4175</v>
      </c>
    </row>
    <row r="1713" customFormat="false" ht="12" hidden="false" customHeight="false" outlineLevel="0" collapsed="false">
      <c r="A1713" s="182" t="s">
        <v>4176</v>
      </c>
    </row>
    <row r="1714" customFormat="false" ht="12" hidden="false" customHeight="false" outlineLevel="0" collapsed="false">
      <c r="A1714" s="182" t="s">
        <v>4177</v>
      </c>
    </row>
    <row r="1715" customFormat="false" ht="12" hidden="false" customHeight="false" outlineLevel="0" collapsed="false">
      <c r="A1715" s="182" t="s">
        <v>4178</v>
      </c>
    </row>
    <row r="1716" customFormat="false" ht="12" hidden="false" customHeight="false" outlineLevel="0" collapsed="false">
      <c r="A1716" s="182" t="s">
        <v>4179</v>
      </c>
    </row>
    <row r="1717" customFormat="false" ht="12" hidden="false" customHeight="false" outlineLevel="0" collapsed="false">
      <c r="A1717" s="182" t="s">
        <v>4180</v>
      </c>
    </row>
    <row r="1718" customFormat="false" ht="12" hidden="false" customHeight="false" outlineLevel="0" collapsed="false">
      <c r="A1718" s="182" t="s">
        <v>4181</v>
      </c>
    </row>
    <row r="1719" customFormat="false" ht="12" hidden="false" customHeight="false" outlineLevel="0" collapsed="false">
      <c r="A1719" s="182" t="s">
        <v>4182</v>
      </c>
    </row>
    <row r="1720" customFormat="false" ht="12" hidden="false" customHeight="false" outlineLevel="0" collapsed="false">
      <c r="A1720" s="182" t="s">
        <v>4183</v>
      </c>
    </row>
    <row r="1721" customFormat="false" ht="12" hidden="false" customHeight="false" outlineLevel="0" collapsed="false">
      <c r="A1721" s="182" t="s">
        <v>4184</v>
      </c>
    </row>
    <row r="1722" customFormat="false" ht="12" hidden="false" customHeight="false" outlineLevel="0" collapsed="false">
      <c r="A1722" s="182" t="s">
        <v>4185</v>
      </c>
    </row>
    <row r="1723" customFormat="false" ht="12" hidden="false" customHeight="false" outlineLevel="0" collapsed="false">
      <c r="A1723" s="182" t="s">
        <v>4186</v>
      </c>
    </row>
    <row r="1724" customFormat="false" ht="12" hidden="false" customHeight="false" outlineLevel="0" collapsed="false">
      <c r="A1724" s="182" t="s">
        <v>4187</v>
      </c>
    </row>
    <row r="1725" customFormat="false" ht="12" hidden="false" customHeight="false" outlineLevel="0" collapsed="false">
      <c r="A1725" s="182" t="s">
        <v>4188</v>
      </c>
    </row>
    <row r="1726" customFormat="false" ht="12" hidden="false" customHeight="false" outlineLevel="0" collapsed="false">
      <c r="A1726" s="182" t="s">
        <v>4189</v>
      </c>
    </row>
    <row r="1727" customFormat="false" ht="12" hidden="false" customHeight="false" outlineLevel="0" collapsed="false">
      <c r="A1727" s="182" t="s">
        <v>4190</v>
      </c>
    </row>
    <row r="1728" customFormat="false" ht="12" hidden="false" customHeight="false" outlineLevel="0" collapsed="false">
      <c r="A1728" s="182" t="s">
        <v>4191</v>
      </c>
    </row>
    <row r="1729" customFormat="false" ht="12" hidden="false" customHeight="false" outlineLevel="0" collapsed="false">
      <c r="A1729" s="182" t="s">
        <v>4192</v>
      </c>
    </row>
    <row r="1730" customFormat="false" ht="12" hidden="false" customHeight="false" outlineLevel="0" collapsed="false">
      <c r="A1730" s="182" t="s">
        <v>4193</v>
      </c>
    </row>
    <row r="1731" customFormat="false" ht="12" hidden="false" customHeight="false" outlineLevel="0" collapsed="false">
      <c r="A1731" s="182" t="s">
        <v>4194</v>
      </c>
    </row>
    <row r="1732" customFormat="false" ht="12" hidden="false" customHeight="false" outlineLevel="0" collapsed="false">
      <c r="A1732" s="182" t="s">
        <v>4195</v>
      </c>
    </row>
    <row r="1733" customFormat="false" ht="12" hidden="false" customHeight="false" outlineLevel="0" collapsed="false">
      <c r="A1733" s="182" t="s">
        <v>4196</v>
      </c>
    </row>
    <row r="1734" customFormat="false" ht="12" hidden="false" customHeight="false" outlineLevel="0" collapsed="false">
      <c r="A1734" s="182" t="s">
        <v>4197</v>
      </c>
    </row>
    <row r="1735" customFormat="false" ht="12" hidden="false" customHeight="false" outlineLevel="0" collapsed="false">
      <c r="A1735" s="182" t="s">
        <v>4198</v>
      </c>
    </row>
    <row r="1736" customFormat="false" ht="12" hidden="false" customHeight="false" outlineLevel="0" collapsed="false">
      <c r="A1736" s="182" t="s">
        <v>4199</v>
      </c>
    </row>
    <row r="1737" customFormat="false" ht="12" hidden="false" customHeight="false" outlineLevel="0" collapsed="false">
      <c r="A1737" s="182" t="s">
        <v>4200</v>
      </c>
    </row>
    <row r="1738" customFormat="false" ht="12" hidden="false" customHeight="false" outlineLevel="0" collapsed="false">
      <c r="A1738" s="182" t="s">
        <v>4201</v>
      </c>
    </row>
    <row r="1739" customFormat="false" ht="12" hidden="false" customHeight="false" outlineLevel="0" collapsed="false">
      <c r="A1739" s="182" t="s">
        <v>4202</v>
      </c>
    </row>
    <row r="1740" customFormat="false" ht="12" hidden="false" customHeight="false" outlineLevel="0" collapsed="false">
      <c r="A1740" s="182" t="s">
        <v>4203</v>
      </c>
    </row>
    <row r="1741" customFormat="false" ht="12" hidden="false" customHeight="false" outlineLevel="0" collapsed="false">
      <c r="A1741" s="182" t="s">
        <v>4204</v>
      </c>
    </row>
    <row r="1742" customFormat="false" ht="12" hidden="false" customHeight="false" outlineLevel="0" collapsed="false">
      <c r="A1742" s="182" t="s">
        <v>4205</v>
      </c>
    </row>
    <row r="1743" customFormat="false" ht="12" hidden="false" customHeight="false" outlineLevel="0" collapsed="false">
      <c r="A1743" s="182" t="s">
        <v>4206</v>
      </c>
    </row>
    <row r="1744" customFormat="false" ht="12" hidden="false" customHeight="false" outlineLevel="0" collapsed="false">
      <c r="A1744" s="182" t="s">
        <v>4207</v>
      </c>
    </row>
    <row r="1745" customFormat="false" ht="12" hidden="false" customHeight="false" outlineLevel="0" collapsed="false">
      <c r="A1745" s="182" t="s">
        <v>4208</v>
      </c>
    </row>
    <row r="1746" customFormat="false" ht="12" hidden="false" customHeight="false" outlineLevel="0" collapsed="false">
      <c r="A1746" s="182" t="s">
        <v>4209</v>
      </c>
    </row>
    <row r="1747" customFormat="false" ht="12" hidden="false" customHeight="false" outlineLevel="0" collapsed="false">
      <c r="A1747" s="182" t="s">
        <v>4210</v>
      </c>
    </row>
    <row r="1748" customFormat="false" ht="12" hidden="false" customHeight="false" outlineLevel="0" collapsed="false">
      <c r="A1748" s="182" t="s">
        <v>4211</v>
      </c>
    </row>
    <row r="1749" customFormat="false" ht="12" hidden="false" customHeight="false" outlineLevel="0" collapsed="false">
      <c r="A1749" s="182" t="s">
        <v>4212</v>
      </c>
    </row>
    <row r="1750" customFormat="false" ht="12" hidden="false" customHeight="false" outlineLevel="0" collapsed="false">
      <c r="A1750" s="182" t="s">
        <v>4213</v>
      </c>
    </row>
    <row r="1751" customFormat="false" ht="12" hidden="false" customHeight="false" outlineLevel="0" collapsed="false">
      <c r="A1751" s="182" t="s">
        <v>4214</v>
      </c>
    </row>
    <row r="1752" customFormat="false" ht="12" hidden="false" customHeight="false" outlineLevel="0" collapsed="false">
      <c r="A1752" s="182" t="s">
        <v>4215</v>
      </c>
    </row>
    <row r="1753" customFormat="false" ht="12" hidden="false" customHeight="false" outlineLevel="0" collapsed="false">
      <c r="A1753" s="182" t="s">
        <v>4216</v>
      </c>
    </row>
    <row r="1754" customFormat="false" ht="12" hidden="false" customHeight="false" outlineLevel="0" collapsed="false">
      <c r="A1754" s="182" t="s">
        <v>4217</v>
      </c>
    </row>
    <row r="1755" customFormat="false" ht="12" hidden="false" customHeight="false" outlineLevel="0" collapsed="false">
      <c r="A1755" s="182" t="s">
        <v>4218</v>
      </c>
    </row>
    <row r="1756" customFormat="false" ht="12" hidden="false" customHeight="false" outlineLevel="0" collapsed="false">
      <c r="A1756" s="182" t="s">
        <v>4219</v>
      </c>
    </row>
    <row r="1757" customFormat="false" ht="12" hidden="false" customHeight="false" outlineLevel="0" collapsed="false">
      <c r="A1757" s="182" t="s">
        <v>4220</v>
      </c>
    </row>
    <row r="1758" customFormat="false" ht="12" hidden="false" customHeight="false" outlineLevel="0" collapsed="false">
      <c r="A1758" s="182" t="s">
        <v>4221</v>
      </c>
    </row>
    <row r="1759" customFormat="false" ht="12" hidden="false" customHeight="false" outlineLevel="0" collapsed="false">
      <c r="A1759" s="182" t="s">
        <v>4222</v>
      </c>
    </row>
    <row r="1760" customFormat="false" ht="12" hidden="false" customHeight="false" outlineLevel="0" collapsed="false">
      <c r="A1760" s="182" t="s">
        <v>4223</v>
      </c>
    </row>
    <row r="1761" customFormat="false" ht="12" hidden="false" customHeight="false" outlineLevel="0" collapsed="false">
      <c r="A1761" s="182" t="s">
        <v>4224</v>
      </c>
    </row>
    <row r="1762" customFormat="false" ht="12" hidden="false" customHeight="false" outlineLevel="0" collapsed="false">
      <c r="A1762" s="182" t="s">
        <v>4225</v>
      </c>
    </row>
    <row r="1763" customFormat="false" ht="12" hidden="false" customHeight="false" outlineLevel="0" collapsed="false">
      <c r="A1763" s="182" t="s">
        <v>4226</v>
      </c>
    </row>
    <row r="1764" customFormat="false" ht="12" hidden="false" customHeight="false" outlineLevel="0" collapsed="false">
      <c r="A1764" s="182" t="s">
        <v>4227</v>
      </c>
    </row>
    <row r="1765" customFormat="false" ht="12" hidden="false" customHeight="false" outlineLevel="0" collapsed="false">
      <c r="A1765" s="182" t="s">
        <v>4228</v>
      </c>
    </row>
    <row r="1766" customFormat="false" ht="12" hidden="false" customHeight="false" outlineLevel="0" collapsed="false">
      <c r="A1766" s="182" t="s">
        <v>4229</v>
      </c>
    </row>
    <row r="1767" customFormat="false" ht="12" hidden="false" customHeight="false" outlineLevel="0" collapsed="false">
      <c r="A1767" s="182" t="s">
        <v>4230</v>
      </c>
    </row>
    <row r="1768" customFormat="false" ht="12" hidden="false" customHeight="false" outlineLevel="0" collapsed="false">
      <c r="A1768" s="182" t="s">
        <v>4231</v>
      </c>
    </row>
    <row r="1769" customFormat="false" ht="12" hidden="false" customHeight="false" outlineLevel="0" collapsed="false">
      <c r="A1769" s="182" t="s">
        <v>4232</v>
      </c>
    </row>
    <row r="1770" customFormat="false" ht="12" hidden="false" customHeight="false" outlineLevel="0" collapsed="false">
      <c r="A1770" s="182" t="s">
        <v>4233</v>
      </c>
    </row>
    <row r="1771" customFormat="false" ht="12" hidden="false" customHeight="false" outlineLevel="0" collapsed="false">
      <c r="A1771" s="182" t="s">
        <v>4234</v>
      </c>
    </row>
    <row r="1772" customFormat="false" ht="12" hidden="false" customHeight="false" outlineLevel="0" collapsed="false">
      <c r="A1772" s="182" t="s">
        <v>4235</v>
      </c>
    </row>
    <row r="1773" customFormat="false" ht="12" hidden="false" customHeight="false" outlineLevel="0" collapsed="false">
      <c r="A1773" s="182" t="s">
        <v>4236</v>
      </c>
    </row>
    <row r="1774" customFormat="false" ht="12" hidden="false" customHeight="false" outlineLevel="0" collapsed="false">
      <c r="A1774" s="182" t="s">
        <v>4237</v>
      </c>
    </row>
    <row r="1775" customFormat="false" ht="12" hidden="false" customHeight="false" outlineLevel="0" collapsed="false">
      <c r="A1775" s="182" t="s">
        <v>4238</v>
      </c>
    </row>
    <row r="1776" customFormat="false" ht="12" hidden="false" customHeight="false" outlineLevel="0" collapsed="false">
      <c r="A1776" s="182" t="s">
        <v>4239</v>
      </c>
    </row>
    <row r="1777" customFormat="false" ht="12" hidden="false" customHeight="false" outlineLevel="0" collapsed="false">
      <c r="A1777" s="182" t="s">
        <v>4240</v>
      </c>
    </row>
    <row r="1778" customFormat="false" ht="12" hidden="false" customHeight="false" outlineLevel="0" collapsed="false">
      <c r="A1778" s="182" t="s">
        <v>4241</v>
      </c>
    </row>
    <row r="1779" customFormat="false" ht="12" hidden="false" customHeight="false" outlineLevel="0" collapsed="false">
      <c r="A1779" s="182" t="s">
        <v>4242</v>
      </c>
    </row>
    <row r="1780" customFormat="false" ht="12" hidden="false" customHeight="false" outlineLevel="0" collapsed="false">
      <c r="A1780" s="182" t="s">
        <v>4243</v>
      </c>
    </row>
    <row r="1781" customFormat="false" ht="12" hidden="false" customHeight="false" outlineLevel="0" collapsed="false">
      <c r="A1781" s="182" t="s">
        <v>4244</v>
      </c>
    </row>
    <row r="1782" customFormat="false" ht="12" hidden="false" customHeight="false" outlineLevel="0" collapsed="false">
      <c r="A1782" s="182" t="s">
        <v>4245</v>
      </c>
    </row>
    <row r="1783" customFormat="false" ht="12" hidden="false" customHeight="false" outlineLevel="0" collapsed="false">
      <c r="A1783" s="182" t="s">
        <v>4246</v>
      </c>
    </row>
    <row r="1784" customFormat="false" ht="12" hidden="false" customHeight="false" outlineLevel="0" collapsed="false">
      <c r="A1784" s="182" t="s">
        <v>4247</v>
      </c>
    </row>
    <row r="1785" customFormat="false" ht="12" hidden="false" customHeight="false" outlineLevel="0" collapsed="false">
      <c r="A1785" s="182" t="s">
        <v>4248</v>
      </c>
    </row>
    <row r="1786" customFormat="false" ht="12" hidden="false" customHeight="false" outlineLevel="0" collapsed="false">
      <c r="A1786" s="182" t="s">
        <v>4249</v>
      </c>
    </row>
    <row r="1787" customFormat="false" ht="12" hidden="false" customHeight="false" outlineLevel="0" collapsed="false">
      <c r="A1787" s="182" t="s">
        <v>4250</v>
      </c>
    </row>
    <row r="1788" customFormat="false" ht="12" hidden="false" customHeight="false" outlineLevel="0" collapsed="false">
      <c r="A1788" s="182" t="s">
        <v>4251</v>
      </c>
    </row>
    <row r="1789" customFormat="false" ht="12" hidden="false" customHeight="false" outlineLevel="0" collapsed="false">
      <c r="A1789" s="182" t="s">
        <v>4252</v>
      </c>
    </row>
    <row r="1790" customFormat="false" ht="12" hidden="false" customHeight="false" outlineLevel="0" collapsed="false">
      <c r="A1790" s="182" t="s">
        <v>4253</v>
      </c>
    </row>
    <row r="1791" customFormat="false" ht="12" hidden="false" customHeight="false" outlineLevel="0" collapsed="false">
      <c r="A1791" s="182" t="s">
        <v>4254</v>
      </c>
    </row>
    <row r="1792" customFormat="false" ht="12" hidden="false" customHeight="false" outlineLevel="0" collapsed="false">
      <c r="A1792" s="182" t="s">
        <v>4255</v>
      </c>
    </row>
    <row r="1793" customFormat="false" ht="12" hidden="false" customHeight="false" outlineLevel="0" collapsed="false">
      <c r="A1793" s="182" t="s">
        <v>4256</v>
      </c>
    </row>
    <row r="1794" customFormat="false" ht="12" hidden="false" customHeight="false" outlineLevel="0" collapsed="false">
      <c r="A1794" s="182" t="s">
        <v>4257</v>
      </c>
    </row>
    <row r="1795" customFormat="false" ht="12" hidden="false" customHeight="false" outlineLevel="0" collapsed="false">
      <c r="A1795" s="182" t="s">
        <v>4258</v>
      </c>
    </row>
    <row r="1796" customFormat="false" ht="12" hidden="false" customHeight="false" outlineLevel="0" collapsed="false">
      <c r="A1796" s="182" t="s">
        <v>4259</v>
      </c>
    </row>
    <row r="1797" customFormat="false" ht="12" hidden="false" customHeight="false" outlineLevel="0" collapsed="false">
      <c r="A1797" s="182" t="s">
        <v>4260</v>
      </c>
    </row>
    <row r="1798" customFormat="false" ht="12" hidden="false" customHeight="false" outlineLevel="0" collapsed="false">
      <c r="A1798" s="182" t="s">
        <v>4261</v>
      </c>
    </row>
    <row r="1799" customFormat="false" ht="12" hidden="false" customHeight="false" outlineLevel="0" collapsed="false">
      <c r="A1799" s="182" t="s">
        <v>4262</v>
      </c>
    </row>
    <row r="1800" customFormat="false" ht="12" hidden="false" customHeight="false" outlineLevel="0" collapsed="false">
      <c r="A1800" s="182" t="s">
        <v>4263</v>
      </c>
    </row>
    <row r="1801" customFormat="false" ht="12" hidden="false" customHeight="false" outlineLevel="0" collapsed="false">
      <c r="A1801" s="182" t="s">
        <v>4264</v>
      </c>
    </row>
    <row r="1802" customFormat="false" ht="12" hidden="false" customHeight="false" outlineLevel="0" collapsed="false">
      <c r="A1802" s="182" t="s">
        <v>4265</v>
      </c>
    </row>
    <row r="1803" customFormat="false" ht="12" hidden="false" customHeight="false" outlineLevel="0" collapsed="false">
      <c r="A1803" s="182" t="s">
        <v>4266</v>
      </c>
    </row>
    <row r="1804" customFormat="false" ht="12" hidden="false" customHeight="false" outlineLevel="0" collapsed="false">
      <c r="A1804" s="182" t="s">
        <v>4267</v>
      </c>
    </row>
    <row r="1805" customFormat="false" ht="12" hidden="false" customHeight="false" outlineLevel="0" collapsed="false">
      <c r="A1805" s="182" t="s">
        <v>4268</v>
      </c>
    </row>
    <row r="1806" customFormat="false" ht="12" hidden="false" customHeight="false" outlineLevel="0" collapsed="false">
      <c r="A1806" s="182" t="s">
        <v>4269</v>
      </c>
    </row>
    <row r="1807" customFormat="false" ht="12" hidden="false" customHeight="false" outlineLevel="0" collapsed="false">
      <c r="A1807" s="182" t="s">
        <v>4270</v>
      </c>
    </row>
    <row r="1808" customFormat="false" ht="12" hidden="false" customHeight="false" outlineLevel="0" collapsed="false">
      <c r="A1808" s="182" t="s">
        <v>4271</v>
      </c>
    </row>
    <row r="1809" customFormat="false" ht="12" hidden="false" customHeight="false" outlineLevel="0" collapsed="false">
      <c r="A1809" s="182" t="s">
        <v>4272</v>
      </c>
    </row>
    <row r="1810" customFormat="false" ht="12" hidden="false" customHeight="false" outlineLevel="0" collapsed="false">
      <c r="A1810" s="182" t="s">
        <v>4273</v>
      </c>
    </row>
    <row r="1811" customFormat="false" ht="12" hidden="false" customHeight="false" outlineLevel="0" collapsed="false">
      <c r="A1811" s="182" t="s">
        <v>4274</v>
      </c>
    </row>
    <row r="1812" customFormat="false" ht="12" hidden="false" customHeight="false" outlineLevel="0" collapsed="false">
      <c r="A1812" s="182" t="s">
        <v>4275</v>
      </c>
    </row>
    <row r="1813" customFormat="false" ht="12" hidden="false" customHeight="false" outlineLevel="0" collapsed="false">
      <c r="A1813" s="182" t="s">
        <v>4276</v>
      </c>
    </row>
    <row r="1814" customFormat="false" ht="12" hidden="false" customHeight="false" outlineLevel="0" collapsed="false">
      <c r="A1814" s="182" t="s">
        <v>4277</v>
      </c>
    </row>
    <row r="1815" customFormat="false" ht="12" hidden="false" customHeight="false" outlineLevel="0" collapsed="false">
      <c r="A1815" s="182" t="s">
        <v>4278</v>
      </c>
    </row>
    <row r="1816" customFormat="false" ht="12" hidden="false" customHeight="false" outlineLevel="0" collapsed="false">
      <c r="A1816" s="182" t="s">
        <v>4279</v>
      </c>
    </row>
    <row r="1817" customFormat="false" ht="12" hidden="false" customHeight="false" outlineLevel="0" collapsed="false">
      <c r="A1817" s="182" t="s">
        <v>4280</v>
      </c>
    </row>
    <row r="1818" customFormat="false" ht="12" hidden="false" customHeight="false" outlineLevel="0" collapsed="false">
      <c r="A1818" s="182" t="s">
        <v>4281</v>
      </c>
    </row>
    <row r="1819" customFormat="false" ht="12" hidden="false" customHeight="false" outlineLevel="0" collapsed="false">
      <c r="A1819" s="182" t="s">
        <v>4282</v>
      </c>
    </row>
    <row r="1820" customFormat="false" ht="12" hidden="false" customHeight="false" outlineLevel="0" collapsed="false">
      <c r="A1820" s="182" t="s">
        <v>4283</v>
      </c>
    </row>
    <row r="1821" customFormat="false" ht="12" hidden="false" customHeight="false" outlineLevel="0" collapsed="false">
      <c r="A1821" s="182" t="s">
        <v>4284</v>
      </c>
    </row>
    <row r="1822" customFormat="false" ht="12" hidden="false" customHeight="false" outlineLevel="0" collapsed="false">
      <c r="A1822" s="182" t="s">
        <v>4285</v>
      </c>
    </row>
    <row r="1823" customFormat="false" ht="12" hidden="false" customHeight="false" outlineLevel="0" collapsed="false">
      <c r="A1823" s="182" t="s">
        <v>4286</v>
      </c>
    </row>
    <row r="1824" customFormat="false" ht="12" hidden="false" customHeight="false" outlineLevel="0" collapsed="false">
      <c r="A1824" s="182" t="s">
        <v>4287</v>
      </c>
    </row>
    <row r="1825" customFormat="false" ht="12" hidden="false" customHeight="false" outlineLevel="0" collapsed="false">
      <c r="A1825" s="182" t="s">
        <v>4288</v>
      </c>
    </row>
    <row r="1826" customFormat="false" ht="12" hidden="false" customHeight="false" outlineLevel="0" collapsed="false">
      <c r="A1826" s="182" t="s">
        <v>4289</v>
      </c>
    </row>
    <row r="1827" customFormat="false" ht="12" hidden="false" customHeight="false" outlineLevel="0" collapsed="false">
      <c r="A1827" s="182" t="s">
        <v>4290</v>
      </c>
    </row>
    <row r="1828" customFormat="false" ht="12" hidden="false" customHeight="false" outlineLevel="0" collapsed="false">
      <c r="A1828" s="182" t="s">
        <v>4291</v>
      </c>
    </row>
    <row r="1829" customFormat="false" ht="12" hidden="false" customHeight="false" outlineLevel="0" collapsed="false">
      <c r="A1829" s="182" t="s">
        <v>4292</v>
      </c>
    </row>
    <row r="1830" customFormat="false" ht="12" hidden="false" customHeight="false" outlineLevel="0" collapsed="false">
      <c r="A1830" s="182" t="s">
        <v>4293</v>
      </c>
    </row>
    <row r="1831" customFormat="false" ht="12" hidden="false" customHeight="false" outlineLevel="0" collapsed="false">
      <c r="A1831" s="182" t="s">
        <v>4294</v>
      </c>
    </row>
    <row r="1832" customFormat="false" ht="12" hidden="false" customHeight="false" outlineLevel="0" collapsed="false">
      <c r="A1832" s="182" t="s">
        <v>4295</v>
      </c>
    </row>
    <row r="1833" customFormat="false" ht="12" hidden="false" customHeight="false" outlineLevel="0" collapsed="false">
      <c r="A1833" s="182" t="s">
        <v>4296</v>
      </c>
    </row>
    <row r="1834" customFormat="false" ht="12" hidden="false" customHeight="false" outlineLevel="0" collapsed="false">
      <c r="A1834" s="182" t="s">
        <v>4297</v>
      </c>
    </row>
    <row r="1835" customFormat="false" ht="12" hidden="false" customHeight="false" outlineLevel="0" collapsed="false">
      <c r="A1835" s="182" t="s">
        <v>4298</v>
      </c>
    </row>
    <row r="1836" customFormat="false" ht="12" hidden="false" customHeight="false" outlineLevel="0" collapsed="false">
      <c r="A1836" s="182" t="s">
        <v>4299</v>
      </c>
    </row>
    <row r="1837" customFormat="false" ht="12" hidden="false" customHeight="false" outlineLevel="0" collapsed="false">
      <c r="A1837" s="182" t="s">
        <v>4300</v>
      </c>
    </row>
    <row r="1838" customFormat="false" ht="12" hidden="false" customHeight="false" outlineLevel="0" collapsed="false">
      <c r="A1838" s="182" t="s">
        <v>4301</v>
      </c>
    </row>
    <row r="1839" customFormat="false" ht="12" hidden="false" customHeight="false" outlineLevel="0" collapsed="false">
      <c r="A1839" s="182" t="s">
        <v>4302</v>
      </c>
    </row>
    <row r="1840" customFormat="false" ht="12" hidden="false" customHeight="false" outlineLevel="0" collapsed="false">
      <c r="A1840" s="182" t="s">
        <v>4303</v>
      </c>
    </row>
    <row r="1841" customFormat="false" ht="12" hidden="false" customHeight="false" outlineLevel="0" collapsed="false">
      <c r="A1841" s="182" t="s">
        <v>4304</v>
      </c>
    </row>
    <row r="1842" customFormat="false" ht="12" hidden="false" customHeight="false" outlineLevel="0" collapsed="false">
      <c r="A1842" s="182" t="s">
        <v>4305</v>
      </c>
    </row>
    <row r="1843" customFormat="false" ht="12" hidden="false" customHeight="false" outlineLevel="0" collapsed="false">
      <c r="A1843" s="182" t="s">
        <v>4306</v>
      </c>
    </row>
    <row r="1844" customFormat="false" ht="12" hidden="false" customHeight="false" outlineLevel="0" collapsed="false">
      <c r="A1844" s="182" t="s">
        <v>4307</v>
      </c>
    </row>
    <row r="1845" customFormat="false" ht="12" hidden="false" customHeight="false" outlineLevel="0" collapsed="false">
      <c r="A1845" s="182" t="s">
        <v>4308</v>
      </c>
    </row>
    <row r="1846" customFormat="false" ht="12" hidden="false" customHeight="false" outlineLevel="0" collapsed="false">
      <c r="A1846" s="182" t="s">
        <v>4309</v>
      </c>
    </row>
    <row r="1847" customFormat="false" ht="12" hidden="false" customHeight="false" outlineLevel="0" collapsed="false">
      <c r="A1847" s="182" t="s">
        <v>4310</v>
      </c>
    </row>
    <row r="1848" customFormat="false" ht="12" hidden="false" customHeight="false" outlineLevel="0" collapsed="false">
      <c r="A1848" s="182" t="s">
        <v>4311</v>
      </c>
    </row>
    <row r="1849" customFormat="false" ht="12" hidden="false" customHeight="false" outlineLevel="0" collapsed="false">
      <c r="A1849" s="182" t="s">
        <v>4312</v>
      </c>
    </row>
    <row r="1850" customFormat="false" ht="12" hidden="false" customHeight="false" outlineLevel="0" collapsed="false">
      <c r="A1850" s="182" t="s">
        <v>4313</v>
      </c>
    </row>
    <row r="1851" customFormat="false" ht="12" hidden="false" customHeight="false" outlineLevel="0" collapsed="false">
      <c r="A1851" s="182" t="s">
        <v>4314</v>
      </c>
    </row>
    <row r="1852" customFormat="false" ht="12" hidden="false" customHeight="false" outlineLevel="0" collapsed="false">
      <c r="A1852" s="182" t="s">
        <v>4315</v>
      </c>
    </row>
    <row r="1853" customFormat="false" ht="12" hidden="false" customHeight="false" outlineLevel="0" collapsed="false">
      <c r="A1853" s="182" t="s">
        <v>4316</v>
      </c>
    </row>
    <row r="1854" customFormat="false" ht="12" hidden="false" customHeight="false" outlineLevel="0" collapsed="false">
      <c r="A1854" s="182" t="s">
        <v>4317</v>
      </c>
    </row>
    <row r="1855" customFormat="false" ht="12" hidden="false" customHeight="false" outlineLevel="0" collapsed="false">
      <c r="A1855" s="182" t="s">
        <v>4318</v>
      </c>
    </row>
    <row r="1856" customFormat="false" ht="12" hidden="false" customHeight="false" outlineLevel="0" collapsed="false">
      <c r="A1856" s="182" t="s">
        <v>4319</v>
      </c>
    </row>
    <row r="1857" customFormat="false" ht="12" hidden="false" customHeight="false" outlineLevel="0" collapsed="false">
      <c r="A1857" s="182" t="s">
        <v>4320</v>
      </c>
    </row>
    <row r="1858" customFormat="false" ht="12" hidden="false" customHeight="false" outlineLevel="0" collapsed="false">
      <c r="A1858" s="182" t="s">
        <v>4321</v>
      </c>
    </row>
    <row r="1859" customFormat="false" ht="12" hidden="false" customHeight="false" outlineLevel="0" collapsed="false">
      <c r="A1859" s="182" t="s">
        <v>4322</v>
      </c>
    </row>
    <row r="1860" customFormat="false" ht="12" hidden="false" customHeight="false" outlineLevel="0" collapsed="false">
      <c r="A1860" s="182" t="s">
        <v>4323</v>
      </c>
    </row>
    <row r="1861" customFormat="false" ht="12" hidden="false" customHeight="false" outlineLevel="0" collapsed="false">
      <c r="A1861" s="182" t="s">
        <v>4324</v>
      </c>
    </row>
    <row r="1862" customFormat="false" ht="12" hidden="false" customHeight="false" outlineLevel="0" collapsed="false">
      <c r="A1862" s="182" t="s">
        <v>4325</v>
      </c>
    </row>
    <row r="1863" customFormat="false" ht="12" hidden="false" customHeight="false" outlineLevel="0" collapsed="false">
      <c r="A1863" s="182" t="s">
        <v>4326</v>
      </c>
    </row>
    <row r="1864" customFormat="false" ht="12" hidden="false" customHeight="false" outlineLevel="0" collapsed="false">
      <c r="A1864" s="182" t="s">
        <v>4327</v>
      </c>
    </row>
    <row r="1865" customFormat="false" ht="12" hidden="false" customHeight="false" outlineLevel="0" collapsed="false">
      <c r="A1865" s="182" t="s">
        <v>4328</v>
      </c>
    </row>
    <row r="1866" customFormat="false" ht="12" hidden="false" customHeight="false" outlineLevel="0" collapsed="false">
      <c r="A1866" s="182" t="s">
        <v>4329</v>
      </c>
    </row>
    <row r="1867" customFormat="false" ht="12" hidden="false" customHeight="false" outlineLevel="0" collapsed="false">
      <c r="A1867" s="182" t="s">
        <v>4330</v>
      </c>
    </row>
    <row r="1868" customFormat="false" ht="12" hidden="false" customHeight="false" outlineLevel="0" collapsed="false">
      <c r="A1868" s="182" t="s">
        <v>4331</v>
      </c>
    </row>
    <row r="1869" customFormat="false" ht="12" hidden="false" customHeight="false" outlineLevel="0" collapsed="false">
      <c r="A1869" s="182" t="s">
        <v>4332</v>
      </c>
    </row>
    <row r="1870" customFormat="false" ht="12" hidden="false" customHeight="false" outlineLevel="0" collapsed="false">
      <c r="A1870" s="182" t="s">
        <v>4333</v>
      </c>
    </row>
    <row r="1871" customFormat="false" ht="12" hidden="false" customHeight="false" outlineLevel="0" collapsed="false">
      <c r="A1871" s="182" t="s">
        <v>4334</v>
      </c>
    </row>
    <row r="1872" customFormat="false" ht="12" hidden="false" customHeight="false" outlineLevel="0" collapsed="false">
      <c r="A1872" s="182" t="s">
        <v>4335</v>
      </c>
    </row>
    <row r="1873" customFormat="false" ht="12" hidden="false" customHeight="false" outlineLevel="0" collapsed="false">
      <c r="A1873" s="182" t="s">
        <v>4336</v>
      </c>
    </row>
    <row r="1874" customFormat="false" ht="12" hidden="false" customHeight="false" outlineLevel="0" collapsed="false">
      <c r="A1874" s="182" t="s">
        <v>4337</v>
      </c>
    </row>
    <row r="1875" customFormat="false" ht="12" hidden="false" customHeight="false" outlineLevel="0" collapsed="false">
      <c r="A1875" s="182" t="s">
        <v>4338</v>
      </c>
    </row>
    <row r="1876" customFormat="false" ht="12" hidden="false" customHeight="false" outlineLevel="0" collapsed="false">
      <c r="A1876" s="182" t="s">
        <v>4339</v>
      </c>
    </row>
    <row r="1877" customFormat="false" ht="12" hidden="false" customHeight="false" outlineLevel="0" collapsed="false">
      <c r="A1877" s="182" t="s">
        <v>4340</v>
      </c>
    </row>
    <row r="1878" customFormat="false" ht="12" hidden="false" customHeight="false" outlineLevel="0" collapsed="false">
      <c r="A1878" s="182" t="s">
        <v>4341</v>
      </c>
    </row>
    <row r="1879" customFormat="false" ht="12" hidden="false" customHeight="false" outlineLevel="0" collapsed="false">
      <c r="A1879" s="182" t="s">
        <v>4342</v>
      </c>
    </row>
    <row r="1880" customFormat="false" ht="12" hidden="false" customHeight="false" outlineLevel="0" collapsed="false">
      <c r="A1880" s="182" t="s">
        <v>4343</v>
      </c>
    </row>
    <row r="1881" customFormat="false" ht="12" hidden="false" customHeight="false" outlineLevel="0" collapsed="false">
      <c r="A1881" s="182" t="s">
        <v>4344</v>
      </c>
    </row>
    <row r="1882" customFormat="false" ht="12" hidden="false" customHeight="false" outlineLevel="0" collapsed="false">
      <c r="A1882" s="182" t="s">
        <v>4345</v>
      </c>
    </row>
    <row r="1883" customFormat="false" ht="12" hidden="false" customHeight="false" outlineLevel="0" collapsed="false">
      <c r="A1883" s="182" t="s">
        <v>4346</v>
      </c>
    </row>
    <row r="1884" customFormat="false" ht="12" hidden="false" customHeight="false" outlineLevel="0" collapsed="false">
      <c r="A1884" s="182" t="s">
        <v>4347</v>
      </c>
    </row>
    <row r="1885" customFormat="false" ht="12" hidden="false" customHeight="false" outlineLevel="0" collapsed="false">
      <c r="A1885" s="182" t="s">
        <v>4348</v>
      </c>
    </row>
    <row r="1886" customFormat="false" ht="12" hidden="false" customHeight="false" outlineLevel="0" collapsed="false">
      <c r="A1886" s="182" t="s">
        <v>4349</v>
      </c>
    </row>
    <row r="1887" customFormat="false" ht="12" hidden="false" customHeight="false" outlineLevel="0" collapsed="false">
      <c r="A1887" s="182" t="s">
        <v>4350</v>
      </c>
    </row>
    <row r="1888" customFormat="false" ht="12" hidden="false" customHeight="false" outlineLevel="0" collapsed="false">
      <c r="A1888" s="182" t="s">
        <v>4351</v>
      </c>
    </row>
    <row r="1889" customFormat="false" ht="12" hidden="false" customHeight="false" outlineLevel="0" collapsed="false">
      <c r="A1889" s="182" t="s">
        <v>4352</v>
      </c>
    </row>
    <row r="1890" customFormat="false" ht="12" hidden="false" customHeight="false" outlineLevel="0" collapsed="false">
      <c r="A1890" s="182" t="s">
        <v>4353</v>
      </c>
    </row>
    <row r="1891" customFormat="false" ht="12" hidden="false" customHeight="false" outlineLevel="0" collapsed="false">
      <c r="A1891" s="182" t="s">
        <v>4354</v>
      </c>
    </row>
    <row r="1892" customFormat="false" ht="12" hidden="false" customHeight="false" outlineLevel="0" collapsed="false">
      <c r="A1892" s="182" t="s">
        <v>4355</v>
      </c>
    </row>
    <row r="1893" customFormat="false" ht="12" hidden="false" customHeight="false" outlineLevel="0" collapsed="false">
      <c r="A1893" s="182" t="s">
        <v>4356</v>
      </c>
    </row>
    <row r="1894" customFormat="false" ht="12" hidden="false" customHeight="false" outlineLevel="0" collapsed="false">
      <c r="A1894" s="182" t="s">
        <v>4357</v>
      </c>
    </row>
    <row r="1895" customFormat="false" ht="12" hidden="false" customHeight="false" outlineLevel="0" collapsed="false">
      <c r="A1895" s="182" t="s">
        <v>4358</v>
      </c>
    </row>
    <row r="1896" customFormat="false" ht="12" hidden="false" customHeight="false" outlineLevel="0" collapsed="false">
      <c r="A1896" s="182" t="s">
        <v>4359</v>
      </c>
    </row>
    <row r="1897" customFormat="false" ht="12" hidden="false" customHeight="false" outlineLevel="0" collapsed="false">
      <c r="A1897" s="182" t="s">
        <v>4360</v>
      </c>
    </row>
    <row r="1898" customFormat="false" ht="12" hidden="false" customHeight="false" outlineLevel="0" collapsed="false">
      <c r="A1898" s="182" t="s">
        <v>4361</v>
      </c>
    </row>
    <row r="1899" customFormat="false" ht="12" hidden="false" customHeight="false" outlineLevel="0" collapsed="false">
      <c r="A1899" s="182" t="s">
        <v>4362</v>
      </c>
    </row>
    <row r="1900" customFormat="false" ht="12" hidden="false" customHeight="false" outlineLevel="0" collapsed="false">
      <c r="A1900" s="182" t="s">
        <v>4363</v>
      </c>
    </row>
    <row r="1901" customFormat="false" ht="12" hidden="false" customHeight="false" outlineLevel="0" collapsed="false">
      <c r="A1901" s="182" t="s">
        <v>4364</v>
      </c>
    </row>
    <row r="1902" customFormat="false" ht="12" hidden="false" customHeight="false" outlineLevel="0" collapsed="false">
      <c r="A1902" s="182" t="s">
        <v>4365</v>
      </c>
    </row>
    <row r="1903" customFormat="false" ht="12" hidden="false" customHeight="false" outlineLevel="0" collapsed="false">
      <c r="A1903" s="182" t="s">
        <v>4366</v>
      </c>
    </row>
    <row r="1904" customFormat="false" ht="12" hidden="false" customHeight="false" outlineLevel="0" collapsed="false">
      <c r="A1904" s="182" t="s">
        <v>4367</v>
      </c>
    </row>
    <row r="1905" customFormat="false" ht="12" hidden="false" customHeight="false" outlineLevel="0" collapsed="false">
      <c r="A1905" s="182" t="s">
        <v>4368</v>
      </c>
    </row>
    <row r="1906" customFormat="false" ht="12" hidden="false" customHeight="false" outlineLevel="0" collapsed="false">
      <c r="A1906" s="182" t="s">
        <v>4369</v>
      </c>
    </row>
    <row r="1907" customFormat="false" ht="12" hidden="false" customHeight="false" outlineLevel="0" collapsed="false">
      <c r="A1907" s="182" t="s">
        <v>4370</v>
      </c>
    </row>
    <row r="1908" customFormat="false" ht="12" hidden="false" customHeight="false" outlineLevel="0" collapsed="false">
      <c r="A1908" s="182" t="s">
        <v>4371</v>
      </c>
    </row>
    <row r="1909" customFormat="false" ht="12" hidden="false" customHeight="false" outlineLevel="0" collapsed="false">
      <c r="A1909" s="182" t="s">
        <v>4372</v>
      </c>
    </row>
    <row r="1910" customFormat="false" ht="12" hidden="false" customHeight="false" outlineLevel="0" collapsed="false">
      <c r="A1910" s="182" t="s">
        <v>4373</v>
      </c>
    </row>
    <row r="1911" customFormat="false" ht="12" hidden="false" customHeight="false" outlineLevel="0" collapsed="false">
      <c r="A1911" s="182" t="s">
        <v>4374</v>
      </c>
    </row>
    <row r="1912" customFormat="false" ht="12" hidden="false" customHeight="false" outlineLevel="0" collapsed="false">
      <c r="A1912" s="182" t="s">
        <v>4375</v>
      </c>
    </row>
    <row r="1913" customFormat="false" ht="12" hidden="false" customHeight="false" outlineLevel="0" collapsed="false">
      <c r="A1913" s="182" t="s">
        <v>4376</v>
      </c>
    </row>
    <row r="1914" customFormat="false" ht="12" hidden="false" customHeight="false" outlineLevel="0" collapsed="false">
      <c r="A1914" s="182" t="s">
        <v>4377</v>
      </c>
    </row>
    <row r="1915" customFormat="false" ht="12" hidden="false" customHeight="false" outlineLevel="0" collapsed="false">
      <c r="A1915" s="182" t="s">
        <v>4378</v>
      </c>
    </row>
    <row r="1916" customFormat="false" ht="12" hidden="false" customHeight="false" outlineLevel="0" collapsed="false">
      <c r="A1916" s="182" t="s">
        <v>4379</v>
      </c>
    </row>
    <row r="1917" customFormat="false" ht="12" hidden="false" customHeight="false" outlineLevel="0" collapsed="false">
      <c r="A1917" s="182" t="s">
        <v>4380</v>
      </c>
    </row>
    <row r="1918" customFormat="false" ht="12" hidden="false" customHeight="false" outlineLevel="0" collapsed="false">
      <c r="A1918" s="182" t="s">
        <v>4381</v>
      </c>
    </row>
    <row r="1919" customFormat="false" ht="12" hidden="false" customHeight="false" outlineLevel="0" collapsed="false">
      <c r="A1919" s="182" t="s">
        <v>4382</v>
      </c>
    </row>
    <row r="1920" customFormat="false" ht="12" hidden="false" customHeight="false" outlineLevel="0" collapsed="false">
      <c r="A1920" s="182" t="s">
        <v>4383</v>
      </c>
    </row>
    <row r="1921" customFormat="false" ht="12" hidden="false" customHeight="false" outlineLevel="0" collapsed="false">
      <c r="A1921" s="182" t="s">
        <v>4384</v>
      </c>
    </row>
    <row r="1922" customFormat="false" ht="12" hidden="false" customHeight="false" outlineLevel="0" collapsed="false">
      <c r="A1922" s="182" t="s">
        <v>4385</v>
      </c>
    </row>
    <row r="1923" customFormat="false" ht="12" hidden="false" customHeight="false" outlineLevel="0" collapsed="false">
      <c r="A1923" s="182" t="s">
        <v>4386</v>
      </c>
    </row>
    <row r="1924" customFormat="false" ht="12" hidden="false" customHeight="false" outlineLevel="0" collapsed="false">
      <c r="A1924" s="182" t="s">
        <v>4387</v>
      </c>
    </row>
    <row r="1925" customFormat="false" ht="12" hidden="false" customHeight="false" outlineLevel="0" collapsed="false">
      <c r="A1925" s="182" t="s">
        <v>4388</v>
      </c>
    </row>
    <row r="1926" customFormat="false" ht="12" hidden="false" customHeight="false" outlineLevel="0" collapsed="false">
      <c r="A1926" s="182" t="s">
        <v>4389</v>
      </c>
    </row>
    <row r="1927" customFormat="false" ht="12" hidden="false" customHeight="false" outlineLevel="0" collapsed="false">
      <c r="A1927" s="182" t="s">
        <v>4390</v>
      </c>
    </row>
    <row r="1928" customFormat="false" ht="12" hidden="false" customHeight="false" outlineLevel="0" collapsed="false">
      <c r="A1928" s="182" t="s">
        <v>4391</v>
      </c>
    </row>
    <row r="1929" customFormat="false" ht="12" hidden="false" customHeight="false" outlineLevel="0" collapsed="false">
      <c r="A1929" s="182" t="s">
        <v>4392</v>
      </c>
    </row>
    <row r="1930" customFormat="false" ht="12" hidden="false" customHeight="false" outlineLevel="0" collapsed="false">
      <c r="A1930" s="182" t="s">
        <v>4393</v>
      </c>
    </row>
    <row r="1931" customFormat="false" ht="12" hidden="false" customHeight="false" outlineLevel="0" collapsed="false">
      <c r="A1931" s="182" t="s">
        <v>4394</v>
      </c>
    </row>
    <row r="1932" customFormat="false" ht="12" hidden="false" customHeight="false" outlineLevel="0" collapsed="false">
      <c r="A1932" s="182" t="s">
        <v>4395</v>
      </c>
    </row>
    <row r="1933" customFormat="false" ht="12" hidden="false" customHeight="false" outlineLevel="0" collapsed="false">
      <c r="A1933" s="182" t="s">
        <v>4396</v>
      </c>
    </row>
    <row r="1934" customFormat="false" ht="12" hidden="false" customHeight="false" outlineLevel="0" collapsed="false">
      <c r="A1934" s="182" t="s">
        <v>4397</v>
      </c>
    </row>
    <row r="1935" customFormat="false" ht="12" hidden="false" customHeight="false" outlineLevel="0" collapsed="false">
      <c r="A1935" s="182" t="s">
        <v>4398</v>
      </c>
    </row>
    <row r="1936" customFormat="false" ht="12" hidden="false" customHeight="false" outlineLevel="0" collapsed="false">
      <c r="A1936" s="182" t="s">
        <v>4399</v>
      </c>
    </row>
    <row r="1937" customFormat="false" ht="12" hidden="false" customHeight="false" outlineLevel="0" collapsed="false">
      <c r="A1937" s="182" t="s">
        <v>4400</v>
      </c>
    </row>
    <row r="1938" customFormat="false" ht="12" hidden="false" customHeight="false" outlineLevel="0" collapsed="false">
      <c r="A1938" s="182" t="s">
        <v>4401</v>
      </c>
    </row>
    <row r="1939" customFormat="false" ht="12" hidden="false" customHeight="false" outlineLevel="0" collapsed="false">
      <c r="A1939" s="182" t="s">
        <v>4402</v>
      </c>
    </row>
    <row r="1940" customFormat="false" ht="12" hidden="false" customHeight="false" outlineLevel="0" collapsed="false">
      <c r="A1940" s="182" t="s">
        <v>4403</v>
      </c>
    </row>
    <row r="1941" customFormat="false" ht="12" hidden="false" customHeight="false" outlineLevel="0" collapsed="false">
      <c r="A1941" s="182" t="s">
        <v>4404</v>
      </c>
    </row>
    <row r="1942" customFormat="false" ht="12" hidden="false" customHeight="false" outlineLevel="0" collapsed="false">
      <c r="A1942" s="182" t="s">
        <v>4405</v>
      </c>
    </row>
    <row r="1943" customFormat="false" ht="12" hidden="false" customHeight="false" outlineLevel="0" collapsed="false">
      <c r="A1943" s="182" t="s">
        <v>4406</v>
      </c>
    </row>
    <row r="1944" customFormat="false" ht="12" hidden="false" customHeight="false" outlineLevel="0" collapsed="false">
      <c r="A1944" s="182" t="s">
        <v>4407</v>
      </c>
    </row>
    <row r="1945" customFormat="false" ht="12" hidden="false" customHeight="false" outlineLevel="0" collapsed="false">
      <c r="A1945" s="182" t="s">
        <v>4408</v>
      </c>
    </row>
    <row r="1946" customFormat="false" ht="12" hidden="false" customHeight="false" outlineLevel="0" collapsed="false">
      <c r="A1946" s="182" t="s">
        <v>4409</v>
      </c>
    </row>
    <row r="1947" customFormat="false" ht="12" hidden="false" customHeight="false" outlineLevel="0" collapsed="false">
      <c r="A1947" s="182" t="s">
        <v>4410</v>
      </c>
    </row>
    <row r="1948" customFormat="false" ht="12" hidden="false" customHeight="false" outlineLevel="0" collapsed="false">
      <c r="A1948" s="182" t="s">
        <v>4411</v>
      </c>
    </row>
    <row r="1949" customFormat="false" ht="12" hidden="false" customHeight="false" outlineLevel="0" collapsed="false">
      <c r="A1949" s="182" t="s">
        <v>4412</v>
      </c>
    </row>
    <row r="1950" customFormat="false" ht="12" hidden="false" customHeight="false" outlineLevel="0" collapsed="false">
      <c r="A1950" s="182" t="s">
        <v>4413</v>
      </c>
    </row>
    <row r="1951" customFormat="false" ht="12" hidden="false" customHeight="false" outlineLevel="0" collapsed="false">
      <c r="A1951" s="182" t="s">
        <v>4414</v>
      </c>
    </row>
    <row r="1952" customFormat="false" ht="12" hidden="false" customHeight="false" outlineLevel="0" collapsed="false">
      <c r="A1952" s="182" t="s">
        <v>4415</v>
      </c>
    </row>
    <row r="1953" customFormat="false" ht="12" hidden="false" customHeight="false" outlineLevel="0" collapsed="false">
      <c r="A1953" s="182" t="s">
        <v>4416</v>
      </c>
    </row>
    <row r="1954" customFormat="false" ht="12" hidden="false" customHeight="false" outlineLevel="0" collapsed="false">
      <c r="A1954" s="182" t="s">
        <v>4417</v>
      </c>
    </row>
    <row r="1955" customFormat="false" ht="12" hidden="false" customHeight="false" outlineLevel="0" collapsed="false">
      <c r="A1955" s="182" t="s">
        <v>4418</v>
      </c>
    </row>
    <row r="1956" customFormat="false" ht="12" hidden="false" customHeight="false" outlineLevel="0" collapsed="false">
      <c r="A1956" s="182" t="s">
        <v>4419</v>
      </c>
    </row>
    <row r="1957" customFormat="false" ht="12" hidden="false" customHeight="false" outlineLevel="0" collapsed="false">
      <c r="A1957" s="182" t="s">
        <v>4420</v>
      </c>
    </row>
    <row r="1958" customFormat="false" ht="12" hidden="false" customHeight="false" outlineLevel="0" collapsed="false">
      <c r="A1958" s="182" t="s">
        <v>4421</v>
      </c>
    </row>
    <row r="1959" customFormat="false" ht="12" hidden="false" customHeight="false" outlineLevel="0" collapsed="false">
      <c r="A1959" s="182" t="s">
        <v>4422</v>
      </c>
    </row>
    <row r="1960" customFormat="false" ht="12" hidden="false" customHeight="false" outlineLevel="0" collapsed="false">
      <c r="A1960" s="182" t="s">
        <v>4423</v>
      </c>
    </row>
    <row r="1961" customFormat="false" ht="12" hidden="false" customHeight="false" outlineLevel="0" collapsed="false">
      <c r="A1961" s="182" t="s">
        <v>4424</v>
      </c>
    </row>
    <row r="1962" customFormat="false" ht="12" hidden="false" customHeight="false" outlineLevel="0" collapsed="false">
      <c r="A1962" s="182" t="s">
        <v>4425</v>
      </c>
    </row>
    <row r="1963" customFormat="false" ht="12" hidden="false" customHeight="false" outlineLevel="0" collapsed="false">
      <c r="A1963" s="182" t="s">
        <v>4426</v>
      </c>
    </row>
    <row r="1964" customFormat="false" ht="12" hidden="false" customHeight="false" outlineLevel="0" collapsed="false">
      <c r="A1964" s="182" t="s">
        <v>4427</v>
      </c>
    </row>
    <row r="1965" customFormat="false" ht="12" hidden="false" customHeight="false" outlineLevel="0" collapsed="false">
      <c r="A1965" s="182" t="s">
        <v>4428</v>
      </c>
    </row>
    <row r="1966" customFormat="false" ht="12" hidden="false" customHeight="false" outlineLevel="0" collapsed="false">
      <c r="A1966" s="182" t="s">
        <v>4429</v>
      </c>
    </row>
    <row r="1967" customFormat="false" ht="12" hidden="false" customHeight="false" outlineLevel="0" collapsed="false">
      <c r="A1967" s="182" t="s">
        <v>4430</v>
      </c>
    </row>
    <row r="1968" customFormat="false" ht="12" hidden="false" customHeight="false" outlineLevel="0" collapsed="false">
      <c r="A1968" s="182" t="s">
        <v>4431</v>
      </c>
    </row>
    <row r="1969" customFormat="false" ht="12" hidden="false" customHeight="false" outlineLevel="0" collapsed="false">
      <c r="A1969" s="182" t="s">
        <v>4432</v>
      </c>
    </row>
    <row r="1970" customFormat="false" ht="12" hidden="false" customHeight="false" outlineLevel="0" collapsed="false">
      <c r="A1970" s="182" t="s">
        <v>4433</v>
      </c>
    </row>
    <row r="1971" customFormat="false" ht="12" hidden="false" customHeight="false" outlineLevel="0" collapsed="false">
      <c r="A1971" s="182" t="s">
        <v>4434</v>
      </c>
    </row>
    <row r="1972" customFormat="false" ht="12" hidden="false" customHeight="false" outlineLevel="0" collapsed="false">
      <c r="A1972" s="182" t="s">
        <v>4435</v>
      </c>
    </row>
    <row r="1973" customFormat="false" ht="12" hidden="false" customHeight="false" outlineLevel="0" collapsed="false">
      <c r="A1973" s="182" t="s">
        <v>4436</v>
      </c>
    </row>
    <row r="1974" customFormat="false" ht="12" hidden="false" customHeight="false" outlineLevel="0" collapsed="false">
      <c r="A1974" s="182" t="s">
        <v>4437</v>
      </c>
    </row>
    <row r="1975" customFormat="false" ht="12" hidden="false" customHeight="false" outlineLevel="0" collapsed="false">
      <c r="A1975" s="182" t="s">
        <v>4438</v>
      </c>
    </row>
    <row r="1976" customFormat="false" ht="12" hidden="false" customHeight="false" outlineLevel="0" collapsed="false">
      <c r="A1976" s="182" t="s">
        <v>4439</v>
      </c>
    </row>
    <row r="1977" customFormat="false" ht="12" hidden="false" customHeight="false" outlineLevel="0" collapsed="false">
      <c r="A1977" s="182" t="s">
        <v>4440</v>
      </c>
    </row>
    <row r="1978" customFormat="false" ht="12" hidden="false" customHeight="false" outlineLevel="0" collapsed="false">
      <c r="A1978" s="182" t="s">
        <v>4441</v>
      </c>
    </row>
    <row r="1979" customFormat="false" ht="12" hidden="false" customHeight="false" outlineLevel="0" collapsed="false">
      <c r="A1979" s="182" t="s">
        <v>4442</v>
      </c>
    </row>
    <row r="1980" customFormat="false" ht="12" hidden="false" customHeight="false" outlineLevel="0" collapsed="false">
      <c r="A1980" s="182" t="s">
        <v>4443</v>
      </c>
    </row>
    <row r="1981" customFormat="false" ht="12" hidden="false" customHeight="false" outlineLevel="0" collapsed="false">
      <c r="A1981" s="182" t="s">
        <v>4444</v>
      </c>
    </row>
    <row r="1982" customFormat="false" ht="12" hidden="false" customHeight="false" outlineLevel="0" collapsed="false">
      <c r="A1982" s="182" t="s">
        <v>4445</v>
      </c>
    </row>
    <row r="1983" customFormat="false" ht="12" hidden="false" customHeight="false" outlineLevel="0" collapsed="false">
      <c r="A1983" s="182" t="s">
        <v>4446</v>
      </c>
    </row>
    <row r="1984" customFormat="false" ht="12" hidden="false" customHeight="false" outlineLevel="0" collapsed="false">
      <c r="A1984" s="182" t="s">
        <v>4447</v>
      </c>
    </row>
    <row r="1985" customFormat="false" ht="12" hidden="false" customHeight="false" outlineLevel="0" collapsed="false">
      <c r="A1985" s="182" t="s">
        <v>4448</v>
      </c>
    </row>
    <row r="1986" customFormat="false" ht="12" hidden="false" customHeight="false" outlineLevel="0" collapsed="false">
      <c r="A1986" s="182" t="s">
        <v>4449</v>
      </c>
    </row>
    <row r="1987" customFormat="false" ht="12" hidden="false" customHeight="false" outlineLevel="0" collapsed="false">
      <c r="A1987" s="182" t="s">
        <v>4450</v>
      </c>
    </row>
    <row r="1988" customFormat="false" ht="12" hidden="false" customHeight="false" outlineLevel="0" collapsed="false">
      <c r="A1988" s="182" t="s">
        <v>4451</v>
      </c>
    </row>
    <row r="1989" customFormat="false" ht="12" hidden="false" customHeight="false" outlineLevel="0" collapsed="false">
      <c r="A1989" s="182" t="s">
        <v>4452</v>
      </c>
    </row>
    <row r="1990" customFormat="false" ht="12" hidden="false" customHeight="false" outlineLevel="0" collapsed="false">
      <c r="A1990" s="182" t="s">
        <v>4453</v>
      </c>
    </row>
    <row r="1991" customFormat="false" ht="12" hidden="false" customHeight="false" outlineLevel="0" collapsed="false">
      <c r="A1991" s="182" t="s">
        <v>4454</v>
      </c>
    </row>
    <row r="1992" customFormat="false" ht="12" hidden="false" customHeight="false" outlineLevel="0" collapsed="false">
      <c r="A1992" s="182" t="s">
        <v>4455</v>
      </c>
    </row>
    <row r="1993" customFormat="false" ht="12" hidden="false" customHeight="false" outlineLevel="0" collapsed="false">
      <c r="A1993" s="182" t="s">
        <v>4456</v>
      </c>
    </row>
    <row r="1994" customFormat="false" ht="12" hidden="false" customHeight="false" outlineLevel="0" collapsed="false">
      <c r="A1994" s="182" t="s">
        <v>4457</v>
      </c>
    </row>
    <row r="1995" customFormat="false" ht="12" hidden="false" customHeight="false" outlineLevel="0" collapsed="false">
      <c r="A1995" s="182" t="s">
        <v>4458</v>
      </c>
    </row>
    <row r="1996" customFormat="false" ht="12" hidden="false" customHeight="false" outlineLevel="0" collapsed="false">
      <c r="A1996" s="182" t="s">
        <v>4459</v>
      </c>
    </row>
    <row r="1997" customFormat="false" ht="12" hidden="false" customHeight="false" outlineLevel="0" collapsed="false">
      <c r="A1997" s="182" t="s">
        <v>4460</v>
      </c>
    </row>
    <row r="1998" customFormat="false" ht="12" hidden="false" customHeight="false" outlineLevel="0" collapsed="false">
      <c r="A1998" s="182" t="s">
        <v>4461</v>
      </c>
    </row>
    <row r="1999" customFormat="false" ht="12" hidden="false" customHeight="false" outlineLevel="0" collapsed="false">
      <c r="A1999" s="182" t="s">
        <v>4462</v>
      </c>
    </row>
    <row r="2000" customFormat="false" ht="12" hidden="false" customHeight="false" outlineLevel="0" collapsed="false">
      <c r="A2000" s="182" t="s">
        <v>4463</v>
      </c>
    </row>
    <row r="2001" customFormat="false" ht="12" hidden="false" customHeight="false" outlineLevel="0" collapsed="false">
      <c r="A2001" s="182" t="s">
        <v>4464</v>
      </c>
    </row>
    <row r="2002" customFormat="false" ht="12" hidden="false" customHeight="false" outlineLevel="0" collapsed="false">
      <c r="A2002" s="182" t="s">
        <v>4465</v>
      </c>
    </row>
    <row r="2003" customFormat="false" ht="12" hidden="false" customHeight="false" outlineLevel="0" collapsed="false">
      <c r="A2003" s="182" t="s">
        <v>4466</v>
      </c>
    </row>
    <row r="2004" customFormat="false" ht="12" hidden="false" customHeight="false" outlineLevel="0" collapsed="false">
      <c r="A2004" s="182" t="s">
        <v>4467</v>
      </c>
    </row>
    <row r="2005" customFormat="false" ht="12" hidden="false" customHeight="false" outlineLevel="0" collapsed="false">
      <c r="A2005" s="182" t="s">
        <v>4468</v>
      </c>
    </row>
    <row r="2006" customFormat="false" ht="12" hidden="false" customHeight="false" outlineLevel="0" collapsed="false">
      <c r="A2006" s="182" t="s">
        <v>4469</v>
      </c>
    </row>
    <row r="2007" customFormat="false" ht="12" hidden="false" customHeight="false" outlineLevel="0" collapsed="false">
      <c r="A2007" s="182" t="s">
        <v>4470</v>
      </c>
    </row>
    <row r="2008" customFormat="false" ht="12" hidden="false" customHeight="false" outlineLevel="0" collapsed="false">
      <c r="A2008" s="182" t="s">
        <v>4471</v>
      </c>
    </row>
    <row r="2009" customFormat="false" ht="12" hidden="false" customHeight="false" outlineLevel="0" collapsed="false">
      <c r="A2009" s="182" t="s">
        <v>4472</v>
      </c>
    </row>
    <row r="2010" customFormat="false" ht="12" hidden="false" customHeight="false" outlineLevel="0" collapsed="false">
      <c r="A2010" s="182" t="s">
        <v>4473</v>
      </c>
    </row>
    <row r="2011" customFormat="false" ht="12" hidden="false" customHeight="false" outlineLevel="0" collapsed="false">
      <c r="A2011" s="182" t="s">
        <v>4474</v>
      </c>
    </row>
    <row r="2012" customFormat="false" ht="12" hidden="false" customHeight="false" outlineLevel="0" collapsed="false">
      <c r="A2012" s="182" t="s">
        <v>4475</v>
      </c>
    </row>
    <row r="2013" customFormat="false" ht="12" hidden="false" customHeight="false" outlineLevel="0" collapsed="false">
      <c r="A2013" s="182" t="s">
        <v>4476</v>
      </c>
    </row>
    <row r="2014" customFormat="false" ht="12" hidden="false" customHeight="false" outlineLevel="0" collapsed="false">
      <c r="A2014" s="182" t="s">
        <v>4477</v>
      </c>
    </row>
    <row r="2015" customFormat="false" ht="12" hidden="false" customHeight="false" outlineLevel="0" collapsed="false">
      <c r="A2015" s="182" t="s">
        <v>4478</v>
      </c>
    </row>
    <row r="2016" customFormat="false" ht="12" hidden="false" customHeight="false" outlineLevel="0" collapsed="false">
      <c r="A2016" s="182" t="s">
        <v>4479</v>
      </c>
    </row>
    <row r="2017" customFormat="false" ht="12" hidden="false" customHeight="false" outlineLevel="0" collapsed="false">
      <c r="A2017" s="182" t="s">
        <v>4480</v>
      </c>
    </row>
    <row r="2018" customFormat="false" ht="12" hidden="false" customHeight="false" outlineLevel="0" collapsed="false">
      <c r="A2018" s="182" t="s">
        <v>4481</v>
      </c>
    </row>
    <row r="2019" customFormat="false" ht="12" hidden="false" customHeight="false" outlineLevel="0" collapsed="false">
      <c r="A2019" s="182" t="s">
        <v>4482</v>
      </c>
    </row>
    <row r="2020" customFormat="false" ht="12" hidden="false" customHeight="false" outlineLevel="0" collapsed="false">
      <c r="A2020" s="182" t="s">
        <v>4483</v>
      </c>
    </row>
    <row r="2021" customFormat="false" ht="12" hidden="false" customHeight="false" outlineLevel="0" collapsed="false">
      <c r="A2021" s="182" t="s">
        <v>4484</v>
      </c>
    </row>
    <row r="2022" customFormat="false" ht="12" hidden="false" customHeight="false" outlineLevel="0" collapsed="false">
      <c r="A2022" s="182" t="s">
        <v>4485</v>
      </c>
    </row>
    <row r="2023" customFormat="false" ht="12" hidden="false" customHeight="false" outlineLevel="0" collapsed="false">
      <c r="A2023" s="182" t="s">
        <v>4486</v>
      </c>
    </row>
    <row r="2024" customFormat="false" ht="12" hidden="false" customHeight="false" outlineLevel="0" collapsed="false">
      <c r="A2024" s="182" t="s">
        <v>4487</v>
      </c>
    </row>
    <row r="2025" customFormat="false" ht="12" hidden="false" customHeight="false" outlineLevel="0" collapsed="false">
      <c r="A2025" s="182" t="s">
        <v>4488</v>
      </c>
    </row>
    <row r="2026" customFormat="false" ht="12" hidden="false" customHeight="false" outlineLevel="0" collapsed="false">
      <c r="A2026" s="182" t="s">
        <v>4489</v>
      </c>
    </row>
    <row r="2027" customFormat="false" ht="12" hidden="false" customHeight="false" outlineLevel="0" collapsed="false">
      <c r="A2027" s="182" t="s">
        <v>4490</v>
      </c>
    </row>
    <row r="2028" customFormat="false" ht="12" hidden="false" customHeight="false" outlineLevel="0" collapsed="false">
      <c r="A2028" s="182" t="s">
        <v>4491</v>
      </c>
    </row>
    <row r="2029" customFormat="false" ht="12" hidden="false" customHeight="false" outlineLevel="0" collapsed="false">
      <c r="A2029" s="182" t="s">
        <v>4492</v>
      </c>
    </row>
    <row r="2030" customFormat="false" ht="12" hidden="false" customHeight="false" outlineLevel="0" collapsed="false">
      <c r="A2030" s="182" t="s">
        <v>4493</v>
      </c>
    </row>
    <row r="2031" customFormat="false" ht="12" hidden="false" customHeight="false" outlineLevel="0" collapsed="false">
      <c r="A2031" s="182" t="s">
        <v>4494</v>
      </c>
    </row>
    <row r="2032" customFormat="false" ht="12" hidden="false" customHeight="false" outlineLevel="0" collapsed="false">
      <c r="A2032" s="182" t="s">
        <v>4495</v>
      </c>
    </row>
    <row r="2033" customFormat="false" ht="12" hidden="false" customHeight="false" outlineLevel="0" collapsed="false">
      <c r="A2033" s="182" t="s">
        <v>4496</v>
      </c>
    </row>
    <row r="2034" customFormat="false" ht="12" hidden="false" customHeight="false" outlineLevel="0" collapsed="false">
      <c r="A2034" s="182" t="s">
        <v>4497</v>
      </c>
    </row>
    <row r="2035" customFormat="false" ht="12" hidden="false" customHeight="false" outlineLevel="0" collapsed="false">
      <c r="A2035" s="182" t="s">
        <v>4498</v>
      </c>
    </row>
    <row r="2036" customFormat="false" ht="12" hidden="false" customHeight="false" outlineLevel="0" collapsed="false">
      <c r="A2036" s="182" t="s">
        <v>4499</v>
      </c>
    </row>
    <row r="2037" customFormat="false" ht="12" hidden="false" customHeight="false" outlineLevel="0" collapsed="false">
      <c r="A2037" s="182" t="s">
        <v>4500</v>
      </c>
    </row>
    <row r="2038" customFormat="false" ht="12" hidden="false" customHeight="false" outlineLevel="0" collapsed="false">
      <c r="A2038" s="182" t="s">
        <v>4501</v>
      </c>
    </row>
    <row r="2039" customFormat="false" ht="12" hidden="false" customHeight="false" outlineLevel="0" collapsed="false">
      <c r="A2039" s="182" t="s">
        <v>4502</v>
      </c>
    </row>
    <row r="2040" customFormat="false" ht="12" hidden="false" customHeight="false" outlineLevel="0" collapsed="false">
      <c r="A2040" s="182" t="s">
        <v>4503</v>
      </c>
    </row>
    <row r="2041" customFormat="false" ht="12" hidden="false" customHeight="false" outlineLevel="0" collapsed="false">
      <c r="A2041" s="182" t="s">
        <v>4504</v>
      </c>
    </row>
    <row r="2042" customFormat="false" ht="12" hidden="false" customHeight="false" outlineLevel="0" collapsed="false">
      <c r="A2042" s="182" t="s">
        <v>4505</v>
      </c>
    </row>
    <row r="2043" customFormat="false" ht="12" hidden="false" customHeight="false" outlineLevel="0" collapsed="false">
      <c r="A2043" s="182" t="s">
        <v>4506</v>
      </c>
    </row>
    <row r="2044" customFormat="false" ht="12" hidden="false" customHeight="false" outlineLevel="0" collapsed="false">
      <c r="A2044" s="182" t="s">
        <v>4507</v>
      </c>
    </row>
    <row r="2045" customFormat="false" ht="12" hidden="false" customHeight="false" outlineLevel="0" collapsed="false">
      <c r="A2045" s="182" t="s">
        <v>4508</v>
      </c>
    </row>
    <row r="2046" customFormat="false" ht="12" hidden="false" customHeight="false" outlineLevel="0" collapsed="false">
      <c r="A2046" s="182" t="s">
        <v>4509</v>
      </c>
    </row>
    <row r="2047" customFormat="false" ht="12" hidden="false" customHeight="false" outlineLevel="0" collapsed="false">
      <c r="A2047" s="182" t="s">
        <v>4510</v>
      </c>
    </row>
    <row r="2048" customFormat="false" ht="12" hidden="false" customHeight="false" outlineLevel="0" collapsed="false">
      <c r="A2048" s="182" t="s">
        <v>4511</v>
      </c>
    </row>
    <row r="2049" customFormat="false" ht="12" hidden="false" customHeight="false" outlineLevel="0" collapsed="false">
      <c r="A2049" s="182" t="s">
        <v>4512</v>
      </c>
    </row>
    <row r="2050" customFormat="false" ht="12" hidden="false" customHeight="false" outlineLevel="0" collapsed="false">
      <c r="A2050" s="182" t="s">
        <v>4513</v>
      </c>
    </row>
    <row r="2051" customFormat="false" ht="12" hidden="false" customHeight="false" outlineLevel="0" collapsed="false">
      <c r="A2051" s="182" t="s">
        <v>4514</v>
      </c>
    </row>
    <row r="2052" customFormat="false" ht="12" hidden="false" customHeight="false" outlineLevel="0" collapsed="false">
      <c r="A2052" s="182" t="s">
        <v>4515</v>
      </c>
    </row>
    <row r="2053" customFormat="false" ht="12" hidden="false" customHeight="false" outlineLevel="0" collapsed="false">
      <c r="A2053" s="182" t="s">
        <v>4516</v>
      </c>
    </row>
    <row r="2054" customFormat="false" ht="12" hidden="false" customHeight="false" outlineLevel="0" collapsed="false">
      <c r="A2054" s="182" t="s">
        <v>4517</v>
      </c>
    </row>
    <row r="2055" customFormat="false" ht="12" hidden="false" customHeight="false" outlineLevel="0" collapsed="false">
      <c r="A2055" s="182" t="s">
        <v>4518</v>
      </c>
    </row>
    <row r="2056" customFormat="false" ht="12" hidden="false" customHeight="false" outlineLevel="0" collapsed="false">
      <c r="A2056" s="182" t="s">
        <v>4519</v>
      </c>
    </row>
    <row r="2057" customFormat="false" ht="12" hidden="false" customHeight="false" outlineLevel="0" collapsed="false">
      <c r="A2057" s="182" t="s">
        <v>4520</v>
      </c>
    </row>
    <row r="2058" customFormat="false" ht="12" hidden="false" customHeight="false" outlineLevel="0" collapsed="false">
      <c r="A2058" s="182" t="s">
        <v>4521</v>
      </c>
    </row>
    <row r="2059" customFormat="false" ht="12" hidden="false" customHeight="false" outlineLevel="0" collapsed="false">
      <c r="A2059" s="182" t="s">
        <v>4522</v>
      </c>
    </row>
    <row r="2060" customFormat="false" ht="12" hidden="false" customHeight="false" outlineLevel="0" collapsed="false">
      <c r="A2060" s="182" t="s">
        <v>4523</v>
      </c>
    </row>
    <row r="2061" customFormat="false" ht="12" hidden="false" customHeight="false" outlineLevel="0" collapsed="false">
      <c r="A2061" s="182" t="s">
        <v>4524</v>
      </c>
    </row>
    <row r="2062" customFormat="false" ht="12" hidden="false" customHeight="false" outlineLevel="0" collapsed="false">
      <c r="A2062" s="182" t="s">
        <v>4525</v>
      </c>
    </row>
    <row r="2063" customFormat="false" ht="12" hidden="false" customHeight="false" outlineLevel="0" collapsed="false">
      <c r="A2063" s="182" t="s">
        <v>4526</v>
      </c>
    </row>
    <row r="2064" customFormat="false" ht="12" hidden="false" customHeight="false" outlineLevel="0" collapsed="false">
      <c r="A2064" s="182" t="s">
        <v>4527</v>
      </c>
    </row>
    <row r="2065" customFormat="false" ht="12" hidden="false" customHeight="false" outlineLevel="0" collapsed="false">
      <c r="A2065" s="182" t="s">
        <v>4528</v>
      </c>
    </row>
    <row r="2066" customFormat="false" ht="12" hidden="false" customHeight="false" outlineLevel="0" collapsed="false">
      <c r="A2066" s="182" t="s">
        <v>4529</v>
      </c>
    </row>
    <row r="2067" customFormat="false" ht="12" hidden="false" customHeight="false" outlineLevel="0" collapsed="false">
      <c r="A2067" s="182" t="s">
        <v>4530</v>
      </c>
    </row>
    <row r="2068" customFormat="false" ht="12" hidden="false" customHeight="false" outlineLevel="0" collapsed="false">
      <c r="A2068" s="182" t="s">
        <v>4531</v>
      </c>
    </row>
    <row r="2069" customFormat="false" ht="12" hidden="false" customHeight="false" outlineLevel="0" collapsed="false">
      <c r="A2069" s="182" t="s">
        <v>4532</v>
      </c>
    </row>
    <row r="2070" customFormat="false" ht="12" hidden="false" customHeight="false" outlineLevel="0" collapsed="false">
      <c r="A2070" s="182" t="s">
        <v>4533</v>
      </c>
    </row>
    <row r="2071" customFormat="false" ht="12" hidden="false" customHeight="false" outlineLevel="0" collapsed="false">
      <c r="A2071" s="182" t="s">
        <v>4534</v>
      </c>
    </row>
    <row r="2072" customFormat="false" ht="12" hidden="false" customHeight="false" outlineLevel="0" collapsed="false">
      <c r="A2072" s="182" t="s">
        <v>4535</v>
      </c>
    </row>
    <row r="2073" customFormat="false" ht="12" hidden="false" customHeight="false" outlineLevel="0" collapsed="false">
      <c r="A2073" s="182" t="s">
        <v>4536</v>
      </c>
    </row>
    <row r="2074" customFormat="false" ht="12" hidden="false" customHeight="false" outlineLevel="0" collapsed="false">
      <c r="A2074" s="182" t="s">
        <v>4537</v>
      </c>
    </row>
    <row r="2075" customFormat="false" ht="12" hidden="false" customHeight="false" outlineLevel="0" collapsed="false">
      <c r="A2075" s="182" t="s">
        <v>4538</v>
      </c>
    </row>
    <row r="2076" customFormat="false" ht="12" hidden="false" customHeight="false" outlineLevel="0" collapsed="false">
      <c r="A2076" s="182" t="s">
        <v>4539</v>
      </c>
    </row>
    <row r="2077" customFormat="false" ht="12" hidden="false" customHeight="false" outlineLevel="0" collapsed="false">
      <c r="A2077" s="182" t="s">
        <v>4540</v>
      </c>
    </row>
    <row r="2078" customFormat="false" ht="12" hidden="false" customHeight="false" outlineLevel="0" collapsed="false">
      <c r="A2078" s="182" t="s">
        <v>4541</v>
      </c>
    </row>
    <row r="2079" customFormat="false" ht="12" hidden="false" customHeight="false" outlineLevel="0" collapsed="false">
      <c r="A2079" s="182" t="s">
        <v>4542</v>
      </c>
    </row>
    <row r="2080" customFormat="false" ht="12" hidden="false" customHeight="false" outlineLevel="0" collapsed="false">
      <c r="A2080" s="182" t="s">
        <v>4543</v>
      </c>
    </row>
    <row r="2081" customFormat="false" ht="12" hidden="false" customHeight="false" outlineLevel="0" collapsed="false">
      <c r="A2081" s="182" t="s">
        <v>4544</v>
      </c>
    </row>
    <row r="2082" customFormat="false" ht="12" hidden="false" customHeight="false" outlineLevel="0" collapsed="false">
      <c r="A2082" s="182" t="s">
        <v>4545</v>
      </c>
    </row>
    <row r="2083" customFormat="false" ht="12" hidden="false" customHeight="false" outlineLevel="0" collapsed="false">
      <c r="A2083" s="182" t="s">
        <v>4546</v>
      </c>
    </row>
    <row r="2084" customFormat="false" ht="12" hidden="false" customHeight="false" outlineLevel="0" collapsed="false">
      <c r="A2084" s="182" t="s">
        <v>4547</v>
      </c>
    </row>
    <row r="2085" customFormat="false" ht="12" hidden="false" customHeight="false" outlineLevel="0" collapsed="false">
      <c r="A2085" s="182" t="s">
        <v>4548</v>
      </c>
    </row>
    <row r="2086" customFormat="false" ht="12" hidden="false" customHeight="false" outlineLevel="0" collapsed="false">
      <c r="A2086" s="182" t="s">
        <v>4549</v>
      </c>
    </row>
    <row r="2087" customFormat="false" ht="12" hidden="false" customHeight="false" outlineLevel="0" collapsed="false">
      <c r="A2087" s="182" t="s">
        <v>4550</v>
      </c>
    </row>
    <row r="2088" customFormat="false" ht="12" hidden="false" customHeight="false" outlineLevel="0" collapsed="false">
      <c r="A2088" s="182" t="s">
        <v>4551</v>
      </c>
    </row>
    <row r="2089" customFormat="false" ht="12" hidden="false" customHeight="false" outlineLevel="0" collapsed="false">
      <c r="A2089" s="182" t="s">
        <v>4552</v>
      </c>
    </row>
    <row r="2090" customFormat="false" ht="12" hidden="false" customHeight="false" outlineLevel="0" collapsed="false">
      <c r="A2090" s="182" t="s">
        <v>4553</v>
      </c>
    </row>
    <row r="2091" customFormat="false" ht="12" hidden="false" customHeight="false" outlineLevel="0" collapsed="false">
      <c r="A2091" s="182" t="s">
        <v>4554</v>
      </c>
    </row>
    <row r="2092" customFormat="false" ht="12" hidden="false" customHeight="false" outlineLevel="0" collapsed="false">
      <c r="A2092" s="182" t="s">
        <v>4555</v>
      </c>
    </row>
    <row r="2093" customFormat="false" ht="12" hidden="false" customHeight="false" outlineLevel="0" collapsed="false">
      <c r="A2093" s="182" t="s">
        <v>4556</v>
      </c>
    </row>
    <row r="2094" customFormat="false" ht="12" hidden="false" customHeight="false" outlineLevel="0" collapsed="false">
      <c r="A2094" s="182" t="s">
        <v>4557</v>
      </c>
    </row>
    <row r="2095" customFormat="false" ht="12" hidden="false" customHeight="false" outlineLevel="0" collapsed="false">
      <c r="A2095" s="182" t="s">
        <v>4558</v>
      </c>
    </row>
    <row r="2096" customFormat="false" ht="12" hidden="false" customHeight="false" outlineLevel="0" collapsed="false">
      <c r="A2096" s="182" t="s">
        <v>4559</v>
      </c>
    </row>
    <row r="2097" customFormat="false" ht="12" hidden="false" customHeight="false" outlineLevel="0" collapsed="false">
      <c r="A2097" s="182" t="s">
        <v>4560</v>
      </c>
    </row>
    <row r="2098" customFormat="false" ht="12" hidden="false" customHeight="false" outlineLevel="0" collapsed="false">
      <c r="A2098" s="182" t="s">
        <v>4561</v>
      </c>
    </row>
    <row r="2099" customFormat="false" ht="12" hidden="false" customHeight="false" outlineLevel="0" collapsed="false">
      <c r="A2099" s="182" t="s">
        <v>4562</v>
      </c>
    </row>
    <row r="2100" customFormat="false" ht="12" hidden="false" customHeight="false" outlineLevel="0" collapsed="false">
      <c r="A2100" s="182" t="s">
        <v>4563</v>
      </c>
    </row>
    <row r="2101" customFormat="false" ht="12" hidden="false" customHeight="false" outlineLevel="0" collapsed="false">
      <c r="A2101" s="182" t="s">
        <v>4564</v>
      </c>
    </row>
    <row r="2102" customFormat="false" ht="12" hidden="false" customHeight="false" outlineLevel="0" collapsed="false">
      <c r="A2102" s="182" t="s">
        <v>4565</v>
      </c>
    </row>
    <row r="2103" customFormat="false" ht="12" hidden="false" customHeight="false" outlineLevel="0" collapsed="false">
      <c r="A2103" s="182" t="s">
        <v>4566</v>
      </c>
    </row>
    <row r="2104" customFormat="false" ht="12" hidden="false" customHeight="false" outlineLevel="0" collapsed="false">
      <c r="A2104" s="182" t="s">
        <v>4567</v>
      </c>
    </row>
    <row r="2105" customFormat="false" ht="12" hidden="false" customHeight="false" outlineLevel="0" collapsed="false">
      <c r="A2105" s="182" t="s">
        <v>4568</v>
      </c>
    </row>
    <row r="2106" customFormat="false" ht="12" hidden="false" customHeight="false" outlineLevel="0" collapsed="false">
      <c r="A2106" s="182" t="s">
        <v>4569</v>
      </c>
    </row>
    <row r="2107" customFormat="false" ht="12" hidden="false" customHeight="false" outlineLevel="0" collapsed="false">
      <c r="A2107" s="182" t="s">
        <v>4570</v>
      </c>
    </row>
    <row r="2108" customFormat="false" ht="12" hidden="false" customHeight="false" outlineLevel="0" collapsed="false">
      <c r="A2108" s="182" t="s">
        <v>4571</v>
      </c>
    </row>
    <row r="2109" customFormat="false" ht="12" hidden="false" customHeight="false" outlineLevel="0" collapsed="false">
      <c r="A2109" s="182" t="s">
        <v>4572</v>
      </c>
    </row>
    <row r="2110" customFormat="false" ht="12" hidden="false" customHeight="false" outlineLevel="0" collapsed="false">
      <c r="A2110" s="182" t="s">
        <v>4573</v>
      </c>
    </row>
    <row r="2111" customFormat="false" ht="12" hidden="false" customHeight="false" outlineLevel="0" collapsed="false">
      <c r="A2111" s="182" t="s">
        <v>4574</v>
      </c>
    </row>
    <row r="2112" customFormat="false" ht="12" hidden="false" customHeight="false" outlineLevel="0" collapsed="false">
      <c r="A2112" s="182" t="s">
        <v>4575</v>
      </c>
    </row>
    <row r="2113" customFormat="false" ht="12" hidden="false" customHeight="false" outlineLevel="0" collapsed="false">
      <c r="A2113" s="182" t="s">
        <v>4576</v>
      </c>
    </row>
    <row r="2114" customFormat="false" ht="12" hidden="false" customHeight="false" outlineLevel="0" collapsed="false">
      <c r="A2114" s="182" t="s">
        <v>4577</v>
      </c>
    </row>
    <row r="2115" customFormat="false" ht="12" hidden="false" customHeight="false" outlineLevel="0" collapsed="false">
      <c r="A2115" s="182" t="s">
        <v>4578</v>
      </c>
    </row>
    <row r="2116" customFormat="false" ht="12" hidden="false" customHeight="false" outlineLevel="0" collapsed="false">
      <c r="A2116" s="182" t="s">
        <v>4579</v>
      </c>
    </row>
    <row r="2117" customFormat="false" ht="12" hidden="false" customHeight="false" outlineLevel="0" collapsed="false">
      <c r="A2117" s="182" t="s">
        <v>4580</v>
      </c>
    </row>
    <row r="2118" customFormat="false" ht="12" hidden="false" customHeight="false" outlineLevel="0" collapsed="false">
      <c r="A2118" s="182" t="s">
        <v>4581</v>
      </c>
    </row>
    <row r="2119" customFormat="false" ht="12" hidden="false" customHeight="false" outlineLevel="0" collapsed="false">
      <c r="A2119" s="182" t="s">
        <v>4582</v>
      </c>
    </row>
    <row r="2120" customFormat="false" ht="12" hidden="false" customHeight="false" outlineLevel="0" collapsed="false">
      <c r="A2120" s="182" t="s">
        <v>4583</v>
      </c>
    </row>
    <row r="2121" customFormat="false" ht="12" hidden="false" customHeight="false" outlineLevel="0" collapsed="false">
      <c r="A2121" s="182" t="s">
        <v>4584</v>
      </c>
    </row>
    <row r="2122" customFormat="false" ht="12" hidden="false" customHeight="false" outlineLevel="0" collapsed="false">
      <c r="A2122" s="182" t="s">
        <v>4585</v>
      </c>
    </row>
    <row r="2123" customFormat="false" ht="12" hidden="false" customHeight="false" outlineLevel="0" collapsed="false">
      <c r="A2123" s="182" t="s">
        <v>4586</v>
      </c>
    </row>
    <row r="2124" customFormat="false" ht="12" hidden="false" customHeight="false" outlineLevel="0" collapsed="false">
      <c r="A2124" s="182" t="s">
        <v>4587</v>
      </c>
    </row>
    <row r="2125" customFormat="false" ht="12" hidden="false" customHeight="false" outlineLevel="0" collapsed="false">
      <c r="A2125" s="182" t="s">
        <v>4588</v>
      </c>
    </row>
    <row r="2126" customFormat="false" ht="12" hidden="false" customHeight="false" outlineLevel="0" collapsed="false">
      <c r="A2126" s="182" t="s">
        <v>4589</v>
      </c>
    </row>
    <row r="2127" customFormat="false" ht="12" hidden="false" customHeight="false" outlineLevel="0" collapsed="false">
      <c r="A2127" s="182" t="s">
        <v>4590</v>
      </c>
    </row>
    <row r="2128" customFormat="false" ht="12" hidden="false" customHeight="false" outlineLevel="0" collapsed="false">
      <c r="A2128" s="182" t="s">
        <v>4591</v>
      </c>
    </row>
    <row r="2129" customFormat="false" ht="12" hidden="false" customHeight="false" outlineLevel="0" collapsed="false">
      <c r="A2129" s="182" t="s">
        <v>4592</v>
      </c>
    </row>
    <row r="2130" customFormat="false" ht="12" hidden="false" customHeight="false" outlineLevel="0" collapsed="false">
      <c r="A2130" s="182" t="s">
        <v>4593</v>
      </c>
    </row>
    <row r="2131" customFormat="false" ht="12" hidden="false" customHeight="false" outlineLevel="0" collapsed="false">
      <c r="A2131" s="182" t="s">
        <v>4594</v>
      </c>
    </row>
    <row r="2132" customFormat="false" ht="12" hidden="false" customHeight="false" outlineLevel="0" collapsed="false">
      <c r="A2132" s="182" t="s">
        <v>4595</v>
      </c>
    </row>
    <row r="2133" customFormat="false" ht="12" hidden="false" customHeight="false" outlineLevel="0" collapsed="false">
      <c r="A2133" s="182" t="s">
        <v>4596</v>
      </c>
    </row>
    <row r="2134" customFormat="false" ht="12" hidden="false" customHeight="false" outlineLevel="0" collapsed="false">
      <c r="A2134" s="182" t="s">
        <v>4597</v>
      </c>
    </row>
    <row r="2135" customFormat="false" ht="12" hidden="false" customHeight="false" outlineLevel="0" collapsed="false">
      <c r="A2135" s="182" t="s">
        <v>4598</v>
      </c>
    </row>
    <row r="2136" customFormat="false" ht="12" hidden="false" customHeight="false" outlineLevel="0" collapsed="false">
      <c r="A2136" s="182" t="s">
        <v>4599</v>
      </c>
    </row>
    <row r="2137" customFormat="false" ht="12" hidden="false" customHeight="false" outlineLevel="0" collapsed="false">
      <c r="A2137" s="182" t="s">
        <v>4600</v>
      </c>
    </row>
    <row r="2138" customFormat="false" ht="12" hidden="false" customHeight="false" outlineLevel="0" collapsed="false">
      <c r="A2138" s="182" t="s">
        <v>4601</v>
      </c>
    </row>
    <row r="2139" customFormat="false" ht="12" hidden="false" customHeight="false" outlineLevel="0" collapsed="false">
      <c r="A2139" s="182" t="s">
        <v>4602</v>
      </c>
    </row>
    <row r="2140" customFormat="false" ht="12" hidden="false" customHeight="false" outlineLevel="0" collapsed="false">
      <c r="A2140" s="182" t="s">
        <v>4603</v>
      </c>
    </row>
    <row r="2141" customFormat="false" ht="12" hidden="false" customHeight="false" outlineLevel="0" collapsed="false">
      <c r="A2141" s="182" t="s">
        <v>4604</v>
      </c>
    </row>
    <row r="2142" customFormat="false" ht="12" hidden="false" customHeight="false" outlineLevel="0" collapsed="false">
      <c r="A2142" s="182" t="s">
        <v>4605</v>
      </c>
    </row>
    <row r="2143" customFormat="false" ht="12" hidden="false" customHeight="false" outlineLevel="0" collapsed="false">
      <c r="A2143" s="182" t="s">
        <v>4606</v>
      </c>
    </row>
    <row r="2144" customFormat="false" ht="12" hidden="false" customHeight="false" outlineLevel="0" collapsed="false">
      <c r="A2144" s="182" t="s">
        <v>4607</v>
      </c>
    </row>
    <row r="2145" customFormat="false" ht="12" hidden="false" customHeight="false" outlineLevel="0" collapsed="false">
      <c r="A2145" s="182" t="s">
        <v>4608</v>
      </c>
    </row>
    <row r="2146" customFormat="false" ht="12" hidden="false" customHeight="false" outlineLevel="0" collapsed="false">
      <c r="A2146" s="182" t="s">
        <v>4609</v>
      </c>
    </row>
    <row r="2147" customFormat="false" ht="12" hidden="false" customHeight="false" outlineLevel="0" collapsed="false">
      <c r="A2147" s="182" t="s">
        <v>4610</v>
      </c>
    </row>
    <row r="2148" customFormat="false" ht="12" hidden="false" customHeight="false" outlineLevel="0" collapsed="false">
      <c r="A2148" s="182" t="s">
        <v>4611</v>
      </c>
    </row>
    <row r="2149" customFormat="false" ht="12" hidden="false" customHeight="false" outlineLevel="0" collapsed="false">
      <c r="A2149" s="182" t="s">
        <v>4612</v>
      </c>
    </row>
    <row r="2150" customFormat="false" ht="12" hidden="false" customHeight="false" outlineLevel="0" collapsed="false">
      <c r="A2150" s="182" t="s">
        <v>4613</v>
      </c>
    </row>
    <row r="2151" customFormat="false" ht="12" hidden="false" customHeight="false" outlineLevel="0" collapsed="false">
      <c r="A2151" s="182" t="s">
        <v>4614</v>
      </c>
    </row>
    <row r="2152" customFormat="false" ht="12" hidden="false" customHeight="false" outlineLevel="0" collapsed="false">
      <c r="A2152" s="182" t="s">
        <v>4615</v>
      </c>
    </row>
    <row r="2153" customFormat="false" ht="12" hidden="false" customHeight="false" outlineLevel="0" collapsed="false">
      <c r="A2153" s="182" t="s">
        <v>4616</v>
      </c>
    </row>
    <row r="2154" customFormat="false" ht="12" hidden="false" customHeight="false" outlineLevel="0" collapsed="false">
      <c r="A2154" s="182" t="s">
        <v>4617</v>
      </c>
    </row>
    <row r="2155" customFormat="false" ht="12" hidden="false" customHeight="false" outlineLevel="0" collapsed="false">
      <c r="A2155" s="182" t="s">
        <v>4618</v>
      </c>
    </row>
    <row r="2156" customFormat="false" ht="12" hidden="false" customHeight="false" outlineLevel="0" collapsed="false">
      <c r="A2156" s="182" t="s">
        <v>4619</v>
      </c>
    </row>
    <row r="2157" customFormat="false" ht="12" hidden="false" customHeight="false" outlineLevel="0" collapsed="false">
      <c r="A2157" s="182" t="s">
        <v>4620</v>
      </c>
    </row>
    <row r="2158" customFormat="false" ht="12" hidden="false" customHeight="false" outlineLevel="0" collapsed="false">
      <c r="A2158" s="182" t="s">
        <v>4621</v>
      </c>
    </row>
    <row r="2159" customFormat="false" ht="12" hidden="false" customHeight="false" outlineLevel="0" collapsed="false">
      <c r="A2159" s="182" t="s">
        <v>4622</v>
      </c>
    </row>
    <row r="2160" customFormat="false" ht="12" hidden="false" customHeight="false" outlineLevel="0" collapsed="false">
      <c r="A2160" s="182" t="s">
        <v>4623</v>
      </c>
    </row>
    <row r="2161" customFormat="false" ht="12" hidden="false" customHeight="false" outlineLevel="0" collapsed="false">
      <c r="A2161" s="182" t="s">
        <v>4624</v>
      </c>
    </row>
    <row r="2162" customFormat="false" ht="12" hidden="false" customHeight="false" outlineLevel="0" collapsed="false">
      <c r="A2162" s="182" t="s">
        <v>4625</v>
      </c>
    </row>
    <row r="2163" customFormat="false" ht="12" hidden="false" customHeight="false" outlineLevel="0" collapsed="false">
      <c r="A2163" s="182" t="s">
        <v>4626</v>
      </c>
    </row>
    <row r="2164" customFormat="false" ht="12" hidden="false" customHeight="false" outlineLevel="0" collapsed="false">
      <c r="A2164" s="182" t="s">
        <v>4627</v>
      </c>
    </row>
    <row r="2165" customFormat="false" ht="12" hidden="false" customHeight="false" outlineLevel="0" collapsed="false">
      <c r="A2165" s="182" t="s">
        <v>4628</v>
      </c>
    </row>
    <row r="2166" customFormat="false" ht="12" hidden="false" customHeight="false" outlineLevel="0" collapsed="false">
      <c r="A2166" s="182" t="s">
        <v>4629</v>
      </c>
    </row>
    <row r="2167" customFormat="false" ht="12" hidden="false" customHeight="false" outlineLevel="0" collapsed="false">
      <c r="A2167" s="182" t="s">
        <v>4630</v>
      </c>
    </row>
    <row r="2168" customFormat="false" ht="12" hidden="false" customHeight="false" outlineLevel="0" collapsed="false">
      <c r="A2168" s="182" t="s">
        <v>4631</v>
      </c>
    </row>
    <row r="2169" customFormat="false" ht="12" hidden="false" customHeight="false" outlineLevel="0" collapsed="false">
      <c r="A2169" s="182" t="s">
        <v>4632</v>
      </c>
    </row>
    <row r="2170" customFormat="false" ht="12" hidden="false" customHeight="false" outlineLevel="0" collapsed="false">
      <c r="A2170" s="182" t="s">
        <v>4633</v>
      </c>
    </row>
    <row r="2171" customFormat="false" ht="12" hidden="false" customHeight="false" outlineLevel="0" collapsed="false">
      <c r="A2171" s="182" t="s">
        <v>4634</v>
      </c>
    </row>
    <row r="2172" customFormat="false" ht="12" hidden="false" customHeight="false" outlineLevel="0" collapsed="false">
      <c r="A2172" s="182" t="s">
        <v>4635</v>
      </c>
    </row>
    <row r="2173" customFormat="false" ht="12" hidden="false" customHeight="false" outlineLevel="0" collapsed="false">
      <c r="A2173" s="182" t="s">
        <v>4636</v>
      </c>
    </row>
    <row r="2174" customFormat="false" ht="12" hidden="false" customHeight="false" outlineLevel="0" collapsed="false">
      <c r="A2174" s="182" t="s">
        <v>4637</v>
      </c>
    </row>
    <row r="2175" customFormat="false" ht="12" hidden="false" customHeight="false" outlineLevel="0" collapsed="false">
      <c r="A2175" s="182" t="s">
        <v>4638</v>
      </c>
    </row>
    <row r="2176" customFormat="false" ht="12" hidden="false" customHeight="false" outlineLevel="0" collapsed="false">
      <c r="A2176" s="182" t="s">
        <v>4639</v>
      </c>
    </row>
    <row r="2177" customFormat="false" ht="12" hidden="false" customHeight="false" outlineLevel="0" collapsed="false">
      <c r="A2177" s="182" t="s">
        <v>4640</v>
      </c>
    </row>
    <row r="2178" customFormat="false" ht="12" hidden="false" customHeight="false" outlineLevel="0" collapsed="false">
      <c r="A2178" s="182" t="s">
        <v>4641</v>
      </c>
    </row>
    <row r="2179" customFormat="false" ht="12" hidden="false" customHeight="false" outlineLevel="0" collapsed="false">
      <c r="A2179" s="182" t="s">
        <v>4642</v>
      </c>
    </row>
    <row r="2180" customFormat="false" ht="12" hidden="false" customHeight="false" outlineLevel="0" collapsed="false">
      <c r="A2180" s="182" t="s">
        <v>4643</v>
      </c>
    </row>
    <row r="2181" customFormat="false" ht="12" hidden="false" customHeight="false" outlineLevel="0" collapsed="false">
      <c r="A2181" s="182" t="s">
        <v>4644</v>
      </c>
    </row>
    <row r="2182" customFormat="false" ht="12" hidden="false" customHeight="false" outlineLevel="0" collapsed="false">
      <c r="A2182" s="182" t="s">
        <v>4645</v>
      </c>
    </row>
    <row r="2183" customFormat="false" ht="12" hidden="false" customHeight="false" outlineLevel="0" collapsed="false">
      <c r="A2183" s="182" t="s">
        <v>4646</v>
      </c>
    </row>
    <row r="2184" customFormat="false" ht="12" hidden="false" customHeight="false" outlineLevel="0" collapsed="false">
      <c r="A2184" s="182" t="s">
        <v>4647</v>
      </c>
    </row>
    <row r="2185" customFormat="false" ht="12" hidden="false" customHeight="false" outlineLevel="0" collapsed="false">
      <c r="A2185" s="182" t="s">
        <v>4648</v>
      </c>
    </row>
    <row r="2186" customFormat="false" ht="12" hidden="false" customHeight="false" outlineLevel="0" collapsed="false">
      <c r="A2186" s="182" t="s">
        <v>4649</v>
      </c>
    </row>
    <row r="2187" customFormat="false" ht="12" hidden="false" customHeight="false" outlineLevel="0" collapsed="false">
      <c r="A2187" s="182" t="s">
        <v>4650</v>
      </c>
    </row>
    <row r="2188" customFormat="false" ht="12" hidden="false" customHeight="false" outlineLevel="0" collapsed="false">
      <c r="A2188" s="182" t="s">
        <v>4651</v>
      </c>
    </row>
    <row r="2189" customFormat="false" ht="12" hidden="false" customHeight="false" outlineLevel="0" collapsed="false">
      <c r="A2189" s="182" t="s">
        <v>4652</v>
      </c>
    </row>
    <row r="2190" customFormat="false" ht="12" hidden="false" customHeight="false" outlineLevel="0" collapsed="false">
      <c r="A2190" s="182" t="s">
        <v>4653</v>
      </c>
    </row>
    <row r="2191" customFormat="false" ht="12" hidden="false" customHeight="false" outlineLevel="0" collapsed="false">
      <c r="A2191" s="182" t="s">
        <v>4654</v>
      </c>
    </row>
    <row r="2192" customFormat="false" ht="12" hidden="false" customHeight="false" outlineLevel="0" collapsed="false">
      <c r="A2192" s="182" t="s">
        <v>4655</v>
      </c>
    </row>
    <row r="2193" customFormat="false" ht="12" hidden="false" customHeight="false" outlineLevel="0" collapsed="false">
      <c r="A2193" s="182" t="s">
        <v>4656</v>
      </c>
    </row>
    <row r="2194" customFormat="false" ht="12" hidden="false" customHeight="false" outlineLevel="0" collapsed="false">
      <c r="A2194" s="182" t="s">
        <v>4657</v>
      </c>
    </row>
    <row r="2195" customFormat="false" ht="12" hidden="false" customHeight="false" outlineLevel="0" collapsed="false">
      <c r="A2195" s="182" t="s">
        <v>4658</v>
      </c>
    </row>
    <row r="2196" customFormat="false" ht="12" hidden="false" customHeight="false" outlineLevel="0" collapsed="false">
      <c r="A2196" s="182" t="s">
        <v>4659</v>
      </c>
    </row>
    <row r="2197" customFormat="false" ht="12" hidden="false" customHeight="false" outlineLevel="0" collapsed="false">
      <c r="A2197" s="182" t="s">
        <v>4660</v>
      </c>
    </row>
    <row r="2198" customFormat="false" ht="12" hidden="false" customHeight="false" outlineLevel="0" collapsed="false">
      <c r="A2198" s="182" t="s">
        <v>4661</v>
      </c>
    </row>
    <row r="2199" customFormat="false" ht="12" hidden="false" customHeight="false" outlineLevel="0" collapsed="false">
      <c r="A2199" s="182" t="s">
        <v>4662</v>
      </c>
    </row>
    <row r="2200" customFormat="false" ht="12" hidden="false" customHeight="false" outlineLevel="0" collapsed="false">
      <c r="A2200" s="182" t="s">
        <v>4663</v>
      </c>
    </row>
    <row r="2201" customFormat="false" ht="12" hidden="false" customHeight="false" outlineLevel="0" collapsed="false">
      <c r="A2201" s="182" t="s">
        <v>4664</v>
      </c>
    </row>
    <row r="2202" customFormat="false" ht="12" hidden="false" customHeight="false" outlineLevel="0" collapsed="false">
      <c r="A2202" s="182" t="s">
        <v>4665</v>
      </c>
    </row>
    <row r="2203" customFormat="false" ht="12" hidden="false" customHeight="false" outlineLevel="0" collapsed="false">
      <c r="A2203" s="182" t="s">
        <v>4666</v>
      </c>
    </row>
    <row r="2204" customFormat="false" ht="12" hidden="false" customHeight="false" outlineLevel="0" collapsed="false">
      <c r="A2204" s="182" t="s">
        <v>4667</v>
      </c>
    </row>
    <row r="2205" customFormat="false" ht="12" hidden="false" customHeight="false" outlineLevel="0" collapsed="false">
      <c r="A2205" s="182" t="s">
        <v>4668</v>
      </c>
    </row>
    <row r="2206" customFormat="false" ht="12" hidden="false" customHeight="false" outlineLevel="0" collapsed="false">
      <c r="A2206" s="182" t="s">
        <v>4669</v>
      </c>
    </row>
    <row r="2207" customFormat="false" ht="12" hidden="false" customHeight="false" outlineLevel="0" collapsed="false">
      <c r="A2207" s="182" t="s">
        <v>4670</v>
      </c>
    </row>
    <row r="2208" customFormat="false" ht="12" hidden="false" customHeight="false" outlineLevel="0" collapsed="false">
      <c r="A2208" s="182" t="s">
        <v>4671</v>
      </c>
    </row>
    <row r="2209" customFormat="false" ht="12" hidden="false" customHeight="false" outlineLevel="0" collapsed="false">
      <c r="A2209" s="182" t="s">
        <v>4672</v>
      </c>
    </row>
    <row r="2210" customFormat="false" ht="12" hidden="false" customHeight="false" outlineLevel="0" collapsed="false">
      <c r="A2210" s="182" t="s">
        <v>4673</v>
      </c>
    </row>
    <row r="2211" customFormat="false" ht="12" hidden="false" customHeight="false" outlineLevel="0" collapsed="false">
      <c r="A2211" s="182" t="s">
        <v>4674</v>
      </c>
    </row>
    <row r="2212" customFormat="false" ht="12" hidden="false" customHeight="false" outlineLevel="0" collapsed="false">
      <c r="A2212" s="182" t="s">
        <v>4675</v>
      </c>
    </row>
    <row r="2213" customFormat="false" ht="12" hidden="false" customHeight="false" outlineLevel="0" collapsed="false">
      <c r="A2213" s="182" t="s">
        <v>4676</v>
      </c>
    </row>
    <row r="2214" customFormat="false" ht="12" hidden="false" customHeight="false" outlineLevel="0" collapsed="false">
      <c r="A2214" s="182" t="s">
        <v>4677</v>
      </c>
    </row>
    <row r="2215" customFormat="false" ht="12" hidden="false" customHeight="false" outlineLevel="0" collapsed="false">
      <c r="A2215" s="182" t="s">
        <v>4678</v>
      </c>
    </row>
    <row r="2216" customFormat="false" ht="12" hidden="false" customHeight="false" outlineLevel="0" collapsed="false">
      <c r="A2216" s="182" t="s">
        <v>4679</v>
      </c>
    </row>
    <row r="2217" customFormat="false" ht="12" hidden="false" customHeight="false" outlineLevel="0" collapsed="false">
      <c r="A2217" s="182" t="s">
        <v>4680</v>
      </c>
    </row>
    <row r="2218" customFormat="false" ht="12" hidden="false" customHeight="false" outlineLevel="0" collapsed="false">
      <c r="A2218" s="182" t="s">
        <v>4681</v>
      </c>
    </row>
    <row r="2219" customFormat="false" ht="12" hidden="false" customHeight="false" outlineLevel="0" collapsed="false">
      <c r="A2219" s="182" t="s">
        <v>4682</v>
      </c>
    </row>
    <row r="2220" customFormat="false" ht="12" hidden="false" customHeight="false" outlineLevel="0" collapsed="false">
      <c r="A2220" s="182" t="s">
        <v>4683</v>
      </c>
    </row>
    <row r="2221" customFormat="false" ht="12" hidden="false" customHeight="false" outlineLevel="0" collapsed="false">
      <c r="A2221" s="182" t="s">
        <v>4684</v>
      </c>
    </row>
    <row r="2222" customFormat="false" ht="12" hidden="false" customHeight="false" outlineLevel="0" collapsed="false">
      <c r="A2222" s="182" t="s">
        <v>4685</v>
      </c>
    </row>
    <row r="2223" customFormat="false" ht="12" hidden="false" customHeight="false" outlineLevel="0" collapsed="false">
      <c r="A2223" s="182" t="s">
        <v>4686</v>
      </c>
    </row>
    <row r="2224" customFormat="false" ht="12" hidden="false" customHeight="false" outlineLevel="0" collapsed="false">
      <c r="A2224" s="182" t="s">
        <v>4687</v>
      </c>
    </row>
    <row r="2225" customFormat="false" ht="12" hidden="false" customHeight="false" outlineLevel="0" collapsed="false">
      <c r="A2225" s="182" t="s">
        <v>4688</v>
      </c>
    </row>
    <row r="2226" customFormat="false" ht="12" hidden="false" customHeight="false" outlineLevel="0" collapsed="false">
      <c r="A2226" s="182" t="s">
        <v>4689</v>
      </c>
    </row>
    <row r="2227" customFormat="false" ht="12" hidden="false" customHeight="false" outlineLevel="0" collapsed="false">
      <c r="A2227" s="182" t="s">
        <v>4690</v>
      </c>
    </row>
    <row r="2228" customFormat="false" ht="12" hidden="false" customHeight="false" outlineLevel="0" collapsed="false">
      <c r="A2228" s="182" t="s">
        <v>4691</v>
      </c>
    </row>
    <row r="2229" customFormat="false" ht="12" hidden="false" customHeight="false" outlineLevel="0" collapsed="false">
      <c r="A2229" s="182" t="s">
        <v>4692</v>
      </c>
    </row>
    <row r="2230" customFormat="false" ht="12" hidden="false" customHeight="false" outlineLevel="0" collapsed="false">
      <c r="A2230" s="182" t="s">
        <v>4693</v>
      </c>
    </row>
    <row r="2231" customFormat="false" ht="12" hidden="false" customHeight="false" outlineLevel="0" collapsed="false">
      <c r="A2231" s="182" t="s">
        <v>4694</v>
      </c>
    </row>
    <row r="2232" customFormat="false" ht="12" hidden="false" customHeight="false" outlineLevel="0" collapsed="false">
      <c r="A2232" s="182" t="s">
        <v>4695</v>
      </c>
    </row>
    <row r="2233" customFormat="false" ht="12" hidden="false" customHeight="false" outlineLevel="0" collapsed="false">
      <c r="A2233" s="182" t="s">
        <v>4696</v>
      </c>
    </row>
    <row r="2234" customFormat="false" ht="12" hidden="false" customHeight="false" outlineLevel="0" collapsed="false">
      <c r="A2234" s="182" t="s">
        <v>4697</v>
      </c>
    </row>
    <row r="2235" customFormat="false" ht="12" hidden="false" customHeight="false" outlineLevel="0" collapsed="false">
      <c r="A2235" s="182" t="s">
        <v>4698</v>
      </c>
    </row>
    <row r="2236" customFormat="false" ht="12" hidden="false" customHeight="false" outlineLevel="0" collapsed="false">
      <c r="A2236" s="182" t="s">
        <v>4699</v>
      </c>
    </row>
    <row r="2237" customFormat="false" ht="12" hidden="false" customHeight="false" outlineLevel="0" collapsed="false">
      <c r="A2237" s="182" t="s">
        <v>4700</v>
      </c>
    </row>
    <row r="2238" customFormat="false" ht="12" hidden="false" customHeight="false" outlineLevel="0" collapsed="false">
      <c r="A2238" s="182" t="s">
        <v>4701</v>
      </c>
    </row>
    <row r="2239" customFormat="false" ht="12" hidden="false" customHeight="false" outlineLevel="0" collapsed="false">
      <c r="A2239" s="182" t="s">
        <v>4702</v>
      </c>
    </row>
    <row r="2240" customFormat="false" ht="12" hidden="false" customHeight="false" outlineLevel="0" collapsed="false">
      <c r="A2240" s="182" t="s">
        <v>4703</v>
      </c>
    </row>
    <row r="2241" customFormat="false" ht="12" hidden="false" customHeight="false" outlineLevel="0" collapsed="false">
      <c r="A2241" s="182" t="s">
        <v>4704</v>
      </c>
    </row>
    <row r="2242" customFormat="false" ht="12" hidden="false" customHeight="false" outlineLevel="0" collapsed="false">
      <c r="A2242" s="182" t="s">
        <v>4705</v>
      </c>
    </row>
    <row r="2243" customFormat="false" ht="12" hidden="false" customHeight="false" outlineLevel="0" collapsed="false">
      <c r="A2243" s="182" t="s">
        <v>4706</v>
      </c>
    </row>
    <row r="2244" customFormat="false" ht="12" hidden="false" customHeight="false" outlineLevel="0" collapsed="false">
      <c r="A2244" s="182" t="s">
        <v>4707</v>
      </c>
    </row>
    <row r="2245" customFormat="false" ht="12" hidden="false" customHeight="false" outlineLevel="0" collapsed="false">
      <c r="A2245" s="182" t="s">
        <v>4708</v>
      </c>
    </row>
    <row r="2246" customFormat="false" ht="12" hidden="false" customHeight="false" outlineLevel="0" collapsed="false">
      <c r="A2246" s="182" t="s">
        <v>4709</v>
      </c>
    </row>
    <row r="2247" customFormat="false" ht="12" hidden="false" customHeight="false" outlineLevel="0" collapsed="false">
      <c r="A2247" s="182" t="s">
        <v>4710</v>
      </c>
    </row>
    <row r="2248" customFormat="false" ht="12" hidden="false" customHeight="false" outlineLevel="0" collapsed="false">
      <c r="A2248" s="182" t="s">
        <v>4711</v>
      </c>
    </row>
    <row r="2249" customFormat="false" ht="12" hidden="false" customHeight="false" outlineLevel="0" collapsed="false">
      <c r="A2249" s="182" t="s">
        <v>4712</v>
      </c>
    </row>
    <row r="2250" customFormat="false" ht="12" hidden="false" customHeight="false" outlineLevel="0" collapsed="false">
      <c r="A2250" s="182" t="s">
        <v>4713</v>
      </c>
    </row>
    <row r="2251" customFormat="false" ht="12" hidden="false" customHeight="false" outlineLevel="0" collapsed="false">
      <c r="A2251" s="182" t="s">
        <v>4714</v>
      </c>
    </row>
    <row r="2252" customFormat="false" ht="12" hidden="false" customHeight="false" outlineLevel="0" collapsed="false">
      <c r="A2252" s="182" t="s">
        <v>4715</v>
      </c>
    </row>
    <row r="2253" customFormat="false" ht="12" hidden="false" customHeight="false" outlineLevel="0" collapsed="false">
      <c r="A2253" s="182" t="s">
        <v>4716</v>
      </c>
    </row>
    <row r="2254" customFormat="false" ht="12" hidden="false" customHeight="false" outlineLevel="0" collapsed="false">
      <c r="A2254" s="182" t="s">
        <v>4717</v>
      </c>
    </row>
    <row r="2255" customFormat="false" ht="12" hidden="false" customHeight="false" outlineLevel="0" collapsed="false">
      <c r="A2255" s="182" t="s">
        <v>4718</v>
      </c>
    </row>
    <row r="2256" customFormat="false" ht="12" hidden="false" customHeight="false" outlineLevel="0" collapsed="false">
      <c r="A2256" s="182" t="s">
        <v>4719</v>
      </c>
    </row>
    <row r="2257" customFormat="false" ht="12" hidden="false" customHeight="false" outlineLevel="0" collapsed="false">
      <c r="A2257" s="182" t="s">
        <v>4720</v>
      </c>
    </row>
    <row r="2258" customFormat="false" ht="12" hidden="false" customHeight="false" outlineLevel="0" collapsed="false">
      <c r="A2258" s="182" t="s">
        <v>4721</v>
      </c>
    </row>
    <row r="2259" customFormat="false" ht="12" hidden="false" customHeight="false" outlineLevel="0" collapsed="false">
      <c r="A2259" s="182" t="s">
        <v>4722</v>
      </c>
    </row>
    <row r="2260" customFormat="false" ht="12" hidden="false" customHeight="false" outlineLevel="0" collapsed="false">
      <c r="A2260" s="182" t="s">
        <v>4723</v>
      </c>
    </row>
    <row r="2261" customFormat="false" ht="12" hidden="false" customHeight="false" outlineLevel="0" collapsed="false">
      <c r="A2261" s="182" t="s">
        <v>4724</v>
      </c>
    </row>
    <row r="2262" customFormat="false" ht="12" hidden="false" customHeight="false" outlineLevel="0" collapsed="false">
      <c r="A2262" s="182" t="s">
        <v>4725</v>
      </c>
    </row>
    <row r="2263" customFormat="false" ht="12" hidden="false" customHeight="false" outlineLevel="0" collapsed="false">
      <c r="A2263" s="182" t="s">
        <v>4726</v>
      </c>
    </row>
    <row r="2264" customFormat="false" ht="12" hidden="false" customHeight="false" outlineLevel="0" collapsed="false">
      <c r="A2264" s="182" t="s">
        <v>4727</v>
      </c>
    </row>
    <row r="2265" customFormat="false" ht="12" hidden="false" customHeight="false" outlineLevel="0" collapsed="false">
      <c r="A2265" s="182" t="s">
        <v>4728</v>
      </c>
    </row>
    <row r="2266" customFormat="false" ht="12" hidden="false" customHeight="false" outlineLevel="0" collapsed="false">
      <c r="A2266" s="182" t="s">
        <v>4729</v>
      </c>
    </row>
    <row r="2267" customFormat="false" ht="12" hidden="false" customHeight="false" outlineLevel="0" collapsed="false">
      <c r="A2267" s="182" t="s">
        <v>4730</v>
      </c>
    </row>
    <row r="2268" customFormat="false" ht="12" hidden="false" customHeight="false" outlineLevel="0" collapsed="false">
      <c r="A2268" s="182" t="s">
        <v>4731</v>
      </c>
    </row>
    <row r="2269" customFormat="false" ht="12" hidden="false" customHeight="false" outlineLevel="0" collapsed="false">
      <c r="A2269" s="182" t="s">
        <v>4732</v>
      </c>
    </row>
    <row r="2270" customFormat="false" ht="12" hidden="false" customHeight="false" outlineLevel="0" collapsed="false">
      <c r="A2270" s="182" t="s">
        <v>4733</v>
      </c>
    </row>
    <row r="2271" customFormat="false" ht="12" hidden="false" customHeight="false" outlineLevel="0" collapsed="false">
      <c r="A2271" s="182" t="s">
        <v>4734</v>
      </c>
    </row>
    <row r="2272" customFormat="false" ht="12" hidden="false" customHeight="false" outlineLevel="0" collapsed="false">
      <c r="A2272" s="182" t="s">
        <v>4735</v>
      </c>
    </row>
    <row r="2273" customFormat="false" ht="12" hidden="false" customHeight="false" outlineLevel="0" collapsed="false">
      <c r="A2273" s="182" t="s">
        <v>4736</v>
      </c>
    </row>
    <row r="2274" customFormat="false" ht="12" hidden="false" customHeight="false" outlineLevel="0" collapsed="false">
      <c r="A2274" s="182" t="s">
        <v>4737</v>
      </c>
    </row>
    <row r="2275" customFormat="false" ht="12" hidden="false" customHeight="false" outlineLevel="0" collapsed="false">
      <c r="A2275" s="182" t="s">
        <v>4738</v>
      </c>
    </row>
    <row r="2276" customFormat="false" ht="12" hidden="false" customHeight="false" outlineLevel="0" collapsed="false">
      <c r="A2276" s="182" t="s">
        <v>4739</v>
      </c>
    </row>
    <row r="2277" customFormat="false" ht="12" hidden="false" customHeight="false" outlineLevel="0" collapsed="false">
      <c r="A2277" s="182" t="s">
        <v>4740</v>
      </c>
    </row>
    <row r="2278" customFormat="false" ht="12" hidden="false" customHeight="false" outlineLevel="0" collapsed="false">
      <c r="A2278" s="182" t="s">
        <v>4741</v>
      </c>
    </row>
    <row r="2279" customFormat="false" ht="12" hidden="false" customHeight="false" outlineLevel="0" collapsed="false">
      <c r="A2279" s="182" t="s">
        <v>4742</v>
      </c>
    </row>
    <row r="2280" customFormat="false" ht="12" hidden="false" customHeight="false" outlineLevel="0" collapsed="false">
      <c r="A2280" s="182" t="s">
        <v>4743</v>
      </c>
    </row>
    <row r="2281" customFormat="false" ht="12" hidden="false" customHeight="false" outlineLevel="0" collapsed="false">
      <c r="A2281" s="182" t="s">
        <v>4744</v>
      </c>
    </row>
    <row r="2282" customFormat="false" ht="12" hidden="false" customHeight="false" outlineLevel="0" collapsed="false">
      <c r="A2282" s="182" t="s">
        <v>4745</v>
      </c>
    </row>
    <row r="2283" customFormat="false" ht="12" hidden="false" customHeight="false" outlineLevel="0" collapsed="false">
      <c r="A2283" s="182" t="s">
        <v>4746</v>
      </c>
    </row>
    <row r="2284" customFormat="false" ht="12" hidden="false" customHeight="false" outlineLevel="0" collapsed="false">
      <c r="A2284" s="182" t="s">
        <v>4747</v>
      </c>
    </row>
    <row r="2285" customFormat="false" ht="12" hidden="false" customHeight="false" outlineLevel="0" collapsed="false">
      <c r="A2285" s="182" t="s">
        <v>4748</v>
      </c>
    </row>
    <row r="2286" customFormat="false" ht="12" hidden="false" customHeight="false" outlineLevel="0" collapsed="false">
      <c r="A2286" s="182" t="s">
        <v>4749</v>
      </c>
    </row>
    <row r="2287" customFormat="false" ht="12" hidden="false" customHeight="false" outlineLevel="0" collapsed="false">
      <c r="A2287" s="182" t="s">
        <v>4750</v>
      </c>
    </row>
    <row r="2288" customFormat="false" ht="12" hidden="false" customHeight="false" outlineLevel="0" collapsed="false">
      <c r="A2288" s="182" t="s">
        <v>4751</v>
      </c>
    </row>
    <row r="2289" customFormat="false" ht="12" hidden="false" customHeight="false" outlineLevel="0" collapsed="false">
      <c r="A2289" s="182" t="s">
        <v>4752</v>
      </c>
    </row>
    <row r="2290" customFormat="false" ht="12" hidden="false" customHeight="false" outlineLevel="0" collapsed="false">
      <c r="A2290" s="182" t="s">
        <v>4753</v>
      </c>
    </row>
    <row r="2291" customFormat="false" ht="12" hidden="false" customHeight="false" outlineLevel="0" collapsed="false">
      <c r="A2291" s="182" t="s">
        <v>4754</v>
      </c>
    </row>
    <row r="2292" customFormat="false" ht="12" hidden="false" customHeight="false" outlineLevel="0" collapsed="false">
      <c r="A2292" s="182" t="s">
        <v>4755</v>
      </c>
    </row>
    <row r="2293" customFormat="false" ht="12" hidden="false" customHeight="false" outlineLevel="0" collapsed="false">
      <c r="A2293" s="182" t="s">
        <v>4756</v>
      </c>
    </row>
    <row r="2294" customFormat="false" ht="12" hidden="false" customHeight="false" outlineLevel="0" collapsed="false">
      <c r="A2294" s="182" t="s">
        <v>4757</v>
      </c>
    </row>
    <row r="2295" customFormat="false" ht="12" hidden="false" customHeight="false" outlineLevel="0" collapsed="false">
      <c r="A2295" s="182" t="s">
        <v>4758</v>
      </c>
    </row>
    <row r="2296" customFormat="false" ht="12" hidden="false" customHeight="false" outlineLevel="0" collapsed="false">
      <c r="A2296" s="182" t="s">
        <v>4759</v>
      </c>
    </row>
    <row r="2297" customFormat="false" ht="12" hidden="false" customHeight="false" outlineLevel="0" collapsed="false">
      <c r="A2297" s="182" t="s">
        <v>4760</v>
      </c>
    </row>
    <row r="2298" customFormat="false" ht="12" hidden="false" customHeight="false" outlineLevel="0" collapsed="false">
      <c r="A2298" s="182" t="s">
        <v>4761</v>
      </c>
    </row>
    <row r="2299" customFormat="false" ht="12" hidden="false" customHeight="false" outlineLevel="0" collapsed="false">
      <c r="A2299" s="182" t="s">
        <v>4762</v>
      </c>
    </row>
    <row r="2300" customFormat="false" ht="12" hidden="false" customHeight="false" outlineLevel="0" collapsed="false">
      <c r="A2300" s="182" t="s">
        <v>4763</v>
      </c>
    </row>
    <row r="2301" customFormat="false" ht="12" hidden="false" customHeight="false" outlineLevel="0" collapsed="false">
      <c r="A2301" s="182" t="s">
        <v>4764</v>
      </c>
    </row>
    <row r="2302" customFormat="false" ht="12" hidden="false" customHeight="false" outlineLevel="0" collapsed="false">
      <c r="A2302" s="182" t="s">
        <v>4765</v>
      </c>
    </row>
    <row r="2303" customFormat="false" ht="12" hidden="false" customHeight="false" outlineLevel="0" collapsed="false">
      <c r="A2303" s="182" t="s">
        <v>4766</v>
      </c>
    </row>
    <row r="2304" customFormat="false" ht="12" hidden="false" customHeight="false" outlineLevel="0" collapsed="false">
      <c r="A2304" s="182" t="s">
        <v>4767</v>
      </c>
    </row>
    <row r="2305" customFormat="false" ht="12" hidden="false" customHeight="false" outlineLevel="0" collapsed="false">
      <c r="A2305" s="182" t="s">
        <v>4768</v>
      </c>
    </row>
    <row r="2306" customFormat="false" ht="12" hidden="false" customHeight="false" outlineLevel="0" collapsed="false">
      <c r="A2306" s="182" t="s">
        <v>4769</v>
      </c>
    </row>
    <row r="2307" customFormat="false" ht="12" hidden="false" customHeight="false" outlineLevel="0" collapsed="false">
      <c r="A2307" s="182" t="s">
        <v>4770</v>
      </c>
    </row>
    <row r="2308" customFormat="false" ht="12" hidden="false" customHeight="false" outlineLevel="0" collapsed="false">
      <c r="A2308" s="182" t="s">
        <v>4771</v>
      </c>
    </row>
    <row r="2309" customFormat="false" ht="12" hidden="false" customHeight="false" outlineLevel="0" collapsed="false">
      <c r="A2309" s="182" t="s">
        <v>4772</v>
      </c>
    </row>
    <row r="2310" customFormat="false" ht="12" hidden="false" customHeight="false" outlineLevel="0" collapsed="false">
      <c r="A2310" s="182" t="s">
        <v>4773</v>
      </c>
    </row>
    <row r="2311" customFormat="false" ht="12" hidden="false" customHeight="false" outlineLevel="0" collapsed="false">
      <c r="A2311" s="182" t="s">
        <v>4774</v>
      </c>
    </row>
    <row r="2312" customFormat="false" ht="12" hidden="false" customHeight="false" outlineLevel="0" collapsed="false">
      <c r="A2312" s="182" t="s">
        <v>4775</v>
      </c>
    </row>
    <row r="2313" customFormat="false" ht="12" hidden="false" customHeight="false" outlineLevel="0" collapsed="false">
      <c r="A2313" s="182" t="s">
        <v>4776</v>
      </c>
    </row>
    <row r="2314" customFormat="false" ht="12" hidden="false" customHeight="false" outlineLevel="0" collapsed="false">
      <c r="A2314" s="182" t="s">
        <v>4777</v>
      </c>
    </row>
    <row r="2315" customFormat="false" ht="12" hidden="false" customHeight="false" outlineLevel="0" collapsed="false">
      <c r="A2315" s="182" t="s">
        <v>4778</v>
      </c>
    </row>
    <row r="2316" customFormat="false" ht="12" hidden="false" customHeight="false" outlineLevel="0" collapsed="false">
      <c r="A2316" s="182" t="s">
        <v>4779</v>
      </c>
    </row>
    <row r="2317" customFormat="false" ht="12" hidden="false" customHeight="false" outlineLevel="0" collapsed="false">
      <c r="A2317" s="182" t="s">
        <v>4780</v>
      </c>
    </row>
    <row r="2318" customFormat="false" ht="12" hidden="false" customHeight="false" outlineLevel="0" collapsed="false">
      <c r="A2318" s="182" t="s">
        <v>4781</v>
      </c>
    </row>
    <row r="2319" customFormat="false" ht="12" hidden="false" customHeight="false" outlineLevel="0" collapsed="false">
      <c r="A2319" s="182" t="s">
        <v>4782</v>
      </c>
    </row>
    <row r="2320" customFormat="false" ht="12" hidden="false" customHeight="false" outlineLevel="0" collapsed="false">
      <c r="A2320" s="182" t="s">
        <v>4783</v>
      </c>
    </row>
    <row r="2321" customFormat="false" ht="12" hidden="false" customHeight="false" outlineLevel="0" collapsed="false">
      <c r="A2321" s="182" t="s">
        <v>4784</v>
      </c>
    </row>
    <row r="2322" customFormat="false" ht="12" hidden="false" customHeight="false" outlineLevel="0" collapsed="false">
      <c r="A2322" s="182" t="s">
        <v>4785</v>
      </c>
    </row>
    <row r="2323" customFormat="false" ht="12" hidden="false" customHeight="false" outlineLevel="0" collapsed="false">
      <c r="A2323" s="182" t="s">
        <v>4786</v>
      </c>
    </row>
    <row r="2324" customFormat="false" ht="12" hidden="false" customHeight="false" outlineLevel="0" collapsed="false">
      <c r="A2324" s="182" t="s">
        <v>4787</v>
      </c>
    </row>
    <row r="2325" customFormat="false" ht="12" hidden="false" customHeight="false" outlineLevel="0" collapsed="false">
      <c r="A2325" s="182" t="s">
        <v>4788</v>
      </c>
    </row>
    <row r="2326" customFormat="false" ht="12" hidden="false" customHeight="false" outlineLevel="0" collapsed="false">
      <c r="A2326" s="182" t="s">
        <v>4789</v>
      </c>
    </row>
    <row r="2327" customFormat="false" ht="12" hidden="false" customHeight="false" outlineLevel="0" collapsed="false">
      <c r="A2327" s="182" t="s">
        <v>4790</v>
      </c>
    </row>
    <row r="2328" customFormat="false" ht="12" hidden="false" customHeight="false" outlineLevel="0" collapsed="false">
      <c r="A2328" s="182" t="s">
        <v>4791</v>
      </c>
    </row>
    <row r="2329" customFormat="false" ht="12" hidden="false" customHeight="false" outlineLevel="0" collapsed="false">
      <c r="A2329" s="182" t="s">
        <v>4792</v>
      </c>
    </row>
    <row r="2330" customFormat="false" ht="12" hidden="false" customHeight="false" outlineLevel="0" collapsed="false">
      <c r="A2330" s="182" t="s">
        <v>4793</v>
      </c>
    </row>
    <row r="2331" customFormat="false" ht="12" hidden="false" customHeight="false" outlineLevel="0" collapsed="false">
      <c r="A2331" s="182" t="s">
        <v>4794</v>
      </c>
    </row>
    <row r="2332" customFormat="false" ht="12" hidden="false" customHeight="false" outlineLevel="0" collapsed="false">
      <c r="A2332" s="182" t="s">
        <v>4795</v>
      </c>
    </row>
    <row r="2333" customFormat="false" ht="12" hidden="false" customHeight="false" outlineLevel="0" collapsed="false">
      <c r="A2333" s="182" t="s">
        <v>4796</v>
      </c>
    </row>
    <row r="2334" customFormat="false" ht="12" hidden="false" customHeight="false" outlineLevel="0" collapsed="false">
      <c r="A2334" s="182" t="s">
        <v>4797</v>
      </c>
    </row>
    <row r="2335" customFormat="false" ht="12" hidden="false" customHeight="false" outlineLevel="0" collapsed="false">
      <c r="A2335" s="182" t="s">
        <v>4798</v>
      </c>
    </row>
    <row r="2336" customFormat="false" ht="12" hidden="false" customHeight="false" outlineLevel="0" collapsed="false">
      <c r="A2336" s="182" t="s">
        <v>4799</v>
      </c>
    </row>
    <row r="2337" customFormat="false" ht="12" hidden="false" customHeight="false" outlineLevel="0" collapsed="false">
      <c r="A2337" s="182" t="s">
        <v>4800</v>
      </c>
    </row>
    <row r="2338" customFormat="false" ht="12" hidden="false" customHeight="false" outlineLevel="0" collapsed="false">
      <c r="A2338" s="182" t="s">
        <v>4801</v>
      </c>
    </row>
    <row r="2339" customFormat="false" ht="12" hidden="false" customHeight="false" outlineLevel="0" collapsed="false">
      <c r="A2339" s="182" t="s">
        <v>4802</v>
      </c>
    </row>
    <row r="2340" customFormat="false" ht="12" hidden="false" customHeight="false" outlineLevel="0" collapsed="false">
      <c r="A2340" s="182" t="s">
        <v>4803</v>
      </c>
    </row>
    <row r="2341" customFormat="false" ht="12" hidden="false" customHeight="false" outlineLevel="0" collapsed="false">
      <c r="A2341" s="182" t="s">
        <v>4804</v>
      </c>
    </row>
    <row r="2342" customFormat="false" ht="12" hidden="false" customHeight="false" outlineLevel="0" collapsed="false">
      <c r="A2342" s="182" t="s">
        <v>4805</v>
      </c>
    </row>
    <row r="2343" customFormat="false" ht="12" hidden="false" customHeight="false" outlineLevel="0" collapsed="false">
      <c r="A2343" s="182" t="s">
        <v>4806</v>
      </c>
    </row>
    <row r="2344" customFormat="false" ht="12" hidden="false" customHeight="false" outlineLevel="0" collapsed="false">
      <c r="A2344" s="182" t="s">
        <v>4807</v>
      </c>
    </row>
    <row r="2345" customFormat="false" ht="12" hidden="false" customHeight="false" outlineLevel="0" collapsed="false">
      <c r="A2345" s="182" t="s">
        <v>4808</v>
      </c>
    </row>
    <row r="2346" customFormat="false" ht="12" hidden="false" customHeight="false" outlineLevel="0" collapsed="false">
      <c r="A2346" s="182" t="s">
        <v>4809</v>
      </c>
    </row>
    <row r="2347" customFormat="false" ht="12" hidden="false" customHeight="false" outlineLevel="0" collapsed="false">
      <c r="A2347" s="182" t="s">
        <v>4810</v>
      </c>
    </row>
    <row r="2348" customFormat="false" ht="12" hidden="false" customHeight="false" outlineLevel="0" collapsed="false">
      <c r="A2348" s="182" t="s">
        <v>4811</v>
      </c>
    </row>
    <row r="2349" customFormat="false" ht="12" hidden="false" customHeight="false" outlineLevel="0" collapsed="false">
      <c r="A2349" s="182" t="s">
        <v>4812</v>
      </c>
    </row>
    <row r="2350" customFormat="false" ht="12" hidden="false" customHeight="false" outlineLevel="0" collapsed="false">
      <c r="A2350" s="182" t="s">
        <v>4813</v>
      </c>
    </row>
    <row r="2351" customFormat="false" ht="12" hidden="false" customHeight="false" outlineLevel="0" collapsed="false">
      <c r="A2351" s="182" t="s">
        <v>4814</v>
      </c>
    </row>
    <row r="2352" customFormat="false" ht="12" hidden="false" customHeight="false" outlineLevel="0" collapsed="false">
      <c r="A2352" s="182" t="s">
        <v>4815</v>
      </c>
    </row>
    <row r="2353" customFormat="false" ht="12" hidden="false" customHeight="false" outlineLevel="0" collapsed="false">
      <c r="A2353" s="182" t="s">
        <v>4816</v>
      </c>
    </row>
    <row r="2354" customFormat="false" ht="12" hidden="false" customHeight="false" outlineLevel="0" collapsed="false">
      <c r="A2354" s="182" t="s">
        <v>4817</v>
      </c>
    </row>
    <row r="2355" customFormat="false" ht="12" hidden="false" customHeight="false" outlineLevel="0" collapsed="false">
      <c r="A2355" s="182" t="s">
        <v>4818</v>
      </c>
    </row>
    <row r="2356" customFormat="false" ht="12" hidden="false" customHeight="false" outlineLevel="0" collapsed="false">
      <c r="A2356" s="182" t="s">
        <v>4819</v>
      </c>
    </row>
    <row r="2357" customFormat="false" ht="12" hidden="false" customHeight="false" outlineLevel="0" collapsed="false">
      <c r="A2357" s="182" t="s">
        <v>4820</v>
      </c>
    </row>
    <row r="2358" customFormat="false" ht="12" hidden="false" customHeight="false" outlineLevel="0" collapsed="false">
      <c r="A2358" s="182" t="s">
        <v>4821</v>
      </c>
    </row>
    <row r="2359" customFormat="false" ht="12" hidden="false" customHeight="false" outlineLevel="0" collapsed="false">
      <c r="A2359" s="182" t="s">
        <v>4822</v>
      </c>
    </row>
    <row r="2360" customFormat="false" ht="12" hidden="false" customHeight="false" outlineLevel="0" collapsed="false">
      <c r="A2360" s="182" t="s">
        <v>4823</v>
      </c>
    </row>
    <row r="2361" customFormat="false" ht="12" hidden="false" customHeight="false" outlineLevel="0" collapsed="false">
      <c r="A2361" s="182" t="s">
        <v>4824</v>
      </c>
    </row>
    <row r="2362" customFormat="false" ht="12" hidden="false" customHeight="false" outlineLevel="0" collapsed="false">
      <c r="A2362" s="182" t="s">
        <v>4825</v>
      </c>
    </row>
    <row r="2363" customFormat="false" ht="12" hidden="false" customHeight="false" outlineLevel="0" collapsed="false">
      <c r="A2363" s="182" t="s">
        <v>4826</v>
      </c>
    </row>
    <row r="2364" customFormat="false" ht="12" hidden="false" customHeight="false" outlineLevel="0" collapsed="false">
      <c r="A2364" s="182" t="s">
        <v>4827</v>
      </c>
    </row>
    <row r="2365" customFormat="false" ht="12" hidden="false" customHeight="false" outlineLevel="0" collapsed="false">
      <c r="A2365" s="182" t="s">
        <v>4828</v>
      </c>
    </row>
    <row r="2366" customFormat="false" ht="12" hidden="false" customHeight="false" outlineLevel="0" collapsed="false">
      <c r="A2366" s="182" t="s">
        <v>4829</v>
      </c>
    </row>
    <row r="2367" customFormat="false" ht="12" hidden="false" customHeight="false" outlineLevel="0" collapsed="false">
      <c r="A2367" s="182" t="s">
        <v>4830</v>
      </c>
    </row>
    <row r="2368" customFormat="false" ht="12" hidden="false" customHeight="false" outlineLevel="0" collapsed="false">
      <c r="A2368" s="182" t="s">
        <v>4831</v>
      </c>
    </row>
    <row r="2369" customFormat="false" ht="12" hidden="false" customHeight="false" outlineLevel="0" collapsed="false">
      <c r="A2369" s="182" t="s">
        <v>4832</v>
      </c>
    </row>
    <row r="2370" customFormat="false" ht="12" hidden="false" customHeight="false" outlineLevel="0" collapsed="false">
      <c r="A2370" s="182" t="s">
        <v>4833</v>
      </c>
    </row>
    <row r="2371" customFormat="false" ht="12" hidden="false" customHeight="false" outlineLevel="0" collapsed="false">
      <c r="A2371" s="182" t="s">
        <v>4834</v>
      </c>
    </row>
    <row r="2372" customFormat="false" ht="12" hidden="false" customHeight="false" outlineLevel="0" collapsed="false">
      <c r="A2372" s="182" t="s">
        <v>4835</v>
      </c>
    </row>
    <row r="2373" customFormat="false" ht="12" hidden="false" customHeight="false" outlineLevel="0" collapsed="false">
      <c r="A2373" s="182" t="s">
        <v>4836</v>
      </c>
    </row>
    <row r="2374" customFormat="false" ht="12" hidden="false" customHeight="false" outlineLevel="0" collapsed="false">
      <c r="A2374" s="182" t="s">
        <v>4837</v>
      </c>
    </row>
    <row r="2375" customFormat="false" ht="12" hidden="false" customHeight="false" outlineLevel="0" collapsed="false">
      <c r="A2375" s="182" t="s">
        <v>4838</v>
      </c>
    </row>
    <row r="2376" customFormat="false" ht="12" hidden="false" customHeight="false" outlineLevel="0" collapsed="false">
      <c r="A2376" s="182" t="s">
        <v>4839</v>
      </c>
    </row>
    <row r="2377" customFormat="false" ht="12" hidden="false" customHeight="false" outlineLevel="0" collapsed="false">
      <c r="A2377" s="182" t="s">
        <v>4840</v>
      </c>
    </row>
    <row r="2378" customFormat="false" ht="12" hidden="false" customHeight="false" outlineLevel="0" collapsed="false">
      <c r="A2378" s="182" t="s">
        <v>4841</v>
      </c>
    </row>
    <row r="2379" customFormat="false" ht="12" hidden="false" customHeight="false" outlineLevel="0" collapsed="false">
      <c r="A2379" s="182" t="s">
        <v>4842</v>
      </c>
    </row>
    <row r="2380" customFormat="false" ht="12" hidden="false" customHeight="false" outlineLevel="0" collapsed="false">
      <c r="A2380" s="182" t="s">
        <v>4843</v>
      </c>
    </row>
    <row r="2381" customFormat="false" ht="12" hidden="false" customHeight="false" outlineLevel="0" collapsed="false">
      <c r="A2381" s="182" t="s">
        <v>4844</v>
      </c>
    </row>
    <row r="2382" customFormat="false" ht="12" hidden="false" customHeight="false" outlineLevel="0" collapsed="false">
      <c r="A2382" s="182" t="s">
        <v>4845</v>
      </c>
    </row>
    <row r="2383" customFormat="false" ht="12" hidden="false" customHeight="false" outlineLevel="0" collapsed="false">
      <c r="A2383" s="182" t="s">
        <v>4846</v>
      </c>
    </row>
    <row r="2384" customFormat="false" ht="12" hidden="false" customHeight="false" outlineLevel="0" collapsed="false">
      <c r="A2384" s="182" t="s">
        <v>4847</v>
      </c>
    </row>
    <row r="2385" customFormat="false" ht="12" hidden="false" customHeight="false" outlineLevel="0" collapsed="false">
      <c r="A2385" s="182" t="s">
        <v>4848</v>
      </c>
    </row>
    <row r="2386" customFormat="false" ht="12" hidden="false" customHeight="false" outlineLevel="0" collapsed="false">
      <c r="A2386" s="182" t="s">
        <v>4849</v>
      </c>
    </row>
    <row r="2387" customFormat="false" ht="12" hidden="false" customHeight="false" outlineLevel="0" collapsed="false">
      <c r="A2387" s="182" t="s">
        <v>4850</v>
      </c>
    </row>
    <row r="2388" customFormat="false" ht="12" hidden="false" customHeight="false" outlineLevel="0" collapsed="false">
      <c r="A2388" s="182" t="s">
        <v>4851</v>
      </c>
    </row>
    <row r="2389" customFormat="false" ht="12" hidden="false" customHeight="false" outlineLevel="0" collapsed="false">
      <c r="A2389" s="182" t="s">
        <v>4852</v>
      </c>
    </row>
    <row r="2390" customFormat="false" ht="12" hidden="false" customHeight="false" outlineLevel="0" collapsed="false">
      <c r="A2390" s="182" t="s">
        <v>4853</v>
      </c>
    </row>
    <row r="2391" customFormat="false" ht="12" hidden="false" customHeight="false" outlineLevel="0" collapsed="false">
      <c r="A2391" s="182" t="s">
        <v>4854</v>
      </c>
    </row>
    <row r="2392" customFormat="false" ht="12" hidden="false" customHeight="false" outlineLevel="0" collapsed="false">
      <c r="A2392" s="182" t="s">
        <v>4855</v>
      </c>
    </row>
    <row r="2393" customFormat="false" ht="12" hidden="false" customHeight="false" outlineLevel="0" collapsed="false">
      <c r="A2393" s="182" t="s">
        <v>4856</v>
      </c>
    </row>
    <row r="2394" customFormat="false" ht="12" hidden="false" customHeight="false" outlineLevel="0" collapsed="false">
      <c r="A2394" s="182" t="s">
        <v>4857</v>
      </c>
    </row>
    <row r="2395" customFormat="false" ht="12" hidden="false" customHeight="false" outlineLevel="0" collapsed="false">
      <c r="A2395" s="182" t="s">
        <v>4858</v>
      </c>
    </row>
    <row r="2396" customFormat="false" ht="12" hidden="false" customHeight="false" outlineLevel="0" collapsed="false">
      <c r="A2396" s="182" t="s">
        <v>4859</v>
      </c>
    </row>
    <row r="2397" customFormat="false" ht="12" hidden="false" customHeight="false" outlineLevel="0" collapsed="false">
      <c r="A2397" s="182" t="s">
        <v>4860</v>
      </c>
    </row>
    <row r="2398" customFormat="false" ht="12" hidden="false" customHeight="false" outlineLevel="0" collapsed="false">
      <c r="A2398" s="182" t="s">
        <v>4861</v>
      </c>
    </row>
    <row r="2399" customFormat="false" ht="12" hidden="false" customHeight="false" outlineLevel="0" collapsed="false">
      <c r="A2399" s="182" t="s">
        <v>4862</v>
      </c>
    </row>
    <row r="2400" customFormat="false" ht="12" hidden="false" customHeight="false" outlineLevel="0" collapsed="false">
      <c r="A2400" s="182" t="s">
        <v>4863</v>
      </c>
    </row>
    <row r="2401" customFormat="false" ht="12" hidden="false" customHeight="false" outlineLevel="0" collapsed="false">
      <c r="A2401" s="182" t="s">
        <v>4864</v>
      </c>
    </row>
    <row r="2402" customFormat="false" ht="12" hidden="false" customHeight="false" outlineLevel="0" collapsed="false">
      <c r="A2402" s="182" t="s">
        <v>4865</v>
      </c>
    </row>
    <row r="2403" customFormat="false" ht="12" hidden="false" customHeight="false" outlineLevel="0" collapsed="false">
      <c r="A2403" s="182" t="s">
        <v>4866</v>
      </c>
    </row>
    <row r="2404" customFormat="false" ht="12" hidden="false" customHeight="false" outlineLevel="0" collapsed="false">
      <c r="A2404" s="182" t="s">
        <v>4867</v>
      </c>
    </row>
    <row r="2405" customFormat="false" ht="12" hidden="false" customHeight="false" outlineLevel="0" collapsed="false">
      <c r="A2405" s="182" t="s">
        <v>4868</v>
      </c>
    </row>
    <row r="2406" customFormat="false" ht="12" hidden="false" customHeight="false" outlineLevel="0" collapsed="false">
      <c r="A2406" s="182" t="s">
        <v>4869</v>
      </c>
    </row>
    <row r="2407" customFormat="false" ht="12" hidden="false" customHeight="false" outlineLevel="0" collapsed="false">
      <c r="A2407" s="182" t="s">
        <v>4870</v>
      </c>
    </row>
    <row r="2408" customFormat="false" ht="12" hidden="false" customHeight="false" outlineLevel="0" collapsed="false">
      <c r="A2408" s="182" t="s">
        <v>4871</v>
      </c>
    </row>
    <row r="2409" customFormat="false" ht="12" hidden="false" customHeight="false" outlineLevel="0" collapsed="false">
      <c r="A2409" s="182" t="s">
        <v>4872</v>
      </c>
    </row>
    <row r="2410" customFormat="false" ht="12" hidden="false" customHeight="false" outlineLevel="0" collapsed="false">
      <c r="A2410" s="182" t="s">
        <v>4873</v>
      </c>
    </row>
    <row r="2411" customFormat="false" ht="12" hidden="false" customHeight="false" outlineLevel="0" collapsed="false">
      <c r="A2411" s="182" t="s">
        <v>4874</v>
      </c>
    </row>
    <row r="2412" customFormat="false" ht="12" hidden="false" customHeight="false" outlineLevel="0" collapsed="false">
      <c r="A2412" s="182" t="s">
        <v>4875</v>
      </c>
    </row>
    <row r="2413" customFormat="false" ht="12" hidden="false" customHeight="false" outlineLevel="0" collapsed="false">
      <c r="A2413" s="182" t="s">
        <v>4876</v>
      </c>
    </row>
    <row r="2414" customFormat="false" ht="12" hidden="false" customHeight="false" outlineLevel="0" collapsed="false">
      <c r="A2414" s="182" t="s">
        <v>4877</v>
      </c>
    </row>
    <row r="2415" customFormat="false" ht="12" hidden="false" customHeight="false" outlineLevel="0" collapsed="false">
      <c r="A2415" s="182" t="s">
        <v>4878</v>
      </c>
    </row>
    <row r="2416" customFormat="false" ht="12" hidden="false" customHeight="false" outlineLevel="0" collapsed="false">
      <c r="A2416" s="182" t="s">
        <v>4879</v>
      </c>
    </row>
    <row r="2417" customFormat="false" ht="12" hidden="false" customHeight="false" outlineLevel="0" collapsed="false">
      <c r="A2417" s="182" t="s">
        <v>4880</v>
      </c>
    </row>
    <row r="2418" customFormat="false" ht="12" hidden="false" customHeight="false" outlineLevel="0" collapsed="false">
      <c r="A2418" s="182" t="s">
        <v>4881</v>
      </c>
    </row>
    <row r="2419" customFormat="false" ht="12" hidden="false" customHeight="false" outlineLevel="0" collapsed="false">
      <c r="A2419" s="182" t="s">
        <v>4882</v>
      </c>
    </row>
    <row r="2420" customFormat="false" ht="12" hidden="false" customHeight="false" outlineLevel="0" collapsed="false">
      <c r="A2420" s="182" t="s">
        <v>4883</v>
      </c>
    </row>
    <row r="2421" customFormat="false" ht="12" hidden="false" customHeight="false" outlineLevel="0" collapsed="false">
      <c r="A2421" s="182" t="s">
        <v>4884</v>
      </c>
    </row>
    <row r="2422" customFormat="false" ht="12" hidden="false" customHeight="false" outlineLevel="0" collapsed="false">
      <c r="A2422" s="182" t="s">
        <v>4885</v>
      </c>
    </row>
    <row r="2423" customFormat="false" ht="12" hidden="false" customHeight="false" outlineLevel="0" collapsed="false">
      <c r="A2423" s="182" t="s">
        <v>4886</v>
      </c>
    </row>
    <row r="2424" customFormat="false" ht="12" hidden="false" customHeight="false" outlineLevel="0" collapsed="false">
      <c r="A2424" s="182" t="s">
        <v>4887</v>
      </c>
    </row>
    <row r="2425" customFormat="false" ht="12" hidden="false" customHeight="false" outlineLevel="0" collapsed="false">
      <c r="A2425" s="182" t="s">
        <v>4888</v>
      </c>
    </row>
    <row r="2426" customFormat="false" ht="12" hidden="false" customHeight="false" outlineLevel="0" collapsed="false">
      <c r="A2426" s="182" t="s">
        <v>4889</v>
      </c>
    </row>
    <row r="2427" customFormat="false" ht="12" hidden="false" customHeight="false" outlineLevel="0" collapsed="false">
      <c r="A2427" s="182" t="s">
        <v>4890</v>
      </c>
    </row>
    <row r="2428" customFormat="false" ht="12" hidden="false" customHeight="false" outlineLevel="0" collapsed="false">
      <c r="A2428" s="182" t="s">
        <v>4891</v>
      </c>
    </row>
    <row r="2429" customFormat="false" ht="12" hidden="false" customHeight="false" outlineLevel="0" collapsed="false">
      <c r="A2429" s="182" t="s">
        <v>4892</v>
      </c>
    </row>
    <row r="2430" customFormat="false" ht="12" hidden="false" customHeight="false" outlineLevel="0" collapsed="false">
      <c r="A2430" s="182" t="s">
        <v>4893</v>
      </c>
    </row>
    <row r="2431" customFormat="false" ht="12" hidden="false" customHeight="false" outlineLevel="0" collapsed="false">
      <c r="A2431" s="182" t="s">
        <v>4894</v>
      </c>
    </row>
    <row r="2432" customFormat="false" ht="12" hidden="false" customHeight="false" outlineLevel="0" collapsed="false">
      <c r="A2432" s="182" t="s">
        <v>4895</v>
      </c>
    </row>
    <row r="2433" customFormat="false" ht="12" hidden="false" customHeight="false" outlineLevel="0" collapsed="false">
      <c r="A2433" s="182" t="s">
        <v>4896</v>
      </c>
    </row>
    <row r="2434" customFormat="false" ht="12" hidden="false" customHeight="false" outlineLevel="0" collapsed="false">
      <c r="A2434" s="182" t="s">
        <v>4897</v>
      </c>
    </row>
    <row r="2435" customFormat="false" ht="12" hidden="false" customHeight="false" outlineLevel="0" collapsed="false">
      <c r="A2435" s="182" t="s">
        <v>4898</v>
      </c>
    </row>
    <row r="2436" customFormat="false" ht="12" hidden="false" customHeight="false" outlineLevel="0" collapsed="false">
      <c r="A2436" s="182" t="s">
        <v>4899</v>
      </c>
    </row>
    <row r="2437" customFormat="false" ht="12" hidden="false" customHeight="false" outlineLevel="0" collapsed="false">
      <c r="A2437" s="182" t="s">
        <v>4900</v>
      </c>
    </row>
    <row r="2438" customFormat="false" ht="12" hidden="false" customHeight="false" outlineLevel="0" collapsed="false">
      <c r="A2438" s="182" t="s">
        <v>4901</v>
      </c>
    </row>
    <row r="2439" customFormat="false" ht="12" hidden="false" customHeight="false" outlineLevel="0" collapsed="false">
      <c r="A2439" s="182" t="s">
        <v>4902</v>
      </c>
    </row>
    <row r="2440" customFormat="false" ht="12" hidden="false" customHeight="false" outlineLevel="0" collapsed="false">
      <c r="A2440" s="182" t="s">
        <v>4903</v>
      </c>
    </row>
    <row r="2441" customFormat="false" ht="12" hidden="false" customHeight="false" outlineLevel="0" collapsed="false">
      <c r="A2441" s="182" t="s">
        <v>4904</v>
      </c>
    </row>
    <row r="2442" customFormat="false" ht="12" hidden="false" customHeight="false" outlineLevel="0" collapsed="false">
      <c r="A2442" s="182" t="s">
        <v>4905</v>
      </c>
    </row>
    <row r="2443" customFormat="false" ht="12" hidden="false" customHeight="false" outlineLevel="0" collapsed="false">
      <c r="A2443" s="182" t="s">
        <v>4906</v>
      </c>
    </row>
    <row r="2444" customFormat="false" ht="12" hidden="false" customHeight="false" outlineLevel="0" collapsed="false">
      <c r="A2444" s="182" t="s">
        <v>4907</v>
      </c>
    </row>
    <row r="2445" customFormat="false" ht="12" hidden="false" customHeight="false" outlineLevel="0" collapsed="false">
      <c r="A2445" s="182" t="s">
        <v>4908</v>
      </c>
    </row>
    <row r="2446" customFormat="false" ht="12" hidden="false" customHeight="false" outlineLevel="0" collapsed="false">
      <c r="A2446" s="182" t="s">
        <v>4909</v>
      </c>
    </row>
    <row r="2447" customFormat="false" ht="12" hidden="false" customHeight="false" outlineLevel="0" collapsed="false">
      <c r="A2447" s="182" t="s">
        <v>4910</v>
      </c>
    </row>
    <row r="2448" customFormat="false" ht="12" hidden="false" customHeight="false" outlineLevel="0" collapsed="false">
      <c r="A2448" s="182" t="s">
        <v>4911</v>
      </c>
    </row>
    <row r="2449" customFormat="false" ht="12" hidden="false" customHeight="false" outlineLevel="0" collapsed="false">
      <c r="A2449" s="182" t="s">
        <v>4912</v>
      </c>
    </row>
    <row r="2450" customFormat="false" ht="12" hidden="false" customHeight="false" outlineLevel="0" collapsed="false">
      <c r="A2450" s="182" t="s">
        <v>4913</v>
      </c>
    </row>
    <row r="2451" customFormat="false" ht="12" hidden="false" customHeight="false" outlineLevel="0" collapsed="false">
      <c r="A2451" s="182" t="s">
        <v>4914</v>
      </c>
    </row>
    <row r="2452" customFormat="false" ht="12" hidden="false" customHeight="false" outlineLevel="0" collapsed="false">
      <c r="A2452" s="182" t="s">
        <v>4915</v>
      </c>
    </row>
    <row r="2453" customFormat="false" ht="12" hidden="false" customHeight="false" outlineLevel="0" collapsed="false">
      <c r="A2453" s="182" t="s">
        <v>4916</v>
      </c>
    </row>
    <row r="2454" customFormat="false" ht="12" hidden="false" customHeight="false" outlineLevel="0" collapsed="false">
      <c r="A2454" s="182" t="s">
        <v>4917</v>
      </c>
    </row>
    <row r="2455" customFormat="false" ht="12" hidden="false" customHeight="false" outlineLevel="0" collapsed="false">
      <c r="A2455" s="182" t="s">
        <v>4918</v>
      </c>
    </row>
    <row r="2456" customFormat="false" ht="12" hidden="false" customHeight="false" outlineLevel="0" collapsed="false">
      <c r="A2456" s="182" t="s">
        <v>4919</v>
      </c>
    </row>
    <row r="2457" customFormat="false" ht="12" hidden="false" customHeight="false" outlineLevel="0" collapsed="false">
      <c r="A2457" s="182" t="s">
        <v>4920</v>
      </c>
    </row>
    <row r="2458" customFormat="false" ht="12" hidden="false" customHeight="false" outlineLevel="0" collapsed="false">
      <c r="A2458" s="182" t="s">
        <v>4921</v>
      </c>
    </row>
    <row r="2459" customFormat="false" ht="12" hidden="false" customHeight="false" outlineLevel="0" collapsed="false">
      <c r="A2459" s="182" t="s">
        <v>4922</v>
      </c>
    </row>
    <row r="2460" customFormat="false" ht="12" hidden="false" customHeight="false" outlineLevel="0" collapsed="false">
      <c r="A2460" s="182" t="s">
        <v>4923</v>
      </c>
    </row>
    <row r="2461" customFormat="false" ht="12" hidden="false" customHeight="false" outlineLevel="0" collapsed="false">
      <c r="A2461" s="182" t="s">
        <v>4924</v>
      </c>
    </row>
    <row r="2462" customFormat="false" ht="12" hidden="false" customHeight="false" outlineLevel="0" collapsed="false">
      <c r="A2462" s="182" t="s">
        <v>4925</v>
      </c>
    </row>
    <row r="2463" customFormat="false" ht="12" hidden="false" customHeight="false" outlineLevel="0" collapsed="false">
      <c r="A2463" s="182" t="s">
        <v>4926</v>
      </c>
    </row>
    <row r="2464" customFormat="false" ht="12" hidden="false" customHeight="false" outlineLevel="0" collapsed="false">
      <c r="A2464" s="182" t="s">
        <v>4927</v>
      </c>
    </row>
    <row r="2465" customFormat="false" ht="12" hidden="false" customHeight="false" outlineLevel="0" collapsed="false">
      <c r="A2465" s="182" t="s">
        <v>4928</v>
      </c>
    </row>
    <row r="2466" customFormat="false" ht="12" hidden="false" customHeight="false" outlineLevel="0" collapsed="false">
      <c r="A2466" s="182" t="s">
        <v>4929</v>
      </c>
    </row>
    <row r="2467" customFormat="false" ht="12" hidden="false" customHeight="false" outlineLevel="0" collapsed="false">
      <c r="A2467" s="182" t="s">
        <v>4930</v>
      </c>
    </row>
    <row r="2468" customFormat="false" ht="12" hidden="false" customHeight="false" outlineLevel="0" collapsed="false">
      <c r="A2468" s="182" t="s">
        <v>4931</v>
      </c>
    </row>
    <row r="2469" customFormat="false" ht="12" hidden="false" customHeight="false" outlineLevel="0" collapsed="false">
      <c r="A2469" s="182" t="s">
        <v>4932</v>
      </c>
    </row>
    <row r="2470" customFormat="false" ht="12" hidden="false" customHeight="false" outlineLevel="0" collapsed="false">
      <c r="A2470" s="182" t="s">
        <v>4933</v>
      </c>
    </row>
    <row r="2471" customFormat="false" ht="12" hidden="false" customHeight="false" outlineLevel="0" collapsed="false">
      <c r="A2471" s="182" t="s">
        <v>4934</v>
      </c>
    </row>
    <row r="2472" customFormat="false" ht="12" hidden="false" customHeight="false" outlineLevel="0" collapsed="false">
      <c r="A2472" s="182" t="s">
        <v>4935</v>
      </c>
    </row>
    <row r="2473" customFormat="false" ht="12" hidden="false" customHeight="false" outlineLevel="0" collapsed="false">
      <c r="A2473" s="182" t="s">
        <v>4936</v>
      </c>
    </row>
    <row r="2474" customFormat="false" ht="12" hidden="false" customHeight="false" outlineLevel="0" collapsed="false">
      <c r="A2474" s="182" t="s">
        <v>4937</v>
      </c>
    </row>
    <row r="2475" customFormat="false" ht="12" hidden="false" customHeight="false" outlineLevel="0" collapsed="false">
      <c r="A2475" s="182" t="s">
        <v>4938</v>
      </c>
    </row>
    <row r="2476" customFormat="false" ht="12" hidden="false" customHeight="false" outlineLevel="0" collapsed="false">
      <c r="A2476" s="182" t="s">
        <v>4939</v>
      </c>
    </row>
    <row r="2477" customFormat="false" ht="12" hidden="false" customHeight="false" outlineLevel="0" collapsed="false">
      <c r="A2477" s="182" t="s">
        <v>4940</v>
      </c>
    </row>
    <row r="2478" customFormat="false" ht="12" hidden="false" customHeight="false" outlineLevel="0" collapsed="false">
      <c r="A2478" s="182" t="s">
        <v>4941</v>
      </c>
    </row>
    <row r="2479" customFormat="false" ht="12" hidden="false" customHeight="false" outlineLevel="0" collapsed="false">
      <c r="A2479" s="182" t="s">
        <v>4942</v>
      </c>
    </row>
    <row r="2480" customFormat="false" ht="12" hidden="false" customHeight="false" outlineLevel="0" collapsed="false">
      <c r="A2480" s="182" t="s">
        <v>4943</v>
      </c>
    </row>
    <row r="2481" customFormat="false" ht="12" hidden="false" customHeight="false" outlineLevel="0" collapsed="false">
      <c r="A2481" s="182" t="s">
        <v>4944</v>
      </c>
    </row>
    <row r="2482" customFormat="false" ht="12" hidden="false" customHeight="false" outlineLevel="0" collapsed="false">
      <c r="A2482" s="182" t="s">
        <v>4945</v>
      </c>
    </row>
    <row r="2483" customFormat="false" ht="12" hidden="false" customHeight="false" outlineLevel="0" collapsed="false">
      <c r="A2483" s="182" t="s">
        <v>4946</v>
      </c>
    </row>
    <row r="2484" customFormat="false" ht="12" hidden="false" customHeight="false" outlineLevel="0" collapsed="false">
      <c r="A2484" s="182" t="s">
        <v>4947</v>
      </c>
    </row>
    <row r="2485" customFormat="false" ht="12" hidden="false" customHeight="false" outlineLevel="0" collapsed="false">
      <c r="A2485" s="182" t="s">
        <v>4948</v>
      </c>
    </row>
    <row r="2486" customFormat="false" ht="12" hidden="false" customHeight="false" outlineLevel="0" collapsed="false">
      <c r="A2486" s="182" t="s">
        <v>4949</v>
      </c>
    </row>
    <row r="2487" customFormat="false" ht="12" hidden="false" customHeight="false" outlineLevel="0" collapsed="false">
      <c r="A2487" s="182" t="s">
        <v>4950</v>
      </c>
    </row>
    <row r="2488" customFormat="false" ht="12" hidden="false" customHeight="false" outlineLevel="0" collapsed="false">
      <c r="A2488" s="182" t="s">
        <v>4951</v>
      </c>
    </row>
    <row r="2489" customFormat="false" ht="12" hidden="false" customHeight="false" outlineLevel="0" collapsed="false">
      <c r="A2489" s="182" t="s">
        <v>4952</v>
      </c>
    </row>
    <row r="2490" customFormat="false" ht="12" hidden="false" customHeight="false" outlineLevel="0" collapsed="false">
      <c r="A2490" s="182" t="s">
        <v>4953</v>
      </c>
    </row>
    <row r="2491" customFormat="false" ht="12" hidden="false" customHeight="false" outlineLevel="0" collapsed="false">
      <c r="A2491" s="182" t="s">
        <v>4954</v>
      </c>
    </row>
    <row r="2492" customFormat="false" ht="12" hidden="false" customHeight="false" outlineLevel="0" collapsed="false">
      <c r="A2492" s="182" t="s">
        <v>4955</v>
      </c>
    </row>
    <row r="2493" customFormat="false" ht="12" hidden="false" customHeight="false" outlineLevel="0" collapsed="false">
      <c r="A2493" s="182" t="s">
        <v>4956</v>
      </c>
    </row>
    <row r="2494" customFormat="false" ht="12" hidden="false" customHeight="false" outlineLevel="0" collapsed="false">
      <c r="A2494" s="182" t="s">
        <v>4957</v>
      </c>
    </row>
    <row r="2495" customFormat="false" ht="12" hidden="false" customHeight="false" outlineLevel="0" collapsed="false">
      <c r="A2495" s="182" t="s">
        <v>4958</v>
      </c>
    </row>
    <row r="2496" customFormat="false" ht="12" hidden="false" customHeight="false" outlineLevel="0" collapsed="false">
      <c r="A2496" s="182" t="s">
        <v>4959</v>
      </c>
    </row>
    <row r="2497" customFormat="false" ht="12" hidden="false" customHeight="false" outlineLevel="0" collapsed="false">
      <c r="A2497" s="182" t="s">
        <v>4960</v>
      </c>
    </row>
    <row r="2498" customFormat="false" ht="12" hidden="false" customHeight="false" outlineLevel="0" collapsed="false">
      <c r="A2498" s="182" t="s">
        <v>4961</v>
      </c>
    </row>
    <row r="2499" customFormat="false" ht="12" hidden="false" customHeight="false" outlineLevel="0" collapsed="false">
      <c r="A2499" s="182" t="s">
        <v>4962</v>
      </c>
    </row>
    <row r="2500" customFormat="false" ht="12" hidden="false" customHeight="false" outlineLevel="0" collapsed="false">
      <c r="A2500" s="182" t="s">
        <v>4963</v>
      </c>
    </row>
    <row r="2501" customFormat="false" ht="12" hidden="false" customHeight="false" outlineLevel="0" collapsed="false">
      <c r="A2501" s="182" t="s">
        <v>4964</v>
      </c>
    </row>
    <row r="2502" customFormat="false" ht="12" hidden="false" customHeight="false" outlineLevel="0" collapsed="false">
      <c r="A2502" s="182" t="s">
        <v>4965</v>
      </c>
    </row>
    <row r="2503" customFormat="false" ht="12" hidden="false" customHeight="false" outlineLevel="0" collapsed="false">
      <c r="A2503" s="182" t="s">
        <v>4966</v>
      </c>
    </row>
    <row r="2504" customFormat="false" ht="12" hidden="false" customHeight="false" outlineLevel="0" collapsed="false">
      <c r="A2504" s="182" t="s">
        <v>4967</v>
      </c>
    </row>
    <row r="2505" customFormat="false" ht="12" hidden="false" customHeight="false" outlineLevel="0" collapsed="false">
      <c r="A2505" s="182" t="s">
        <v>4968</v>
      </c>
    </row>
    <row r="2506" customFormat="false" ht="12" hidden="false" customHeight="false" outlineLevel="0" collapsed="false">
      <c r="A2506" s="182" t="s">
        <v>4969</v>
      </c>
    </row>
    <row r="2507" customFormat="false" ht="12" hidden="false" customHeight="false" outlineLevel="0" collapsed="false">
      <c r="A2507" s="182" t="s">
        <v>4970</v>
      </c>
    </row>
    <row r="2508" customFormat="false" ht="12" hidden="false" customHeight="false" outlineLevel="0" collapsed="false">
      <c r="A2508" s="182" t="s">
        <v>4971</v>
      </c>
    </row>
    <row r="2509" customFormat="false" ht="12" hidden="false" customHeight="false" outlineLevel="0" collapsed="false">
      <c r="A2509" s="182" t="s">
        <v>4972</v>
      </c>
    </row>
    <row r="2510" customFormat="false" ht="12" hidden="false" customHeight="false" outlineLevel="0" collapsed="false">
      <c r="A2510" s="182" t="s">
        <v>4973</v>
      </c>
    </row>
    <row r="2511" customFormat="false" ht="12" hidden="false" customHeight="false" outlineLevel="0" collapsed="false">
      <c r="A2511" s="182" t="s">
        <v>4974</v>
      </c>
    </row>
    <row r="2512" customFormat="false" ht="12" hidden="false" customHeight="false" outlineLevel="0" collapsed="false">
      <c r="A2512" s="182" t="s">
        <v>4975</v>
      </c>
    </row>
    <row r="2513" customFormat="false" ht="12" hidden="false" customHeight="false" outlineLevel="0" collapsed="false">
      <c r="A2513" s="182" t="s">
        <v>4976</v>
      </c>
    </row>
    <row r="2514" customFormat="false" ht="12" hidden="false" customHeight="false" outlineLevel="0" collapsed="false">
      <c r="A2514" s="182" t="s">
        <v>4977</v>
      </c>
    </row>
    <row r="2515" customFormat="false" ht="12" hidden="false" customHeight="false" outlineLevel="0" collapsed="false">
      <c r="A2515" s="182" t="s">
        <v>4978</v>
      </c>
    </row>
    <row r="2516" customFormat="false" ht="12" hidden="false" customHeight="false" outlineLevel="0" collapsed="false">
      <c r="A2516" s="182" t="s">
        <v>4979</v>
      </c>
    </row>
    <row r="2517" customFormat="false" ht="12" hidden="false" customHeight="false" outlineLevel="0" collapsed="false">
      <c r="A2517" s="182" t="s">
        <v>4980</v>
      </c>
    </row>
    <row r="2518" customFormat="false" ht="12" hidden="false" customHeight="false" outlineLevel="0" collapsed="false">
      <c r="A2518" s="182" t="s">
        <v>4981</v>
      </c>
    </row>
    <row r="2519" customFormat="false" ht="12" hidden="false" customHeight="false" outlineLevel="0" collapsed="false">
      <c r="A2519" s="182" t="s">
        <v>4982</v>
      </c>
    </row>
    <row r="2520" customFormat="false" ht="12" hidden="false" customHeight="false" outlineLevel="0" collapsed="false">
      <c r="A2520" s="182" t="s">
        <v>4983</v>
      </c>
    </row>
    <row r="2521" customFormat="false" ht="12" hidden="false" customHeight="false" outlineLevel="0" collapsed="false">
      <c r="A2521" s="182" t="s">
        <v>4984</v>
      </c>
    </row>
    <row r="2522" customFormat="false" ht="12" hidden="false" customHeight="false" outlineLevel="0" collapsed="false">
      <c r="A2522" s="182" t="s">
        <v>4985</v>
      </c>
    </row>
    <row r="2523" customFormat="false" ht="12" hidden="false" customHeight="false" outlineLevel="0" collapsed="false">
      <c r="A2523" s="182" t="s">
        <v>4986</v>
      </c>
    </row>
    <row r="2524" customFormat="false" ht="12" hidden="false" customHeight="false" outlineLevel="0" collapsed="false">
      <c r="A2524" s="182" t="s">
        <v>4987</v>
      </c>
    </row>
    <row r="2525" customFormat="false" ht="12" hidden="false" customHeight="false" outlineLevel="0" collapsed="false">
      <c r="A2525" s="182" t="s">
        <v>4988</v>
      </c>
    </row>
    <row r="2526" customFormat="false" ht="12" hidden="false" customHeight="false" outlineLevel="0" collapsed="false">
      <c r="A2526" s="182" t="s">
        <v>4989</v>
      </c>
    </row>
    <row r="2527" customFormat="false" ht="12" hidden="false" customHeight="false" outlineLevel="0" collapsed="false">
      <c r="A2527" s="182" t="s">
        <v>4990</v>
      </c>
    </row>
    <row r="2528" customFormat="false" ht="12" hidden="false" customHeight="false" outlineLevel="0" collapsed="false">
      <c r="A2528" s="182" t="s">
        <v>4991</v>
      </c>
    </row>
    <row r="2529" customFormat="false" ht="12" hidden="false" customHeight="false" outlineLevel="0" collapsed="false">
      <c r="A2529" s="182" t="s">
        <v>4992</v>
      </c>
    </row>
    <row r="2530" customFormat="false" ht="12" hidden="false" customHeight="false" outlineLevel="0" collapsed="false">
      <c r="A2530" s="182" t="s">
        <v>4993</v>
      </c>
    </row>
    <row r="2531" customFormat="false" ht="12" hidden="false" customHeight="false" outlineLevel="0" collapsed="false">
      <c r="A2531" s="182" t="s">
        <v>4994</v>
      </c>
    </row>
    <row r="2532" customFormat="false" ht="12" hidden="false" customHeight="false" outlineLevel="0" collapsed="false">
      <c r="A2532" s="182" t="s">
        <v>4995</v>
      </c>
    </row>
    <row r="2533" customFormat="false" ht="12" hidden="false" customHeight="false" outlineLevel="0" collapsed="false">
      <c r="A2533" s="182" t="s">
        <v>4996</v>
      </c>
    </row>
    <row r="2534" customFormat="false" ht="12" hidden="false" customHeight="false" outlineLevel="0" collapsed="false">
      <c r="A2534" s="182" t="s">
        <v>4997</v>
      </c>
    </row>
    <row r="2535" customFormat="false" ht="12" hidden="false" customHeight="false" outlineLevel="0" collapsed="false">
      <c r="A2535" s="182" t="s">
        <v>4998</v>
      </c>
    </row>
    <row r="2536" customFormat="false" ht="12" hidden="false" customHeight="false" outlineLevel="0" collapsed="false">
      <c r="A2536" s="182" t="s">
        <v>4999</v>
      </c>
    </row>
    <row r="2537" customFormat="false" ht="12" hidden="false" customHeight="false" outlineLevel="0" collapsed="false">
      <c r="A2537" s="182" t="s">
        <v>5000</v>
      </c>
    </row>
    <row r="2538" customFormat="false" ht="12" hidden="false" customHeight="false" outlineLevel="0" collapsed="false">
      <c r="A2538" s="182" t="s">
        <v>5001</v>
      </c>
    </row>
    <row r="2539" customFormat="false" ht="12" hidden="false" customHeight="false" outlineLevel="0" collapsed="false">
      <c r="A2539" s="182" t="s">
        <v>5002</v>
      </c>
    </row>
    <row r="2540" customFormat="false" ht="12" hidden="false" customHeight="false" outlineLevel="0" collapsed="false">
      <c r="A2540" s="182" t="s">
        <v>5003</v>
      </c>
    </row>
    <row r="2541" customFormat="false" ht="12" hidden="false" customHeight="false" outlineLevel="0" collapsed="false">
      <c r="A2541" s="182" t="s">
        <v>5004</v>
      </c>
    </row>
    <row r="2542" customFormat="false" ht="12" hidden="false" customHeight="false" outlineLevel="0" collapsed="false">
      <c r="A2542" s="182" t="s">
        <v>5005</v>
      </c>
    </row>
    <row r="2543" customFormat="false" ht="12" hidden="false" customHeight="false" outlineLevel="0" collapsed="false">
      <c r="A2543" s="182" t="s">
        <v>5006</v>
      </c>
    </row>
    <row r="2544" customFormat="false" ht="12" hidden="false" customHeight="false" outlineLevel="0" collapsed="false">
      <c r="A2544" s="182" t="s">
        <v>5007</v>
      </c>
    </row>
    <row r="2545" customFormat="false" ht="12" hidden="false" customHeight="false" outlineLevel="0" collapsed="false">
      <c r="A2545" s="182" t="s">
        <v>5008</v>
      </c>
    </row>
    <row r="2546" customFormat="false" ht="12" hidden="false" customHeight="false" outlineLevel="0" collapsed="false">
      <c r="A2546" s="182" t="s">
        <v>5009</v>
      </c>
    </row>
    <row r="2547" customFormat="false" ht="12" hidden="false" customHeight="false" outlineLevel="0" collapsed="false">
      <c r="A2547" s="182" t="s">
        <v>5010</v>
      </c>
    </row>
    <row r="2548" customFormat="false" ht="12" hidden="false" customHeight="false" outlineLevel="0" collapsed="false">
      <c r="A2548" s="182" t="s">
        <v>5011</v>
      </c>
    </row>
    <row r="2549" customFormat="false" ht="12" hidden="false" customHeight="false" outlineLevel="0" collapsed="false">
      <c r="A2549" s="182" t="s">
        <v>5012</v>
      </c>
    </row>
    <row r="2550" customFormat="false" ht="12" hidden="false" customHeight="false" outlineLevel="0" collapsed="false">
      <c r="A2550" s="182" t="s">
        <v>5013</v>
      </c>
    </row>
    <row r="2551" customFormat="false" ht="12" hidden="false" customHeight="false" outlineLevel="0" collapsed="false">
      <c r="A2551" s="182" t="s">
        <v>5014</v>
      </c>
    </row>
    <row r="2552" customFormat="false" ht="12" hidden="false" customHeight="false" outlineLevel="0" collapsed="false">
      <c r="A2552" s="182" t="s">
        <v>5015</v>
      </c>
    </row>
    <row r="2553" customFormat="false" ht="12" hidden="false" customHeight="false" outlineLevel="0" collapsed="false">
      <c r="A2553" s="182" t="s">
        <v>5016</v>
      </c>
    </row>
    <row r="2554" customFormat="false" ht="12" hidden="false" customHeight="false" outlineLevel="0" collapsed="false">
      <c r="A2554" s="182" t="s">
        <v>5017</v>
      </c>
    </row>
    <row r="2555" customFormat="false" ht="12" hidden="false" customHeight="false" outlineLevel="0" collapsed="false">
      <c r="A2555" s="182" t="s">
        <v>5018</v>
      </c>
    </row>
    <row r="2556" customFormat="false" ht="12" hidden="false" customHeight="false" outlineLevel="0" collapsed="false">
      <c r="A2556" s="182" t="s">
        <v>5019</v>
      </c>
    </row>
    <row r="2557" customFormat="false" ht="12" hidden="false" customHeight="false" outlineLevel="0" collapsed="false">
      <c r="A2557" s="182" t="s">
        <v>5020</v>
      </c>
    </row>
    <row r="2558" customFormat="false" ht="12" hidden="false" customHeight="false" outlineLevel="0" collapsed="false">
      <c r="A2558" s="182" t="s">
        <v>5021</v>
      </c>
    </row>
    <row r="2559" customFormat="false" ht="12" hidden="false" customHeight="false" outlineLevel="0" collapsed="false">
      <c r="A2559" s="182" t="s">
        <v>5022</v>
      </c>
    </row>
    <row r="2560" customFormat="false" ht="12" hidden="false" customHeight="false" outlineLevel="0" collapsed="false">
      <c r="A2560" s="182" t="s">
        <v>5023</v>
      </c>
    </row>
    <row r="2561" customFormat="false" ht="12" hidden="false" customHeight="false" outlineLevel="0" collapsed="false">
      <c r="A2561" s="182" t="s">
        <v>5024</v>
      </c>
    </row>
    <row r="2562" customFormat="false" ht="12" hidden="false" customHeight="false" outlineLevel="0" collapsed="false">
      <c r="A2562" s="182" t="s">
        <v>5025</v>
      </c>
    </row>
    <row r="2563" customFormat="false" ht="12" hidden="false" customHeight="false" outlineLevel="0" collapsed="false">
      <c r="A2563" s="182" t="s">
        <v>5026</v>
      </c>
    </row>
    <row r="2564" customFormat="false" ht="12" hidden="false" customHeight="false" outlineLevel="0" collapsed="false">
      <c r="A2564" s="182" t="s">
        <v>5027</v>
      </c>
    </row>
    <row r="2565" customFormat="false" ht="12" hidden="false" customHeight="false" outlineLevel="0" collapsed="false">
      <c r="A2565" s="182" t="s">
        <v>5028</v>
      </c>
    </row>
    <row r="2566" customFormat="false" ht="12" hidden="false" customHeight="false" outlineLevel="0" collapsed="false">
      <c r="A2566" s="182" t="s">
        <v>5029</v>
      </c>
    </row>
    <row r="2567" customFormat="false" ht="12" hidden="false" customHeight="false" outlineLevel="0" collapsed="false">
      <c r="A2567" s="182" t="s">
        <v>5030</v>
      </c>
    </row>
    <row r="2568" customFormat="false" ht="12" hidden="false" customHeight="false" outlineLevel="0" collapsed="false">
      <c r="A2568" s="182" t="s">
        <v>5031</v>
      </c>
    </row>
    <row r="2569" customFormat="false" ht="12" hidden="false" customHeight="false" outlineLevel="0" collapsed="false">
      <c r="A2569" s="182" t="s">
        <v>5032</v>
      </c>
    </row>
    <row r="2570" customFormat="false" ht="12" hidden="false" customHeight="false" outlineLevel="0" collapsed="false">
      <c r="A2570" s="182" t="s">
        <v>5033</v>
      </c>
    </row>
    <row r="2571" customFormat="false" ht="12" hidden="false" customHeight="false" outlineLevel="0" collapsed="false">
      <c r="A2571" s="182" t="s">
        <v>5034</v>
      </c>
    </row>
    <row r="2572" customFormat="false" ht="12" hidden="false" customHeight="false" outlineLevel="0" collapsed="false">
      <c r="A2572" s="182" t="s">
        <v>5035</v>
      </c>
    </row>
    <row r="2573" customFormat="false" ht="12" hidden="false" customHeight="false" outlineLevel="0" collapsed="false">
      <c r="A2573" s="182" t="s">
        <v>5036</v>
      </c>
    </row>
    <row r="2574" customFormat="false" ht="12" hidden="false" customHeight="false" outlineLevel="0" collapsed="false">
      <c r="A2574" s="182" t="s">
        <v>5037</v>
      </c>
    </row>
    <row r="2575" customFormat="false" ht="12" hidden="false" customHeight="false" outlineLevel="0" collapsed="false">
      <c r="A2575" s="182" t="s">
        <v>5038</v>
      </c>
    </row>
    <row r="2576" customFormat="false" ht="12" hidden="false" customHeight="false" outlineLevel="0" collapsed="false">
      <c r="A2576" s="182" t="s">
        <v>5039</v>
      </c>
    </row>
    <row r="2577" customFormat="false" ht="12" hidden="false" customHeight="false" outlineLevel="0" collapsed="false">
      <c r="A2577" s="182" t="s">
        <v>5040</v>
      </c>
    </row>
    <row r="2578" customFormat="false" ht="12" hidden="false" customHeight="false" outlineLevel="0" collapsed="false">
      <c r="A2578" s="182" t="s">
        <v>5041</v>
      </c>
    </row>
    <row r="2579" customFormat="false" ht="12" hidden="false" customHeight="false" outlineLevel="0" collapsed="false">
      <c r="A2579" s="182" t="s">
        <v>5042</v>
      </c>
    </row>
    <row r="2580" customFormat="false" ht="12" hidden="false" customHeight="false" outlineLevel="0" collapsed="false">
      <c r="A2580" s="182" t="s">
        <v>5043</v>
      </c>
    </row>
    <row r="2581" customFormat="false" ht="12" hidden="false" customHeight="false" outlineLevel="0" collapsed="false">
      <c r="A2581" s="182" t="s">
        <v>5044</v>
      </c>
    </row>
    <row r="2582" customFormat="false" ht="12" hidden="false" customHeight="false" outlineLevel="0" collapsed="false">
      <c r="A2582" s="182" t="s">
        <v>5045</v>
      </c>
    </row>
    <row r="2583" customFormat="false" ht="12" hidden="false" customHeight="false" outlineLevel="0" collapsed="false">
      <c r="A2583" s="182" t="s">
        <v>5046</v>
      </c>
    </row>
    <row r="2584" customFormat="false" ht="12" hidden="false" customHeight="false" outlineLevel="0" collapsed="false">
      <c r="A2584" s="182" t="s">
        <v>5047</v>
      </c>
    </row>
    <row r="2585" customFormat="false" ht="12" hidden="false" customHeight="false" outlineLevel="0" collapsed="false">
      <c r="A2585" s="182" t="s">
        <v>5048</v>
      </c>
    </row>
    <row r="2586" customFormat="false" ht="12" hidden="false" customHeight="false" outlineLevel="0" collapsed="false">
      <c r="A2586" s="182" t="s">
        <v>5049</v>
      </c>
    </row>
    <row r="2587" customFormat="false" ht="12" hidden="false" customHeight="false" outlineLevel="0" collapsed="false">
      <c r="A2587" s="182" t="s">
        <v>5050</v>
      </c>
    </row>
    <row r="2588" customFormat="false" ht="12" hidden="false" customHeight="false" outlineLevel="0" collapsed="false">
      <c r="A2588" s="182" t="s">
        <v>5051</v>
      </c>
    </row>
    <row r="2589" customFormat="false" ht="12" hidden="false" customHeight="false" outlineLevel="0" collapsed="false">
      <c r="A2589" s="182" t="s">
        <v>5052</v>
      </c>
    </row>
    <row r="2590" customFormat="false" ht="12" hidden="false" customHeight="false" outlineLevel="0" collapsed="false">
      <c r="A2590" s="182" t="s">
        <v>5053</v>
      </c>
    </row>
    <row r="2591" customFormat="false" ht="12" hidden="false" customHeight="false" outlineLevel="0" collapsed="false">
      <c r="A2591" s="182" t="s">
        <v>5054</v>
      </c>
    </row>
    <row r="2592" customFormat="false" ht="12" hidden="false" customHeight="false" outlineLevel="0" collapsed="false">
      <c r="A2592" s="182" t="s">
        <v>5055</v>
      </c>
    </row>
    <row r="2593" customFormat="false" ht="12" hidden="false" customHeight="false" outlineLevel="0" collapsed="false">
      <c r="A2593" s="182" t="s">
        <v>5056</v>
      </c>
    </row>
    <row r="2594" customFormat="false" ht="12" hidden="false" customHeight="false" outlineLevel="0" collapsed="false">
      <c r="A2594" s="182" t="s">
        <v>5057</v>
      </c>
    </row>
    <row r="2595" customFormat="false" ht="12" hidden="false" customHeight="false" outlineLevel="0" collapsed="false">
      <c r="A2595" s="182" t="s">
        <v>5058</v>
      </c>
    </row>
    <row r="2596" customFormat="false" ht="12" hidden="false" customHeight="false" outlineLevel="0" collapsed="false">
      <c r="A2596" s="182" t="s">
        <v>5059</v>
      </c>
    </row>
    <row r="2597" customFormat="false" ht="12" hidden="false" customHeight="false" outlineLevel="0" collapsed="false">
      <c r="A2597" s="182" t="s">
        <v>5060</v>
      </c>
    </row>
    <row r="2598" customFormat="false" ht="12" hidden="false" customHeight="false" outlineLevel="0" collapsed="false">
      <c r="A2598" s="182" t="s">
        <v>5061</v>
      </c>
    </row>
    <row r="2599" customFormat="false" ht="12" hidden="false" customHeight="false" outlineLevel="0" collapsed="false">
      <c r="A2599" s="182" t="s">
        <v>5062</v>
      </c>
    </row>
    <row r="2600" customFormat="false" ht="12" hidden="false" customHeight="false" outlineLevel="0" collapsed="false">
      <c r="A2600" s="182" t="s">
        <v>5063</v>
      </c>
    </row>
    <row r="2601" customFormat="false" ht="12" hidden="false" customHeight="false" outlineLevel="0" collapsed="false">
      <c r="A2601" s="182" t="s">
        <v>5064</v>
      </c>
    </row>
    <row r="2602" customFormat="false" ht="12" hidden="false" customHeight="false" outlineLevel="0" collapsed="false">
      <c r="A2602" s="182" t="s">
        <v>5065</v>
      </c>
    </row>
    <row r="2603" customFormat="false" ht="12" hidden="false" customHeight="false" outlineLevel="0" collapsed="false">
      <c r="A2603" s="182" t="s">
        <v>5066</v>
      </c>
    </row>
    <row r="2604" customFormat="false" ht="12" hidden="false" customHeight="false" outlineLevel="0" collapsed="false">
      <c r="A2604" s="182" t="s">
        <v>5067</v>
      </c>
    </row>
    <row r="2605" customFormat="false" ht="12" hidden="false" customHeight="false" outlineLevel="0" collapsed="false">
      <c r="A2605" s="182" t="s">
        <v>5068</v>
      </c>
    </row>
    <row r="2606" customFormat="false" ht="12" hidden="false" customHeight="false" outlineLevel="0" collapsed="false">
      <c r="A2606" s="182" t="s">
        <v>5069</v>
      </c>
    </row>
    <row r="2607" customFormat="false" ht="12" hidden="false" customHeight="false" outlineLevel="0" collapsed="false">
      <c r="A2607" s="182" t="s">
        <v>5070</v>
      </c>
    </row>
    <row r="2608" customFormat="false" ht="12" hidden="false" customHeight="false" outlineLevel="0" collapsed="false">
      <c r="A2608" s="182" t="s">
        <v>5071</v>
      </c>
    </row>
    <row r="2609" customFormat="false" ht="12" hidden="false" customHeight="false" outlineLevel="0" collapsed="false">
      <c r="A2609" s="182" t="s">
        <v>5072</v>
      </c>
    </row>
    <row r="2610" customFormat="false" ht="12" hidden="false" customHeight="false" outlineLevel="0" collapsed="false">
      <c r="A2610" s="182" t="s">
        <v>5073</v>
      </c>
    </row>
    <row r="2611" customFormat="false" ht="12" hidden="false" customHeight="false" outlineLevel="0" collapsed="false">
      <c r="A2611" s="182" t="s">
        <v>5074</v>
      </c>
    </row>
    <row r="2612" customFormat="false" ht="12" hidden="false" customHeight="false" outlineLevel="0" collapsed="false">
      <c r="A2612" s="182" t="s">
        <v>5075</v>
      </c>
    </row>
    <row r="2613" customFormat="false" ht="12" hidden="false" customHeight="false" outlineLevel="0" collapsed="false">
      <c r="A2613" s="182" t="s">
        <v>5076</v>
      </c>
    </row>
    <row r="2614" customFormat="false" ht="12" hidden="false" customHeight="false" outlineLevel="0" collapsed="false">
      <c r="A2614" s="182" t="s">
        <v>5077</v>
      </c>
    </row>
    <row r="2615" customFormat="false" ht="12" hidden="false" customHeight="false" outlineLevel="0" collapsed="false">
      <c r="A2615" s="182" t="s">
        <v>5078</v>
      </c>
    </row>
    <row r="2616" customFormat="false" ht="12" hidden="false" customHeight="false" outlineLevel="0" collapsed="false">
      <c r="A2616" s="182" t="s">
        <v>5079</v>
      </c>
    </row>
    <row r="2617" customFormat="false" ht="12" hidden="false" customHeight="false" outlineLevel="0" collapsed="false">
      <c r="A2617" s="182" t="s">
        <v>5080</v>
      </c>
    </row>
    <row r="2618" customFormat="false" ht="12" hidden="false" customHeight="false" outlineLevel="0" collapsed="false">
      <c r="A2618" s="182" t="s">
        <v>5081</v>
      </c>
    </row>
    <row r="2619" customFormat="false" ht="12" hidden="false" customHeight="false" outlineLevel="0" collapsed="false">
      <c r="A2619" s="182" t="s">
        <v>5082</v>
      </c>
    </row>
    <row r="2620" customFormat="false" ht="12" hidden="false" customHeight="false" outlineLevel="0" collapsed="false">
      <c r="A2620" s="182" t="s">
        <v>5083</v>
      </c>
    </row>
    <row r="2621" customFormat="false" ht="12" hidden="false" customHeight="false" outlineLevel="0" collapsed="false">
      <c r="A2621" s="182" t="s">
        <v>5084</v>
      </c>
    </row>
    <row r="2622" customFormat="false" ht="12" hidden="false" customHeight="false" outlineLevel="0" collapsed="false">
      <c r="A2622" s="182" t="s">
        <v>5085</v>
      </c>
    </row>
    <row r="2623" customFormat="false" ht="12" hidden="false" customHeight="false" outlineLevel="0" collapsed="false">
      <c r="A2623" s="182" t="s">
        <v>5086</v>
      </c>
    </row>
    <row r="2624" customFormat="false" ht="12" hidden="false" customHeight="false" outlineLevel="0" collapsed="false">
      <c r="A2624" s="182" t="s">
        <v>5087</v>
      </c>
    </row>
    <row r="2625" customFormat="false" ht="12" hidden="false" customHeight="false" outlineLevel="0" collapsed="false">
      <c r="A2625" s="182" t="s">
        <v>5088</v>
      </c>
    </row>
    <row r="2626" customFormat="false" ht="12" hidden="false" customHeight="false" outlineLevel="0" collapsed="false">
      <c r="A2626" s="182" t="s">
        <v>5089</v>
      </c>
    </row>
    <row r="2627" customFormat="false" ht="12" hidden="false" customHeight="false" outlineLevel="0" collapsed="false">
      <c r="A2627" s="182" t="s">
        <v>5090</v>
      </c>
    </row>
    <row r="2628" customFormat="false" ht="12" hidden="false" customHeight="false" outlineLevel="0" collapsed="false">
      <c r="A2628" s="182" t="s">
        <v>5091</v>
      </c>
    </row>
    <row r="2629" customFormat="false" ht="12" hidden="false" customHeight="false" outlineLevel="0" collapsed="false">
      <c r="A2629" s="182" t="s">
        <v>5092</v>
      </c>
    </row>
    <row r="2630" customFormat="false" ht="12" hidden="false" customHeight="false" outlineLevel="0" collapsed="false">
      <c r="A2630" s="182" t="s">
        <v>5093</v>
      </c>
    </row>
    <row r="2631" customFormat="false" ht="12" hidden="false" customHeight="false" outlineLevel="0" collapsed="false">
      <c r="A2631" s="182" t="s">
        <v>5094</v>
      </c>
    </row>
    <row r="2632" customFormat="false" ht="12" hidden="false" customHeight="false" outlineLevel="0" collapsed="false">
      <c r="A2632" s="182" t="s">
        <v>5095</v>
      </c>
    </row>
    <row r="2633" customFormat="false" ht="12" hidden="false" customHeight="false" outlineLevel="0" collapsed="false">
      <c r="A2633" s="182" t="s">
        <v>5096</v>
      </c>
    </row>
    <row r="2634" customFormat="false" ht="12" hidden="false" customHeight="false" outlineLevel="0" collapsed="false">
      <c r="A2634" s="182" t="s">
        <v>5097</v>
      </c>
    </row>
    <row r="2635" customFormat="false" ht="12" hidden="false" customHeight="false" outlineLevel="0" collapsed="false">
      <c r="A2635" s="182" t="s">
        <v>5098</v>
      </c>
    </row>
    <row r="2636" customFormat="false" ht="12" hidden="false" customHeight="false" outlineLevel="0" collapsed="false">
      <c r="A2636" s="182" t="s">
        <v>5099</v>
      </c>
    </row>
    <row r="2637" customFormat="false" ht="12" hidden="false" customHeight="false" outlineLevel="0" collapsed="false">
      <c r="A2637" s="182" t="s">
        <v>5100</v>
      </c>
    </row>
    <row r="2638" customFormat="false" ht="12" hidden="false" customHeight="false" outlineLevel="0" collapsed="false">
      <c r="A2638" s="182" t="s">
        <v>5101</v>
      </c>
    </row>
    <row r="2639" customFormat="false" ht="12" hidden="false" customHeight="false" outlineLevel="0" collapsed="false">
      <c r="A2639" s="182" t="s">
        <v>5102</v>
      </c>
    </row>
    <row r="2640" customFormat="false" ht="12" hidden="false" customHeight="false" outlineLevel="0" collapsed="false">
      <c r="A2640" s="182" t="s">
        <v>5103</v>
      </c>
    </row>
    <row r="2641" customFormat="false" ht="12" hidden="false" customHeight="false" outlineLevel="0" collapsed="false">
      <c r="A2641" s="182" t="s">
        <v>5104</v>
      </c>
    </row>
    <row r="2642" customFormat="false" ht="12" hidden="false" customHeight="false" outlineLevel="0" collapsed="false">
      <c r="A2642" s="182" t="s">
        <v>5105</v>
      </c>
    </row>
    <row r="2643" customFormat="false" ht="12" hidden="false" customHeight="false" outlineLevel="0" collapsed="false">
      <c r="A2643" s="182" t="s">
        <v>5106</v>
      </c>
    </row>
    <row r="2644" customFormat="false" ht="12" hidden="false" customHeight="false" outlineLevel="0" collapsed="false">
      <c r="A2644" s="182" t="s">
        <v>5107</v>
      </c>
    </row>
    <row r="2645" customFormat="false" ht="12" hidden="false" customHeight="false" outlineLevel="0" collapsed="false">
      <c r="A2645" s="182" t="s">
        <v>5108</v>
      </c>
    </row>
    <row r="2646" customFormat="false" ht="12" hidden="false" customHeight="false" outlineLevel="0" collapsed="false">
      <c r="A2646" s="182" t="s">
        <v>5109</v>
      </c>
    </row>
    <row r="2647" customFormat="false" ht="12" hidden="false" customHeight="false" outlineLevel="0" collapsed="false">
      <c r="A2647" s="182" t="s">
        <v>5110</v>
      </c>
    </row>
    <row r="2648" customFormat="false" ht="12" hidden="false" customHeight="false" outlineLevel="0" collapsed="false">
      <c r="A2648" s="182" t="s">
        <v>5111</v>
      </c>
    </row>
    <row r="2649" customFormat="false" ht="12" hidden="false" customHeight="false" outlineLevel="0" collapsed="false">
      <c r="A2649" s="182" t="s">
        <v>5112</v>
      </c>
    </row>
    <row r="2650" customFormat="false" ht="12" hidden="false" customHeight="false" outlineLevel="0" collapsed="false">
      <c r="A2650" s="182" t="s">
        <v>5113</v>
      </c>
    </row>
    <row r="2651" customFormat="false" ht="12" hidden="false" customHeight="false" outlineLevel="0" collapsed="false">
      <c r="A2651" s="182" t="s">
        <v>5114</v>
      </c>
    </row>
    <row r="2652" customFormat="false" ht="12" hidden="false" customHeight="false" outlineLevel="0" collapsed="false">
      <c r="A2652" s="182" t="s">
        <v>5115</v>
      </c>
    </row>
    <row r="2653" customFormat="false" ht="12" hidden="false" customHeight="false" outlineLevel="0" collapsed="false">
      <c r="A2653" s="182" t="s">
        <v>5116</v>
      </c>
    </row>
    <row r="2654" customFormat="false" ht="12" hidden="false" customHeight="false" outlineLevel="0" collapsed="false">
      <c r="A2654" s="182" t="s">
        <v>5117</v>
      </c>
    </row>
    <row r="2655" customFormat="false" ht="12" hidden="false" customHeight="false" outlineLevel="0" collapsed="false">
      <c r="A2655" s="182" t="s">
        <v>5118</v>
      </c>
    </row>
    <row r="2656" customFormat="false" ht="12" hidden="false" customHeight="false" outlineLevel="0" collapsed="false">
      <c r="A2656" s="182" t="s">
        <v>5119</v>
      </c>
    </row>
    <row r="2657" customFormat="false" ht="12" hidden="false" customHeight="false" outlineLevel="0" collapsed="false">
      <c r="A2657" s="182" t="s">
        <v>5120</v>
      </c>
    </row>
    <row r="2658" customFormat="false" ht="12" hidden="false" customHeight="false" outlineLevel="0" collapsed="false">
      <c r="A2658" s="182" t="s">
        <v>5121</v>
      </c>
    </row>
    <row r="2659" customFormat="false" ht="12" hidden="false" customHeight="false" outlineLevel="0" collapsed="false">
      <c r="A2659" s="182" t="s">
        <v>5122</v>
      </c>
    </row>
    <row r="2660" customFormat="false" ht="12" hidden="false" customHeight="false" outlineLevel="0" collapsed="false">
      <c r="A2660" s="182" t="s">
        <v>5123</v>
      </c>
    </row>
    <row r="2661" customFormat="false" ht="12" hidden="false" customHeight="false" outlineLevel="0" collapsed="false">
      <c r="A2661" s="182" t="s">
        <v>5124</v>
      </c>
    </row>
    <row r="2662" customFormat="false" ht="12" hidden="false" customHeight="false" outlineLevel="0" collapsed="false">
      <c r="A2662" s="182" t="s">
        <v>5125</v>
      </c>
    </row>
    <row r="2663" customFormat="false" ht="12" hidden="false" customHeight="false" outlineLevel="0" collapsed="false">
      <c r="A2663" s="182" t="s">
        <v>5126</v>
      </c>
    </row>
    <row r="2664" customFormat="false" ht="12" hidden="false" customHeight="false" outlineLevel="0" collapsed="false">
      <c r="A2664" s="182" t="s">
        <v>5127</v>
      </c>
    </row>
    <row r="2665" customFormat="false" ht="12" hidden="false" customHeight="false" outlineLevel="0" collapsed="false">
      <c r="A2665" s="182" t="s">
        <v>5128</v>
      </c>
    </row>
    <row r="2666" customFormat="false" ht="12" hidden="false" customHeight="false" outlineLevel="0" collapsed="false">
      <c r="A2666" s="182" t="s">
        <v>5129</v>
      </c>
    </row>
    <row r="2667" customFormat="false" ht="12" hidden="false" customHeight="false" outlineLevel="0" collapsed="false">
      <c r="A2667" s="182" t="s">
        <v>5130</v>
      </c>
    </row>
    <row r="2668" customFormat="false" ht="12" hidden="false" customHeight="false" outlineLevel="0" collapsed="false">
      <c r="A2668" s="182" t="s">
        <v>5131</v>
      </c>
    </row>
    <row r="2669" customFormat="false" ht="12" hidden="false" customHeight="false" outlineLevel="0" collapsed="false">
      <c r="A2669" s="182" t="s">
        <v>5132</v>
      </c>
    </row>
    <row r="2670" customFormat="false" ht="12" hidden="false" customHeight="false" outlineLevel="0" collapsed="false">
      <c r="A2670" s="182" t="s">
        <v>5133</v>
      </c>
    </row>
    <row r="2671" customFormat="false" ht="12" hidden="false" customHeight="false" outlineLevel="0" collapsed="false">
      <c r="A2671" s="182" t="s">
        <v>5134</v>
      </c>
    </row>
    <row r="2672" customFormat="false" ht="12" hidden="false" customHeight="false" outlineLevel="0" collapsed="false">
      <c r="A2672" s="182" t="s">
        <v>5135</v>
      </c>
    </row>
    <row r="2673" customFormat="false" ht="12" hidden="false" customHeight="false" outlineLevel="0" collapsed="false">
      <c r="A2673" s="182" t="s">
        <v>5136</v>
      </c>
    </row>
    <row r="2674" customFormat="false" ht="12" hidden="false" customHeight="false" outlineLevel="0" collapsed="false">
      <c r="A2674" s="182" t="s">
        <v>5137</v>
      </c>
    </row>
    <row r="2675" customFormat="false" ht="12" hidden="false" customHeight="false" outlineLevel="0" collapsed="false">
      <c r="A2675" s="182" t="s">
        <v>5138</v>
      </c>
    </row>
    <row r="2676" customFormat="false" ht="12" hidden="false" customHeight="false" outlineLevel="0" collapsed="false">
      <c r="A2676" s="182" t="s">
        <v>5139</v>
      </c>
    </row>
    <row r="2677" customFormat="false" ht="12" hidden="false" customHeight="false" outlineLevel="0" collapsed="false">
      <c r="A2677" s="182" t="s">
        <v>5140</v>
      </c>
    </row>
    <row r="2678" customFormat="false" ht="12" hidden="false" customHeight="false" outlineLevel="0" collapsed="false">
      <c r="A2678" s="182" t="s">
        <v>5141</v>
      </c>
    </row>
    <row r="2679" customFormat="false" ht="12" hidden="false" customHeight="false" outlineLevel="0" collapsed="false">
      <c r="A2679" s="182" t="s">
        <v>5142</v>
      </c>
    </row>
    <row r="2680" customFormat="false" ht="12" hidden="false" customHeight="false" outlineLevel="0" collapsed="false">
      <c r="A2680" s="182" t="s">
        <v>5143</v>
      </c>
    </row>
    <row r="2681" customFormat="false" ht="12" hidden="false" customHeight="false" outlineLevel="0" collapsed="false">
      <c r="A2681" s="182" t="s">
        <v>5144</v>
      </c>
    </row>
    <row r="2682" customFormat="false" ht="12" hidden="false" customHeight="false" outlineLevel="0" collapsed="false">
      <c r="A2682" s="182" t="s">
        <v>5145</v>
      </c>
    </row>
    <row r="2683" customFormat="false" ht="12" hidden="false" customHeight="false" outlineLevel="0" collapsed="false">
      <c r="A2683" s="182" t="s">
        <v>5146</v>
      </c>
    </row>
    <row r="2684" customFormat="false" ht="12" hidden="false" customHeight="false" outlineLevel="0" collapsed="false">
      <c r="A2684" s="182" t="s">
        <v>5147</v>
      </c>
    </row>
    <row r="2685" customFormat="false" ht="12" hidden="false" customHeight="false" outlineLevel="0" collapsed="false">
      <c r="A2685" s="182" t="s">
        <v>5148</v>
      </c>
    </row>
    <row r="2686" customFormat="false" ht="12" hidden="false" customHeight="false" outlineLevel="0" collapsed="false">
      <c r="A2686" s="182" t="s">
        <v>5149</v>
      </c>
    </row>
    <row r="2687" customFormat="false" ht="12" hidden="false" customHeight="false" outlineLevel="0" collapsed="false">
      <c r="A2687" s="182" t="s">
        <v>5150</v>
      </c>
    </row>
    <row r="2688" customFormat="false" ht="12" hidden="false" customHeight="false" outlineLevel="0" collapsed="false">
      <c r="A2688" s="182" t="s">
        <v>5151</v>
      </c>
    </row>
    <row r="2689" customFormat="false" ht="12" hidden="false" customHeight="false" outlineLevel="0" collapsed="false">
      <c r="A2689" s="182" t="s">
        <v>5152</v>
      </c>
    </row>
    <row r="2690" customFormat="false" ht="12" hidden="false" customHeight="false" outlineLevel="0" collapsed="false">
      <c r="A2690" s="182" t="s">
        <v>5153</v>
      </c>
    </row>
    <row r="2691" customFormat="false" ht="12" hidden="false" customHeight="false" outlineLevel="0" collapsed="false">
      <c r="A2691" s="182" t="s">
        <v>5154</v>
      </c>
    </row>
    <row r="2692" customFormat="false" ht="12" hidden="false" customHeight="false" outlineLevel="0" collapsed="false">
      <c r="A2692" s="182" t="s">
        <v>5155</v>
      </c>
    </row>
    <row r="2693" customFormat="false" ht="12" hidden="false" customHeight="false" outlineLevel="0" collapsed="false">
      <c r="A2693" s="182" t="s">
        <v>5156</v>
      </c>
    </row>
    <row r="2694" customFormat="false" ht="12" hidden="false" customHeight="false" outlineLevel="0" collapsed="false">
      <c r="A2694" s="182" t="s">
        <v>5157</v>
      </c>
    </row>
    <row r="2695" customFormat="false" ht="12" hidden="false" customHeight="false" outlineLevel="0" collapsed="false">
      <c r="A2695" s="182" t="s">
        <v>5158</v>
      </c>
    </row>
    <row r="2696" customFormat="false" ht="12" hidden="false" customHeight="false" outlineLevel="0" collapsed="false">
      <c r="A2696" s="182" t="s">
        <v>5159</v>
      </c>
    </row>
    <row r="2697" customFormat="false" ht="12" hidden="false" customHeight="false" outlineLevel="0" collapsed="false">
      <c r="A2697" s="182" t="s">
        <v>5160</v>
      </c>
    </row>
    <row r="2698" customFormat="false" ht="12" hidden="false" customHeight="false" outlineLevel="0" collapsed="false">
      <c r="A2698" s="182" t="s">
        <v>5161</v>
      </c>
    </row>
    <row r="2699" customFormat="false" ht="12" hidden="false" customHeight="false" outlineLevel="0" collapsed="false">
      <c r="A2699" s="182" t="s">
        <v>5162</v>
      </c>
    </row>
    <row r="2700" customFormat="false" ht="12" hidden="false" customHeight="false" outlineLevel="0" collapsed="false">
      <c r="A2700" s="182" t="s">
        <v>5163</v>
      </c>
    </row>
    <row r="2701" customFormat="false" ht="12" hidden="false" customHeight="false" outlineLevel="0" collapsed="false">
      <c r="A2701" s="182" t="s">
        <v>5164</v>
      </c>
    </row>
    <row r="2702" customFormat="false" ht="12" hidden="false" customHeight="false" outlineLevel="0" collapsed="false">
      <c r="A2702" s="182" t="s">
        <v>5165</v>
      </c>
    </row>
    <row r="2703" customFormat="false" ht="12" hidden="false" customHeight="false" outlineLevel="0" collapsed="false">
      <c r="A2703" s="182" t="s">
        <v>5166</v>
      </c>
    </row>
    <row r="2704" customFormat="false" ht="12" hidden="false" customHeight="false" outlineLevel="0" collapsed="false">
      <c r="A2704" s="182" t="s">
        <v>5167</v>
      </c>
    </row>
    <row r="2705" customFormat="false" ht="12" hidden="false" customHeight="false" outlineLevel="0" collapsed="false">
      <c r="A2705" s="182" t="s">
        <v>5168</v>
      </c>
    </row>
    <row r="2706" customFormat="false" ht="12" hidden="false" customHeight="false" outlineLevel="0" collapsed="false">
      <c r="A2706" s="182" t="s">
        <v>5169</v>
      </c>
    </row>
    <row r="2707" customFormat="false" ht="12" hidden="false" customHeight="false" outlineLevel="0" collapsed="false">
      <c r="A2707" s="182" t="s">
        <v>5170</v>
      </c>
    </row>
    <row r="2708" customFormat="false" ht="12" hidden="false" customHeight="false" outlineLevel="0" collapsed="false">
      <c r="A2708" s="182" t="s">
        <v>5171</v>
      </c>
    </row>
    <row r="2709" customFormat="false" ht="12" hidden="false" customHeight="false" outlineLevel="0" collapsed="false">
      <c r="A2709" s="182" t="s">
        <v>5172</v>
      </c>
    </row>
    <row r="2710" customFormat="false" ht="12" hidden="false" customHeight="false" outlineLevel="0" collapsed="false">
      <c r="A2710" s="182" t="s">
        <v>5173</v>
      </c>
    </row>
    <row r="2711" customFormat="false" ht="12" hidden="false" customHeight="false" outlineLevel="0" collapsed="false">
      <c r="A2711" s="182" t="s">
        <v>5174</v>
      </c>
    </row>
    <row r="2712" customFormat="false" ht="12" hidden="false" customHeight="false" outlineLevel="0" collapsed="false">
      <c r="A2712" s="182" t="s">
        <v>5175</v>
      </c>
    </row>
    <row r="2713" customFormat="false" ht="12" hidden="false" customHeight="false" outlineLevel="0" collapsed="false">
      <c r="A2713" s="182" t="s">
        <v>5176</v>
      </c>
    </row>
    <row r="2714" customFormat="false" ht="12" hidden="false" customHeight="false" outlineLevel="0" collapsed="false">
      <c r="A2714" s="182" t="s">
        <v>5177</v>
      </c>
    </row>
    <row r="2715" customFormat="false" ht="12" hidden="false" customHeight="false" outlineLevel="0" collapsed="false">
      <c r="A2715" s="182" t="s">
        <v>5178</v>
      </c>
    </row>
    <row r="2716" customFormat="false" ht="12" hidden="false" customHeight="false" outlineLevel="0" collapsed="false">
      <c r="A2716" s="182" t="s">
        <v>5179</v>
      </c>
    </row>
    <row r="2717" customFormat="false" ht="12" hidden="false" customHeight="false" outlineLevel="0" collapsed="false">
      <c r="A2717" s="182" t="s">
        <v>5180</v>
      </c>
    </row>
    <row r="2718" customFormat="false" ht="12" hidden="false" customHeight="false" outlineLevel="0" collapsed="false">
      <c r="A2718" s="182" t="s">
        <v>5181</v>
      </c>
    </row>
    <row r="2719" customFormat="false" ht="12" hidden="false" customHeight="false" outlineLevel="0" collapsed="false">
      <c r="A2719" s="182" t="s">
        <v>5182</v>
      </c>
    </row>
    <row r="2720" customFormat="false" ht="12" hidden="false" customHeight="false" outlineLevel="0" collapsed="false">
      <c r="A2720" s="182" t="s">
        <v>5183</v>
      </c>
    </row>
    <row r="2721" customFormat="false" ht="12" hidden="false" customHeight="false" outlineLevel="0" collapsed="false">
      <c r="A2721" s="182" t="s">
        <v>5184</v>
      </c>
    </row>
    <row r="2722" customFormat="false" ht="12" hidden="false" customHeight="false" outlineLevel="0" collapsed="false">
      <c r="A2722" s="182" t="s">
        <v>5185</v>
      </c>
    </row>
    <row r="2723" customFormat="false" ht="12" hidden="false" customHeight="false" outlineLevel="0" collapsed="false">
      <c r="A2723" s="182" t="s">
        <v>5186</v>
      </c>
    </row>
    <row r="2724" customFormat="false" ht="12" hidden="false" customHeight="false" outlineLevel="0" collapsed="false">
      <c r="A2724" s="182" t="s">
        <v>5187</v>
      </c>
    </row>
    <row r="2725" customFormat="false" ht="12" hidden="false" customHeight="false" outlineLevel="0" collapsed="false">
      <c r="A2725" s="182" t="s">
        <v>5188</v>
      </c>
    </row>
    <row r="2726" customFormat="false" ht="12" hidden="false" customHeight="false" outlineLevel="0" collapsed="false">
      <c r="A2726" s="182" t="s">
        <v>5189</v>
      </c>
    </row>
    <row r="2727" customFormat="false" ht="12" hidden="false" customHeight="false" outlineLevel="0" collapsed="false">
      <c r="A2727" s="182" t="s">
        <v>5190</v>
      </c>
    </row>
    <row r="2728" customFormat="false" ht="12" hidden="false" customHeight="false" outlineLevel="0" collapsed="false">
      <c r="A2728" s="182" t="s">
        <v>5191</v>
      </c>
    </row>
    <row r="2729" customFormat="false" ht="12" hidden="false" customHeight="false" outlineLevel="0" collapsed="false">
      <c r="A2729" s="182" t="s">
        <v>5192</v>
      </c>
    </row>
    <row r="2730" customFormat="false" ht="12" hidden="false" customHeight="false" outlineLevel="0" collapsed="false">
      <c r="A2730" s="182" t="s">
        <v>5193</v>
      </c>
    </row>
    <row r="2731" customFormat="false" ht="12" hidden="false" customHeight="false" outlineLevel="0" collapsed="false">
      <c r="A2731" s="182" t="s">
        <v>5194</v>
      </c>
    </row>
    <row r="2732" customFormat="false" ht="12" hidden="false" customHeight="false" outlineLevel="0" collapsed="false">
      <c r="A2732" s="182" t="s">
        <v>5195</v>
      </c>
    </row>
    <row r="2733" customFormat="false" ht="12" hidden="false" customHeight="false" outlineLevel="0" collapsed="false">
      <c r="A2733" s="182" t="s">
        <v>5196</v>
      </c>
    </row>
    <row r="2734" customFormat="false" ht="12" hidden="false" customHeight="false" outlineLevel="0" collapsed="false">
      <c r="A2734" s="182" t="s">
        <v>5197</v>
      </c>
    </row>
    <row r="2735" customFormat="false" ht="12" hidden="false" customHeight="false" outlineLevel="0" collapsed="false">
      <c r="A2735" s="182" t="s">
        <v>5198</v>
      </c>
    </row>
    <row r="2736" customFormat="false" ht="12" hidden="false" customHeight="false" outlineLevel="0" collapsed="false">
      <c r="A2736" s="182" t="s">
        <v>5199</v>
      </c>
    </row>
    <row r="2737" customFormat="false" ht="12" hidden="false" customHeight="false" outlineLevel="0" collapsed="false">
      <c r="A2737" s="182" t="s">
        <v>5200</v>
      </c>
    </row>
    <row r="2738" customFormat="false" ht="12" hidden="false" customHeight="false" outlineLevel="0" collapsed="false">
      <c r="A2738" s="182" t="s">
        <v>5201</v>
      </c>
    </row>
    <row r="2739" customFormat="false" ht="12" hidden="false" customHeight="false" outlineLevel="0" collapsed="false">
      <c r="A2739" s="182" t="s">
        <v>5202</v>
      </c>
    </row>
    <row r="2740" customFormat="false" ht="12" hidden="false" customHeight="false" outlineLevel="0" collapsed="false">
      <c r="A2740" s="182" t="s">
        <v>5203</v>
      </c>
    </row>
    <row r="2741" customFormat="false" ht="12" hidden="false" customHeight="false" outlineLevel="0" collapsed="false">
      <c r="A2741" s="182" t="s">
        <v>5204</v>
      </c>
    </row>
    <row r="2742" customFormat="false" ht="12" hidden="false" customHeight="false" outlineLevel="0" collapsed="false">
      <c r="A2742" s="182" t="s">
        <v>5205</v>
      </c>
    </row>
    <row r="2743" customFormat="false" ht="12" hidden="false" customHeight="false" outlineLevel="0" collapsed="false">
      <c r="A2743" s="182" t="s">
        <v>5206</v>
      </c>
    </row>
    <row r="2744" customFormat="false" ht="12" hidden="false" customHeight="false" outlineLevel="0" collapsed="false">
      <c r="A2744" s="182" t="s">
        <v>5207</v>
      </c>
    </row>
    <row r="2745" customFormat="false" ht="12" hidden="false" customHeight="false" outlineLevel="0" collapsed="false">
      <c r="A2745" s="182" t="s">
        <v>5208</v>
      </c>
    </row>
    <row r="2746" customFormat="false" ht="12" hidden="false" customHeight="false" outlineLevel="0" collapsed="false">
      <c r="A2746" s="182" t="s">
        <v>5209</v>
      </c>
    </row>
    <row r="2747" customFormat="false" ht="12" hidden="false" customHeight="false" outlineLevel="0" collapsed="false">
      <c r="A2747" s="182" t="s">
        <v>5210</v>
      </c>
    </row>
    <row r="2748" customFormat="false" ht="12" hidden="false" customHeight="false" outlineLevel="0" collapsed="false">
      <c r="A2748" s="182" t="s">
        <v>5211</v>
      </c>
    </row>
    <row r="2749" customFormat="false" ht="12" hidden="false" customHeight="false" outlineLevel="0" collapsed="false">
      <c r="A2749" s="182" t="s">
        <v>5212</v>
      </c>
    </row>
    <row r="2750" customFormat="false" ht="12" hidden="false" customHeight="false" outlineLevel="0" collapsed="false">
      <c r="A2750" s="182" t="s">
        <v>5213</v>
      </c>
    </row>
    <row r="2751" customFormat="false" ht="12" hidden="false" customHeight="false" outlineLevel="0" collapsed="false">
      <c r="A2751" s="182" t="s">
        <v>5214</v>
      </c>
    </row>
    <row r="2752" customFormat="false" ht="12" hidden="false" customHeight="false" outlineLevel="0" collapsed="false">
      <c r="A2752" s="182" t="s">
        <v>5215</v>
      </c>
    </row>
    <row r="2753" customFormat="false" ht="12" hidden="false" customHeight="false" outlineLevel="0" collapsed="false">
      <c r="A2753" s="182" t="s">
        <v>5216</v>
      </c>
    </row>
    <row r="2754" customFormat="false" ht="12" hidden="false" customHeight="false" outlineLevel="0" collapsed="false">
      <c r="A2754" s="182" t="s">
        <v>5217</v>
      </c>
    </row>
    <row r="2755" customFormat="false" ht="12" hidden="false" customHeight="false" outlineLevel="0" collapsed="false">
      <c r="A2755" s="182" t="s">
        <v>5218</v>
      </c>
    </row>
    <row r="2756" customFormat="false" ht="12" hidden="false" customHeight="false" outlineLevel="0" collapsed="false">
      <c r="A2756" s="182" t="s">
        <v>5219</v>
      </c>
    </row>
    <row r="2757" customFormat="false" ht="12" hidden="false" customHeight="false" outlineLevel="0" collapsed="false">
      <c r="A2757" s="182" t="s">
        <v>5220</v>
      </c>
    </row>
    <row r="2758" customFormat="false" ht="12" hidden="false" customHeight="false" outlineLevel="0" collapsed="false">
      <c r="A2758" s="182" t="s">
        <v>5221</v>
      </c>
    </row>
    <row r="2759" customFormat="false" ht="12" hidden="false" customHeight="false" outlineLevel="0" collapsed="false">
      <c r="A2759" s="182" t="s">
        <v>5222</v>
      </c>
    </row>
    <row r="2760" customFormat="false" ht="12" hidden="false" customHeight="false" outlineLevel="0" collapsed="false">
      <c r="A2760" s="182" t="s">
        <v>5223</v>
      </c>
    </row>
    <row r="2761" customFormat="false" ht="12" hidden="false" customHeight="false" outlineLevel="0" collapsed="false">
      <c r="A2761" s="182" t="s">
        <v>5224</v>
      </c>
    </row>
    <row r="2762" customFormat="false" ht="12" hidden="false" customHeight="false" outlineLevel="0" collapsed="false">
      <c r="A2762" s="182" t="s">
        <v>5225</v>
      </c>
    </row>
    <row r="2763" customFormat="false" ht="12" hidden="false" customHeight="false" outlineLevel="0" collapsed="false">
      <c r="A2763" s="182" t="s">
        <v>5226</v>
      </c>
    </row>
    <row r="2764" customFormat="false" ht="12" hidden="false" customHeight="false" outlineLevel="0" collapsed="false">
      <c r="A2764" s="182" t="s">
        <v>5227</v>
      </c>
    </row>
    <row r="2765" customFormat="false" ht="12" hidden="false" customHeight="false" outlineLevel="0" collapsed="false">
      <c r="A2765" s="182" t="s">
        <v>5228</v>
      </c>
    </row>
    <row r="2766" customFormat="false" ht="12" hidden="false" customHeight="false" outlineLevel="0" collapsed="false">
      <c r="A2766" s="182" t="s">
        <v>5229</v>
      </c>
    </row>
    <row r="2767" customFormat="false" ht="12" hidden="false" customHeight="false" outlineLevel="0" collapsed="false">
      <c r="A2767" s="182" t="s">
        <v>5230</v>
      </c>
    </row>
    <row r="2768" customFormat="false" ht="12" hidden="false" customHeight="false" outlineLevel="0" collapsed="false">
      <c r="A2768" s="182" t="s">
        <v>5231</v>
      </c>
    </row>
    <row r="2769" customFormat="false" ht="12" hidden="false" customHeight="false" outlineLevel="0" collapsed="false">
      <c r="A2769" s="182" t="s">
        <v>5232</v>
      </c>
    </row>
    <row r="2770" customFormat="false" ht="12" hidden="false" customHeight="false" outlineLevel="0" collapsed="false">
      <c r="A2770" s="182" t="s">
        <v>5233</v>
      </c>
    </row>
    <row r="2771" customFormat="false" ht="12" hidden="false" customHeight="false" outlineLevel="0" collapsed="false">
      <c r="A2771" s="182" t="s">
        <v>5234</v>
      </c>
    </row>
    <row r="2772" customFormat="false" ht="12" hidden="false" customHeight="false" outlineLevel="0" collapsed="false">
      <c r="A2772" s="182" t="s">
        <v>5235</v>
      </c>
    </row>
    <row r="2773" customFormat="false" ht="12" hidden="false" customHeight="false" outlineLevel="0" collapsed="false">
      <c r="A2773" s="182" t="s">
        <v>5236</v>
      </c>
    </row>
    <row r="2774" customFormat="false" ht="12" hidden="false" customHeight="false" outlineLevel="0" collapsed="false">
      <c r="A2774" s="182" t="s">
        <v>5237</v>
      </c>
    </row>
    <row r="2775" customFormat="false" ht="12" hidden="false" customHeight="false" outlineLevel="0" collapsed="false">
      <c r="A2775" s="182" t="s">
        <v>5238</v>
      </c>
    </row>
    <row r="2776" customFormat="false" ht="12" hidden="false" customHeight="false" outlineLevel="0" collapsed="false">
      <c r="A2776" s="182" t="s">
        <v>5239</v>
      </c>
    </row>
    <row r="2777" customFormat="false" ht="12" hidden="false" customHeight="false" outlineLevel="0" collapsed="false">
      <c r="A2777" s="182" t="s">
        <v>5240</v>
      </c>
    </row>
    <row r="2778" customFormat="false" ht="12" hidden="false" customHeight="false" outlineLevel="0" collapsed="false">
      <c r="A2778" s="182" t="s">
        <v>5241</v>
      </c>
    </row>
    <row r="2779" customFormat="false" ht="12" hidden="false" customHeight="false" outlineLevel="0" collapsed="false">
      <c r="A2779" s="182" t="s">
        <v>5242</v>
      </c>
    </row>
    <row r="2780" customFormat="false" ht="12" hidden="false" customHeight="false" outlineLevel="0" collapsed="false">
      <c r="A2780" s="182" t="s">
        <v>5243</v>
      </c>
    </row>
    <row r="2781" customFormat="false" ht="12" hidden="false" customHeight="false" outlineLevel="0" collapsed="false">
      <c r="A2781" s="182" t="s">
        <v>5244</v>
      </c>
    </row>
    <row r="2782" customFormat="false" ht="12" hidden="false" customHeight="false" outlineLevel="0" collapsed="false">
      <c r="A2782" s="182" t="s">
        <v>5245</v>
      </c>
    </row>
    <row r="2783" customFormat="false" ht="12" hidden="false" customHeight="false" outlineLevel="0" collapsed="false">
      <c r="A2783" s="182" t="s">
        <v>5246</v>
      </c>
    </row>
    <row r="2784" customFormat="false" ht="12" hidden="false" customHeight="false" outlineLevel="0" collapsed="false">
      <c r="A2784" s="182" t="s">
        <v>5247</v>
      </c>
    </row>
    <row r="2785" customFormat="false" ht="12" hidden="false" customHeight="false" outlineLevel="0" collapsed="false">
      <c r="A2785" s="182" t="s">
        <v>5248</v>
      </c>
    </row>
    <row r="2786" customFormat="false" ht="12" hidden="false" customHeight="false" outlineLevel="0" collapsed="false">
      <c r="A2786" s="182" t="s">
        <v>5249</v>
      </c>
    </row>
    <row r="2787" customFormat="false" ht="12" hidden="false" customHeight="false" outlineLevel="0" collapsed="false">
      <c r="A2787" s="182" t="s">
        <v>5250</v>
      </c>
    </row>
    <row r="2788" customFormat="false" ht="12" hidden="false" customHeight="false" outlineLevel="0" collapsed="false">
      <c r="A2788" s="182" t="s">
        <v>5251</v>
      </c>
    </row>
    <row r="2789" customFormat="false" ht="12" hidden="false" customHeight="false" outlineLevel="0" collapsed="false">
      <c r="A2789" s="182" t="s">
        <v>5252</v>
      </c>
    </row>
    <row r="2790" customFormat="false" ht="12" hidden="false" customHeight="false" outlineLevel="0" collapsed="false">
      <c r="A2790" s="182" t="s">
        <v>5253</v>
      </c>
    </row>
    <row r="2791" customFormat="false" ht="12" hidden="false" customHeight="false" outlineLevel="0" collapsed="false">
      <c r="A2791" s="182" t="s">
        <v>5254</v>
      </c>
    </row>
    <row r="2792" customFormat="false" ht="12" hidden="false" customHeight="false" outlineLevel="0" collapsed="false">
      <c r="A2792" s="182" t="s">
        <v>5255</v>
      </c>
    </row>
    <row r="2793" customFormat="false" ht="12" hidden="false" customHeight="false" outlineLevel="0" collapsed="false">
      <c r="A2793" s="182" t="s">
        <v>5256</v>
      </c>
    </row>
    <row r="2794" customFormat="false" ht="12" hidden="false" customHeight="false" outlineLevel="0" collapsed="false">
      <c r="A2794" s="182" t="s">
        <v>5257</v>
      </c>
    </row>
    <row r="2795" customFormat="false" ht="12" hidden="false" customHeight="false" outlineLevel="0" collapsed="false">
      <c r="A2795" s="182" t="s">
        <v>5258</v>
      </c>
    </row>
    <row r="2796" customFormat="false" ht="12" hidden="false" customHeight="false" outlineLevel="0" collapsed="false">
      <c r="A2796" s="182" t="s">
        <v>5259</v>
      </c>
    </row>
    <row r="2797" customFormat="false" ht="12" hidden="false" customHeight="false" outlineLevel="0" collapsed="false">
      <c r="A2797" s="182" t="s">
        <v>5260</v>
      </c>
    </row>
    <row r="2798" customFormat="false" ht="12" hidden="false" customHeight="false" outlineLevel="0" collapsed="false">
      <c r="A2798" s="182" t="s">
        <v>5261</v>
      </c>
    </row>
    <row r="2799" customFormat="false" ht="12" hidden="false" customHeight="false" outlineLevel="0" collapsed="false">
      <c r="A2799" s="182" t="s">
        <v>5262</v>
      </c>
    </row>
    <row r="2800" customFormat="false" ht="12" hidden="false" customHeight="false" outlineLevel="0" collapsed="false">
      <c r="A2800" s="182" t="s">
        <v>5263</v>
      </c>
    </row>
    <row r="2801" customFormat="false" ht="12" hidden="false" customHeight="false" outlineLevel="0" collapsed="false">
      <c r="A2801" s="182" t="s">
        <v>5264</v>
      </c>
    </row>
    <row r="2802" customFormat="false" ht="12" hidden="false" customHeight="false" outlineLevel="0" collapsed="false">
      <c r="A2802" s="182" t="s">
        <v>5265</v>
      </c>
    </row>
    <row r="2803" customFormat="false" ht="12" hidden="false" customHeight="false" outlineLevel="0" collapsed="false">
      <c r="A2803" s="182" t="s">
        <v>5266</v>
      </c>
    </row>
    <row r="2804" customFormat="false" ht="12" hidden="false" customHeight="false" outlineLevel="0" collapsed="false">
      <c r="A2804" s="182" t="s">
        <v>5267</v>
      </c>
    </row>
    <row r="2805" customFormat="false" ht="12" hidden="false" customHeight="false" outlineLevel="0" collapsed="false">
      <c r="A2805" s="182" t="s">
        <v>5268</v>
      </c>
    </row>
    <row r="2806" customFormat="false" ht="12" hidden="false" customHeight="false" outlineLevel="0" collapsed="false">
      <c r="A2806" s="182" t="s">
        <v>5269</v>
      </c>
    </row>
    <row r="2807" customFormat="false" ht="12" hidden="false" customHeight="false" outlineLevel="0" collapsed="false">
      <c r="A2807" s="182" t="s">
        <v>5270</v>
      </c>
    </row>
    <row r="2808" customFormat="false" ht="12" hidden="false" customHeight="false" outlineLevel="0" collapsed="false">
      <c r="A2808" s="182" t="s">
        <v>5271</v>
      </c>
    </row>
    <row r="2809" customFormat="false" ht="12" hidden="false" customHeight="false" outlineLevel="0" collapsed="false">
      <c r="A2809" s="182" t="s">
        <v>5272</v>
      </c>
    </row>
    <row r="2810" customFormat="false" ht="12" hidden="false" customHeight="false" outlineLevel="0" collapsed="false">
      <c r="A2810" s="182" t="s">
        <v>5273</v>
      </c>
    </row>
    <row r="2811" customFormat="false" ht="12" hidden="false" customHeight="false" outlineLevel="0" collapsed="false">
      <c r="A2811" s="182" t="s">
        <v>5274</v>
      </c>
    </row>
    <row r="2812" customFormat="false" ht="12" hidden="false" customHeight="false" outlineLevel="0" collapsed="false">
      <c r="A2812" s="182" t="s">
        <v>5275</v>
      </c>
    </row>
    <row r="2813" customFormat="false" ht="12" hidden="false" customHeight="false" outlineLevel="0" collapsed="false">
      <c r="A2813" s="182" t="s">
        <v>5276</v>
      </c>
    </row>
    <row r="2814" customFormat="false" ht="12" hidden="false" customHeight="false" outlineLevel="0" collapsed="false">
      <c r="A2814" s="182" t="s">
        <v>5277</v>
      </c>
    </row>
    <row r="2815" customFormat="false" ht="12" hidden="false" customHeight="false" outlineLevel="0" collapsed="false">
      <c r="A2815" s="182" t="s">
        <v>5278</v>
      </c>
    </row>
    <row r="2816" customFormat="false" ht="12" hidden="false" customHeight="false" outlineLevel="0" collapsed="false">
      <c r="A2816" s="182" t="s">
        <v>5279</v>
      </c>
    </row>
    <row r="2817" customFormat="false" ht="12" hidden="false" customHeight="false" outlineLevel="0" collapsed="false">
      <c r="A2817" s="182" t="s">
        <v>5280</v>
      </c>
    </row>
    <row r="2818" customFormat="false" ht="12" hidden="false" customHeight="false" outlineLevel="0" collapsed="false">
      <c r="A2818" s="182" t="s">
        <v>5281</v>
      </c>
    </row>
    <row r="2819" customFormat="false" ht="12" hidden="false" customHeight="false" outlineLevel="0" collapsed="false">
      <c r="A2819" s="182" t="s">
        <v>5282</v>
      </c>
    </row>
    <row r="2820" customFormat="false" ht="12" hidden="false" customHeight="false" outlineLevel="0" collapsed="false">
      <c r="A2820" s="182" t="s">
        <v>5283</v>
      </c>
    </row>
    <row r="2821" customFormat="false" ht="12" hidden="false" customHeight="false" outlineLevel="0" collapsed="false">
      <c r="A2821" s="182" t="s">
        <v>5284</v>
      </c>
    </row>
    <row r="2822" customFormat="false" ht="12" hidden="false" customHeight="false" outlineLevel="0" collapsed="false">
      <c r="A2822" s="182" t="s">
        <v>5285</v>
      </c>
    </row>
    <row r="2823" customFormat="false" ht="12" hidden="false" customHeight="false" outlineLevel="0" collapsed="false">
      <c r="A2823" s="182" t="s">
        <v>5286</v>
      </c>
    </row>
    <row r="2824" customFormat="false" ht="12" hidden="false" customHeight="false" outlineLevel="0" collapsed="false">
      <c r="A2824" s="182" t="s">
        <v>5287</v>
      </c>
    </row>
    <row r="2825" customFormat="false" ht="12" hidden="false" customHeight="false" outlineLevel="0" collapsed="false">
      <c r="A2825" s="182" t="s">
        <v>5288</v>
      </c>
    </row>
    <row r="2826" customFormat="false" ht="12" hidden="false" customHeight="false" outlineLevel="0" collapsed="false">
      <c r="A2826" s="182" t="s">
        <v>5289</v>
      </c>
    </row>
    <row r="2827" customFormat="false" ht="12" hidden="false" customHeight="false" outlineLevel="0" collapsed="false">
      <c r="A2827" s="182" t="s">
        <v>5290</v>
      </c>
    </row>
    <row r="2828" customFormat="false" ht="12" hidden="false" customHeight="false" outlineLevel="0" collapsed="false">
      <c r="A2828" s="182" t="s">
        <v>5291</v>
      </c>
    </row>
    <row r="2829" customFormat="false" ht="12" hidden="false" customHeight="false" outlineLevel="0" collapsed="false">
      <c r="A2829" s="182" t="s">
        <v>5292</v>
      </c>
    </row>
    <row r="2830" customFormat="false" ht="12" hidden="false" customHeight="false" outlineLevel="0" collapsed="false">
      <c r="A2830" s="182" t="s">
        <v>5293</v>
      </c>
    </row>
    <row r="2831" customFormat="false" ht="12" hidden="false" customHeight="false" outlineLevel="0" collapsed="false">
      <c r="A2831" s="182" t="s">
        <v>5294</v>
      </c>
    </row>
    <row r="2832" customFormat="false" ht="12" hidden="false" customHeight="false" outlineLevel="0" collapsed="false">
      <c r="A2832" s="182" t="s">
        <v>5295</v>
      </c>
    </row>
    <row r="2833" customFormat="false" ht="12" hidden="false" customHeight="false" outlineLevel="0" collapsed="false">
      <c r="A2833" s="182" t="s">
        <v>5296</v>
      </c>
    </row>
    <row r="2834" customFormat="false" ht="12" hidden="false" customHeight="false" outlineLevel="0" collapsed="false">
      <c r="A2834" s="182" t="s">
        <v>5297</v>
      </c>
    </row>
    <row r="2835" customFormat="false" ht="12" hidden="false" customHeight="false" outlineLevel="0" collapsed="false">
      <c r="A2835" s="182" t="s">
        <v>5298</v>
      </c>
    </row>
    <row r="2836" customFormat="false" ht="12" hidden="false" customHeight="false" outlineLevel="0" collapsed="false">
      <c r="A2836" s="182" t="s">
        <v>5299</v>
      </c>
    </row>
    <row r="2837" customFormat="false" ht="12" hidden="false" customHeight="false" outlineLevel="0" collapsed="false">
      <c r="A2837" s="182" t="s">
        <v>5300</v>
      </c>
    </row>
    <row r="2838" customFormat="false" ht="12" hidden="false" customHeight="false" outlineLevel="0" collapsed="false">
      <c r="A2838" s="182" t="s">
        <v>5301</v>
      </c>
    </row>
    <row r="2839" customFormat="false" ht="12" hidden="false" customHeight="false" outlineLevel="0" collapsed="false">
      <c r="A2839" s="182" t="s">
        <v>5302</v>
      </c>
    </row>
    <row r="2840" customFormat="false" ht="12" hidden="false" customHeight="false" outlineLevel="0" collapsed="false">
      <c r="A2840" s="182" t="s">
        <v>5303</v>
      </c>
    </row>
    <row r="2841" customFormat="false" ht="12" hidden="false" customHeight="false" outlineLevel="0" collapsed="false">
      <c r="A2841" s="182" t="s">
        <v>5304</v>
      </c>
    </row>
    <row r="2842" customFormat="false" ht="12" hidden="false" customHeight="false" outlineLevel="0" collapsed="false">
      <c r="A2842" s="182" t="s">
        <v>5305</v>
      </c>
    </row>
    <row r="2843" customFormat="false" ht="12" hidden="false" customHeight="false" outlineLevel="0" collapsed="false">
      <c r="A2843" s="182" t="s">
        <v>5306</v>
      </c>
    </row>
    <row r="2844" customFormat="false" ht="12" hidden="false" customHeight="false" outlineLevel="0" collapsed="false">
      <c r="A2844" s="182" t="s">
        <v>5307</v>
      </c>
    </row>
    <row r="2845" customFormat="false" ht="12" hidden="false" customHeight="false" outlineLevel="0" collapsed="false">
      <c r="A2845" s="182" t="s">
        <v>5308</v>
      </c>
    </row>
    <row r="2846" customFormat="false" ht="12" hidden="false" customHeight="false" outlineLevel="0" collapsed="false">
      <c r="A2846" s="182" t="s">
        <v>5309</v>
      </c>
    </row>
    <row r="2847" customFormat="false" ht="12" hidden="false" customHeight="false" outlineLevel="0" collapsed="false">
      <c r="A2847" s="182" t="s">
        <v>5310</v>
      </c>
    </row>
    <row r="2848" customFormat="false" ht="12" hidden="false" customHeight="false" outlineLevel="0" collapsed="false">
      <c r="A2848" s="182" t="s">
        <v>5311</v>
      </c>
    </row>
    <row r="2849" customFormat="false" ht="12" hidden="false" customHeight="false" outlineLevel="0" collapsed="false">
      <c r="A2849" s="182" t="s">
        <v>5312</v>
      </c>
    </row>
    <row r="2850" customFormat="false" ht="12" hidden="false" customHeight="false" outlineLevel="0" collapsed="false">
      <c r="A2850" s="182" t="s">
        <v>5313</v>
      </c>
    </row>
    <row r="2851" customFormat="false" ht="12" hidden="false" customHeight="false" outlineLevel="0" collapsed="false">
      <c r="A2851" s="182" t="s">
        <v>5314</v>
      </c>
    </row>
    <row r="2852" customFormat="false" ht="12" hidden="false" customHeight="false" outlineLevel="0" collapsed="false">
      <c r="A2852" s="182" t="s">
        <v>5315</v>
      </c>
    </row>
    <row r="2853" customFormat="false" ht="12" hidden="false" customHeight="false" outlineLevel="0" collapsed="false">
      <c r="A2853" s="182" t="s">
        <v>5316</v>
      </c>
    </row>
    <row r="2854" customFormat="false" ht="12" hidden="false" customHeight="false" outlineLevel="0" collapsed="false">
      <c r="A2854" s="182" t="s">
        <v>5317</v>
      </c>
    </row>
    <row r="2855" customFormat="false" ht="12" hidden="false" customHeight="false" outlineLevel="0" collapsed="false">
      <c r="A2855" s="182" t="s">
        <v>5318</v>
      </c>
    </row>
    <row r="2856" customFormat="false" ht="12" hidden="false" customHeight="false" outlineLevel="0" collapsed="false">
      <c r="A2856" s="182" t="s">
        <v>5319</v>
      </c>
    </row>
    <row r="2857" customFormat="false" ht="12" hidden="false" customHeight="false" outlineLevel="0" collapsed="false">
      <c r="A2857" s="182" t="s">
        <v>5320</v>
      </c>
    </row>
    <row r="2858" customFormat="false" ht="12" hidden="false" customHeight="false" outlineLevel="0" collapsed="false">
      <c r="A2858" s="182" t="s">
        <v>5321</v>
      </c>
    </row>
    <row r="2859" customFormat="false" ht="12" hidden="false" customHeight="false" outlineLevel="0" collapsed="false">
      <c r="A2859" s="182" t="s">
        <v>5322</v>
      </c>
    </row>
    <row r="2860" customFormat="false" ht="12" hidden="false" customHeight="false" outlineLevel="0" collapsed="false">
      <c r="A2860" s="182" t="s">
        <v>5323</v>
      </c>
    </row>
    <row r="2861" customFormat="false" ht="12" hidden="false" customHeight="false" outlineLevel="0" collapsed="false">
      <c r="A2861" s="182" t="s">
        <v>5324</v>
      </c>
    </row>
    <row r="2862" customFormat="false" ht="12" hidden="false" customHeight="false" outlineLevel="0" collapsed="false">
      <c r="A2862" s="182" t="s">
        <v>5325</v>
      </c>
    </row>
    <row r="2863" customFormat="false" ht="12" hidden="false" customHeight="false" outlineLevel="0" collapsed="false">
      <c r="A2863" s="182" t="s">
        <v>5326</v>
      </c>
    </row>
    <row r="2864" customFormat="false" ht="12" hidden="false" customHeight="false" outlineLevel="0" collapsed="false">
      <c r="A2864" s="182" t="s">
        <v>5327</v>
      </c>
    </row>
    <row r="2865" customFormat="false" ht="12" hidden="false" customHeight="false" outlineLevel="0" collapsed="false">
      <c r="A2865" s="182" t="s">
        <v>5328</v>
      </c>
    </row>
    <row r="2866" customFormat="false" ht="12" hidden="false" customHeight="false" outlineLevel="0" collapsed="false">
      <c r="A2866" s="182" t="s">
        <v>5329</v>
      </c>
    </row>
    <row r="2867" customFormat="false" ht="12" hidden="false" customHeight="false" outlineLevel="0" collapsed="false">
      <c r="A2867" s="182" t="s">
        <v>5330</v>
      </c>
    </row>
    <row r="2868" customFormat="false" ht="12" hidden="false" customHeight="false" outlineLevel="0" collapsed="false">
      <c r="A2868" s="182" t="s">
        <v>5331</v>
      </c>
    </row>
    <row r="2869" customFormat="false" ht="12" hidden="false" customHeight="false" outlineLevel="0" collapsed="false">
      <c r="A2869" s="182" t="s">
        <v>5332</v>
      </c>
    </row>
    <row r="2870" customFormat="false" ht="12" hidden="false" customHeight="false" outlineLevel="0" collapsed="false">
      <c r="A2870" s="182" t="s">
        <v>5333</v>
      </c>
    </row>
    <row r="2871" customFormat="false" ht="12" hidden="false" customHeight="false" outlineLevel="0" collapsed="false">
      <c r="A2871" s="182" t="s">
        <v>5334</v>
      </c>
    </row>
    <row r="2872" customFormat="false" ht="12" hidden="false" customHeight="false" outlineLevel="0" collapsed="false">
      <c r="A2872" s="182" t="s">
        <v>5335</v>
      </c>
    </row>
    <row r="2873" customFormat="false" ht="12" hidden="false" customHeight="false" outlineLevel="0" collapsed="false">
      <c r="A2873" s="182" t="s">
        <v>5336</v>
      </c>
    </row>
    <row r="2874" customFormat="false" ht="12" hidden="false" customHeight="false" outlineLevel="0" collapsed="false">
      <c r="A2874" s="182" t="s">
        <v>5337</v>
      </c>
    </row>
    <row r="2875" customFormat="false" ht="12" hidden="false" customHeight="false" outlineLevel="0" collapsed="false">
      <c r="A2875" s="182" t="s">
        <v>5338</v>
      </c>
    </row>
    <row r="2876" customFormat="false" ht="12" hidden="false" customHeight="false" outlineLevel="0" collapsed="false">
      <c r="A2876" s="182" t="s">
        <v>5339</v>
      </c>
    </row>
    <row r="2877" customFormat="false" ht="12" hidden="false" customHeight="false" outlineLevel="0" collapsed="false">
      <c r="A2877" s="182" t="s">
        <v>5340</v>
      </c>
    </row>
    <row r="2878" customFormat="false" ht="12" hidden="false" customHeight="false" outlineLevel="0" collapsed="false">
      <c r="A2878" s="182" t="s">
        <v>5341</v>
      </c>
    </row>
    <row r="2879" customFormat="false" ht="12" hidden="false" customHeight="false" outlineLevel="0" collapsed="false">
      <c r="A2879" s="182" t="s">
        <v>5342</v>
      </c>
    </row>
    <row r="2880" customFormat="false" ht="12" hidden="false" customHeight="false" outlineLevel="0" collapsed="false">
      <c r="A2880" s="182" t="s">
        <v>5343</v>
      </c>
    </row>
    <row r="2881" customFormat="false" ht="12" hidden="false" customHeight="false" outlineLevel="0" collapsed="false">
      <c r="A2881" s="182" t="s">
        <v>5344</v>
      </c>
    </row>
    <row r="2882" customFormat="false" ht="12" hidden="false" customHeight="false" outlineLevel="0" collapsed="false">
      <c r="A2882" s="182" t="s">
        <v>5345</v>
      </c>
    </row>
    <row r="2883" customFormat="false" ht="12" hidden="false" customHeight="false" outlineLevel="0" collapsed="false">
      <c r="A2883" s="182" t="s">
        <v>5346</v>
      </c>
    </row>
    <row r="2884" customFormat="false" ht="12" hidden="false" customHeight="false" outlineLevel="0" collapsed="false">
      <c r="A2884" s="182" t="s">
        <v>5347</v>
      </c>
    </row>
    <row r="2885" customFormat="false" ht="12" hidden="false" customHeight="false" outlineLevel="0" collapsed="false">
      <c r="A2885" s="182" t="s">
        <v>5348</v>
      </c>
    </row>
    <row r="2886" customFormat="false" ht="12" hidden="false" customHeight="false" outlineLevel="0" collapsed="false">
      <c r="A2886" s="182" t="s">
        <v>5349</v>
      </c>
    </row>
    <row r="2887" customFormat="false" ht="12" hidden="false" customHeight="false" outlineLevel="0" collapsed="false">
      <c r="A2887" s="182" t="s">
        <v>5350</v>
      </c>
    </row>
    <row r="2888" customFormat="false" ht="12" hidden="false" customHeight="false" outlineLevel="0" collapsed="false">
      <c r="A2888" s="182" t="s">
        <v>5351</v>
      </c>
    </row>
    <row r="2889" customFormat="false" ht="12" hidden="false" customHeight="false" outlineLevel="0" collapsed="false">
      <c r="A2889" s="182" t="s">
        <v>5352</v>
      </c>
    </row>
    <row r="2890" customFormat="false" ht="12" hidden="false" customHeight="false" outlineLevel="0" collapsed="false">
      <c r="A2890" s="182" t="s">
        <v>5353</v>
      </c>
    </row>
    <row r="2891" customFormat="false" ht="12" hidden="false" customHeight="false" outlineLevel="0" collapsed="false">
      <c r="A2891" s="182" t="s">
        <v>5354</v>
      </c>
    </row>
    <row r="2892" customFormat="false" ht="12" hidden="false" customHeight="false" outlineLevel="0" collapsed="false">
      <c r="A2892" s="182" t="s">
        <v>5355</v>
      </c>
    </row>
    <row r="2893" customFormat="false" ht="12" hidden="false" customHeight="false" outlineLevel="0" collapsed="false">
      <c r="A2893" s="182" t="s">
        <v>5356</v>
      </c>
    </row>
    <row r="2894" customFormat="false" ht="12" hidden="false" customHeight="false" outlineLevel="0" collapsed="false">
      <c r="A2894" s="182" t="s">
        <v>5357</v>
      </c>
    </row>
    <row r="2895" customFormat="false" ht="12" hidden="false" customHeight="false" outlineLevel="0" collapsed="false">
      <c r="A2895" s="182" t="s">
        <v>5358</v>
      </c>
    </row>
    <row r="2896" customFormat="false" ht="12" hidden="false" customHeight="false" outlineLevel="0" collapsed="false">
      <c r="A2896" s="182" t="s">
        <v>5359</v>
      </c>
    </row>
    <row r="2897" customFormat="false" ht="12" hidden="false" customHeight="false" outlineLevel="0" collapsed="false">
      <c r="A2897" s="182" t="s">
        <v>5360</v>
      </c>
    </row>
    <row r="2898" customFormat="false" ht="12" hidden="false" customHeight="false" outlineLevel="0" collapsed="false">
      <c r="A2898" s="182" t="s">
        <v>5361</v>
      </c>
    </row>
    <row r="2899" customFormat="false" ht="12" hidden="false" customHeight="false" outlineLevel="0" collapsed="false">
      <c r="A2899" s="182" t="s">
        <v>5362</v>
      </c>
    </row>
    <row r="2900" customFormat="false" ht="12" hidden="false" customHeight="false" outlineLevel="0" collapsed="false">
      <c r="A2900" s="182" t="s">
        <v>5363</v>
      </c>
    </row>
    <row r="2901" customFormat="false" ht="12" hidden="false" customHeight="false" outlineLevel="0" collapsed="false">
      <c r="A2901" s="182" t="s">
        <v>5364</v>
      </c>
    </row>
    <row r="2902" customFormat="false" ht="12" hidden="false" customHeight="false" outlineLevel="0" collapsed="false">
      <c r="A2902" s="182" t="s">
        <v>5365</v>
      </c>
    </row>
    <row r="2903" customFormat="false" ht="12" hidden="false" customHeight="false" outlineLevel="0" collapsed="false">
      <c r="A2903" s="182" t="s">
        <v>5366</v>
      </c>
    </row>
    <row r="2904" customFormat="false" ht="12" hidden="false" customHeight="false" outlineLevel="0" collapsed="false">
      <c r="A2904" s="182" t="s">
        <v>5367</v>
      </c>
    </row>
    <row r="2905" customFormat="false" ht="12" hidden="false" customHeight="false" outlineLevel="0" collapsed="false">
      <c r="A2905" s="182" t="s">
        <v>5368</v>
      </c>
    </row>
    <row r="2906" customFormat="false" ht="12" hidden="false" customHeight="false" outlineLevel="0" collapsed="false">
      <c r="A2906" s="182" t="s">
        <v>5369</v>
      </c>
    </row>
    <row r="2907" customFormat="false" ht="12" hidden="false" customHeight="false" outlineLevel="0" collapsed="false">
      <c r="A2907" s="182" t="s">
        <v>5370</v>
      </c>
    </row>
    <row r="2908" customFormat="false" ht="12" hidden="false" customHeight="false" outlineLevel="0" collapsed="false">
      <c r="A2908" s="182" t="s">
        <v>5371</v>
      </c>
    </row>
    <row r="2909" customFormat="false" ht="12" hidden="false" customHeight="false" outlineLevel="0" collapsed="false">
      <c r="A2909" s="182" t="s">
        <v>5372</v>
      </c>
    </row>
    <row r="2910" customFormat="false" ht="12" hidden="false" customHeight="false" outlineLevel="0" collapsed="false">
      <c r="A2910" s="182" t="s">
        <v>5373</v>
      </c>
    </row>
    <row r="2911" customFormat="false" ht="12" hidden="false" customHeight="false" outlineLevel="0" collapsed="false">
      <c r="A2911" s="182" t="s">
        <v>5374</v>
      </c>
    </row>
    <row r="2912" customFormat="false" ht="12" hidden="false" customHeight="false" outlineLevel="0" collapsed="false">
      <c r="A2912" s="182" t="s">
        <v>5375</v>
      </c>
    </row>
    <row r="2913" customFormat="false" ht="12" hidden="false" customHeight="false" outlineLevel="0" collapsed="false">
      <c r="A2913" s="182" t="s">
        <v>5376</v>
      </c>
    </row>
    <row r="2914" customFormat="false" ht="12" hidden="false" customHeight="false" outlineLevel="0" collapsed="false">
      <c r="A2914" s="182" t="s">
        <v>5377</v>
      </c>
    </row>
    <row r="2915" customFormat="false" ht="12" hidden="false" customHeight="false" outlineLevel="0" collapsed="false">
      <c r="A2915" s="182" t="s">
        <v>5378</v>
      </c>
    </row>
    <row r="2916" customFormat="false" ht="12" hidden="false" customHeight="false" outlineLevel="0" collapsed="false">
      <c r="A2916" s="182" t="s">
        <v>5379</v>
      </c>
    </row>
    <row r="2917" customFormat="false" ht="12" hidden="false" customHeight="false" outlineLevel="0" collapsed="false">
      <c r="A2917" s="182" t="s">
        <v>5380</v>
      </c>
    </row>
    <row r="2918" customFormat="false" ht="12" hidden="false" customHeight="false" outlineLevel="0" collapsed="false">
      <c r="A2918" s="182" t="s">
        <v>5381</v>
      </c>
    </row>
    <row r="2919" customFormat="false" ht="12" hidden="false" customHeight="false" outlineLevel="0" collapsed="false">
      <c r="A2919" s="182" t="s">
        <v>5382</v>
      </c>
    </row>
    <row r="2920" customFormat="false" ht="12" hidden="false" customHeight="false" outlineLevel="0" collapsed="false">
      <c r="A2920" s="182" t="s">
        <v>5383</v>
      </c>
    </row>
    <row r="2921" customFormat="false" ht="12" hidden="false" customHeight="false" outlineLevel="0" collapsed="false">
      <c r="A2921" s="182" t="s">
        <v>5384</v>
      </c>
    </row>
    <row r="2922" customFormat="false" ht="12" hidden="false" customHeight="false" outlineLevel="0" collapsed="false">
      <c r="A2922" s="182" t="s">
        <v>5385</v>
      </c>
    </row>
    <row r="2923" customFormat="false" ht="12" hidden="false" customHeight="false" outlineLevel="0" collapsed="false">
      <c r="A2923" s="182" t="s">
        <v>5386</v>
      </c>
    </row>
    <row r="2924" customFormat="false" ht="12" hidden="false" customHeight="false" outlineLevel="0" collapsed="false">
      <c r="A2924" s="182" t="s">
        <v>5387</v>
      </c>
    </row>
    <row r="2925" customFormat="false" ht="12" hidden="false" customHeight="false" outlineLevel="0" collapsed="false">
      <c r="A2925" s="182" t="s">
        <v>5388</v>
      </c>
    </row>
    <row r="2926" customFormat="false" ht="12" hidden="false" customHeight="false" outlineLevel="0" collapsed="false">
      <c r="A2926" s="182" t="s">
        <v>5389</v>
      </c>
    </row>
    <row r="2927" customFormat="false" ht="12" hidden="false" customHeight="false" outlineLevel="0" collapsed="false">
      <c r="A2927" s="182" t="s">
        <v>5390</v>
      </c>
    </row>
    <row r="2928" customFormat="false" ht="12" hidden="false" customHeight="false" outlineLevel="0" collapsed="false">
      <c r="A2928" s="182" t="s">
        <v>5391</v>
      </c>
    </row>
    <row r="2929" customFormat="false" ht="12" hidden="false" customHeight="false" outlineLevel="0" collapsed="false">
      <c r="A2929" s="182" t="s">
        <v>5392</v>
      </c>
    </row>
    <row r="2930" customFormat="false" ht="12" hidden="false" customHeight="false" outlineLevel="0" collapsed="false">
      <c r="A2930" s="182" t="s">
        <v>5393</v>
      </c>
    </row>
    <row r="2931" customFormat="false" ht="12" hidden="false" customHeight="false" outlineLevel="0" collapsed="false">
      <c r="A2931" s="182" t="s">
        <v>5394</v>
      </c>
    </row>
    <row r="2932" customFormat="false" ht="12" hidden="false" customHeight="false" outlineLevel="0" collapsed="false">
      <c r="A2932" s="182" t="s">
        <v>5395</v>
      </c>
    </row>
    <row r="2933" customFormat="false" ht="12" hidden="false" customHeight="false" outlineLevel="0" collapsed="false">
      <c r="A2933" s="182" t="s">
        <v>5396</v>
      </c>
    </row>
    <row r="2934" customFormat="false" ht="12" hidden="false" customHeight="false" outlineLevel="0" collapsed="false">
      <c r="A2934" s="182" t="s">
        <v>5397</v>
      </c>
    </row>
    <row r="2935" customFormat="false" ht="12" hidden="false" customHeight="false" outlineLevel="0" collapsed="false">
      <c r="A2935" s="182" t="s">
        <v>5398</v>
      </c>
    </row>
    <row r="2936" customFormat="false" ht="12" hidden="false" customHeight="false" outlineLevel="0" collapsed="false">
      <c r="A2936" s="182" t="s">
        <v>5399</v>
      </c>
    </row>
    <row r="2937" customFormat="false" ht="12" hidden="false" customHeight="false" outlineLevel="0" collapsed="false">
      <c r="A2937" s="182" t="s">
        <v>5400</v>
      </c>
    </row>
    <row r="2938" customFormat="false" ht="12" hidden="false" customHeight="false" outlineLevel="0" collapsed="false">
      <c r="A2938" s="182" t="s">
        <v>5401</v>
      </c>
    </row>
    <row r="2939" customFormat="false" ht="12" hidden="false" customHeight="false" outlineLevel="0" collapsed="false">
      <c r="A2939" s="182" t="s">
        <v>5402</v>
      </c>
    </row>
    <row r="2940" customFormat="false" ht="12" hidden="false" customHeight="false" outlineLevel="0" collapsed="false">
      <c r="A2940" s="182" t="s">
        <v>5403</v>
      </c>
    </row>
    <row r="2941" customFormat="false" ht="12" hidden="false" customHeight="false" outlineLevel="0" collapsed="false">
      <c r="A2941" s="182" t="s">
        <v>5404</v>
      </c>
    </row>
    <row r="2942" customFormat="false" ht="12" hidden="false" customHeight="false" outlineLevel="0" collapsed="false">
      <c r="A2942" s="182" t="s">
        <v>5405</v>
      </c>
    </row>
    <row r="2943" customFormat="false" ht="12" hidden="false" customHeight="false" outlineLevel="0" collapsed="false">
      <c r="A2943" s="182" t="s">
        <v>5406</v>
      </c>
    </row>
    <row r="2944" customFormat="false" ht="12" hidden="false" customHeight="false" outlineLevel="0" collapsed="false">
      <c r="A2944" s="182" t="s">
        <v>5407</v>
      </c>
    </row>
    <row r="2945" customFormat="false" ht="12" hidden="false" customHeight="false" outlineLevel="0" collapsed="false">
      <c r="A2945" s="182" t="s">
        <v>5408</v>
      </c>
    </row>
    <row r="2946" customFormat="false" ht="12" hidden="false" customHeight="false" outlineLevel="0" collapsed="false">
      <c r="A2946" s="182" t="s">
        <v>5409</v>
      </c>
    </row>
    <row r="2947" customFormat="false" ht="12" hidden="false" customHeight="false" outlineLevel="0" collapsed="false">
      <c r="A2947" s="182" t="s">
        <v>5410</v>
      </c>
    </row>
    <row r="2948" customFormat="false" ht="12" hidden="false" customHeight="false" outlineLevel="0" collapsed="false">
      <c r="A2948" s="182" t="s">
        <v>5411</v>
      </c>
    </row>
    <row r="2949" customFormat="false" ht="12" hidden="false" customHeight="false" outlineLevel="0" collapsed="false">
      <c r="A2949" s="182" t="s">
        <v>5412</v>
      </c>
    </row>
    <row r="2950" customFormat="false" ht="12" hidden="false" customHeight="false" outlineLevel="0" collapsed="false">
      <c r="A2950" s="182" t="s">
        <v>5413</v>
      </c>
    </row>
    <row r="2951" customFormat="false" ht="12" hidden="false" customHeight="false" outlineLevel="0" collapsed="false">
      <c r="A2951" s="182" t="s">
        <v>5414</v>
      </c>
    </row>
    <row r="2952" customFormat="false" ht="12" hidden="false" customHeight="false" outlineLevel="0" collapsed="false">
      <c r="A2952" s="182" t="s">
        <v>5415</v>
      </c>
    </row>
    <row r="2953" customFormat="false" ht="12" hidden="false" customHeight="false" outlineLevel="0" collapsed="false">
      <c r="A2953" s="182" t="s">
        <v>5416</v>
      </c>
    </row>
    <row r="2954" customFormat="false" ht="12" hidden="false" customHeight="false" outlineLevel="0" collapsed="false">
      <c r="A2954" s="182" t="s">
        <v>5417</v>
      </c>
    </row>
    <row r="2955" customFormat="false" ht="12" hidden="false" customHeight="false" outlineLevel="0" collapsed="false">
      <c r="A2955" s="182" t="s">
        <v>5418</v>
      </c>
    </row>
    <row r="2956" customFormat="false" ht="12" hidden="false" customHeight="false" outlineLevel="0" collapsed="false">
      <c r="A2956" s="182" t="s">
        <v>5419</v>
      </c>
    </row>
    <row r="2957" customFormat="false" ht="12" hidden="false" customHeight="false" outlineLevel="0" collapsed="false">
      <c r="A2957" s="182" t="s">
        <v>5420</v>
      </c>
    </row>
    <row r="2958" customFormat="false" ht="12" hidden="false" customHeight="false" outlineLevel="0" collapsed="false">
      <c r="A2958" s="182" t="s">
        <v>5421</v>
      </c>
    </row>
    <row r="2959" customFormat="false" ht="12" hidden="false" customHeight="false" outlineLevel="0" collapsed="false">
      <c r="A2959" s="182" t="s">
        <v>5422</v>
      </c>
    </row>
    <row r="2960" customFormat="false" ht="12" hidden="false" customHeight="false" outlineLevel="0" collapsed="false">
      <c r="A2960" s="182" t="s">
        <v>5423</v>
      </c>
    </row>
    <row r="2961" customFormat="false" ht="12" hidden="false" customHeight="false" outlineLevel="0" collapsed="false">
      <c r="A2961" s="182" t="s">
        <v>5424</v>
      </c>
    </row>
    <row r="2962" customFormat="false" ht="12" hidden="false" customHeight="false" outlineLevel="0" collapsed="false">
      <c r="A2962" s="182" t="s">
        <v>5425</v>
      </c>
    </row>
    <row r="2963" customFormat="false" ht="12" hidden="false" customHeight="false" outlineLevel="0" collapsed="false">
      <c r="A2963" s="182" t="s">
        <v>5426</v>
      </c>
    </row>
    <row r="2964" customFormat="false" ht="12" hidden="false" customHeight="false" outlineLevel="0" collapsed="false">
      <c r="A2964" s="182" t="s">
        <v>5427</v>
      </c>
    </row>
    <row r="2965" customFormat="false" ht="12" hidden="false" customHeight="false" outlineLevel="0" collapsed="false">
      <c r="A2965" s="182" t="s">
        <v>5428</v>
      </c>
    </row>
    <row r="2966" customFormat="false" ht="12" hidden="false" customHeight="false" outlineLevel="0" collapsed="false">
      <c r="A2966" s="182" t="s">
        <v>5429</v>
      </c>
    </row>
    <row r="2967" customFormat="false" ht="12" hidden="false" customHeight="false" outlineLevel="0" collapsed="false">
      <c r="A2967" s="182" t="s">
        <v>5430</v>
      </c>
    </row>
    <row r="2968" customFormat="false" ht="12" hidden="false" customHeight="false" outlineLevel="0" collapsed="false">
      <c r="A2968" s="182" t="s">
        <v>5431</v>
      </c>
    </row>
    <row r="2969" customFormat="false" ht="12" hidden="false" customHeight="false" outlineLevel="0" collapsed="false">
      <c r="A2969" s="182" t="s">
        <v>5432</v>
      </c>
    </row>
    <row r="2970" customFormat="false" ht="12" hidden="false" customHeight="false" outlineLevel="0" collapsed="false">
      <c r="A2970" s="182" t="s">
        <v>5433</v>
      </c>
    </row>
    <row r="2971" customFormat="false" ht="12" hidden="false" customHeight="false" outlineLevel="0" collapsed="false">
      <c r="A2971" s="182" t="s">
        <v>5434</v>
      </c>
    </row>
    <row r="2972" customFormat="false" ht="12" hidden="false" customHeight="false" outlineLevel="0" collapsed="false">
      <c r="A2972" s="182" t="s">
        <v>5435</v>
      </c>
    </row>
    <row r="2973" customFormat="false" ht="12" hidden="false" customHeight="false" outlineLevel="0" collapsed="false">
      <c r="A2973" s="182" t="s">
        <v>5436</v>
      </c>
    </row>
    <row r="2974" customFormat="false" ht="12" hidden="false" customHeight="false" outlineLevel="0" collapsed="false">
      <c r="A2974" s="182" t="s">
        <v>5437</v>
      </c>
    </row>
    <row r="2975" customFormat="false" ht="12" hidden="false" customHeight="false" outlineLevel="0" collapsed="false">
      <c r="A2975" s="182" t="s">
        <v>5438</v>
      </c>
    </row>
    <row r="2976" customFormat="false" ht="12" hidden="false" customHeight="false" outlineLevel="0" collapsed="false">
      <c r="A2976" s="182" t="s">
        <v>5439</v>
      </c>
    </row>
    <row r="2977" customFormat="false" ht="12" hidden="false" customHeight="false" outlineLevel="0" collapsed="false">
      <c r="A2977" s="182" t="s">
        <v>5440</v>
      </c>
    </row>
    <row r="2978" customFormat="false" ht="12" hidden="false" customHeight="false" outlineLevel="0" collapsed="false">
      <c r="A2978" s="182" t="s">
        <v>5441</v>
      </c>
    </row>
    <row r="2979" customFormat="false" ht="12" hidden="false" customHeight="false" outlineLevel="0" collapsed="false">
      <c r="A2979" s="182" t="s">
        <v>5442</v>
      </c>
    </row>
    <row r="2980" customFormat="false" ht="12" hidden="false" customHeight="false" outlineLevel="0" collapsed="false">
      <c r="A2980" s="182" t="s">
        <v>5443</v>
      </c>
    </row>
    <row r="2981" customFormat="false" ht="12" hidden="false" customHeight="false" outlineLevel="0" collapsed="false">
      <c r="A2981" s="182" t="s">
        <v>5444</v>
      </c>
    </row>
    <row r="2982" customFormat="false" ht="12" hidden="false" customHeight="false" outlineLevel="0" collapsed="false">
      <c r="A2982" s="182" t="s">
        <v>5445</v>
      </c>
    </row>
    <row r="2983" customFormat="false" ht="12" hidden="false" customHeight="false" outlineLevel="0" collapsed="false">
      <c r="A2983" s="182" t="s">
        <v>5446</v>
      </c>
    </row>
    <row r="2984" customFormat="false" ht="12" hidden="false" customHeight="false" outlineLevel="0" collapsed="false">
      <c r="A2984" s="182" t="s">
        <v>5447</v>
      </c>
    </row>
    <row r="2985" customFormat="false" ht="12" hidden="false" customHeight="false" outlineLevel="0" collapsed="false">
      <c r="A2985" s="182" t="s">
        <v>5448</v>
      </c>
    </row>
    <row r="2986" customFormat="false" ht="12" hidden="false" customHeight="false" outlineLevel="0" collapsed="false">
      <c r="A2986" s="182" t="s">
        <v>5449</v>
      </c>
    </row>
    <row r="2987" customFormat="false" ht="12" hidden="false" customHeight="false" outlineLevel="0" collapsed="false">
      <c r="A2987" s="182" t="s">
        <v>5450</v>
      </c>
    </row>
    <row r="2988" customFormat="false" ht="12" hidden="false" customHeight="false" outlineLevel="0" collapsed="false">
      <c r="A2988" s="182" t="s">
        <v>5451</v>
      </c>
    </row>
    <row r="2989" customFormat="false" ht="12" hidden="false" customHeight="false" outlineLevel="0" collapsed="false">
      <c r="A2989" s="182" t="s">
        <v>5452</v>
      </c>
    </row>
    <row r="2990" customFormat="false" ht="12" hidden="false" customHeight="false" outlineLevel="0" collapsed="false">
      <c r="A2990" s="182" t="s">
        <v>5453</v>
      </c>
    </row>
    <row r="2991" customFormat="false" ht="12" hidden="false" customHeight="false" outlineLevel="0" collapsed="false">
      <c r="A2991" s="182" t="s">
        <v>5454</v>
      </c>
    </row>
    <row r="2992" customFormat="false" ht="12" hidden="false" customHeight="false" outlineLevel="0" collapsed="false">
      <c r="A2992" s="182" t="s">
        <v>5455</v>
      </c>
    </row>
    <row r="2993" customFormat="false" ht="12" hidden="false" customHeight="false" outlineLevel="0" collapsed="false">
      <c r="A2993" s="182" t="s">
        <v>5456</v>
      </c>
    </row>
    <row r="2994" customFormat="false" ht="12" hidden="false" customHeight="false" outlineLevel="0" collapsed="false">
      <c r="A2994" s="182" t="s">
        <v>5457</v>
      </c>
    </row>
    <row r="2995" customFormat="false" ht="12" hidden="false" customHeight="false" outlineLevel="0" collapsed="false">
      <c r="A2995" s="182" t="s">
        <v>5458</v>
      </c>
    </row>
    <row r="2996" customFormat="false" ht="12" hidden="false" customHeight="false" outlineLevel="0" collapsed="false">
      <c r="A2996" s="182" t="s">
        <v>5459</v>
      </c>
    </row>
    <row r="2997" customFormat="false" ht="12" hidden="false" customHeight="false" outlineLevel="0" collapsed="false">
      <c r="A2997" s="182" t="s">
        <v>5460</v>
      </c>
    </row>
    <row r="2998" customFormat="false" ht="12" hidden="false" customHeight="false" outlineLevel="0" collapsed="false">
      <c r="A2998" s="182" t="s">
        <v>5461</v>
      </c>
    </row>
    <row r="2999" customFormat="false" ht="12" hidden="false" customHeight="false" outlineLevel="0" collapsed="false">
      <c r="A2999" s="182" t="s">
        <v>5462</v>
      </c>
    </row>
    <row r="3000" customFormat="false" ht="12" hidden="false" customHeight="false" outlineLevel="0" collapsed="false">
      <c r="A3000" s="182" t="s">
        <v>5463</v>
      </c>
    </row>
    <row r="3001" customFormat="false" ht="12" hidden="false" customHeight="false" outlineLevel="0" collapsed="false">
      <c r="A3001" s="182" t="s">
        <v>5464</v>
      </c>
    </row>
    <row r="3002" customFormat="false" ht="12" hidden="false" customHeight="false" outlineLevel="0" collapsed="false">
      <c r="A3002" s="182" t="s">
        <v>5465</v>
      </c>
    </row>
    <row r="3003" customFormat="false" ht="12" hidden="false" customHeight="false" outlineLevel="0" collapsed="false">
      <c r="A3003" s="182" t="s">
        <v>5466</v>
      </c>
    </row>
    <row r="3004" customFormat="false" ht="12" hidden="false" customHeight="false" outlineLevel="0" collapsed="false">
      <c r="A3004" s="182" t="s">
        <v>5467</v>
      </c>
    </row>
    <row r="3005" customFormat="false" ht="12" hidden="false" customHeight="false" outlineLevel="0" collapsed="false">
      <c r="A3005" s="182" t="s">
        <v>5468</v>
      </c>
    </row>
    <row r="3006" customFormat="false" ht="12" hidden="false" customHeight="false" outlineLevel="0" collapsed="false">
      <c r="A3006" s="182" t="s">
        <v>5469</v>
      </c>
    </row>
    <row r="3007" customFormat="false" ht="12" hidden="false" customHeight="false" outlineLevel="0" collapsed="false">
      <c r="A3007" s="182" t="s">
        <v>5470</v>
      </c>
    </row>
    <row r="3008" customFormat="false" ht="12" hidden="false" customHeight="false" outlineLevel="0" collapsed="false">
      <c r="A3008" s="182" t="s">
        <v>5471</v>
      </c>
    </row>
    <row r="3009" customFormat="false" ht="12" hidden="false" customHeight="false" outlineLevel="0" collapsed="false">
      <c r="A3009" s="182" t="s">
        <v>5472</v>
      </c>
    </row>
    <row r="3010" customFormat="false" ht="12" hidden="false" customHeight="false" outlineLevel="0" collapsed="false">
      <c r="A3010" s="182" t="s">
        <v>5473</v>
      </c>
    </row>
    <row r="3011" customFormat="false" ht="12" hidden="false" customHeight="false" outlineLevel="0" collapsed="false">
      <c r="A3011" s="182" t="s">
        <v>5474</v>
      </c>
    </row>
    <row r="3012" customFormat="false" ht="12" hidden="false" customHeight="false" outlineLevel="0" collapsed="false">
      <c r="A3012" s="182" t="s">
        <v>5475</v>
      </c>
    </row>
    <row r="3013" customFormat="false" ht="12" hidden="false" customHeight="false" outlineLevel="0" collapsed="false">
      <c r="A3013" s="182" t="s">
        <v>5476</v>
      </c>
    </row>
    <row r="3014" customFormat="false" ht="12" hidden="false" customHeight="false" outlineLevel="0" collapsed="false">
      <c r="A3014" s="182" t="s">
        <v>5477</v>
      </c>
    </row>
    <row r="3015" customFormat="false" ht="12" hidden="false" customHeight="false" outlineLevel="0" collapsed="false">
      <c r="A3015" s="182" t="s">
        <v>5478</v>
      </c>
    </row>
    <row r="3016" customFormat="false" ht="12" hidden="false" customHeight="false" outlineLevel="0" collapsed="false">
      <c r="A3016" s="182" t="s">
        <v>5479</v>
      </c>
    </row>
    <row r="3017" customFormat="false" ht="12" hidden="false" customHeight="false" outlineLevel="0" collapsed="false">
      <c r="A3017" s="182" t="s">
        <v>5480</v>
      </c>
    </row>
    <row r="3018" customFormat="false" ht="12" hidden="false" customHeight="false" outlineLevel="0" collapsed="false">
      <c r="A3018" s="182" t="s">
        <v>5481</v>
      </c>
    </row>
    <row r="3019" customFormat="false" ht="12" hidden="false" customHeight="false" outlineLevel="0" collapsed="false">
      <c r="A3019" s="182" t="s">
        <v>5482</v>
      </c>
    </row>
    <row r="3020" customFormat="false" ht="12" hidden="false" customHeight="false" outlineLevel="0" collapsed="false">
      <c r="A3020" s="182" t="s">
        <v>5483</v>
      </c>
    </row>
    <row r="3021" customFormat="false" ht="12" hidden="false" customHeight="false" outlineLevel="0" collapsed="false">
      <c r="A3021" s="182" t="s">
        <v>5484</v>
      </c>
    </row>
    <row r="3022" customFormat="false" ht="12" hidden="false" customHeight="false" outlineLevel="0" collapsed="false">
      <c r="A3022" s="182" t="s">
        <v>5485</v>
      </c>
    </row>
    <row r="3023" customFormat="false" ht="12" hidden="false" customHeight="false" outlineLevel="0" collapsed="false">
      <c r="A3023" s="182" t="s">
        <v>5486</v>
      </c>
    </row>
    <row r="3024" customFormat="false" ht="12" hidden="false" customHeight="false" outlineLevel="0" collapsed="false">
      <c r="A3024" s="182" t="s">
        <v>5487</v>
      </c>
    </row>
    <row r="3025" customFormat="false" ht="12" hidden="false" customHeight="false" outlineLevel="0" collapsed="false">
      <c r="A3025" s="182" t="s">
        <v>5488</v>
      </c>
    </row>
    <row r="3026" customFormat="false" ht="12" hidden="false" customHeight="false" outlineLevel="0" collapsed="false">
      <c r="A3026" s="182" t="s">
        <v>5489</v>
      </c>
    </row>
    <row r="3027" customFormat="false" ht="12" hidden="false" customHeight="false" outlineLevel="0" collapsed="false">
      <c r="A3027" s="182" t="s">
        <v>5490</v>
      </c>
    </row>
    <row r="3028" customFormat="false" ht="12" hidden="false" customHeight="false" outlineLevel="0" collapsed="false">
      <c r="A3028" s="182" t="s">
        <v>5491</v>
      </c>
    </row>
    <row r="3029" customFormat="false" ht="12" hidden="false" customHeight="false" outlineLevel="0" collapsed="false">
      <c r="A3029" s="182" t="s">
        <v>5492</v>
      </c>
    </row>
    <row r="3030" customFormat="false" ht="12" hidden="false" customHeight="false" outlineLevel="0" collapsed="false">
      <c r="A3030" s="182" t="s">
        <v>5493</v>
      </c>
    </row>
    <row r="3031" customFormat="false" ht="12" hidden="false" customHeight="false" outlineLevel="0" collapsed="false">
      <c r="A3031" s="182" t="s">
        <v>5494</v>
      </c>
    </row>
    <row r="3032" customFormat="false" ht="12" hidden="false" customHeight="false" outlineLevel="0" collapsed="false">
      <c r="A3032" s="182" t="s">
        <v>5495</v>
      </c>
    </row>
    <row r="3033" customFormat="false" ht="12" hidden="false" customHeight="false" outlineLevel="0" collapsed="false">
      <c r="A3033" s="182" t="s">
        <v>5496</v>
      </c>
    </row>
    <row r="3034" customFormat="false" ht="12" hidden="false" customHeight="false" outlineLevel="0" collapsed="false">
      <c r="A3034" s="182" t="s">
        <v>5497</v>
      </c>
    </row>
    <row r="3035" customFormat="false" ht="12" hidden="false" customHeight="false" outlineLevel="0" collapsed="false">
      <c r="A3035" s="182" t="s">
        <v>5498</v>
      </c>
    </row>
    <row r="3036" customFormat="false" ht="12" hidden="false" customHeight="false" outlineLevel="0" collapsed="false">
      <c r="A3036" s="182" t="s">
        <v>5499</v>
      </c>
    </row>
    <row r="3037" customFormat="false" ht="12" hidden="false" customHeight="false" outlineLevel="0" collapsed="false">
      <c r="A3037" s="182" t="s">
        <v>5500</v>
      </c>
    </row>
    <row r="3038" customFormat="false" ht="12" hidden="false" customHeight="false" outlineLevel="0" collapsed="false">
      <c r="A3038" s="182" t="s">
        <v>5501</v>
      </c>
    </row>
    <row r="3039" customFormat="false" ht="12" hidden="false" customHeight="false" outlineLevel="0" collapsed="false">
      <c r="A3039" s="182" t="s">
        <v>5502</v>
      </c>
    </row>
    <row r="3040" customFormat="false" ht="12" hidden="false" customHeight="false" outlineLevel="0" collapsed="false">
      <c r="A3040" s="182" t="s">
        <v>5503</v>
      </c>
    </row>
    <row r="3041" customFormat="false" ht="12" hidden="false" customHeight="false" outlineLevel="0" collapsed="false">
      <c r="A3041" s="182" t="s">
        <v>5504</v>
      </c>
    </row>
    <row r="3042" customFormat="false" ht="12" hidden="false" customHeight="false" outlineLevel="0" collapsed="false">
      <c r="A3042" s="182" t="s">
        <v>5505</v>
      </c>
    </row>
    <row r="3043" customFormat="false" ht="12" hidden="false" customHeight="false" outlineLevel="0" collapsed="false">
      <c r="A3043" s="182" t="s">
        <v>5506</v>
      </c>
    </row>
    <row r="3044" customFormat="false" ht="12" hidden="false" customHeight="false" outlineLevel="0" collapsed="false">
      <c r="A3044" s="182" t="s">
        <v>5507</v>
      </c>
    </row>
    <row r="3045" customFormat="false" ht="12" hidden="false" customHeight="false" outlineLevel="0" collapsed="false">
      <c r="A3045" s="182" t="s">
        <v>5508</v>
      </c>
    </row>
    <row r="3046" customFormat="false" ht="12" hidden="false" customHeight="false" outlineLevel="0" collapsed="false">
      <c r="A3046" s="182" t="s">
        <v>5509</v>
      </c>
    </row>
    <row r="3047" customFormat="false" ht="12" hidden="false" customHeight="false" outlineLevel="0" collapsed="false">
      <c r="A3047" s="182" t="s">
        <v>5510</v>
      </c>
    </row>
    <row r="3048" customFormat="false" ht="12" hidden="false" customHeight="false" outlineLevel="0" collapsed="false">
      <c r="A3048" s="182" t="s">
        <v>5511</v>
      </c>
    </row>
    <row r="3049" customFormat="false" ht="12" hidden="false" customHeight="false" outlineLevel="0" collapsed="false">
      <c r="A3049" s="182" t="s">
        <v>5512</v>
      </c>
    </row>
    <row r="3050" customFormat="false" ht="12" hidden="false" customHeight="false" outlineLevel="0" collapsed="false">
      <c r="A3050" s="182" t="s">
        <v>5513</v>
      </c>
    </row>
    <row r="3051" customFormat="false" ht="12" hidden="false" customHeight="false" outlineLevel="0" collapsed="false">
      <c r="A3051" s="182" t="s">
        <v>5514</v>
      </c>
    </row>
    <row r="3052" customFormat="false" ht="12" hidden="false" customHeight="false" outlineLevel="0" collapsed="false">
      <c r="A3052" s="182" t="s">
        <v>5515</v>
      </c>
    </row>
    <row r="3053" customFormat="false" ht="12" hidden="false" customHeight="false" outlineLevel="0" collapsed="false">
      <c r="A3053" s="182" t="s">
        <v>5516</v>
      </c>
    </row>
    <row r="3054" customFormat="false" ht="12" hidden="false" customHeight="false" outlineLevel="0" collapsed="false">
      <c r="A3054" s="182" t="s">
        <v>5517</v>
      </c>
    </row>
    <row r="3055" customFormat="false" ht="12" hidden="false" customHeight="false" outlineLevel="0" collapsed="false">
      <c r="A3055" s="182" t="s">
        <v>5518</v>
      </c>
    </row>
    <row r="3056" customFormat="false" ht="12" hidden="false" customHeight="false" outlineLevel="0" collapsed="false">
      <c r="A3056" s="182" t="s">
        <v>5519</v>
      </c>
    </row>
    <row r="3057" customFormat="false" ht="12" hidden="false" customHeight="false" outlineLevel="0" collapsed="false">
      <c r="A3057" s="182" t="s">
        <v>5520</v>
      </c>
    </row>
    <row r="3058" customFormat="false" ht="12" hidden="false" customHeight="false" outlineLevel="0" collapsed="false">
      <c r="A3058" s="182" t="s">
        <v>5521</v>
      </c>
    </row>
    <row r="3059" customFormat="false" ht="12" hidden="false" customHeight="false" outlineLevel="0" collapsed="false">
      <c r="A3059" s="182" t="s">
        <v>5522</v>
      </c>
    </row>
    <row r="3060" customFormat="false" ht="12" hidden="false" customHeight="false" outlineLevel="0" collapsed="false">
      <c r="A3060" s="182" t="s">
        <v>5523</v>
      </c>
    </row>
    <row r="3061" customFormat="false" ht="12" hidden="false" customHeight="false" outlineLevel="0" collapsed="false">
      <c r="A3061" s="182" t="s">
        <v>5524</v>
      </c>
    </row>
    <row r="3062" customFormat="false" ht="12" hidden="false" customHeight="false" outlineLevel="0" collapsed="false">
      <c r="A3062" s="182" t="s">
        <v>5525</v>
      </c>
    </row>
    <row r="3063" customFormat="false" ht="12" hidden="false" customHeight="false" outlineLevel="0" collapsed="false">
      <c r="A3063" s="182" t="s">
        <v>5526</v>
      </c>
    </row>
    <row r="3064" customFormat="false" ht="12" hidden="false" customHeight="false" outlineLevel="0" collapsed="false">
      <c r="A3064" s="182" t="s">
        <v>5527</v>
      </c>
    </row>
    <row r="3065" customFormat="false" ht="12" hidden="false" customHeight="false" outlineLevel="0" collapsed="false">
      <c r="A3065" s="182" t="s">
        <v>5528</v>
      </c>
    </row>
    <row r="3066" customFormat="false" ht="12" hidden="false" customHeight="false" outlineLevel="0" collapsed="false">
      <c r="A3066" s="182" t="s">
        <v>5529</v>
      </c>
    </row>
    <row r="3067" customFormat="false" ht="12" hidden="false" customHeight="false" outlineLevel="0" collapsed="false">
      <c r="A3067" s="182" t="s">
        <v>5530</v>
      </c>
    </row>
    <row r="3068" customFormat="false" ht="12" hidden="false" customHeight="false" outlineLevel="0" collapsed="false">
      <c r="A3068" s="182" t="s">
        <v>5531</v>
      </c>
    </row>
    <row r="3069" customFormat="false" ht="12" hidden="false" customHeight="false" outlineLevel="0" collapsed="false">
      <c r="A3069" s="182" t="s">
        <v>5532</v>
      </c>
    </row>
    <row r="3070" customFormat="false" ht="12" hidden="false" customHeight="false" outlineLevel="0" collapsed="false">
      <c r="A3070" s="182" t="s">
        <v>5533</v>
      </c>
    </row>
    <row r="3071" customFormat="false" ht="12" hidden="false" customHeight="false" outlineLevel="0" collapsed="false">
      <c r="A3071" s="182" t="s">
        <v>5534</v>
      </c>
    </row>
    <row r="3072" customFormat="false" ht="12" hidden="false" customHeight="false" outlineLevel="0" collapsed="false">
      <c r="A3072" s="182" t="s">
        <v>5535</v>
      </c>
    </row>
    <row r="3073" customFormat="false" ht="12" hidden="false" customHeight="false" outlineLevel="0" collapsed="false">
      <c r="A3073" s="182" t="s">
        <v>5536</v>
      </c>
    </row>
    <row r="3074" customFormat="false" ht="12" hidden="false" customHeight="false" outlineLevel="0" collapsed="false">
      <c r="A3074" s="182" t="s">
        <v>5537</v>
      </c>
    </row>
    <row r="3075" customFormat="false" ht="12" hidden="false" customHeight="false" outlineLevel="0" collapsed="false">
      <c r="A3075" s="182" t="s">
        <v>5538</v>
      </c>
    </row>
    <row r="3076" customFormat="false" ht="12" hidden="false" customHeight="false" outlineLevel="0" collapsed="false">
      <c r="A3076" s="182" t="s">
        <v>5539</v>
      </c>
    </row>
    <row r="3077" customFormat="false" ht="12" hidden="false" customHeight="false" outlineLevel="0" collapsed="false">
      <c r="A3077" s="182" t="s">
        <v>5540</v>
      </c>
    </row>
    <row r="3078" customFormat="false" ht="12" hidden="false" customHeight="false" outlineLevel="0" collapsed="false">
      <c r="A3078" s="182" t="s">
        <v>5541</v>
      </c>
    </row>
    <row r="3079" customFormat="false" ht="12" hidden="false" customHeight="false" outlineLevel="0" collapsed="false">
      <c r="A3079" s="182" t="s">
        <v>5542</v>
      </c>
    </row>
    <row r="3080" customFormat="false" ht="12" hidden="false" customHeight="false" outlineLevel="0" collapsed="false">
      <c r="A3080" s="182" t="s">
        <v>5543</v>
      </c>
    </row>
    <row r="3081" customFormat="false" ht="12" hidden="false" customHeight="false" outlineLevel="0" collapsed="false">
      <c r="A3081" s="182" t="s">
        <v>5544</v>
      </c>
    </row>
    <row r="3082" customFormat="false" ht="12" hidden="false" customHeight="false" outlineLevel="0" collapsed="false">
      <c r="A3082" s="182" t="s">
        <v>5545</v>
      </c>
    </row>
    <row r="3083" customFormat="false" ht="12" hidden="false" customHeight="false" outlineLevel="0" collapsed="false">
      <c r="A3083" s="182" t="s">
        <v>5546</v>
      </c>
    </row>
    <row r="3084" customFormat="false" ht="12" hidden="false" customHeight="false" outlineLevel="0" collapsed="false">
      <c r="A3084" s="182" t="s">
        <v>5547</v>
      </c>
    </row>
    <row r="3085" customFormat="false" ht="12" hidden="false" customHeight="false" outlineLevel="0" collapsed="false">
      <c r="A3085" s="182" t="s">
        <v>5548</v>
      </c>
    </row>
    <row r="3086" customFormat="false" ht="12" hidden="false" customHeight="false" outlineLevel="0" collapsed="false">
      <c r="A3086" s="182" t="s">
        <v>5549</v>
      </c>
    </row>
    <row r="3087" customFormat="false" ht="12" hidden="false" customHeight="false" outlineLevel="0" collapsed="false">
      <c r="A3087" s="182" t="s">
        <v>5550</v>
      </c>
    </row>
    <row r="3088" customFormat="false" ht="12" hidden="false" customHeight="false" outlineLevel="0" collapsed="false">
      <c r="A3088" s="182" t="s">
        <v>5551</v>
      </c>
    </row>
    <row r="3089" customFormat="false" ht="12" hidden="false" customHeight="false" outlineLevel="0" collapsed="false">
      <c r="A3089" s="182" t="s">
        <v>5552</v>
      </c>
    </row>
    <row r="3090" customFormat="false" ht="12" hidden="false" customHeight="false" outlineLevel="0" collapsed="false">
      <c r="A3090" s="182" t="s">
        <v>5553</v>
      </c>
    </row>
    <row r="3091" customFormat="false" ht="12" hidden="false" customHeight="false" outlineLevel="0" collapsed="false">
      <c r="A3091" s="182" t="s">
        <v>5554</v>
      </c>
    </row>
    <row r="3092" customFormat="false" ht="12" hidden="false" customHeight="false" outlineLevel="0" collapsed="false">
      <c r="A3092" s="182" t="s">
        <v>5555</v>
      </c>
    </row>
    <row r="3093" customFormat="false" ht="12" hidden="false" customHeight="false" outlineLevel="0" collapsed="false">
      <c r="A3093" s="182" t="s">
        <v>5556</v>
      </c>
    </row>
    <row r="3094" customFormat="false" ht="12" hidden="false" customHeight="false" outlineLevel="0" collapsed="false">
      <c r="A3094" s="182" t="s">
        <v>5557</v>
      </c>
    </row>
    <row r="3095" customFormat="false" ht="12" hidden="false" customHeight="false" outlineLevel="0" collapsed="false">
      <c r="A3095" s="182" t="s">
        <v>5558</v>
      </c>
    </row>
    <row r="3096" customFormat="false" ht="12" hidden="false" customHeight="false" outlineLevel="0" collapsed="false">
      <c r="A3096" s="182" t="s">
        <v>5559</v>
      </c>
    </row>
    <row r="3097" customFormat="false" ht="12" hidden="false" customHeight="false" outlineLevel="0" collapsed="false">
      <c r="A3097" s="182" t="s">
        <v>5560</v>
      </c>
    </row>
    <row r="3098" customFormat="false" ht="12" hidden="false" customHeight="false" outlineLevel="0" collapsed="false">
      <c r="A3098" s="182" t="s">
        <v>5561</v>
      </c>
    </row>
    <row r="3099" customFormat="false" ht="12" hidden="false" customHeight="false" outlineLevel="0" collapsed="false">
      <c r="A3099" s="182" t="s">
        <v>5562</v>
      </c>
    </row>
    <row r="3100" customFormat="false" ht="12" hidden="false" customHeight="false" outlineLevel="0" collapsed="false">
      <c r="A3100" s="182" t="s">
        <v>5563</v>
      </c>
    </row>
    <row r="3101" customFormat="false" ht="12" hidden="false" customHeight="false" outlineLevel="0" collapsed="false">
      <c r="A3101" s="182" t="s">
        <v>5564</v>
      </c>
    </row>
    <row r="3102" customFormat="false" ht="12" hidden="false" customHeight="false" outlineLevel="0" collapsed="false">
      <c r="A3102" s="182" t="s">
        <v>5565</v>
      </c>
    </row>
    <row r="3103" customFormat="false" ht="12" hidden="false" customHeight="false" outlineLevel="0" collapsed="false">
      <c r="A3103" s="182" t="s">
        <v>5566</v>
      </c>
    </row>
    <row r="3104" customFormat="false" ht="12" hidden="false" customHeight="false" outlineLevel="0" collapsed="false">
      <c r="A3104" s="182" t="s">
        <v>5567</v>
      </c>
    </row>
    <row r="3105" customFormat="false" ht="12" hidden="false" customHeight="false" outlineLevel="0" collapsed="false">
      <c r="A3105" s="182" t="s">
        <v>5568</v>
      </c>
    </row>
    <row r="3106" customFormat="false" ht="12" hidden="false" customHeight="false" outlineLevel="0" collapsed="false">
      <c r="A3106" s="182" t="s">
        <v>5569</v>
      </c>
    </row>
    <row r="3107" customFormat="false" ht="12" hidden="false" customHeight="false" outlineLevel="0" collapsed="false">
      <c r="A3107" s="182" t="s">
        <v>5570</v>
      </c>
    </row>
    <row r="3108" customFormat="false" ht="12" hidden="false" customHeight="false" outlineLevel="0" collapsed="false">
      <c r="A3108" s="182" t="s">
        <v>5571</v>
      </c>
    </row>
    <row r="3109" customFormat="false" ht="12" hidden="false" customHeight="false" outlineLevel="0" collapsed="false">
      <c r="A3109" s="182" t="s">
        <v>5572</v>
      </c>
    </row>
    <row r="3110" customFormat="false" ht="12" hidden="false" customHeight="false" outlineLevel="0" collapsed="false">
      <c r="A3110" s="182" t="s">
        <v>5573</v>
      </c>
    </row>
    <row r="3111" customFormat="false" ht="12" hidden="false" customHeight="false" outlineLevel="0" collapsed="false">
      <c r="A3111" s="182" t="s">
        <v>5574</v>
      </c>
    </row>
    <row r="3112" customFormat="false" ht="12" hidden="false" customHeight="false" outlineLevel="0" collapsed="false">
      <c r="A3112" s="182" t="s">
        <v>5575</v>
      </c>
    </row>
    <row r="3113" customFormat="false" ht="12" hidden="false" customHeight="false" outlineLevel="0" collapsed="false">
      <c r="A3113" s="182" t="s">
        <v>5576</v>
      </c>
    </row>
    <row r="3114" customFormat="false" ht="12" hidden="false" customHeight="false" outlineLevel="0" collapsed="false">
      <c r="A3114" s="182" t="s">
        <v>5577</v>
      </c>
    </row>
    <row r="3115" customFormat="false" ht="12" hidden="false" customHeight="false" outlineLevel="0" collapsed="false">
      <c r="A3115" s="182" t="s">
        <v>5578</v>
      </c>
    </row>
    <row r="3116" customFormat="false" ht="12" hidden="false" customHeight="false" outlineLevel="0" collapsed="false">
      <c r="A3116" s="182" t="s">
        <v>5579</v>
      </c>
    </row>
    <row r="3117" customFormat="false" ht="12" hidden="false" customHeight="false" outlineLevel="0" collapsed="false">
      <c r="A3117" s="182" t="s">
        <v>5580</v>
      </c>
    </row>
    <row r="3118" customFormat="false" ht="12" hidden="false" customHeight="false" outlineLevel="0" collapsed="false">
      <c r="A3118" s="182" t="s">
        <v>5581</v>
      </c>
    </row>
    <row r="3119" customFormat="false" ht="12" hidden="false" customHeight="false" outlineLevel="0" collapsed="false">
      <c r="A3119" s="182" t="s">
        <v>5582</v>
      </c>
    </row>
    <row r="3120" customFormat="false" ht="12" hidden="false" customHeight="false" outlineLevel="0" collapsed="false">
      <c r="A3120" s="182" t="s">
        <v>5583</v>
      </c>
    </row>
    <row r="3121" customFormat="false" ht="12" hidden="false" customHeight="false" outlineLevel="0" collapsed="false">
      <c r="A3121" s="182" t="s">
        <v>5584</v>
      </c>
    </row>
    <row r="3122" customFormat="false" ht="12" hidden="false" customHeight="false" outlineLevel="0" collapsed="false">
      <c r="A3122" s="182" t="s">
        <v>5585</v>
      </c>
    </row>
    <row r="3123" customFormat="false" ht="12" hidden="false" customHeight="false" outlineLevel="0" collapsed="false">
      <c r="A3123" s="182" t="s">
        <v>5586</v>
      </c>
    </row>
    <row r="3124" customFormat="false" ht="12" hidden="false" customHeight="false" outlineLevel="0" collapsed="false">
      <c r="A3124" s="182" t="s">
        <v>5587</v>
      </c>
    </row>
    <row r="3125" customFormat="false" ht="12" hidden="false" customHeight="false" outlineLevel="0" collapsed="false">
      <c r="A3125" s="182" t="s">
        <v>5588</v>
      </c>
    </row>
    <row r="3126" customFormat="false" ht="12" hidden="false" customHeight="false" outlineLevel="0" collapsed="false">
      <c r="A3126" s="182" t="s">
        <v>5589</v>
      </c>
    </row>
    <row r="3127" customFormat="false" ht="12" hidden="false" customHeight="false" outlineLevel="0" collapsed="false">
      <c r="A3127" s="182" t="s">
        <v>5590</v>
      </c>
    </row>
    <row r="3128" customFormat="false" ht="12" hidden="false" customHeight="false" outlineLevel="0" collapsed="false">
      <c r="A3128" s="182" t="s">
        <v>5591</v>
      </c>
    </row>
    <row r="3129" customFormat="false" ht="12" hidden="false" customHeight="false" outlineLevel="0" collapsed="false">
      <c r="A3129" s="182" t="s">
        <v>5592</v>
      </c>
    </row>
    <row r="3130" customFormat="false" ht="12" hidden="false" customHeight="false" outlineLevel="0" collapsed="false">
      <c r="A3130" s="182" t="s">
        <v>5593</v>
      </c>
    </row>
    <row r="3131" customFormat="false" ht="12" hidden="false" customHeight="false" outlineLevel="0" collapsed="false">
      <c r="A3131" s="182" t="s">
        <v>5594</v>
      </c>
    </row>
    <row r="3132" customFormat="false" ht="12" hidden="false" customHeight="false" outlineLevel="0" collapsed="false">
      <c r="A3132" s="182" t="s">
        <v>5595</v>
      </c>
    </row>
    <row r="3133" customFormat="false" ht="12" hidden="false" customHeight="false" outlineLevel="0" collapsed="false">
      <c r="A3133" s="182" t="s">
        <v>5596</v>
      </c>
    </row>
    <row r="3134" customFormat="false" ht="12" hidden="false" customHeight="false" outlineLevel="0" collapsed="false">
      <c r="A3134" s="182" t="s">
        <v>5597</v>
      </c>
    </row>
    <row r="3135" customFormat="false" ht="12" hidden="false" customHeight="false" outlineLevel="0" collapsed="false">
      <c r="A3135" s="182" t="s">
        <v>5598</v>
      </c>
    </row>
    <row r="3136" customFormat="false" ht="12" hidden="false" customHeight="false" outlineLevel="0" collapsed="false">
      <c r="A3136" s="182" t="s">
        <v>5599</v>
      </c>
    </row>
    <row r="3137" customFormat="false" ht="12" hidden="false" customHeight="false" outlineLevel="0" collapsed="false">
      <c r="A3137" s="182" t="s">
        <v>5600</v>
      </c>
    </row>
    <row r="3138" customFormat="false" ht="12" hidden="false" customHeight="false" outlineLevel="0" collapsed="false">
      <c r="A3138" s="182" t="s">
        <v>5601</v>
      </c>
    </row>
    <row r="3139" customFormat="false" ht="12" hidden="false" customHeight="false" outlineLevel="0" collapsed="false">
      <c r="A3139" s="182" t="s">
        <v>5602</v>
      </c>
    </row>
    <row r="3140" customFormat="false" ht="12" hidden="false" customHeight="false" outlineLevel="0" collapsed="false">
      <c r="A3140" s="182" t="s">
        <v>5603</v>
      </c>
    </row>
    <row r="3141" customFormat="false" ht="12" hidden="false" customHeight="false" outlineLevel="0" collapsed="false">
      <c r="A3141" s="182" t="s">
        <v>5604</v>
      </c>
    </row>
    <row r="3142" customFormat="false" ht="12" hidden="false" customHeight="false" outlineLevel="0" collapsed="false">
      <c r="A3142" s="182" t="s">
        <v>5605</v>
      </c>
    </row>
    <row r="3143" customFormat="false" ht="12" hidden="false" customHeight="false" outlineLevel="0" collapsed="false">
      <c r="A3143" s="182" t="s">
        <v>5606</v>
      </c>
    </row>
    <row r="3144" customFormat="false" ht="12" hidden="false" customHeight="false" outlineLevel="0" collapsed="false">
      <c r="A3144" s="182" t="s">
        <v>5607</v>
      </c>
    </row>
    <row r="3145" customFormat="false" ht="12" hidden="false" customHeight="false" outlineLevel="0" collapsed="false">
      <c r="A3145" s="182" t="s">
        <v>5608</v>
      </c>
    </row>
    <row r="3146" customFormat="false" ht="12" hidden="false" customHeight="false" outlineLevel="0" collapsed="false">
      <c r="A3146" s="182" t="s">
        <v>5609</v>
      </c>
    </row>
    <row r="3147" customFormat="false" ht="12" hidden="false" customHeight="false" outlineLevel="0" collapsed="false">
      <c r="A3147" s="182" t="s">
        <v>5610</v>
      </c>
    </row>
    <row r="3148" customFormat="false" ht="12" hidden="false" customHeight="false" outlineLevel="0" collapsed="false">
      <c r="A3148" s="182" t="s">
        <v>5611</v>
      </c>
    </row>
    <row r="3149" customFormat="false" ht="12" hidden="false" customHeight="false" outlineLevel="0" collapsed="false">
      <c r="A3149" s="182" t="s">
        <v>5612</v>
      </c>
    </row>
    <row r="3150" customFormat="false" ht="12" hidden="false" customHeight="false" outlineLevel="0" collapsed="false">
      <c r="A3150" s="182" t="s">
        <v>5613</v>
      </c>
    </row>
    <row r="3151" customFormat="false" ht="12" hidden="false" customHeight="false" outlineLevel="0" collapsed="false">
      <c r="A3151" s="182" t="s">
        <v>5614</v>
      </c>
    </row>
    <row r="3152" customFormat="false" ht="12" hidden="false" customHeight="false" outlineLevel="0" collapsed="false">
      <c r="A3152" s="182" t="s">
        <v>5615</v>
      </c>
    </row>
    <row r="3153" customFormat="false" ht="12" hidden="false" customHeight="false" outlineLevel="0" collapsed="false">
      <c r="A3153" s="182" t="s">
        <v>5616</v>
      </c>
    </row>
    <row r="3154" customFormat="false" ht="12" hidden="false" customHeight="false" outlineLevel="0" collapsed="false">
      <c r="A3154" s="182" t="s">
        <v>5617</v>
      </c>
    </row>
    <row r="3155" customFormat="false" ht="12" hidden="false" customHeight="false" outlineLevel="0" collapsed="false">
      <c r="A3155" s="182" t="s">
        <v>5618</v>
      </c>
    </row>
    <row r="3156" customFormat="false" ht="12" hidden="false" customHeight="false" outlineLevel="0" collapsed="false">
      <c r="A3156" s="182" t="s">
        <v>5619</v>
      </c>
    </row>
    <row r="3157" customFormat="false" ht="12" hidden="false" customHeight="false" outlineLevel="0" collapsed="false">
      <c r="A3157" s="182" t="s">
        <v>5620</v>
      </c>
    </row>
    <row r="3158" customFormat="false" ht="12" hidden="false" customHeight="false" outlineLevel="0" collapsed="false">
      <c r="A3158" s="182" t="s">
        <v>5621</v>
      </c>
    </row>
    <row r="3159" customFormat="false" ht="12" hidden="false" customHeight="false" outlineLevel="0" collapsed="false">
      <c r="A3159" s="182" t="s">
        <v>5622</v>
      </c>
    </row>
    <row r="3160" customFormat="false" ht="12" hidden="false" customHeight="false" outlineLevel="0" collapsed="false">
      <c r="A3160" s="182" t="s">
        <v>5623</v>
      </c>
    </row>
    <row r="3161" customFormat="false" ht="12" hidden="false" customHeight="false" outlineLevel="0" collapsed="false">
      <c r="A3161" s="182" t="s">
        <v>5624</v>
      </c>
    </row>
    <row r="3162" customFormat="false" ht="12" hidden="false" customHeight="false" outlineLevel="0" collapsed="false">
      <c r="A3162" s="182" t="s">
        <v>5625</v>
      </c>
    </row>
    <row r="3163" customFormat="false" ht="12" hidden="false" customHeight="false" outlineLevel="0" collapsed="false">
      <c r="A3163" s="182" t="s">
        <v>5626</v>
      </c>
    </row>
    <row r="3164" customFormat="false" ht="12" hidden="false" customHeight="false" outlineLevel="0" collapsed="false">
      <c r="A3164" s="182" t="s">
        <v>5627</v>
      </c>
    </row>
    <row r="3165" customFormat="false" ht="12" hidden="false" customHeight="false" outlineLevel="0" collapsed="false">
      <c r="A3165" s="182" t="s">
        <v>5628</v>
      </c>
    </row>
    <row r="3166" customFormat="false" ht="12" hidden="false" customHeight="false" outlineLevel="0" collapsed="false">
      <c r="A3166" s="182" t="s">
        <v>5629</v>
      </c>
    </row>
    <row r="3167" customFormat="false" ht="12" hidden="false" customHeight="false" outlineLevel="0" collapsed="false">
      <c r="A3167" s="182" t="s">
        <v>5630</v>
      </c>
    </row>
    <row r="3168" customFormat="false" ht="12" hidden="false" customHeight="false" outlineLevel="0" collapsed="false">
      <c r="A3168" s="182" t="s">
        <v>5631</v>
      </c>
    </row>
    <row r="3169" customFormat="false" ht="12" hidden="false" customHeight="false" outlineLevel="0" collapsed="false">
      <c r="A3169" s="182" t="s">
        <v>5632</v>
      </c>
    </row>
    <row r="3170" customFormat="false" ht="12" hidden="false" customHeight="false" outlineLevel="0" collapsed="false">
      <c r="A3170" s="182" t="s">
        <v>5633</v>
      </c>
    </row>
    <row r="3171" customFormat="false" ht="12" hidden="false" customHeight="false" outlineLevel="0" collapsed="false">
      <c r="A3171" s="182" t="s">
        <v>5634</v>
      </c>
    </row>
    <row r="3172" customFormat="false" ht="12" hidden="false" customHeight="false" outlineLevel="0" collapsed="false">
      <c r="A3172" s="182" t="s">
        <v>5635</v>
      </c>
    </row>
    <row r="3173" customFormat="false" ht="12" hidden="false" customHeight="false" outlineLevel="0" collapsed="false">
      <c r="A3173" s="182" t="s">
        <v>5636</v>
      </c>
    </row>
    <row r="3174" customFormat="false" ht="12" hidden="false" customHeight="false" outlineLevel="0" collapsed="false">
      <c r="A3174" s="182" t="s">
        <v>5637</v>
      </c>
    </row>
    <row r="3175" customFormat="false" ht="12" hidden="false" customHeight="false" outlineLevel="0" collapsed="false">
      <c r="A3175" s="182" t="s">
        <v>5638</v>
      </c>
    </row>
    <row r="3176" customFormat="false" ht="12" hidden="false" customHeight="false" outlineLevel="0" collapsed="false">
      <c r="A3176" s="182" t="s">
        <v>5639</v>
      </c>
    </row>
    <row r="3177" customFormat="false" ht="12" hidden="false" customHeight="false" outlineLevel="0" collapsed="false">
      <c r="A3177" s="182" t="s">
        <v>5640</v>
      </c>
    </row>
    <row r="3178" customFormat="false" ht="12" hidden="false" customHeight="false" outlineLevel="0" collapsed="false">
      <c r="A3178" s="182" t="s">
        <v>5641</v>
      </c>
    </row>
    <row r="3179" customFormat="false" ht="12" hidden="false" customHeight="false" outlineLevel="0" collapsed="false">
      <c r="A3179" s="182" t="s">
        <v>5642</v>
      </c>
    </row>
    <row r="3180" customFormat="false" ht="12" hidden="false" customHeight="false" outlineLevel="0" collapsed="false">
      <c r="A3180" s="182" t="s">
        <v>5643</v>
      </c>
    </row>
    <row r="3181" customFormat="false" ht="12" hidden="false" customHeight="false" outlineLevel="0" collapsed="false">
      <c r="A3181" s="182" t="s">
        <v>5644</v>
      </c>
    </row>
    <row r="3182" customFormat="false" ht="12" hidden="false" customHeight="false" outlineLevel="0" collapsed="false">
      <c r="A3182" s="182" t="s">
        <v>5645</v>
      </c>
    </row>
    <row r="3183" customFormat="false" ht="12" hidden="false" customHeight="false" outlineLevel="0" collapsed="false">
      <c r="A3183" s="182" t="s">
        <v>5646</v>
      </c>
    </row>
    <row r="3184" customFormat="false" ht="12" hidden="false" customHeight="false" outlineLevel="0" collapsed="false">
      <c r="A3184" s="182" t="s">
        <v>5647</v>
      </c>
    </row>
    <row r="3185" customFormat="false" ht="12" hidden="false" customHeight="false" outlineLevel="0" collapsed="false">
      <c r="A3185" s="182" t="s">
        <v>5648</v>
      </c>
    </row>
    <row r="3186" customFormat="false" ht="12" hidden="false" customHeight="false" outlineLevel="0" collapsed="false">
      <c r="A3186" s="182" t="s">
        <v>5649</v>
      </c>
    </row>
    <row r="3187" customFormat="false" ht="12" hidden="false" customHeight="false" outlineLevel="0" collapsed="false">
      <c r="A3187" s="182" t="s">
        <v>5650</v>
      </c>
    </row>
    <row r="3188" customFormat="false" ht="12" hidden="false" customHeight="false" outlineLevel="0" collapsed="false">
      <c r="A3188" s="182" t="s">
        <v>5651</v>
      </c>
    </row>
    <row r="3189" customFormat="false" ht="12" hidden="false" customHeight="false" outlineLevel="0" collapsed="false">
      <c r="A3189" s="182" t="s">
        <v>5652</v>
      </c>
    </row>
    <row r="3190" customFormat="false" ht="12" hidden="false" customHeight="false" outlineLevel="0" collapsed="false">
      <c r="A3190" s="182" t="s">
        <v>5653</v>
      </c>
    </row>
    <row r="3191" customFormat="false" ht="12" hidden="false" customHeight="false" outlineLevel="0" collapsed="false">
      <c r="A3191" s="182" t="s">
        <v>5654</v>
      </c>
    </row>
    <row r="3192" customFormat="false" ht="12" hidden="false" customHeight="false" outlineLevel="0" collapsed="false">
      <c r="A3192" s="182" t="s">
        <v>5655</v>
      </c>
    </row>
    <row r="3193" customFormat="false" ht="12" hidden="false" customHeight="false" outlineLevel="0" collapsed="false">
      <c r="A3193" s="182" t="s">
        <v>5656</v>
      </c>
    </row>
    <row r="3194" customFormat="false" ht="12" hidden="false" customHeight="false" outlineLevel="0" collapsed="false">
      <c r="A3194" s="182" t="s">
        <v>5657</v>
      </c>
    </row>
    <row r="3195" customFormat="false" ht="12" hidden="false" customHeight="false" outlineLevel="0" collapsed="false">
      <c r="A3195" s="182" t="s">
        <v>5658</v>
      </c>
    </row>
    <row r="3196" customFormat="false" ht="12" hidden="false" customHeight="false" outlineLevel="0" collapsed="false">
      <c r="A3196" s="182" t="s">
        <v>5659</v>
      </c>
    </row>
    <row r="3197" customFormat="false" ht="12" hidden="false" customHeight="false" outlineLevel="0" collapsed="false">
      <c r="A3197" s="182" t="s">
        <v>5660</v>
      </c>
    </row>
    <row r="3198" customFormat="false" ht="12" hidden="false" customHeight="false" outlineLevel="0" collapsed="false">
      <c r="A3198" s="182" t="s">
        <v>5661</v>
      </c>
    </row>
    <row r="3199" customFormat="false" ht="12" hidden="false" customHeight="false" outlineLevel="0" collapsed="false">
      <c r="A3199" s="182" t="s">
        <v>5662</v>
      </c>
    </row>
    <row r="3200" customFormat="false" ht="12" hidden="false" customHeight="false" outlineLevel="0" collapsed="false">
      <c r="A3200" s="182" t="s">
        <v>5663</v>
      </c>
    </row>
    <row r="3201" customFormat="false" ht="12" hidden="false" customHeight="false" outlineLevel="0" collapsed="false">
      <c r="A3201" s="182" t="s">
        <v>5664</v>
      </c>
    </row>
    <row r="3202" customFormat="false" ht="12" hidden="false" customHeight="false" outlineLevel="0" collapsed="false">
      <c r="A3202" s="182" t="s">
        <v>5665</v>
      </c>
    </row>
    <row r="3203" customFormat="false" ht="12" hidden="false" customHeight="false" outlineLevel="0" collapsed="false">
      <c r="A3203" s="182" t="s">
        <v>5666</v>
      </c>
    </row>
    <row r="3204" customFormat="false" ht="12" hidden="false" customHeight="false" outlineLevel="0" collapsed="false">
      <c r="A3204" s="182" t="s">
        <v>5667</v>
      </c>
    </row>
    <row r="3205" customFormat="false" ht="12" hidden="false" customHeight="false" outlineLevel="0" collapsed="false">
      <c r="A3205" s="182" t="s">
        <v>5668</v>
      </c>
    </row>
    <row r="3206" customFormat="false" ht="12" hidden="false" customHeight="false" outlineLevel="0" collapsed="false">
      <c r="A3206" s="182" t="s">
        <v>5669</v>
      </c>
    </row>
    <row r="3207" customFormat="false" ht="12" hidden="false" customHeight="false" outlineLevel="0" collapsed="false">
      <c r="A3207" s="182" t="s">
        <v>5670</v>
      </c>
    </row>
    <row r="3208" customFormat="false" ht="12" hidden="false" customHeight="false" outlineLevel="0" collapsed="false">
      <c r="A3208" s="182" t="s">
        <v>5671</v>
      </c>
    </row>
    <row r="3209" customFormat="false" ht="12" hidden="false" customHeight="false" outlineLevel="0" collapsed="false">
      <c r="A3209" s="182" t="s">
        <v>5672</v>
      </c>
    </row>
    <row r="3210" customFormat="false" ht="12" hidden="false" customHeight="false" outlineLevel="0" collapsed="false">
      <c r="A3210" s="182" t="s">
        <v>5673</v>
      </c>
    </row>
    <row r="3211" customFormat="false" ht="12" hidden="false" customHeight="false" outlineLevel="0" collapsed="false">
      <c r="A3211" s="182" t="s">
        <v>5674</v>
      </c>
    </row>
    <row r="3212" customFormat="false" ht="12" hidden="false" customHeight="false" outlineLevel="0" collapsed="false">
      <c r="A3212" s="182" t="s">
        <v>5675</v>
      </c>
    </row>
    <row r="3213" customFormat="false" ht="12" hidden="false" customHeight="false" outlineLevel="0" collapsed="false">
      <c r="A3213" s="182" t="s">
        <v>5676</v>
      </c>
    </row>
    <row r="3214" customFormat="false" ht="12" hidden="false" customHeight="false" outlineLevel="0" collapsed="false">
      <c r="A3214" s="182" t="s">
        <v>5677</v>
      </c>
    </row>
    <row r="3215" customFormat="false" ht="12" hidden="false" customHeight="false" outlineLevel="0" collapsed="false">
      <c r="A3215" s="182" t="s">
        <v>5678</v>
      </c>
    </row>
    <row r="3216" customFormat="false" ht="12" hidden="false" customHeight="false" outlineLevel="0" collapsed="false">
      <c r="A3216" s="182" t="s">
        <v>5679</v>
      </c>
    </row>
    <row r="3217" customFormat="false" ht="12" hidden="false" customHeight="false" outlineLevel="0" collapsed="false">
      <c r="A3217" s="182" t="s">
        <v>5680</v>
      </c>
    </row>
    <row r="3218" customFormat="false" ht="12" hidden="false" customHeight="false" outlineLevel="0" collapsed="false">
      <c r="A3218" s="182" t="s">
        <v>5681</v>
      </c>
    </row>
    <row r="3219" customFormat="false" ht="12" hidden="false" customHeight="false" outlineLevel="0" collapsed="false">
      <c r="A3219" s="182" t="s">
        <v>5682</v>
      </c>
    </row>
    <row r="3220" customFormat="false" ht="12" hidden="false" customHeight="false" outlineLevel="0" collapsed="false">
      <c r="A3220" s="182" t="s">
        <v>5683</v>
      </c>
    </row>
    <row r="3221" customFormat="false" ht="12" hidden="false" customHeight="false" outlineLevel="0" collapsed="false">
      <c r="A3221" s="182" t="s">
        <v>5684</v>
      </c>
    </row>
    <row r="3222" customFormat="false" ht="12" hidden="false" customHeight="false" outlineLevel="0" collapsed="false">
      <c r="A3222" s="182" t="s">
        <v>5685</v>
      </c>
    </row>
    <row r="3223" customFormat="false" ht="12" hidden="false" customHeight="false" outlineLevel="0" collapsed="false">
      <c r="A3223" s="182" t="s">
        <v>5686</v>
      </c>
    </row>
    <row r="3224" customFormat="false" ht="12" hidden="false" customHeight="false" outlineLevel="0" collapsed="false">
      <c r="A3224" s="182" t="s">
        <v>5687</v>
      </c>
    </row>
    <row r="3225" customFormat="false" ht="12" hidden="false" customHeight="false" outlineLevel="0" collapsed="false">
      <c r="A3225" s="182" t="s">
        <v>5688</v>
      </c>
    </row>
    <row r="3226" customFormat="false" ht="12" hidden="false" customHeight="false" outlineLevel="0" collapsed="false">
      <c r="A3226" s="182" t="s">
        <v>5689</v>
      </c>
    </row>
    <row r="3227" customFormat="false" ht="12" hidden="false" customHeight="false" outlineLevel="0" collapsed="false">
      <c r="A3227" s="182" t="s">
        <v>5690</v>
      </c>
    </row>
    <row r="3228" customFormat="false" ht="12" hidden="false" customHeight="false" outlineLevel="0" collapsed="false">
      <c r="A3228" s="182" t="s">
        <v>5691</v>
      </c>
    </row>
    <row r="3229" customFormat="false" ht="12" hidden="false" customHeight="false" outlineLevel="0" collapsed="false">
      <c r="A3229" s="182" t="s">
        <v>5692</v>
      </c>
    </row>
    <row r="3230" customFormat="false" ht="12" hidden="false" customHeight="false" outlineLevel="0" collapsed="false">
      <c r="A3230" s="182" t="s">
        <v>5693</v>
      </c>
    </row>
    <row r="3231" customFormat="false" ht="12" hidden="false" customHeight="false" outlineLevel="0" collapsed="false">
      <c r="A3231" s="182" t="s">
        <v>5694</v>
      </c>
    </row>
    <row r="3232" customFormat="false" ht="12" hidden="false" customHeight="false" outlineLevel="0" collapsed="false">
      <c r="A3232" s="182" t="s">
        <v>5695</v>
      </c>
    </row>
    <row r="3233" customFormat="false" ht="12" hidden="false" customHeight="false" outlineLevel="0" collapsed="false">
      <c r="A3233" s="182" t="s">
        <v>5696</v>
      </c>
    </row>
    <row r="3234" customFormat="false" ht="12" hidden="false" customHeight="false" outlineLevel="0" collapsed="false">
      <c r="A3234" s="182" t="s">
        <v>5697</v>
      </c>
    </row>
    <row r="3235" customFormat="false" ht="12" hidden="false" customHeight="false" outlineLevel="0" collapsed="false">
      <c r="A3235" s="182" t="s">
        <v>5698</v>
      </c>
    </row>
    <row r="3236" customFormat="false" ht="12" hidden="false" customHeight="false" outlineLevel="0" collapsed="false">
      <c r="A3236" s="182" t="s">
        <v>5699</v>
      </c>
    </row>
    <row r="3237" customFormat="false" ht="12" hidden="false" customHeight="false" outlineLevel="0" collapsed="false">
      <c r="A3237" s="182" t="s">
        <v>5700</v>
      </c>
    </row>
    <row r="3238" customFormat="false" ht="12" hidden="false" customHeight="false" outlineLevel="0" collapsed="false">
      <c r="A3238" s="182" t="s">
        <v>5701</v>
      </c>
    </row>
    <row r="3239" customFormat="false" ht="12" hidden="false" customHeight="false" outlineLevel="0" collapsed="false">
      <c r="A3239" s="182" t="s">
        <v>5702</v>
      </c>
    </row>
    <row r="3240" customFormat="false" ht="12" hidden="false" customHeight="false" outlineLevel="0" collapsed="false">
      <c r="A3240" s="182" t="s">
        <v>5703</v>
      </c>
    </row>
    <row r="3241" customFormat="false" ht="12" hidden="false" customHeight="false" outlineLevel="0" collapsed="false">
      <c r="A3241" s="182" t="s">
        <v>5704</v>
      </c>
    </row>
    <row r="3242" customFormat="false" ht="12" hidden="false" customHeight="false" outlineLevel="0" collapsed="false">
      <c r="A3242" s="182" t="s">
        <v>5705</v>
      </c>
    </row>
    <row r="3243" customFormat="false" ht="12" hidden="false" customHeight="false" outlineLevel="0" collapsed="false">
      <c r="A3243" s="182" t="s">
        <v>5706</v>
      </c>
    </row>
    <row r="3244" customFormat="false" ht="12" hidden="false" customHeight="false" outlineLevel="0" collapsed="false">
      <c r="A3244" s="182" t="s">
        <v>5707</v>
      </c>
    </row>
    <row r="3245" customFormat="false" ht="12" hidden="false" customHeight="false" outlineLevel="0" collapsed="false">
      <c r="A3245" s="182" t="s">
        <v>5708</v>
      </c>
    </row>
    <row r="3246" customFormat="false" ht="12" hidden="false" customHeight="false" outlineLevel="0" collapsed="false">
      <c r="A3246" s="182" t="s">
        <v>5709</v>
      </c>
    </row>
    <row r="3247" customFormat="false" ht="12" hidden="false" customHeight="false" outlineLevel="0" collapsed="false">
      <c r="A3247" s="182" t="s">
        <v>5710</v>
      </c>
    </row>
    <row r="3248" customFormat="false" ht="12" hidden="false" customHeight="false" outlineLevel="0" collapsed="false">
      <c r="A3248" s="182" t="s">
        <v>5711</v>
      </c>
    </row>
    <row r="3249" customFormat="false" ht="12" hidden="false" customHeight="false" outlineLevel="0" collapsed="false">
      <c r="A3249" s="182" t="s">
        <v>5712</v>
      </c>
    </row>
    <row r="3250" customFormat="false" ht="12" hidden="false" customHeight="false" outlineLevel="0" collapsed="false">
      <c r="A3250" s="182" t="s">
        <v>5713</v>
      </c>
    </row>
    <row r="3251" customFormat="false" ht="12" hidden="false" customHeight="false" outlineLevel="0" collapsed="false">
      <c r="A3251" s="182" t="s">
        <v>5714</v>
      </c>
    </row>
    <row r="3252" customFormat="false" ht="12" hidden="false" customHeight="false" outlineLevel="0" collapsed="false">
      <c r="A3252" s="182" t="s">
        <v>5715</v>
      </c>
    </row>
    <row r="3253" customFormat="false" ht="12" hidden="false" customHeight="false" outlineLevel="0" collapsed="false">
      <c r="A3253" s="182" t="s">
        <v>5716</v>
      </c>
    </row>
    <row r="3254" customFormat="false" ht="12" hidden="false" customHeight="false" outlineLevel="0" collapsed="false">
      <c r="A3254" s="182" t="s">
        <v>5717</v>
      </c>
    </row>
    <row r="3255" customFormat="false" ht="12" hidden="false" customHeight="false" outlineLevel="0" collapsed="false">
      <c r="A3255" s="182" t="s">
        <v>5718</v>
      </c>
    </row>
    <row r="3256" customFormat="false" ht="12" hidden="false" customHeight="false" outlineLevel="0" collapsed="false">
      <c r="A3256" s="182" t="s">
        <v>5719</v>
      </c>
    </row>
    <row r="3257" customFormat="false" ht="12" hidden="false" customHeight="false" outlineLevel="0" collapsed="false">
      <c r="A3257" s="182" t="s">
        <v>5720</v>
      </c>
    </row>
    <row r="3258" customFormat="false" ht="12" hidden="false" customHeight="false" outlineLevel="0" collapsed="false">
      <c r="A3258" s="182" t="s">
        <v>5721</v>
      </c>
    </row>
    <row r="3259" customFormat="false" ht="12" hidden="false" customHeight="false" outlineLevel="0" collapsed="false">
      <c r="A3259" s="182" t="s">
        <v>5722</v>
      </c>
    </row>
    <row r="3260" customFormat="false" ht="12" hidden="false" customHeight="false" outlineLevel="0" collapsed="false">
      <c r="A3260" s="182" t="s">
        <v>5723</v>
      </c>
    </row>
    <row r="3261" customFormat="false" ht="12" hidden="false" customHeight="false" outlineLevel="0" collapsed="false">
      <c r="A3261" s="182" t="s">
        <v>5724</v>
      </c>
    </row>
    <row r="3262" customFormat="false" ht="12" hidden="false" customHeight="false" outlineLevel="0" collapsed="false">
      <c r="A3262" s="182" t="s">
        <v>5725</v>
      </c>
    </row>
    <row r="3263" customFormat="false" ht="12" hidden="false" customHeight="false" outlineLevel="0" collapsed="false">
      <c r="A3263" s="182" t="s">
        <v>5726</v>
      </c>
    </row>
    <row r="3264" customFormat="false" ht="12" hidden="false" customHeight="false" outlineLevel="0" collapsed="false">
      <c r="A3264" s="182" t="s">
        <v>5727</v>
      </c>
    </row>
    <row r="3265" customFormat="false" ht="12" hidden="false" customHeight="false" outlineLevel="0" collapsed="false">
      <c r="A3265" s="182" t="s">
        <v>5728</v>
      </c>
    </row>
    <row r="3266" customFormat="false" ht="12" hidden="false" customHeight="false" outlineLevel="0" collapsed="false">
      <c r="A3266" s="182" t="s">
        <v>5729</v>
      </c>
    </row>
    <row r="3267" customFormat="false" ht="12" hidden="false" customHeight="false" outlineLevel="0" collapsed="false">
      <c r="A3267" s="182" t="s">
        <v>5730</v>
      </c>
    </row>
    <row r="3268" customFormat="false" ht="12" hidden="false" customHeight="false" outlineLevel="0" collapsed="false">
      <c r="A3268" s="182" t="s">
        <v>5731</v>
      </c>
    </row>
    <row r="3269" customFormat="false" ht="12" hidden="false" customHeight="false" outlineLevel="0" collapsed="false">
      <c r="A3269" s="182" t="s">
        <v>5732</v>
      </c>
    </row>
    <row r="3270" customFormat="false" ht="12" hidden="false" customHeight="false" outlineLevel="0" collapsed="false">
      <c r="A3270" s="182" t="s">
        <v>5733</v>
      </c>
    </row>
    <row r="3271" customFormat="false" ht="12" hidden="false" customHeight="false" outlineLevel="0" collapsed="false">
      <c r="A3271" s="182" t="s">
        <v>5734</v>
      </c>
    </row>
    <row r="3272" customFormat="false" ht="12" hidden="false" customHeight="false" outlineLevel="0" collapsed="false">
      <c r="A3272" s="182" t="s">
        <v>5735</v>
      </c>
    </row>
    <row r="3273" customFormat="false" ht="12" hidden="false" customHeight="false" outlineLevel="0" collapsed="false">
      <c r="A3273" s="182" t="s">
        <v>5736</v>
      </c>
    </row>
    <row r="3274" customFormat="false" ht="12" hidden="false" customHeight="false" outlineLevel="0" collapsed="false">
      <c r="A3274" s="182" t="s">
        <v>5737</v>
      </c>
    </row>
    <row r="3275" customFormat="false" ht="12" hidden="false" customHeight="false" outlineLevel="0" collapsed="false">
      <c r="A3275" s="182" t="s">
        <v>5738</v>
      </c>
    </row>
    <row r="3276" customFormat="false" ht="12" hidden="false" customHeight="false" outlineLevel="0" collapsed="false">
      <c r="A3276" s="182" t="s">
        <v>5739</v>
      </c>
    </row>
    <row r="3277" customFormat="false" ht="12" hidden="false" customHeight="false" outlineLevel="0" collapsed="false">
      <c r="A3277" s="182" t="s">
        <v>5740</v>
      </c>
    </row>
    <row r="3278" customFormat="false" ht="12" hidden="false" customHeight="false" outlineLevel="0" collapsed="false">
      <c r="A3278" s="182" t="s">
        <v>5741</v>
      </c>
    </row>
    <row r="3279" customFormat="false" ht="12" hidden="false" customHeight="false" outlineLevel="0" collapsed="false">
      <c r="A3279" s="182" t="s">
        <v>5742</v>
      </c>
    </row>
    <row r="3280" customFormat="false" ht="12" hidden="false" customHeight="false" outlineLevel="0" collapsed="false">
      <c r="A3280" s="182" t="s">
        <v>5743</v>
      </c>
    </row>
    <row r="3281" customFormat="false" ht="12" hidden="false" customHeight="false" outlineLevel="0" collapsed="false">
      <c r="A3281" s="182" t="s">
        <v>5744</v>
      </c>
    </row>
    <row r="3282" customFormat="false" ht="12" hidden="false" customHeight="false" outlineLevel="0" collapsed="false">
      <c r="A3282" s="182" t="s">
        <v>5745</v>
      </c>
    </row>
    <row r="3283" customFormat="false" ht="12" hidden="false" customHeight="false" outlineLevel="0" collapsed="false">
      <c r="A3283" s="182" t="s">
        <v>5746</v>
      </c>
    </row>
    <row r="3284" customFormat="false" ht="12" hidden="false" customHeight="false" outlineLevel="0" collapsed="false">
      <c r="A3284" s="182" t="s">
        <v>5747</v>
      </c>
    </row>
    <row r="3285" customFormat="false" ht="12" hidden="false" customHeight="false" outlineLevel="0" collapsed="false">
      <c r="A3285" s="182" t="s">
        <v>5748</v>
      </c>
    </row>
    <row r="3286" customFormat="false" ht="12" hidden="false" customHeight="false" outlineLevel="0" collapsed="false">
      <c r="A3286" s="182" t="s">
        <v>5749</v>
      </c>
    </row>
    <row r="3287" customFormat="false" ht="12" hidden="false" customHeight="false" outlineLevel="0" collapsed="false">
      <c r="A3287" s="182" t="s">
        <v>5750</v>
      </c>
    </row>
    <row r="3288" customFormat="false" ht="12" hidden="false" customHeight="false" outlineLevel="0" collapsed="false">
      <c r="A3288" s="182" t="s">
        <v>5751</v>
      </c>
    </row>
    <row r="3289" customFormat="false" ht="12" hidden="false" customHeight="false" outlineLevel="0" collapsed="false">
      <c r="A3289" s="182" t="s">
        <v>5752</v>
      </c>
    </row>
    <row r="3290" customFormat="false" ht="12" hidden="false" customHeight="false" outlineLevel="0" collapsed="false">
      <c r="A3290" s="182" t="s">
        <v>5753</v>
      </c>
    </row>
    <row r="3291" customFormat="false" ht="12" hidden="false" customHeight="false" outlineLevel="0" collapsed="false">
      <c r="A3291" s="182" t="s">
        <v>5754</v>
      </c>
    </row>
    <row r="3292" customFormat="false" ht="12" hidden="false" customHeight="false" outlineLevel="0" collapsed="false">
      <c r="A3292" s="182" t="s">
        <v>5755</v>
      </c>
    </row>
    <row r="3293" customFormat="false" ht="12" hidden="false" customHeight="false" outlineLevel="0" collapsed="false">
      <c r="A3293" s="182" t="s">
        <v>5756</v>
      </c>
    </row>
    <row r="3294" customFormat="false" ht="12" hidden="false" customHeight="false" outlineLevel="0" collapsed="false">
      <c r="A3294" s="182" t="s">
        <v>5757</v>
      </c>
    </row>
    <row r="3295" customFormat="false" ht="12" hidden="false" customHeight="false" outlineLevel="0" collapsed="false">
      <c r="A3295" s="182" t="s">
        <v>5758</v>
      </c>
    </row>
    <row r="3296" customFormat="false" ht="12" hidden="false" customHeight="false" outlineLevel="0" collapsed="false">
      <c r="A3296" s="182" t="s">
        <v>5759</v>
      </c>
    </row>
    <row r="3297" customFormat="false" ht="12" hidden="false" customHeight="false" outlineLevel="0" collapsed="false">
      <c r="A3297" s="182" t="s">
        <v>5760</v>
      </c>
    </row>
    <row r="3298" customFormat="false" ht="12" hidden="false" customHeight="false" outlineLevel="0" collapsed="false">
      <c r="A3298" s="182" t="s">
        <v>5761</v>
      </c>
    </row>
    <row r="3299" customFormat="false" ht="12" hidden="false" customHeight="false" outlineLevel="0" collapsed="false">
      <c r="A3299" s="182" t="s">
        <v>5762</v>
      </c>
    </row>
    <row r="3300" customFormat="false" ht="12" hidden="false" customHeight="false" outlineLevel="0" collapsed="false">
      <c r="A3300" s="182" t="s">
        <v>5763</v>
      </c>
    </row>
    <row r="3301" customFormat="false" ht="12" hidden="false" customHeight="false" outlineLevel="0" collapsed="false">
      <c r="A3301" s="182" t="s">
        <v>5764</v>
      </c>
    </row>
    <row r="3302" customFormat="false" ht="12" hidden="false" customHeight="false" outlineLevel="0" collapsed="false">
      <c r="A3302" s="182" t="s">
        <v>5765</v>
      </c>
    </row>
    <row r="3303" customFormat="false" ht="12" hidden="false" customHeight="false" outlineLevel="0" collapsed="false">
      <c r="A3303" s="182" t="s">
        <v>5766</v>
      </c>
    </row>
    <row r="3304" customFormat="false" ht="12" hidden="false" customHeight="false" outlineLevel="0" collapsed="false">
      <c r="A3304" s="182" t="s">
        <v>5767</v>
      </c>
    </row>
    <row r="3305" customFormat="false" ht="12" hidden="false" customHeight="false" outlineLevel="0" collapsed="false">
      <c r="A3305" s="182" t="s">
        <v>5768</v>
      </c>
    </row>
    <row r="3306" customFormat="false" ht="12" hidden="false" customHeight="false" outlineLevel="0" collapsed="false">
      <c r="A3306" s="182" t="s">
        <v>5769</v>
      </c>
    </row>
    <row r="3307" customFormat="false" ht="12" hidden="false" customHeight="false" outlineLevel="0" collapsed="false">
      <c r="A3307" s="182" t="s">
        <v>5770</v>
      </c>
    </row>
    <row r="3308" customFormat="false" ht="12" hidden="false" customHeight="false" outlineLevel="0" collapsed="false">
      <c r="A3308" s="182" t="s">
        <v>5771</v>
      </c>
    </row>
    <row r="3309" customFormat="false" ht="12" hidden="false" customHeight="false" outlineLevel="0" collapsed="false">
      <c r="A3309" s="182" t="s">
        <v>5772</v>
      </c>
    </row>
    <row r="3310" customFormat="false" ht="12" hidden="false" customHeight="false" outlineLevel="0" collapsed="false">
      <c r="A3310" s="182" t="s">
        <v>5773</v>
      </c>
    </row>
    <row r="3311" customFormat="false" ht="12" hidden="false" customHeight="false" outlineLevel="0" collapsed="false">
      <c r="A3311" s="182" t="s">
        <v>5774</v>
      </c>
    </row>
    <row r="3312" customFormat="false" ht="12" hidden="false" customHeight="false" outlineLevel="0" collapsed="false">
      <c r="A3312" s="182" t="s">
        <v>5775</v>
      </c>
    </row>
    <row r="3313" customFormat="false" ht="12" hidden="false" customHeight="false" outlineLevel="0" collapsed="false">
      <c r="A3313" s="182" t="s">
        <v>5776</v>
      </c>
    </row>
    <row r="3314" customFormat="false" ht="12" hidden="false" customHeight="false" outlineLevel="0" collapsed="false">
      <c r="A3314" s="182" t="s">
        <v>5777</v>
      </c>
    </row>
    <row r="3315" customFormat="false" ht="12" hidden="false" customHeight="false" outlineLevel="0" collapsed="false">
      <c r="A3315" s="182" t="s">
        <v>5778</v>
      </c>
    </row>
    <row r="3316" customFormat="false" ht="12" hidden="false" customHeight="false" outlineLevel="0" collapsed="false">
      <c r="A3316" s="182" t="s">
        <v>5779</v>
      </c>
    </row>
    <row r="3317" customFormat="false" ht="12" hidden="false" customHeight="false" outlineLevel="0" collapsed="false">
      <c r="A3317" s="182" t="s">
        <v>5780</v>
      </c>
    </row>
    <row r="3318" customFormat="false" ht="12" hidden="false" customHeight="false" outlineLevel="0" collapsed="false">
      <c r="A3318" s="182" t="s">
        <v>5781</v>
      </c>
    </row>
    <row r="3319" customFormat="false" ht="12" hidden="false" customHeight="false" outlineLevel="0" collapsed="false">
      <c r="A3319" s="182" t="s">
        <v>5782</v>
      </c>
    </row>
    <row r="3320" customFormat="false" ht="12" hidden="false" customHeight="false" outlineLevel="0" collapsed="false">
      <c r="A3320" s="182" t="s">
        <v>5783</v>
      </c>
    </row>
    <row r="3321" customFormat="false" ht="12" hidden="false" customHeight="false" outlineLevel="0" collapsed="false">
      <c r="A3321" s="182" t="s">
        <v>5784</v>
      </c>
    </row>
    <row r="3322" customFormat="false" ht="12" hidden="false" customHeight="false" outlineLevel="0" collapsed="false">
      <c r="A3322" s="182" t="s">
        <v>5785</v>
      </c>
    </row>
    <row r="3323" customFormat="false" ht="12" hidden="false" customHeight="false" outlineLevel="0" collapsed="false">
      <c r="A3323" s="182" t="s">
        <v>5786</v>
      </c>
    </row>
    <row r="3324" customFormat="false" ht="12" hidden="false" customHeight="false" outlineLevel="0" collapsed="false">
      <c r="A3324" s="182" t="s">
        <v>5787</v>
      </c>
    </row>
    <row r="3325" customFormat="false" ht="12" hidden="false" customHeight="false" outlineLevel="0" collapsed="false">
      <c r="A3325" s="182" t="s">
        <v>5788</v>
      </c>
    </row>
    <row r="3326" customFormat="false" ht="12" hidden="false" customHeight="false" outlineLevel="0" collapsed="false">
      <c r="A3326" s="182" t="s">
        <v>5789</v>
      </c>
    </row>
    <row r="3327" customFormat="false" ht="12" hidden="false" customHeight="false" outlineLevel="0" collapsed="false">
      <c r="A3327" s="182" t="s">
        <v>5790</v>
      </c>
    </row>
    <row r="3328" customFormat="false" ht="12" hidden="false" customHeight="false" outlineLevel="0" collapsed="false">
      <c r="A3328" s="182" t="s">
        <v>5791</v>
      </c>
    </row>
    <row r="3329" customFormat="false" ht="12" hidden="false" customHeight="false" outlineLevel="0" collapsed="false">
      <c r="A3329" s="182" t="s">
        <v>5792</v>
      </c>
    </row>
    <row r="3330" customFormat="false" ht="12" hidden="false" customHeight="false" outlineLevel="0" collapsed="false">
      <c r="A3330" s="182" t="s">
        <v>5793</v>
      </c>
    </row>
    <row r="3331" customFormat="false" ht="12" hidden="false" customHeight="false" outlineLevel="0" collapsed="false">
      <c r="A3331" s="182" t="s">
        <v>5794</v>
      </c>
    </row>
    <row r="3332" customFormat="false" ht="12" hidden="false" customHeight="false" outlineLevel="0" collapsed="false">
      <c r="A3332" s="182" t="s">
        <v>5795</v>
      </c>
    </row>
    <row r="3333" customFormat="false" ht="12" hidden="false" customHeight="false" outlineLevel="0" collapsed="false">
      <c r="A3333" s="182" t="s">
        <v>5796</v>
      </c>
    </row>
    <row r="3334" customFormat="false" ht="12" hidden="false" customHeight="false" outlineLevel="0" collapsed="false">
      <c r="A3334" s="182" t="s">
        <v>5797</v>
      </c>
    </row>
    <row r="3335" customFormat="false" ht="12" hidden="false" customHeight="false" outlineLevel="0" collapsed="false">
      <c r="A3335" s="182" t="s">
        <v>5798</v>
      </c>
    </row>
    <row r="3336" customFormat="false" ht="12" hidden="false" customHeight="false" outlineLevel="0" collapsed="false">
      <c r="A3336" s="182" t="s">
        <v>5799</v>
      </c>
    </row>
    <row r="3337" customFormat="false" ht="12" hidden="false" customHeight="false" outlineLevel="0" collapsed="false">
      <c r="A3337" s="182" t="s">
        <v>5800</v>
      </c>
    </row>
    <row r="3338" customFormat="false" ht="12" hidden="false" customHeight="false" outlineLevel="0" collapsed="false">
      <c r="A3338" s="182" t="s">
        <v>5801</v>
      </c>
    </row>
    <row r="3339" customFormat="false" ht="12" hidden="false" customHeight="false" outlineLevel="0" collapsed="false">
      <c r="A3339" s="182" t="s">
        <v>5802</v>
      </c>
    </row>
    <row r="3340" customFormat="false" ht="12" hidden="false" customHeight="false" outlineLevel="0" collapsed="false">
      <c r="A3340" s="182" t="s">
        <v>5803</v>
      </c>
    </row>
    <row r="3341" customFormat="false" ht="12" hidden="false" customHeight="false" outlineLevel="0" collapsed="false">
      <c r="A3341" s="182" t="s">
        <v>5804</v>
      </c>
    </row>
    <row r="3342" customFormat="false" ht="12" hidden="false" customHeight="false" outlineLevel="0" collapsed="false">
      <c r="A3342" s="182" t="s">
        <v>5805</v>
      </c>
    </row>
    <row r="3343" customFormat="false" ht="12" hidden="false" customHeight="false" outlineLevel="0" collapsed="false">
      <c r="A3343" s="182" t="s">
        <v>5806</v>
      </c>
    </row>
    <row r="3344" customFormat="false" ht="12" hidden="false" customHeight="false" outlineLevel="0" collapsed="false">
      <c r="A3344" s="182" t="s">
        <v>5807</v>
      </c>
    </row>
    <row r="3345" customFormat="false" ht="12" hidden="false" customHeight="false" outlineLevel="0" collapsed="false">
      <c r="A3345" s="182" t="s">
        <v>5808</v>
      </c>
    </row>
    <row r="3346" customFormat="false" ht="12" hidden="false" customHeight="false" outlineLevel="0" collapsed="false">
      <c r="A3346" s="182" t="s">
        <v>5809</v>
      </c>
    </row>
    <row r="3347" customFormat="false" ht="12" hidden="false" customHeight="false" outlineLevel="0" collapsed="false">
      <c r="A3347" s="182" t="s">
        <v>5810</v>
      </c>
    </row>
    <row r="3348" customFormat="false" ht="12" hidden="false" customHeight="false" outlineLevel="0" collapsed="false">
      <c r="A3348" s="182" t="s">
        <v>5811</v>
      </c>
    </row>
    <row r="3349" customFormat="false" ht="12" hidden="false" customHeight="false" outlineLevel="0" collapsed="false">
      <c r="A3349" s="182" t="s">
        <v>5812</v>
      </c>
    </row>
    <row r="3350" customFormat="false" ht="12" hidden="false" customHeight="false" outlineLevel="0" collapsed="false">
      <c r="A3350" s="182" t="s">
        <v>5813</v>
      </c>
    </row>
    <row r="3351" customFormat="false" ht="12" hidden="false" customHeight="false" outlineLevel="0" collapsed="false">
      <c r="A3351" s="182" t="s">
        <v>5814</v>
      </c>
    </row>
    <row r="3352" customFormat="false" ht="12" hidden="false" customHeight="false" outlineLevel="0" collapsed="false">
      <c r="A3352" s="182" t="s">
        <v>5815</v>
      </c>
    </row>
    <row r="3353" customFormat="false" ht="12" hidden="false" customHeight="false" outlineLevel="0" collapsed="false">
      <c r="A3353" s="182" t="s">
        <v>5816</v>
      </c>
    </row>
    <row r="3354" customFormat="false" ht="12" hidden="false" customHeight="false" outlineLevel="0" collapsed="false">
      <c r="A3354" s="182" t="s">
        <v>5817</v>
      </c>
    </row>
    <row r="3355" customFormat="false" ht="12" hidden="false" customHeight="false" outlineLevel="0" collapsed="false">
      <c r="A3355" s="182" t="s">
        <v>5818</v>
      </c>
    </row>
    <row r="3356" customFormat="false" ht="12" hidden="false" customHeight="false" outlineLevel="0" collapsed="false">
      <c r="A3356" s="182" t="s">
        <v>5819</v>
      </c>
    </row>
    <row r="3357" customFormat="false" ht="12" hidden="false" customHeight="false" outlineLevel="0" collapsed="false">
      <c r="A3357" s="182" t="s">
        <v>5820</v>
      </c>
    </row>
    <row r="3358" customFormat="false" ht="12" hidden="false" customHeight="false" outlineLevel="0" collapsed="false">
      <c r="A3358" s="182" t="s">
        <v>5821</v>
      </c>
    </row>
    <row r="3359" customFormat="false" ht="12" hidden="false" customHeight="false" outlineLevel="0" collapsed="false">
      <c r="A3359" s="182" t="s">
        <v>5822</v>
      </c>
    </row>
    <row r="3360" customFormat="false" ht="12" hidden="false" customHeight="false" outlineLevel="0" collapsed="false">
      <c r="A3360" s="182" t="s">
        <v>5823</v>
      </c>
    </row>
    <row r="3361" customFormat="false" ht="12" hidden="false" customHeight="false" outlineLevel="0" collapsed="false">
      <c r="A3361" s="182" t="s">
        <v>5824</v>
      </c>
    </row>
    <row r="3362" customFormat="false" ht="12" hidden="false" customHeight="false" outlineLevel="0" collapsed="false">
      <c r="A3362" s="182" t="s">
        <v>5825</v>
      </c>
    </row>
    <row r="3363" customFormat="false" ht="12" hidden="false" customHeight="false" outlineLevel="0" collapsed="false">
      <c r="A3363" s="182" t="s">
        <v>5826</v>
      </c>
    </row>
    <row r="3364" customFormat="false" ht="12" hidden="false" customHeight="false" outlineLevel="0" collapsed="false">
      <c r="A3364" s="182" t="s">
        <v>5827</v>
      </c>
    </row>
    <row r="3365" customFormat="false" ht="12" hidden="false" customHeight="false" outlineLevel="0" collapsed="false">
      <c r="A3365" s="182" t="s">
        <v>5828</v>
      </c>
    </row>
    <row r="3366" customFormat="false" ht="12" hidden="false" customHeight="false" outlineLevel="0" collapsed="false">
      <c r="A3366" s="182" t="s">
        <v>5829</v>
      </c>
    </row>
    <row r="3367" customFormat="false" ht="12" hidden="false" customHeight="false" outlineLevel="0" collapsed="false">
      <c r="A3367" s="182" t="s">
        <v>5830</v>
      </c>
    </row>
    <row r="3368" customFormat="false" ht="12" hidden="false" customHeight="false" outlineLevel="0" collapsed="false">
      <c r="A3368" s="182" t="s">
        <v>5831</v>
      </c>
    </row>
    <row r="3369" customFormat="false" ht="12" hidden="false" customHeight="false" outlineLevel="0" collapsed="false">
      <c r="A3369" s="182" t="s">
        <v>5832</v>
      </c>
    </row>
    <row r="3370" customFormat="false" ht="12" hidden="false" customHeight="false" outlineLevel="0" collapsed="false">
      <c r="A3370" s="182" t="s">
        <v>5833</v>
      </c>
    </row>
    <row r="3371" customFormat="false" ht="12" hidden="false" customHeight="false" outlineLevel="0" collapsed="false">
      <c r="A3371" s="182" t="s">
        <v>5834</v>
      </c>
    </row>
    <row r="3372" customFormat="false" ht="12" hidden="false" customHeight="false" outlineLevel="0" collapsed="false">
      <c r="A3372" s="182" t="s">
        <v>5835</v>
      </c>
    </row>
    <row r="3373" customFormat="false" ht="12" hidden="false" customHeight="false" outlineLevel="0" collapsed="false">
      <c r="A3373" s="182" t="s">
        <v>5836</v>
      </c>
    </row>
    <row r="3374" customFormat="false" ht="12" hidden="false" customHeight="false" outlineLevel="0" collapsed="false">
      <c r="A3374" s="182" t="s">
        <v>5837</v>
      </c>
    </row>
    <row r="3375" customFormat="false" ht="12" hidden="false" customHeight="false" outlineLevel="0" collapsed="false">
      <c r="A3375" s="182" t="s">
        <v>5838</v>
      </c>
    </row>
    <row r="3376" customFormat="false" ht="12" hidden="false" customHeight="false" outlineLevel="0" collapsed="false">
      <c r="A3376" s="182" t="s">
        <v>5839</v>
      </c>
    </row>
    <row r="3377" customFormat="false" ht="12" hidden="false" customHeight="false" outlineLevel="0" collapsed="false">
      <c r="A3377" s="182" t="s">
        <v>5840</v>
      </c>
    </row>
    <row r="3378" customFormat="false" ht="12" hidden="false" customHeight="false" outlineLevel="0" collapsed="false">
      <c r="A3378" s="182" t="s">
        <v>5841</v>
      </c>
    </row>
    <row r="3379" customFormat="false" ht="12" hidden="false" customHeight="false" outlineLevel="0" collapsed="false">
      <c r="A3379" s="182" t="s">
        <v>5842</v>
      </c>
    </row>
    <row r="3380" customFormat="false" ht="12" hidden="false" customHeight="false" outlineLevel="0" collapsed="false">
      <c r="A3380" s="182" t="s">
        <v>5843</v>
      </c>
    </row>
    <row r="3381" customFormat="false" ht="12" hidden="false" customHeight="false" outlineLevel="0" collapsed="false">
      <c r="A3381" s="182" t="s">
        <v>5844</v>
      </c>
    </row>
    <row r="3382" customFormat="false" ht="12" hidden="false" customHeight="false" outlineLevel="0" collapsed="false">
      <c r="A3382" s="182" t="s">
        <v>5845</v>
      </c>
    </row>
    <row r="3383" customFormat="false" ht="12" hidden="false" customHeight="false" outlineLevel="0" collapsed="false">
      <c r="A3383" s="182" t="s">
        <v>5846</v>
      </c>
    </row>
    <row r="3384" customFormat="false" ht="12" hidden="false" customHeight="false" outlineLevel="0" collapsed="false">
      <c r="A3384" s="182" t="s">
        <v>5847</v>
      </c>
    </row>
    <row r="3385" customFormat="false" ht="12" hidden="false" customHeight="false" outlineLevel="0" collapsed="false">
      <c r="A3385" s="182" t="s">
        <v>5848</v>
      </c>
    </row>
    <row r="3386" customFormat="false" ht="12" hidden="false" customHeight="false" outlineLevel="0" collapsed="false">
      <c r="A3386" s="182" t="s">
        <v>5849</v>
      </c>
    </row>
    <row r="3387" customFormat="false" ht="12" hidden="false" customHeight="false" outlineLevel="0" collapsed="false">
      <c r="A3387" s="182" t="s">
        <v>5850</v>
      </c>
    </row>
    <row r="3388" customFormat="false" ht="12" hidden="false" customHeight="false" outlineLevel="0" collapsed="false">
      <c r="A3388" s="182" t="s">
        <v>5851</v>
      </c>
    </row>
    <row r="3389" customFormat="false" ht="12" hidden="false" customHeight="false" outlineLevel="0" collapsed="false">
      <c r="A3389" s="182" t="s">
        <v>5852</v>
      </c>
    </row>
    <row r="3390" customFormat="false" ht="12" hidden="false" customHeight="false" outlineLevel="0" collapsed="false">
      <c r="A3390" s="182" t="s">
        <v>5853</v>
      </c>
    </row>
    <row r="3391" customFormat="false" ht="12" hidden="false" customHeight="false" outlineLevel="0" collapsed="false">
      <c r="A3391" s="182" t="s">
        <v>5854</v>
      </c>
    </row>
    <row r="3392" customFormat="false" ht="12" hidden="false" customHeight="false" outlineLevel="0" collapsed="false">
      <c r="A3392" s="182" t="s">
        <v>5855</v>
      </c>
    </row>
    <row r="3393" customFormat="false" ht="12" hidden="false" customHeight="false" outlineLevel="0" collapsed="false">
      <c r="A3393" s="182" t="s">
        <v>5856</v>
      </c>
    </row>
    <row r="3394" customFormat="false" ht="12" hidden="false" customHeight="false" outlineLevel="0" collapsed="false">
      <c r="A3394" s="182" t="s">
        <v>5857</v>
      </c>
    </row>
    <row r="3395" customFormat="false" ht="12" hidden="false" customHeight="false" outlineLevel="0" collapsed="false">
      <c r="A3395" s="182" t="s">
        <v>5858</v>
      </c>
    </row>
    <row r="3396" customFormat="false" ht="12" hidden="false" customHeight="false" outlineLevel="0" collapsed="false">
      <c r="A3396" s="182" t="s">
        <v>5859</v>
      </c>
    </row>
    <row r="3397" customFormat="false" ht="12" hidden="false" customHeight="false" outlineLevel="0" collapsed="false">
      <c r="A3397" s="182" t="s">
        <v>5860</v>
      </c>
    </row>
    <row r="3398" customFormat="false" ht="12" hidden="false" customHeight="false" outlineLevel="0" collapsed="false">
      <c r="A3398" s="182" t="s">
        <v>5861</v>
      </c>
    </row>
    <row r="3399" customFormat="false" ht="12" hidden="false" customHeight="false" outlineLevel="0" collapsed="false">
      <c r="A3399" s="182" t="s">
        <v>5862</v>
      </c>
    </row>
    <row r="3400" customFormat="false" ht="12" hidden="false" customHeight="false" outlineLevel="0" collapsed="false">
      <c r="A3400" s="182" t="s">
        <v>5863</v>
      </c>
    </row>
    <row r="3401" customFormat="false" ht="12" hidden="false" customHeight="false" outlineLevel="0" collapsed="false">
      <c r="A3401" s="182" t="s">
        <v>5864</v>
      </c>
    </row>
    <row r="3402" customFormat="false" ht="12" hidden="false" customHeight="false" outlineLevel="0" collapsed="false">
      <c r="A3402" s="182" t="s">
        <v>5865</v>
      </c>
    </row>
    <row r="3403" customFormat="false" ht="12" hidden="false" customHeight="false" outlineLevel="0" collapsed="false">
      <c r="A3403" s="182" t="s">
        <v>5866</v>
      </c>
    </row>
    <row r="3404" customFormat="false" ht="12" hidden="false" customHeight="false" outlineLevel="0" collapsed="false">
      <c r="A3404" s="182" t="s">
        <v>5867</v>
      </c>
    </row>
    <row r="3405" customFormat="false" ht="12" hidden="false" customHeight="false" outlineLevel="0" collapsed="false">
      <c r="A3405" s="182" t="s">
        <v>5868</v>
      </c>
    </row>
    <row r="3406" customFormat="false" ht="12" hidden="false" customHeight="false" outlineLevel="0" collapsed="false">
      <c r="A3406" s="182" t="s">
        <v>5869</v>
      </c>
    </row>
    <row r="3407" customFormat="false" ht="12" hidden="false" customHeight="false" outlineLevel="0" collapsed="false">
      <c r="A3407" s="182" t="s">
        <v>5870</v>
      </c>
    </row>
    <row r="3408" customFormat="false" ht="12" hidden="false" customHeight="false" outlineLevel="0" collapsed="false">
      <c r="A3408" s="182" t="s">
        <v>5871</v>
      </c>
    </row>
    <row r="3409" customFormat="false" ht="12" hidden="false" customHeight="false" outlineLevel="0" collapsed="false">
      <c r="A3409" s="182" t="s">
        <v>5872</v>
      </c>
    </row>
    <row r="3410" customFormat="false" ht="12" hidden="false" customHeight="false" outlineLevel="0" collapsed="false">
      <c r="A3410" s="182" t="s">
        <v>5873</v>
      </c>
    </row>
    <row r="3411" customFormat="false" ht="12" hidden="false" customHeight="false" outlineLevel="0" collapsed="false">
      <c r="A3411" s="182" t="s">
        <v>5874</v>
      </c>
    </row>
    <row r="3412" customFormat="false" ht="12" hidden="false" customHeight="false" outlineLevel="0" collapsed="false">
      <c r="A3412" s="182" t="s">
        <v>5875</v>
      </c>
    </row>
    <row r="3413" customFormat="false" ht="12" hidden="false" customHeight="false" outlineLevel="0" collapsed="false">
      <c r="A3413" s="182" t="s">
        <v>5876</v>
      </c>
    </row>
    <row r="3414" customFormat="false" ht="12" hidden="false" customHeight="false" outlineLevel="0" collapsed="false">
      <c r="A3414" s="182" t="s">
        <v>5877</v>
      </c>
    </row>
    <row r="3415" customFormat="false" ht="12" hidden="false" customHeight="false" outlineLevel="0" collapsed="false">
      <c r="A3415" s="182" t="s">
        <v>5878</v>
      </c>
    </row>
    <row r="3416" customFormat="false" ht="12" hidden="false" customHeight="false" outlineLevel="0" collapsed="false">
      <c r="A3416" s="182" t="s">
        <v>5879</v>
      </c>
    </row>
    <row r="3417" customFormat="false" ht="12" hidden="false" customHeight="false" outlineLevel="0" collapsed="false">
      <c r="A3417" s="182" t="s">
        <v>5880</v>
      </c>
    </row>
    <row r="3418" customFormat="false" ht="12" hidden="false" customHeight="false" outlineLevel="0" collapsed="false">
      <c r="A3418" s="182" t="s">
        <v>5881</v>
      </c>
    </row>
    <row r="3419" customFormat="false" ht="12" hidden="false" customHeight="false" outlineLevel="0" collapsed="false">
      <c r="A3419" s="182" t="s">
        <v>5882</v>
      </c>
    </row>
    <row r="3420" customFormat="false" ht="12" hidden="false" customHeight="false" outlineLevel="0" collapsed="false">
      <c r="A3420" s="182" t="s">
        <v>5883</v>
      </c>
    </row>
    <row r="3421" customFormat="false" ht="12" hidden="false" customHeight="false" outlineLevel="0" collapsed="false">
      <c r="A3421" s="182" t="s">
        <v>5884</v>
      </c>
    </row>
    <row r="3422" customFormat="false" ht="12" hidden="false" customHeight="false" outlineLevel="0" collapsed="false">
      <c r="A3422" s="182" t="s">
        <v>5885</v>
      </c>
    </row>
    <row r="3423" customFormat="false" ht="12" hidden="false" customHeight="false" outlineLevel="0" collapsed="false">
      <c r="A3423" s="182" t="s">
        <v>5886</v>
      </c>
    </row>
    <row r="3424" customFormat="false" ht="12" hidden="false" customHeight="false" outlineLevel="0" collapsed="false">
      <c r="A3424" s="182" t="s">
        <v>5887</v>
      </c>
    </row>
    <row r="3425" customFormat="false" ht="12" hidden="false" customHeight="false" outlineLevel="0" collapsed="false">
      <c r="A3425" s="182" t="s">
        <v>5888</v>
      </c>
    </row>
    <row r="3426" customFormat="false" ht="12" hidden="false" customHeight="false" outlineLevel="0" collapsed="false">
      <c r="A3426" s="182" t="s">
        <v>5889</v>
      </c>
    </row>
    <row r="3427" customFormat="false" ht="12" hidden="false" customHeight="false" outlineLevel="0" collapsed="false">
      <c r="A3427" s="182" t="s">
        <v>5890</v>
      </c>
    </row>
    <row r="3428" customFormat="false" ht="12" hidden="false" customHeight="false" outlineLevel="0" collapsed="false">
      <c r="A3428" s="182" t="s">
        <v>5891</v>
      </c>
    </row>
    <row r="3429" customFormat="false" ht="12" hidden="false" customHeight="false" outlineLevel="0" collapsed="false">
      <c r="A3429" s="182" t="s">
        <v>5892</v>
      </c>
    </row>
    <row r="3430" customFormat="false" ht="12" hidden="false" customHeight="false" outlineLevel="0" collapsed="false">
      <c r="A3430" s="182" t="s">
        <v>5893</v>
      </c>
    </row>
    <row r="3431" customFormat="false" ht="12" hidden="false" customHeight="false" outlineLevel="0" collapsed="false">
      <c r="A3431" s="182" t="s">
        <v>5894</v>
      </c>
    </row>
    <row r="3432" customFormat="false" ht="12" hidden="false" customHeight="false" outlineLevel="0" collapsed="false">
      <c r="A3432" s="182" t="s">
        <v>5895</v>
      </c>
    </row>
    <row r="3433" customFormat="false" ht="12" hidden="false" customHeight="false" outlineLevel="0" collapsed="false">
      <c r="A3433" s="182" t="s">
        <v>5896</v>
      </c>
    </row>
    <row r="3434" customFormat="false" ht="12" hidden="false" customHeight="false" outlineLevel="0" collapsed="false">
      <c r="A3434" s="182" t="s">
        <v>5897</v>
      </c>
    </row>
    <row r="3435" customFormat="false" ht="12" hidden="false" customHeight="false" outlineLevel="0" collapsed="false">
      <c r="A3435" s="182" t="s">
        <v>5898</v>
      </c>
    </row>
    <row r="3436" customFormat="false" ht="12" hidden="false" customHeight="false" outlineLevel="0" collapsed="false">
      <c r="A3436" s="182" t="s">
        <v>5899</v>
      </c>
    </row>
    <row r="3437" customFormat="false" ht="12" hidden="false" customHeight="false" outlineLevel="0" collapsed="false">
      <c r="A3437" s="182" t="s">
        <v>5900</v>
      </c>
    </row>
    <row r="3438" customFormat="false" ht="12" hidden="false" customHeight="false" outlineLevel="0" collapsed="false">
      <c r="A3438" s="182" t="s">
        <v>5901</v>
      </c>
    </row>
    <row r="3439" customFormat="false" ht="12" hidden="false" customHeight="false" outlineLevel="0" collapsed="false">
      <c r="A3439" s="182" t="s">
        <v>5902</v>
      </c>
    </row>
    <row r="3440" customFormat="false" ht="12" hidden="false" customHeight="false" outlineLevel="0" collapsed="false">
      <c r="A3440" s="182" t="s">
        <v>5903</v>
      </c>
    </row>
    <row r="3441" customFormat="false" ht="12" hidden="false" customHeight="false" outlineLevel="0" collapsed="false">
      <c r="A3441" s="182" t="s">
        <v>5904</v>
      </c>
    </row>
    <row r="3442" customFormat="false" ht="12" hidden="false" customHeight="false" outlineLevel="0" collapsed="false">
      <c r="A3442" s="182" t="s">
        <v>5905</v>
      </c>
    </row>
    <row r="3443" customFormat="false" ht="12" hidden="false" customHeight="false" outlineLevel="0" collapsed="false">
      <c r="A3443" s="182" t="s">
        <v>5906</v>
      </c>
    </row>
    <row r="3444" customFormat="false" ht="12" hidden="false" customHeight="false" outlineLevel="0" collapsed="false">
      <c r="A3444" s="182" t="s">
        <v>5907</v>
      </c>
    </row>
    <row r="3445" customFormat="false" ht="12" hidden="false" customHeight="false" outlineLevel="0" collapsed="false">
      <c r="A3445" s="182" t="s">
        <v>5908</v>
      </c>
    </row>
    <row r="3446" customFormat="false" ht="12" hidden="false" customHeight="false" outlineLevel="0" collapsed="false">
      <c r="A3446" s="182" t="s">
        <v>5909</v>
      </c>
    </row>
    <row r="3447" customFormat="false" ht="12" hidden="false" customHeight="false" outlineLevel="0" collapsed="false">
      <c r="A3447" s="182" t="s">
        <v>5910</v>
      </c>
    </row>
    <row r="3448" customFormat="false" ht="12" hidden="false" customHeight="false" outlineLevel="0" collapsed="false">
      <c r="A3448" s="182" t="s">
        <v>5911</v>
      </c>
    </row>
    <row r="3449" customFormat="false" ht="12" hidden="false" customHeight="false" outlineLevel="0" collapsed="false">
      <c r="A3449" s="182" t="s">
        <v>5912</v>
      </c>
    </row>
    <row r="3450" customFormat="false" ht="12" hidden="false" customHeight="false" outlineLevel="0" collapsed="false">
      <c r="A3450" s="182" t="s">
        <v>5913</v>
      </c>
    </row>
    <row r="3451" customFormat="false" ht="12" hidden="false" customHeight="false" outlineLevel="0" collapsed="false">
      <c r="A3451" s="182" t="s">
        <v>5914</v>
      </c>
    </row>
    <row r="3452" customFormat="false" ht="12" hidden="false" customHeight="false" outlineLevel="0" collapsed="false">
      <c r="A3452" s="182" t="s">
        <v>5915</v>
      </c>
    </row>
    <row r="3453" customFormat="false" ht="12" hidden="false" customHeight="false" outlineLevel="0" collapsed="false">
      <c r="A3453" s="182" t="s">
        <v>5916</v>
      </c>
    </row>
    <row r="3454" customFormat="false" ht="12" hidden="false" customHeight="false" outlineLevel="0" collapsed="false">
      <c r="A3454" s="182" t="s">
        <v>5917</v>
      </c>
    </row>
    <row r="3455" customFormat="false" ht="12" hidden="false" customHeight="false" outlineLevel="0" collapsed="false">
      <c r="A3455" s="182" t="s">
        <v>5918</v>
      </c>
    </row>
    <row r="3456" customFormat="false" ht="12" hidden="false" customHeight="false" outlineLevel="0" collapsed="false">
      <c r="A3456" s="182" t="s">
        <v>5919</v>
      </c>
    </row>
    <row r="3457" customFormat="false" ht="12" hidden="false" customHeight="false" outlineLevel="0" collapsed="false">
      <c r="A3457" s="182" t="s">
        <v>5920</v>
      </c>
    </row>
    <row r="3458" customFormat="false" ht="12" hidden="false" customHeight="false" outlineLevel="0" collapsed="false">
      <c r="A3458" s="182" t="s">
        <v>5921</v>
      </c>
    </row>
    <row r="3459" customFormat="false" ht="12" hidden="false" customHeight="false" outlineLevel="0" collapsed="false">
      <c r="A3459" s="182" t="s">
        <v>5922</v>
      </c>
    </row>
    <row r="3460" customFormat="false" ht="12" hidden="false" customHeight="false" outlineLevel="0" collapsed="false">
      <c r="A3460" s="182" t="s">
        <v>5923</v>
      </c>
    </row>
    <row r="3461" customFormat="false" ht="12" hidden="false" customHeight="false" outlineLevel="0" collapsed="false">
      <c r="A3461" s="182" t="s">
        <v>5924</v>
      </c>
    </row>
    <row r="3462" customFormat="false" ht="12" hidden="false" customHeight="false" outlineLevel="0" collapsed="false">
      <c r="A3462" s="182" t="s">
        <v>5925</v>
      </c>
    </row>
    <row r="3463" customFormat="false" ht="12" hidden="false" customHeight="false" outlineLevel="0" collapsed="false">
      <c r="A3463" s="182" t="s">
        <v>5926</v>
      </c>
    </row>
    <row r="3464" customFormat="false" ht="12" hidden="false" customHeight="false" outlineLevel="0" collapsed="false">
      <c r="A3464" s="182" t="s">
        <v>5927</v>
      </c>
    </row>
    <row r="3465" customFormat="false" ht="12" hidden="false" customHeight="false" outlineLevel="0" collapsed="false">
      <c r="A3465" s="182" t="s">
        <v>5928</v>
      </c>
    </row>
    <row r="3466" customFormat="false" ht="12" hidden="false" customHeight="false" outlineLevel="0" collapsed="false">
      <c r="A3466" s="182" t="s">
        <v>5929</v>
      </c>
    </row>
    <row r="3467" customFormat="false" ht="12" hidden="false" customHeight="false" outlineLevel="0" collapsed="false">
      <c r="A3467" s="182" t="s">
        <v>5930</v>
      </c>
    </row>
    <row r="3468" customFormat="false" ht="12" hidden="false" customHeight="false" outlineLevel="0" collapsed="false">
      <c r="A3468" s="182" t="s">
        <v>5931</v>
      </c>
    </row>
    <row r="3469" customFormat="false" ht="12" hidden="false" customHeight="false" outlineLevel="0" collapsed="false">
      <c r="A3469" s="182" t="s">
        <v>5932</v>
      </c>
    </row>
    <row r="3470" customFormat="false" ht="12" hidden="false" customHeight="false" outlineLevel="0" collapsed="false">
      <c r="A3470" s="182" t="s">
        <v>5933</v>
      </c>
    </row>
    <row r="3471" customFormat="false" ht="12" hidden="false" customHeight="false" outlineLevel="0" collapsed="false">
      <c r="A3471" s="182" t="s">
        <v>5934</v>
      </c>
    </row>
    <row r="3472" customFormat="false" ht="12" hidden="false" customHeight="false" outlineLevel="0" collapsed="false">
      <c r="A3472" s="182" t="s">
        <v>5935</v>
      </c>
    </row>
    <row r="3473" customFormat="false" ht="12" hidden="false" customHeight="false" outlineLevel="0" collapsed="false">
      <c r="A3473" s="182" t="s">
        <v>5936</v>
      </c>
    </row>
    <row r="3474" customFormat="false" ht="12" hidden="false" customHeight="false" outlineLevel="0" collapsed="false">
      <c r="A3474" s="182" t="s">
        <v>5937</v>
      </c>
    </row>
    <row r="3475" customFormat="false" ht="12" hidden="false" customHeight="false" outlineLevel="0" collapsed="false">
      <c r="A3475" s="182" t="s">
        <v>5938</v>
      </c>
    </row>
    <row r="3476" customFormat="false" ht="12" hidden="false" customHeight="false" outlineLevel="0" collapsed="false">
      <c r="A3476" s="182" t="s">
        <v>5939</v>
      </c>
    </row>
    <row r="3477" customFormat="false" ht="12" hidden="false" customHeight="false" outlineLevel="0" collapsed="false">
      <c r="A3477" s="182" t="s">
        <v>5940</v>
      </c>
    </row>
    <row r="3478" customFormat="false" ht="12" hidden="false" customHeight="false" outlineLevel="0" collapsed="false">
      <c r="A3478" s="182" t="s">
        <v>5941</v>
      </c>
    </row>
    <row r="3479" customFormat="false" ht="12" hidden="false" customHeight="false" outlineLevel="0" collapsed="false">
      <c r="A3479" s="182" t="s">
        <v>5942</v>
      </c>
    </row>
    <row r="3480" customFormat="false" ht="12" hidden="false" customHeight="false" outlineLevel="0" collapsed="false">
      <c r="A3480" s="182" t="s">
        <v>5943</v>
      </c>
    </row>
    <row r="3481" customFormat="false" ht="12" hidden="false" customHeight="false" outlineLevel="0" collapsed="false">
      <c r="A3481" s="182" t="s">
        <v>5944</v>
      </c>
    </row>
    <row r="3482" customFormat="false" ht="12" hidden="false" customHeight="false" outlineLevel="0" collapsed="false">
      <c r="A3482" s="182" t="s">
        <v>5945</v>
      </c>
    </row>
    <row r="3483" customFormat="false" ht="12" hidden="false" customHeight="false" outlineLevel="0" collapsed="false">
      <c r="A3483" s="182" t="s">
        <v>5946</v>
      </c>
    </row>
    <row r="3484" customFormat="false" ht="12" hidden="false" customHeight="false" outlineLevel="0" collapsed="false">
      <c r="A3484" s="182" t="s">
        <v>5947</v>
      </c>
    </row>
    <row r="3485" customFormat="false" ht="12" hidden="false" customHeight="false" outlineLevel="0" collapsed="false">
      <c r="A3485" s="182" t="s">
        <v>5948</v>
      </c>
    </row>
    <row r="3486" customFormat="false" ht="12" hidden="false" customHeight="false" outlineLevel="0" collapsed="false">
      <c r="A3486" s="182" t="s">
        <v>5949</v>
      </c>
    </row>
    <row r="3487" customFormat="false" ht="12" hidden="false" customHeight="false" outlineLevel="0" collapsed="false">
      <c r="A3487" s="182" t="s">
        <v>5950</v>
      </c>
    </row>
    <row r="3488" customFormat="false" ht="12" hidden="false" customHeight="false" outlineLevel="0" collapsed="false">
      <c r="A3488" s="182" t="s">
        <v>5951</v>
      </c>
    </row>
    <row r="3489" customFormat="false" ht="12" hidden="false" customHeight="false" outlineLevel="0" collapsed="false">
      <c r="A3489" s="182" t="s">
        <v>5952</v>
      </c>
    </row>
    <row r="3490" customFormat="false" ht="12" hidden="false" customHeight="false" outlineLevel="0" collapsed="false">
      <c r="A3490" s="182" t="s">
        <v>5953</v>
      </c>
    </row>
    <row r="3491" customFormat="false" ht="12" hidden="false" customHeight="false" outlineLevel="0" collapsed="false">
      <c r="A3491" s="182" t="s">
        <v>5954</v>
      </c>
    </row>
    <row r="3492" customFormat="false" ht="12" hidden="false" customHeight="false" outlineLevel="0" collapsed="false">
      <c r="A3492" s="182" t="s">
        <v>5955</v>
      </c>
    </row>
    <row r="3493" customFormat="false" ht="12" hidden="false" customHeight="false" outlineLevel="0" collapsed="false">
      <c r="A3493" s="182" t="s">
        <v>5956</v>
      </c>
    </row>
    <row r="3494" customFormat="false" ht="12" hidden="false" customHeight="false" outlineLevel="0" collapsed="false">
      <c r="A3494" s="182" t="s">
        <v>5957</v>
      </c>
    </row>
    <row r="3495" customFormat="false" ht="12" hidden="false" customHeight="false" outlineLevel="0" collapsed="false">
      <c r="A3495" s="182" t="s">
        <v>5958</v>
      </c>
    </row>
    <row r="3496" customFormat="false" ht="12" hidden="false" customHeight="false" outlineLevel="0" collapsed="false">
      <c r="A3496" s="182" t="s">
        <v>5959</v>
      </c>
    </row>
    <row r="3497" customFormat="false" ht="12" hidden="false" customHeight="false" outlineLevel="0" collapsed="false">
      <c r="A3497" s="182" t="s">
        <v>5960</v>
      </c>
    </row>
    <row r="3498" customFormat="false" ht="12" hidden="false" customHeight="false" outlineLevel="0" collapsed="false">
      <c r="A3498" s="182" t="s">
        <v>5961</v>
      </c>
    </row>
    <row r="3499" customFormat="false" ht="12" hidden="false" customHeight="false" outlineLevel="0" collapsed="false">
      <c r="A3499" s="182" t="s">
        <v>5962</v>
      </c>
    </row>
    <row r="3500" customFormat="false" ht="12" hidden="false" customHeight="false" outlineLevel="0" collapsed="false">
      <c r="A3500" s="182" t="s">
        <v>5963</v>
      </c>
    </row>
    <row r="3501" customFormat="false" ht="12" hidden="false" customHeight="false" outlineLevel="0" collapsed="false">
      <c r="A3501" s="182" t="s">
        <v>5964</v>
      </c>
    </row>
    <row r="3502" customFormat="false" ht="12" hidden="false" customHeight="false" outlineLevel="0" collapsed="false">
      <c r="A3502" s="182" t="s">
        <v>5965</v>
      </c>
    </row>
    <row r="3503" customFormat="false" ht="12" hidden="false" customHeight="false" outlineLevel="0" collapsed="false">
      <c r="A3503" s="182" t="s">
        <v>5966</v>
      </c>
    </row>
    <row r="3504" customFormat="false" ht="12" hidden="false" customHeight="false" outlineLevel="0" collapsed="false">
      <c r="A3504" s="182" t="s">
        <v>5967</v>
      </c>
    </row>
    <row r="3505" customFormat="false" ht="12" hidden="false" customHeight="false" outlineLevel="0" collapsed="false">
      <c r="A3505" s="182" t="s">
        <v>5968</v>
      </c>
    </row>
    <row r="3506" customFormat="false" ht="12" hidden="false" customHeight="false" outlineLevel="0" collapsed="false">
      <c r="A3506" s="182" t="s">
        <v>5969</v>
      </c>
    </row>
    <row r="3507" customFormat="false" ht="12" hidden="false" customHeight="false" outlineLevel="0" collapsed="false">
      <c r="A3507" s="182" t="s">
        <v>5970</v>
      </c>
    </row>
    <row r="3508" customFormat="false" ht="12" hidden="false" customHeight="false" outlineLevel="0" collapsed="false">
      <c r="A3508" s="182" t="s">
        <v>5971</v>
      </c>
    </row>
    <row r="3509" customFormat="false" ht="12" hidden="false" customHeight="false" outlineLevel="0" collapsed="false">
      <c r="A3509" s="182" t="s">
        <v>5972</v>
      </c>
    </row>
    <row r="3510" customFormat="false" ht="12" hidden="false" customHeight="false" outlineLevel="0" collapsed="false">
      <c r="A3510" s="182" t="s">
        <v>5973</v>
      </c>
    </row>
    <row r="3511" customFormat="false" ht="12" hidden="false" customHeight="false" outlineLevel="0" collapsed="false">
      <c r="A3511" s="182" t="s">
        <v>5974</v>
      </c>
    </row>
    <row r="3512" customFormat="false" ht="12" hidden="false" customHeight="false" outlineLevel="0" collapsed="false">
      <c r="A3512" s="182" t="s">
        <v>5975</v>
      </c>
    </row>
    <row r="3513" customFormat="false" ht="12" hidden="false" customHeight="false" outlineLevel="0" collapsed="false">
      <c r="A3513" s="182" t="s">
        <v>5976</v>
      </c>
    </row>
    <row r="3514" customFormat="false" ht="12" hidden="false" customHeight="false" outlineLevel="0" collapsed="false">
      <c r="A3514" s="182" t="s">
        <v>5977</v>
      </c>
    </row>
    <row r="3515" customFormat="false" ht="12" hidden="false" customHeight="false" outlineLevel="0" collapsed="false">
      <c r="A3515" s="182" t="s">
        <v>5978</v>
      </c>
    </row>
    <row r="3516" customFormat="false" ht="12" hidden="false" customHeight="false" outlineLevel="0" collapsed="false">
      <c r="A3516" s="182" t="s">
        <v>5979</v>
      </c>
    </row>
    <row r="3517" customFormat="false" ht="12" hidden="false" customHeight="false" outlineLevel="0" collapsed="false">
      <c r="A3517" s="182" t="s">
        <v>5980</v>
      </c>
    </row>
    <row r="3518" customFormat="false" ht="12" hidden="false" customHeight="false" outlineLevel="0" collapsed="false">
      <c r="A3518" s="182" t="s">
        <v>5981</v>
      </c>
    </row>
    <row r="3519" customFormat="false" ht="12" hidden="false" customHeight="false" outlineLevel="0" collapsed="false">
      <c r="A3519" s="182" t="s">
        <v>5982</v>
      </c>
    </row>
    <row r="3520" customFormat="false" ht="12" hidden="false" customHeight="false" outlineLevel="0" collapsed="false">
      <c r="A3520" s="182" t="s">
        <v>5983</v>
      </c>
    </row>
    <row r="3521" customFormat="false" ht="12" hidden="false" customHeight="false" outlineLevel="0" collapsed="false">
      <c r="A3521" s="182" t="s">
        <v>5984</v>
      </c>
    </row>
    <row r="3522" customFormat="false" ht="12" hidden="false" customHeight="false" outlineLevel="0" collapsed="false">
      <c r="A3522" s="182" t="s">
        <v>5985</v>
      </c>
    </row>
    <row r="3523" customFormat="false" ht="12" hidden="false" customHeight="false" outlineLevel="0" collapsed="false">
      <c r="A3523" s="182" t="s">
        <v>5986</v>
      </c>
    </row>
    <row r="3524" customFormat="false" ht="12" hidden="false" customHeight="false" outlineLevel="0" collapsed="false">
      <c r="A3524" s="182" t="s">
        <v>5987</v>
      </c>
    </row>
    <row r="3525" customFormat="false" ht="12" hidden="false" customHeight="false" outlineLevel="0" collapsed="false">
      <c r="A3525" s="182" t="s">
        <v>5988</v>
      </c>
    </row>
    <row r="3526" customFormat="false" ht="12" hidden="false" customHeight="false" outlineLevel="0" collapsed="false">
      <c r="A3526" s="182" t="s">
        <v>5989</v>
      </c>
    </row>
    <row r="3527" customFormat="false" ht="12" hidden="false" customHeight="false" outlineLevel="0" collapsed="false">
      <c r="A3527" s="182" t="s">
        <v>5990</v>
      </c>
    </row>
    <row r="3528" customFormat="false" ht="12" hidden="false" customHeight="false" outlineLevel="0" collapsed="false">
      <c r="A3528" s="182" t="s">
        <v>5991</v>
      </c>
    </row>
    <row r="3529" customFormat="false" ht="12" hidden="false" customHeight="false" outlineLevel="0" collapsed="false">
      <c r="A3529" s="182" t="s">
        <v>5992</v>
      </c>
    </row>
    <row r="3530" customFormat="false" ht="12" hidden="false" customHeight="false" outlineLevel="0" collapsed="false">
      <c r="A3530" s="182" t="s">
        <v>5993</v>
      </c>
    </row>
    <row r="3531" customFormat="false" ht="12" hidden="false" customHeight="false" outlineLevel="0" collapsed="false">
      <c r="A3531" s="182" t="s">
        <v>5994</v>
      </c>
    </row>
    <row r="3532" customFormat="false" ht="12" hidden="false" customHeight="false" outlineLevel="0" collapsed="false">
      <c r="A3532" s="182" t="s">
        <v>5995</v>
      </c>
    </row>
    <row r="3533" customFormat="false" ht="12" hidden="false" customHeight="false" outlineLevel="0" collapsed="false">
      <c r="A3533" s="182" t="s">
        <v>5996</v>
      </c>
    </row>
    <row r="3534" customFormat="false" ht="12" hidden="false" customHeight="false" outlineLevel="0" collapsed="false">
      <c r="A3534" s="182" t="s">
        <v>5997</v>
      </c>
    </row>
    <row r="3535" customFormat="false" ht="12" hidden="false" customHeight="false" outlineLevel="0" collapsed="false">
      <c r="A3535" s="182" t="s">
        <v>5998</v>
      </c>
    </row>
    <row r="3536" customFormat="false" ht="12" hidden="false" customHeight="false" outlineLevel="0" collapsed="false">
      <c r="A3536" s="182" t="s">
        <v>5999</v>
      </c>
    </row>
    <row r="3537" customFormat="false" ht="12" hidden="false" customHeight="false" outlineLevel="0" collapsed="false">
      <c r="A3537" s="182" t="s">
        <v>6000</v>
      </c>
    </row>
    <row r="3538" customFormat="false" ht="12" hidden="false" customHeight="false" outlineLevel="0" collapsed="false">
      <c r="A3538" s="182" t="s">
        <v>6001</v>
      </c>
    </row>
    <row r="3539" customFormat="false" ht="12" hidden="false" customHeight="false" outlineLevel="0" collapsed="false">
      <c r="A3539" s="182" t="s">
        <v>6002</v>
      </c>
    </row>
    <row r="3540" customFormat="false" ht="12" hidden="false" customHeight="false" outlineLevel="0" collapsed="false">
      <c r="A3540" s="182" t="s">
        <v>6003</v>
      </c>
    </row>
    <row r="3541" customFormat="false" ht="12" hidden="false" customHeight="false" outlineLevel="0" collapsed="false">
      <c r="A3541" s="182" t="s">
        <v>6004</v>
      </c>
    </row>
    <row r="3542" customFormat="false" ht="12" hidden="false" customHeight="false" outlineLevel="0" collapsed="false">
      <c r="A3542" s="182" t="s">
        <v>6005</v>
      </c>
    </row>
    <row r="3543" customFormat="false" ht="12" hidden="false" customHeight="false" outlineLevel="0" collapsed="false">
      <c r="A3543" s="182" t="s">
        <v>6006</v>
      </c>
    </row>
    <row r="3544" customFormat="false" ht="12" hidden="false" customHeight="false" outlineLevel="0" collapsed="false">
      <c r="A3544" s="182" t="s">
        <v>6007</v>
      </c>
    </row>
    <row r="3545" customFormat="false" ht="12" hidden="false" customHeight="false" outlineLevel="0" collapsed="false">
      <c r="A3545" s="182" t="s">
        <v>6008</v>
      </c>
    </row>
    <row r="3546" customFormat="false" ht="12" hidden="false" customHeight="false" outlineLevel="0" collapsed="false">
      <c r="A3546" s="182" t="s">
        <v>6009</v>
      </c>
    </row>
    <row r="3547" customFormat="false" ht="12" hidden="false" customHeight="false" outlineLevel="0" collapsed="false">
      <c r="A3547" s="182" t="s">
        <v>6010</v>
      </c>
    </row>
    <row r="3548" customFormat="false" ht="12" hidden="false" customHeight="false" outlineLevel="0" collapsed="false">
      <c r="A3548" s="182" t="s">
        <v>6011</v>
      </c>
    </row>
    <row r="3549" customFormat="false" ht="12" hidden="false" customHeight="false" outlineLevel="0" collapsed="false">
      <c r="A3549" s="182" t="s">
        <v>6012</v>
      </c>
    </row>
    <row r="3550" customFormat="false" ht="12" hidden="false" customHeight="false" outlineLevel="0" collapsed="false">
      <c r="A3550" s="182" t="s">
        <v>6013</v>
      </c>
    </row>
    <row r="3551" customFormat="false" ht="12" hidden="false" customHeight="false" outlineLevel="0" collapsed="false">
      <c r="A3551" s="182" t="s">
        <v>6014</v>
      </c>
    </row>
    <row r="3552" customFormat="false" ht="12" hidden="false" customHeight="false" outlineLevel="0" collapsed="false">
      <c r="A3552" s="182" t="s">
        <v>6015</v>
      </c>
    </row>
    <row r="3553" customFormat="false" ht="12" hidden="false" customHeight="false" outlineLevel="0" collapsed="false">
      <c r="A3553" s="182" t="s">
        <v>6016</v>
      </c>
    </row>
    <row r="3554" customFormat="false" ht="12" hidden="false" customHeight="false" outlineLevel="0" collapsed="false">
      <c r="A3554" s="182" t="s">
        <v>6017</v>
      </c>
    </row>
    <row r="3555" customFormat="false" ht="12" hidden="false" customHeight="false" outlineLevel="0" collapsed="false">
      <c r="A3555" s="182" t="s">
        <v>6018</v>
      </c>
    </row>
    <row r="3556" customFormat="false" ht="12" hidden="false" customHeight="false" outlineLevel="0" collapsed="false">
      <c r="A3556" s="182" t="s">
        <v>6019</v>
      </c>
    </row>
    <row r="3557" customFormat="false" ht="12" hidden="false" customHeight="false" outlineLevel="0" collapsed="false">
      <c r="A3557" s="182" t="s">
        <v>6020</v>
      </c>
    </row>
    <row r="3558" customFormat="false" ht="12" hidden="false" customHeight="false" outlineLevel="0" collapsed="false">
      <c r="A3558" s="182" t="s">
        <v>6021</v>
      </c>
    </row>
    <row r="3559" customFormat="false" ht="12" hidden="false" customHeight="false" outlineLevel="0" collapsed="false">
      <c r="A3559" s="182" t="s">
        <v>6022</v>
      </c>
    </row>
    <row r="3560" customFormat="false" ht="12" hidden="false" customHeight="false" outlineLevel="0" collapsed="false">
      <c r="A3560" s="182" t="s">
        <v>6023</v>
      </c>
    </row>
    <row r="3561" customFormat="false" ht="12" hidden="false" customHeight="false" outlineLevel="0" collapsed="false">
      <c r="A3561" s="182" t="s">
        <v>6024</v>
      </c>
    </row>
    <row r="3562" customFormat="false" ht="12" hidden="false" customHeight="false" outlineLevel="0" collapsed="false">
      <c r="A3562" s="182" t="s">
        <v>6025</v>
      </c>
    </row>
    <row r="3563" customFormat="false" ht="12" hidden="false" customHeight="false" outlineLevel="0" collapsed="false">
      <c r="A3563" s="182" t="s">
        <v>6026</v>
      </c>
    </row>
    <row r="3564" customFormat="false" ht="12" hidden="false" customHeight="false" outlineLevel="0" collapsed="false">
      <c r="A3564" s="182" t="s">
        <v>6027</v>
      </c>
    </row>
    <row r="3565" customFormat="false" ht="12" hidden="false" customHeight="false" outlineLevel="0" collapsed="false">
      <c r="A3565" s="182" t="s">
        <v>6028</v>
      </c>
    </row>
    <row r="3566" customFormat="false" ht="12" hidden="false" customHeight="false" outlineLevel="0" collapsed="false">
      <c r="A3566" s="182" t="s">
        <v>6029</v>
      </c>
    </row>
    <row r="3567" customFormat="false" ht="12" hidden="false" customHeight="false" outlineLevel="0" collapsed="false">
      <c r="A3567" s="182" t="s">
        <v>6030</v>
      </c>
    </row>
    <row r="3568" customFormat="false" ht="12" hidden="false" customHeight="false" outlineLevel="0" collapsed="false">
      <c r="A3568" s="182" t="s">
        <v>6031</v>
      </c>
    </row>
    <row r="3569" customFormat="false" ht="12" hidden="false" customHeight="false" outlineLevel="0" collapsed="false">
      <c r="A3569" s="182" t="s">
        <v>6032</v>
      </c>
    </row>
    <row r="3570" customFormat="false" ht="12" hidden="false" customHeight="false" outlineLevel="0" collapsed="false">
      <c r="A3570" s="182" t="s">
        <v>6033</v>
      </c>
    </row>
    <row r="3571" customFormat="false" ht="12" hidden="false" customHeight="false" outlineLevel="0" collapsed="false">
      <c r="A3571" s="182" t="s">
        <v>6034</v>
      </c>
    </row>
    <row r="3572" customFormat="false" ht="12" hidden="false" customHeight="false" outlineLevel="0" collapsed="false">
      <c r="A3572" s="182" t="s">
        <v>6035</v>
      </c>
    </row>
    <row r="3573" customFormat="false" ht="12" hidden="false" customHeight="false" outlineLevel="0" collapsed="false">
      <c r="A3573" s="182" t="s">
        <v>6036</v>
      </c>
    </row>
    <row r="3574" customFormat="false" ht="12" hidden="false" customHeight="false" outlineLevel="0" collapsed="false">
      <c r="A3574" s="182" t="s">
        <v>6037</v>
      </c>
    </row>
    <row r="3575" customFormat="false" ht="12" hidden="false" customHeight="false" outlineLevel="0" collapsed="false">
      <c r="A3575" s="182" t="s">
        <v>6038</v>
      </c>
    </row>
    <row r="3576" customFormat="false" ht="12" hidden="false" customHeight="false" outlineLevel="0" collapsed="false">
      <c r="A3576" s="182" t="s">
        <v>6039</v>
      </c>
    </row>
    <row r="3577" customFormat="false" ht="12" hidden="false" customHeight="false" outlineLevel="0" collapsed="false">
      <c r="A3577" s="182" t="s">
        <v>6040</v>
      </c>
    </row>
    <row r="3578" customFormat="false" ht="12" hidden="false" customHeight="false" outlineLevel="0" collapsed="false">
      <c r="A3578" s="182" t="s">
        <v>6041</v>
      </c>
    </row>
    <row r="3579" customFormat="false" ht="12" hidden="false" customHeight="false" outlineLevel="0" collapsed="false">
      <c r="A3579" s="182" t="s">
        <v>6042</v>
      </c>
    </row>
    <row r="3580" customFormat="false" ht="12" hidden="false" customHeight="false" outlineLevel="0" collapsed="false">
      <c r="A3580" s="182" t="s">
        <v>6043</v>
      </c>
    </row>
    <row r="3581" customFormat="false" ht="12" hidden="false" customHeight="false" outlineLevel="0" collapsed="false">
      <c r="A3581" s="182" t="s">
        <v>6044</v>
      </c>
    </row>
    <row r="3582" customFormat="false" ht="12" hidden="false" customHeight="false" outlineLevel="0" collapsed="false">
      <c r="A3582" s="182" t="s">
        <v>6045</v>
      </c>
    </row>
    <row r="3583" customFormat="false" ht="12" hidden="false" customHeight="false" outlineLevel="0" collapsed="false">
      <c r="A3583" s="182" t="s">
        <v>6046</v>
      </c>
    </row>
    <row r="3584" customFormat="false" ht="12" hidden="false" customHeight="false" outlineLevel="0" collapsed="false">
      <c r="A3584" s="182" t="s">
        <v>6047</v>
      </c>
    </row>
    <row r="3585" customFormat="false" ht="12" hidden="false" customHeight="false" outlineLevel="0" collapsed="false">
      <c r="A3585" s="182" t="s">
        <v>6048</v>
      </c>
    </row>
    <row r="3586" customFormat="false" ht="12" hidden="false" customHeight="false" outlineLevel="0" collapsed="false">
      <c r="A3586" s="182" t="s">
        <v>6049</v>
      </c>
    </row>
    <row r="3587" customFormat="false" ht="12" hidden="false" customHeight="false" outlineLevel="0" collapsed="false">
      <c r="A3587" s="182" t="s">
        <v>6050</v>
      </c>
    </row>
    <row r="3588" customFormat="false" ht="12" hidden="false" customHeight="false" outlineLevel="0" collapsed="false">
      <c r="A3588" s="182" t="s">
        <v>6051</v>
      </c>
    </row>
    <row r="3589" customFormat="false" ht="12" hidden="false" customHeight="false" outlineLevel="0" collapsed="false">
      <c r="A3589" s="182" t="s">
        <v>6052</v>
      </c>
    </row>
    <row r="3590" customFormat="false" ht="12" hidden="false" customHeight="false" outlineLevel="0" collapsed="false">
      <c r="A3590" s="182" t="s">
        <v>6053</v>
      </c>
    </row>
    <row r="3591" customFormat="false" ht="12" hidden="false" customHeight="false" outlineLevel="0" collapsed="false">
      <c r="A3591" s="182" t="s">
        <v>6054</v>
      </c>
    </row>
    <row r="3592" customFormat="false" ht="12" hidden="false" customHeight="false" outlineLevel="0" collapsed="false">
      <c r="A3592" s="182" t="s">
        <v>6055</v>
      </c>
    </row>
    <row r="3593" customFormat="false" ht="12" hidden="false" customHeight="false" outlineLevel="0" collapsed="false">
      <c r="A3593" s="182" t="s">
        <v>6056</v>
      </c>
    </row>
    <row r="3594" customFormat="false" ht="12" hidden="false" customHeight="false" outlineLevel="0" collapsed="false">
      <c r="A3594" s="182" t="s">
        <v>6057</v>
      </c>
    </row>
    <row r="3595" customFormat="false" ht="12" hidden="false" customHeight="false" outlineLevel="0" collapsed="false">
      <c r="A3595" s="182" t="s">
        <v>6058</v>
      </c>
    </row>
    <row r="3596" customFormat="false" ht="12" hidden="false" customHeight="false" outlineLevel="0" collapsed="false">
      <c r="A3596" s="182" t="s">
        <v>6059</v>
      </c>
    </row>
    <row r="3597" customFormat="false" ht="12" hidden="false" customHeight="false" outlineLevel="0" collapsed="false">
      <c r="A3597" s="182" t="s">
        <v>6060</v>
      </c>
    </row>
    <row r="3598" customFormat="false" ht="12" hidden="false" customHeight="false" outlineLevel="0" collapsed="false">
      <c r="A3598" s="182" t="s">
        <v>6061</v>
      </c>
    </row>
    <row r="3599" customFormat="false" ht="12" hidden="false" customHeight="false" outlineLevel="0" collapsed="false">
      <c r="A3599" s="182" t="s">
        <v>6062</v>
      </c>
    </row>
    <row r="3600" customFormat="false" ht="12" hidden="false" customHeight="false" outlineLevel="0" collapsed="false">
      <c r="A3600" s="182" t="s">
        <v>6063</v>
      </c>
    </row>
    <row r="3601" customFormat="false" ht="12" hidden="false" customHeight="false" outlineLevel="0" collapsed="false">
      <c r="A3601" s="182" t="s">
        <v>6064</v>
      </c>
    </row>
    <row r="3602" customFormat="false" ht="12" hidden="false" customHeight="false" outlineLevel="0" collapsed="false">
      <c r="A3602" s="182" t="s">
        <v>6065</v>
      </c>
    </row>
    <row r="3603" customFormat="false" ht="12" hidden="false" customHeight="false" outlineLevel="0" collapsed="false">
      <c r="A3603" s="182" t="s">
        <v>6066</v>
      </c>
    </row>
    <row r="3604" customFormat="false" ht="12" hidden="false" customHeight="false" outlineLevel="0" collapsed="false">
      <c r="A3604" s="182" t="s">
        <v>6067</v>
      </c>
    </row>
    <row r="3605" customFormat="false" ht="12" hidden="false" customHeight="false" outlineLevel="0" collapsed="false">
      <c r="A3605" s="182" t="s">
        <v>6068</v>
      </c>
    </row>
    <row r="3606" customFormat="false" ht="12" hidden="false" customHeight="false" outlineLevel="0" collapsed="false">
      <c r="A3606" s="182" t="s">
        <v>6069</v>
      </c>
    </row>
    <row r="3607" customFormat="false" ht="12" hidden="false" customHeight="false" outlineLevel="0" collapsed="false">
      <c r="A3607" s="182" t="s">
        <v>6070</v>
      </c>
    </row>
    <row r="3608" customFormat="false" ht="12" hidden="false" customHeight="false" outlineLevel="0" collapsed="false">
      <c r="A3608" s="182" t="s">
        <v>6071</v>
      </c>
    </row>
    <row r="3609" customFormat="false" ht="12" hidden="false" customHeight="false" outlineLevel="0" collapsed="false">
      <c r="A3609" s="182" t="s">
        <v>6072</v>
      </c>
    </row>
    <row r="3610" customFormat="false" ht="12" hidden="false" customHeight="false" outlineLevel="0" collapsed="false">
      <c r="A3610" s="182" t="s">
        <v>6073</v>
      </c>
    </row>
    <row r="3611" customFormat="false" ht="12" hidden="false" customHeight="false" outlineLevel="0" collapsed="false">
      <c r="A3611" s="182" t="s">
        <v>6074</v>
      </c>
    </row>
    <row r="3612" customFormat="false" ht="12" hidden="false" customHeight="false" outlineLevel="0" collapsed="false">
      <c r="A3612" s="182" t="s">
        <v>6075</v>
      </c>
    </row>
    <row r="3613" customFormat="false" ht="12" hidden="false" customHeight="false" outlineLevel="0" collapsed="false">
      <c r="A3613" s="182" t="s">
        <v>6076</v>
      </c>
    </row>
    <row r="3614" customFormat="false" ht="12" hidden="false" customHeight="false" outlineLevel="0" collapsed="false">
      <c r="A3614" s="182" t="s">
        <v>6077</v>
      </c>
    </row>
    <row r="3615" customFormat="false" ht="12" hidden="false" customHeight="false" outlineLevel="0" collapsed="false">
      <c r="A3615" s="182" t="s">
        <v>6078</v>
      </c>
    </row>
    <row r="3616" customFormat="false" ht="12" hidden="false" customHeight="false" outlineLevel="0" collapsed="false">
      <c r="A3616" s="182" t="s">
        <v>6079</v>
      </c>
    </row>
    <row r="3617" customFormat="false" ht="12" hidden="false" customHeight="false" outlineLevel="0" collapsed="false">
      <c r="A3617" s="182" t="s">
        <v>6080</v>
      </c>
    </row>
    <row r="3618" customFormat="false" ht="12" hidden="false" customHeight="false" outlineLevel="0" collapsed="false">
      <c r="A3618" s="182" t="s">
        <v>6081</v>
      </c>
    </row>
    <row r="3619" customFormat="false" ht="12" hidden="false" customHeight="false" outlineLevel="0" collapsed="false">
      <c r="A3619" s="182" t="s">
        <v>6082</v>
      </c>
    </row>
    <row r="3620" customFormat="false" ht="12" hidden="false" customHeight="false" outlineLevel="0" collapsed="false">
      <c r="A3620" s="182" t="s">
        <v>6083</v>
      </c>
    </row>
    <row r="3621" customFormat="false" ht="12" hidden="false" customHeight="false" outlineLevel="0" collapsed="false">
      <c r="A3621" s="182" t="s">
        <v>6084</v>
      </c>
    </row>
    <row r="3622" customFormat="false" ht="12" hidden="false" customHeight="false" outlineLevel="0" collapsed="false">
      <c r="A3622" s="182" t="s">
        <v>6085</v>
      </c>
    </row>
    <row r="3623" customFormat="false" ht="12" hidden="false" customHeight="false" outlineLevel="0" collapsed="false">
      <c r="A3623" s="182" t="s">
        <v>6086</v>
      </c>
    </row>
    <row r="3624" customFormat="false" ht="12" hidden="false" customHeight="false" outlineLevel="0" collapsed="false">
      <c r="A3624" s="182" t="s">
        <v>6087</v>
      </c>
    </row>
    <row r="3625" customFormat="false" ht="12" hidden="false" customHeight="false" outlineLevel="0" collapsed="false">
      <c r="A3625" s="182" t="s">
        <v>6088</v>
      </c>
    </row>
    <row r="3626" customFormat="false" ht="12" hidden="false" customHeight="false" outlineLevel="0" collapsed="false">
      <c r="A3626" s="182" t="s">
        <v>6089</v>
      </c>
    </row>
    <row r="3627" customFormat="false" ht="12" hidden="false" customHeight="false" outlineLevel="0" collapsed="false">
      <c r="A3627" s="182" t="s">
        <v>6090</v>
      </c>
    </row>
    <row r="3628" customFormat="false" ht="12" hidden="false" customHeight="false" outlineLevel="0" collapsed="false">
      <c r="A3628" s="182" t="s">
        <v>6091</v>
      </c>
    </row>
    <row r="3629" customFormat="false" ht="12" hidden="false" customHeight="false" outlineLevel="0" collapsed="false">
      <c r="A3629" s="182" t="s">
        <v>6092</v>
      </c>
    </row>
    <row r="3630" customFormat="false" ht="12" hidden="false" customHeight="false" outlineLevel="0" collapsed="false">
      <c r="A3630" s="182" t="s">
        <v>6093</v>
      </c>
    </row>
    <row r="3631" customFormat="false" ht="12" hidden="false" customHeight="false" outlineLevel="0" collapsed="false">
      <c r="A3631" s="182" t="s">
        <v>6094</v>
      </c>
    </row>
    <row r="3632" customFormat="false" ht="12" hidden="false" customHeight="false" outlineLevel="0" collapsed="false">
      <c r="A3632" s="182" t="s">
        <v>6095</v>
      </c>
    </row>
    <row r="3633" customFormat="false" ht="12" hidden="false" customHeight="false" outlineLevel="0" collapsed="false">
      <c r="A3633" s="182" t="s">
        <v>6096</v>
      </c>
    </row>
    <row r="3634" customFormat="false" ht="12" hidden="false" customHeight="false" outlineLevel="0" collapsed="false">
      <c r="A3634" s="182" t="s">
        <v>6097</v>
      </c>
    </row>
    <row r="3635" customFormat="false" ht="12" hidden="false" customHeight="false" outlineLevel="0" collapsed="false">
      <c r="A3635" s="182" t="s">
        <v>6098</v>
      </c>
    </row>
    <row r="3636" customFormat="false" ht="12" hidden="false" customHeight="false" outlineLevel="0" collapsed="false">
      <c r="A3636" s="182" t="s">
        <v>6099</v>
      </c>
    </row>
    <row r="3637" customFormat="false" ht="12" hidden="false" customHeight="false" outlineLevel="0" collapsed="false">
      <c r="A3637" s="182" t="s">
        <v>6100</v>
      </c>
    </row>
    <row r="3638" customFormat="false" ht="12" hidden="false" customHeight="false" outlineLevel="0" collapsed="false">
      <c r="A3638" s="182" t="s">
        <v>6101</v>
      </c>
    </row>
    <row r="3639" customFormat="false" ht="12" hidden="false" customHeight="false" outlineLevel="0" collapsed="false">
      <c r="A3639" s="182" t="s">
        <v>6102</v>
      </c>
    </row>
    <row r="3640" customFormat="false" ht="12" hidden="false" customHeight="false" outlineLevel="0" collapsed="false">
      <c r="A3640" s="182" t="s">
        <v>6103</v>
      </c>
    </row>
    <row r="3641" customFormat="false" ht="12" hidden="false" customHeight="false" outlineLevel="0" collapsed="false">
      <c r="A3641" s="182" t="s">
        <v>6104</v>
      </c>
    </row>
    <row r="3642" customFormat="false" ht="12" hidden="false" customHeight="false" outlineLevel="0" collapsed="false">
      <c r="A3642" s="182" t="s">
        <v>6105</v>
      </c>
    </row>
    <row r="3643" customFormat="false" ht="12" hidden="false" customHeight="false" outlineLevel="0" collapsed="false">
      <c r="A3643" s="182" t="s">
        <v>6106</v>
      </c>
    </row>
    <row r="3644" customFormat="false" ht="12" hidden="false" customHeight="false" outlineLevel="0" collapsed="false">
      <c r="A3644" s="182" t="s">
        <v>6107</v>
      </c>
    </row>
    <row r="3645" customFormat="false" ht="12" hidden="false" customHeight="false" outlineLevel="0" collapsed="false">
      <c r="A3645" s="182" t="s">
        <v>6108</v>
      </c>
    </row>
    <row r="3646" customFormat="false" ht="12" hidden="false" customHeight="false" outlineLevel="0" collapsed="false">
      <c r="A3646" s="182" t="s">
        <v>6109</v>
      </c>
    </row>
    <row r="3647" customFormat="false" ht="12" hidden="false" customHeight="false" outlineLevel="0" collapsed="false">
      <c r="A3647" s="182" t="s">
        <v>6110</v>
      </c>
    </row>
    <row r="3648" customFormat="false" ht="12" hidden="false" customHeight="false" outlineLevel="0" collapsed="false">
      <c r="A3648" s="182" t="s">
        <v>6111</v>
      </c>
    </row>
    <row r="3649" customFormat="false" ht="12" hidden="false" customHeight="false" outlineLevel="0" collapsed="false">
      <c r="A3649" s="182" t="s">
        <v>6112</v>
      </c>
    </row>
    <row r="3650" customFormat="false" ht="12" hidden="false" customHeight="false" outlineLevel="0" collapsed="false">
      <c r="A3650" s="182" t="s">
        <v>6113</v>
      </c>
    </row>
    <row r="3651" customFormat="false" ht="12" hidden="false" customHeight="false" outlineLevel="0" collapsed="false">
      <c r="A3651" s="182" t="s">
        <v>6114</v>
      </c>
    </row>
    <row r="3652" customFormat="false" ht="12" hidden="false" customHeight="false" outlineLevel="0" collapsed="false">
      <c r="A3652" s="182" t="s">
        <v>6115</v>
      </c>
    </row>
    <row r="3653" customFormat="false" ht="12" hidden="false" customHeight="false" outlineLevel="0" collapsed="false">
      <c r="A3653" s="182" t="s">
        <v>6116</v>
      </c>
    </row>
    <row r="3654" customFormat="false" ht="12" hidden="false" customHeight="false" outlineLevel="0" collapsed="false">
      <c r="A3654" s="182" t="s">
        <v>6117</v>
      </c>
    </row>
    <row r="3655" customFormat="false" ht="12" hidden="false" customHeight="false" outlineLevel="0" collapsed="false">
      <c r="A3655" s="182" t="s">
        <v>6118</v>
      </c>
    </row>
    <row r="3656" customFormat="false" ht="12" hidden="false" customHeight="false" outlineLevel="0" collapsed="false">
      <c r="A3656" s="182" t="s">
        <v>6119</v>
      </c>
    </row>
    <row r="3657" customFormat="false" ht="12" hidden="false" customHeight="false" outlineLevel="0" collapsed="false">
      <c r="A3657" s="182" t="s">
        <v>6120</v>
      </c>
    </row>
    <row r="3658" customFormat="false" ht="12" hidden="false" customHeight="false" outlineLevel="0" collapsed="false">
      <c r="A3658" s="182" t="s">
        <v>6121</v>
      </c>
    </row>
    <row r="3659" customFormat="false" ht="12" hidden="false" customHeight="false" outlineLevel="0" collapsed="false">
      <c r="A3659" s="182" t="s">
        <v>6122</v>
      </c>
    </row>
    <row r="3660" customFormat="false" ht="12" hidden="false" customHeight="false" outlineLevel="0" collapsed="false">
      <c r="A3660" s="182" t="s">
        <v>6123</v>
      </c>
    </row>
    <row r="3661" customFormat="false" ht="12" hidden="false" customHeight="false" outlineLevel="0" collapsed="false">
      <c r="A3661" s="182" t="s">
        <v>6124</v>
      </c>
    </row>
    <row r="3662" customFormat="false" ht="12" hidden="false" customHeight="false" outlineLevel="0" collapsed="false">
      <c r="A3662" s="182" t="s">
        <v>6125</v>
      </c>
    </row>
    <row r="3663" customFormat="false" ht="12" hidden="false" customHeight="false" outlineLevel="0" collapsed="false">
      <c r="A3663" s="182" t="s">
        <v>6126</v>
      </c>
    </row>
    <row r="3664" customFormat="false" ht="12" hidden="false" customHeight="false" outlineLevel="0" collapsed="false">
      <c r="A3664" s="182" t="s">
        <v>6127</v>
      </c>
    </row>
    <row r="3665" customFormat="false" ht="12" hidden="false" customHeight="false" outlineLevel="0" collapsed="false">
      <c r="A3665" s="182" t="s">
        <v>6128</v>
      </c>
    </row>
    <row r="3666" customFormat="false" ht="12" hidden="false" customHeight="false" outlineLevel="0" collapsed="false">
      <c r="A3666" s="182" t="s">
        <v>6129</v>
      </c>
    </row>
    <row r="3667" customFormat="false" ht="12" hidden="false" customHeight="false" outlineLevel="0" collapsed="false">
      <c r="A3667" s="182" t="s">
        <v>6130</v>
      </c>
    </row>
    <row r="3668" customFormat="false" ht="12" hidden="false" customHeight="false" outlineLevel="0" collapsed="false">
      <c r="A3668" s="182" t="s">
        <v>6131</v>
      </c>
    </row>
    <row r="3669" customFormat="false" ht="12" hidden="false" customHeight="false" outlineLevel="0" collapsed="false">
      <c r="A3669" s="182" t="s">
        <v>6132</v>
      </c>
    </row>
    <row r="3670" customFormat="false" ht="12" hidden="false" customHeight="false" outlineLevel="0" collapsed="false">
      <c r="A3670" s="182" t="s">
        <v>6133</v>
      </c>
    </row>
    <row r="3671" customFormat="false" ht="12" hidden="false" customHeight="false" outlineLevel="0" collapsed="false">
      <c r="A3671" s="182" t="s">
        <v>6134</v>
      </c>
    </row>
    <row r="3672" customFormat="false" ht="12" hidden="false" customHeight="false" outlineLevel="0" collapsed="false">
      <c r="A3672" s="182" t="s">
        <v>6135</v>
      </c>
    </row>
    <row r="3673" customFormat="false" ht="12" hidden="false" customHeight="false" outlineLevel="0" collapsed="false">
      <c r="A3673" s="182" t="s">
        <v>6136</v>
      </c>
    </row>
    <row r="3674" customFormat="false" ht="12" hidden="false" customHeight="false" outlineLevel="0" collapsed="false">
      <c r="A3674" s="182" t="s">
        <v>6137</v>
      </c>
    </row>
    <row r="3675" customFormat="false" ht="12" hidden="false" customHeight="false" outlineLevel="0" collapsed="false">
      <c r="A3675" s="182" t="s">
        <v>6138</v>
      </c>
    </row>
    <row r="3676" customFormat="false" ht="12" hidden="false" customHeight="false" outlineLevel="0" collapsed="false">
      <c r="A3676" s="182" t="s">
        <v>6139</v>
      </c>
    </row>
    <row r="3677" customFormat="false" ht="12" hidden="false" customHeight="false" outlineLevel="0" collapsed="false">
      <c r="A3677" s="182" t="s">
        <v>6140</v>
      </c>
    </row>
    <row r="3678" customFormat="false" ht="12" hidden="false" customHeight="false" outlineLevel="0" collapsed="false">
      <c r="A3678" s="182" t="s">
        <v>6141</v>
      </c>
    </row>
    <row r="3679" customFormat="false" ht="12" hidden="false" customHeight="false" outlineLevel="0" collapsed="false">
      <c r="A3679" s="182" t="s">
        <v>6142</v>
      </c>
    </row>
    <row r="3680" customFormat="false" ht="12" hidden="false" customHeight="false" outlineLevel="0" collapsed="false">
      <c r="A3680" s="182" t="s">
        <v>6143</v>
      </c>
    </row>
    <row r="3681" customFormat="false" ht="12" hidden="false" customHeight="false" outlineLevel="0" collapsed="false">
      <c r="A3681" s="182" t="s">
        <v>6144</v>
      </c>
    </row>
    <row r="3682" customFormat="false" ht="12" hidden="false" customHeight="false" outlineLevel="0" collapsed="false">
      <c r="A3682" s="182" t="s">
        <v>6145</v>
      </c>
    </row>
    <row r="3683" customFormat="false" ht="12" hidden="false" customHeight="false" outlineLevel="0" collapsed="false">
      <c r="A3683" s="182" t="s">
        <v>6146</v>
      </c>
    </row>
    <row r="3684" customFormat="false" ht="12" hidden="false" customHeight="false" outlineLevel="0" collapsed="false">
      <c r="A3684" s="182" t="s">
        <v>6147</v>
      </c>
    </row>
    <row r="3685" customFormat="false" ht="12" hidden="false" customHeight="false" outlineLevel="0" collapsed="false">
      <c r="A3685" s="182" t="s">
        <v>6148</v>
      </c>
    </row>
    <row r="3686" customFormat="false" ht="12" hidden="false" customHeight="false" outlineLevel="0" collapsed="false">
      <c r="A3686" s="182" t="s">
        <v>6149</v>
      </c>
    </row>
    <row r="3687" customFormat="false" ht="12" hidden="false" customHeight="false" outlineLevel="0" collapsed="false">
      <c r="A3687" s="182" t="s">
        <v>6150</v>
      </c>
    </row>
    <row r="3688" customFormat="false" ht="12" hidden="false" customHeight="false" outlineLevel="0" collapsed="false">
      <c r="A3688" s="182" t="s">
        <v>6151</v>
      </c>
    </row>
    <row r="3689" customFormat="false" ht="12" hidden="false" customHeight="false" outlineLevel="0" collapsed="false">
      <c r="A3689" s="182" t="s">
        <v>6152</v>
      </c>
    </row>
    <row r="3690" customFormat="false" ht="12" hidden="false" customHeight="false" outlineLevel="0" collapsed="false">
      <c r="A3690" s="182" t="s">
        <v>6153</v>
      </c>
    </row>
    <row r="3691" customFormat="false" ht="12" hidden="false" customHeight="false" outlineLevel="0" collapsed="false">
      <c r="A3691" s="182" t="s">
        <v>6154</v>
      </c>
    </row>
    <row r="3692" customFormat="false" ht="12" hidden="false" customHeight="false" outlineLevel="0" collapsed="false">
      <c r="A3692" s="182" t="s">
        <v>6155</v>
      </c>
    </row>
    <row r="3693" customFormat="false" ht="12" hidden="false" customHeight="false" outlineLevel="0" collapsed="false">
      <c r="A3693" s="182" t="s">
        <v>6156</v>
      </c>
    </row>
    <row r="3694" customFormat="false" ht="12" hidden="false" customHeight="false" outlineLevel="0" collapsed="false">
      <c r="A3694" s="182" t="s">
        <v>6157</v>
      </c>
    </row>
    <row r="3695" customFormat="false" ht="12" hidden="false" customHeight="false" outlineLevel="0" collapsed="false">
      <c r="A3695" s="182" t="s">
        <v>6158</v>
      </c>
    </row>
    <row r="3696" customFormat="false" ht="12" hidden="false" customHeight="false" outlineLevel="0" collapsed="false">
      <c r="A3696" s="182" t="s">
        <v>6159</v>
      </c>
    </row>
    <row r="3697" customFormat="false" ht="12" hidden="false" customHeight="false" outlineLevel="0" collapsed="false">
      <c r="A3697" s="182" t="s">
        <v>6160</v>
      </c>
    </row>
    <row r="3698" customFormat="false" ht="12" hidden="false" customHeight="false" outlineLevel="0" collapsed="false">
      <c r="A3698" s="182" t="s">
        <v>6161</v>
      </c>
    </row>
    <row r="3699" customFormat="false" ht="12" hidden="false" customHeight="false" outlineLevel="0" collapsed="false">
      <c r="A3699" s="182" t="s">
        <v>6162</v>
      </c>
    </row>
    <row r="3700" customFormat="false" ht="12" hidden="false" customHeight="false" outlineLevel="0" collapsed="false">
      <c r="A3700" s="182" t="s">
        <v>6163</v>
      </c>
    </row>
    <row r="3701" customFormat="false" ht="12" hidden="false" customHeight="false" outlineLevel="0" collapsed="false">
      <c r="A3701" s="182" t="s">
        <v>6164</v>
      </c>
    </row>
    <row r="3702" customFormat="false" ht="12" hidden="false" customHeight="false" outlineLevel="0" collapsed="false">
      <c r="A3702" s="182" t="s">
        <v>6165</v>
      </c>
    </row>
    <row r="3703" customFormat="false" ht="12" hidden="false" customHeight="false" outlineLevel="0" collapsed="false">
      <c r="A3703" s="182" t="s">
        <v>6166</v>
      </c>
    </row>
    <row r="3704" customFormat="false" ht="12" hidden="false" customHeight="false" outlineLevel="0" collapsed="false">
      <c r="A3704" s="182" t="s">
        <v>6167</v>
      </c>
    </row>
    <row r="3705" customFormat="false" ht="12" hidden="false" customHeight="false" outlineLevel="0" collapsed="false">
      <c r="A3705" s="182" t="s">
        <v>6168</v>
      </c>
    </row>
    <row r="3706" customFormat="false" ht="12" hidden="false" customHeight="false" outlineLevel="0" collapsed="false">
      <c r="A3706" s="182" t="s">
        <v>6169</v>
      </c>
    </row>
    <row r="3707" customFormat="false" ht="12" hidden="false" customHeight="false" outlineLevel="0" collapsed="false">
      <c r="A3707" s="182" t="s">
        <v>6170</v>
      </c>
    </row>
    <row r="3708" customFormat="false" ht="12" hidden="false" customHeight="false" outlineLevel="0" collapsed="false">
      <c r="A3708" s="182" t="s">
        <v>6171</v>
      </c>
    </row>
    <row r="3709" customFormat="false" ht="12" hidden="false" customHeight="false" outlineLevel="0" collapsed="false">
      <c r="A3709" s="182" t="s">
        <v>6172</v>
      </c>
    </row>
    <row r="3710" customFormat="false" ht="12" hidden="false" customHeight="false" outlineLevel="0" collapsed="false">
      <c r="A3710" s="182" t="s">
        <v>6173</v>
      </c>
    </row>
    <row r="3711" customFormat="false" ht="12" hidden="false" customHeight="false" outlineLevel="0" collapsed="false">
      <c r="A3711" s="182" t="s">
        <v>6174</v>
      </c>
    </row>
    <row r="3712" customFormat="false" ht="12" hidden="false" customHeight="false" outlineLevel="0" collapsed="false">
      <c r="A3712" s="182" t="s">
        <v>6175</v>
      </c>
    </row>
    <row r="3713" customFormat="false" ht="12" hidden="false" customHeight="false" outlineLevel="0" collapsed="false">
      <c r="A3713" s="182" t="s">
        <v>6176</v>
      </c>
    </row>
    <row r="3714" customFormat="false" ht="12" hidden="false" customHeight="false" outlineLevel="0" collapsed="false">
      <c r="A3714" s="182" t="s">
        <v>6177</v>
      </c>
    </row>
    <row r="3715" customFormat="false" ht="12" hidden="false" customHeight="false" outlineLevel="0" collapsed="false">
      <c r="A3715" s="182" t="s">
        <v>6178</v>
      </c>
    </row>
    <row r="3716" customFormat="false" ht="12" hidden="false" customHeight="false" outlineLevel="0" collapsed="false">
      <c r="A3716" s="182" t="s">
        <v>6179</v>
      </c>
    </row>
    <row r="3717" customFormat="false" ht="12" hidden="false" customHeight="false" outlineLevel="0" collapsed="false">
      <c r="A3717" s="182" t="s">
        <v>6180</v>
      </c>
    </row>
    <row r="3718" customFormat="false" ht="12" hidden="false" customHeight="false" outlineLevel="0" collapsed="false">
      <c r="A3718" s="182" t="s">
        <v>6181</v>
      </c>
    </row>
    <row r="3719" customFormat="false" ht="12" hidden="false" customHeight="false" outlineLevel="0" collapsed="false">
      <c r="A3719" s="182" t="s">
        <v>6182</v>
      </c>
    </row>
    <row r="3720" customFormat="false" ht="12" hidden="false" customHeight="false" outlineLevel="0" collapsed="false">
      <c r="A3720" s="182" t="s">
        <v>6183</v>
      </c>
    </row>
    <row r="3721" customFormat="false" ht="12" hidden="false" customHeight="false" outlineLevel="0" collapsed="false">
      <c r="A3721" s="182" t="s">
        <v>6184</v>
      </c>
    </row>
    <row r="3722" customFormat="false" ht="12" hidden="false" customHeight="false" outlineLevel="0" collapsed="false">
      <c r="A3722" s="182" t="s">
        <v>6185</v>
      </c>
    </row>
    <row r="3723" customFormat="false" ht="12" hidden="false" customHeight="false" outlineLevel="0" collapsed="false">
      <c r="A3723" s="182" t="s">
        <v>6186</v>
      </c>
    </row>
    <row r="3724" customFormat="false" ht="12" hidden="false" customHeight="false" outlineLevel="0" collapsed="false">
      <c r="A3724" s="182" t="s">
        <v>6187</v>
      </c>
    </row>
    <row r="3725" customFormat="false" ht="12" hidden="false" customHeight="false" outlineLevel="0" collapsed="false">
      <c r="A3725" s="182" t="s">
        <v>6188</v>
      </c>
    </row>
    <row r="3726" customFormat="false" ht="12" hidden="false" customHeight="false" outlineLevel="0" collapsed="false">
      <c r="A3726" s="182" t="s">
        <v>6189</v>
      </c>
    </row>
    <row r="3727" customFormat="false" ht="12" hidden="false" customHeight="false" outlineLevel="0" collapsed="false">
      <c r="A3727" s="182" t="s">
        <v>6190</v>
      </c>
    </row>
    <row r="3728" customFormat="false" ht="12" hidden="false" customHeight="false" outlineLevel="0" collapsed="false">
      <c r="A3728" s="182" t="s">
        <v>6191</v>
      </c>
    </row>
    <row r="3729" customFormat="false" ht="12" hidden="false" customHeight="false" outlineLevel="0" collapsed="false">
      <c r="A3729" s="182" t="s">
        <v>6192</v>
      </c>
    </row>
    <row r="3730" customFormat="false" ht="12" hidden="false" customHeight="false" outlineLevel="0" collapsed="false">
      <c r="A3730" s="182" t="s">
        <v>6193</v>
      </c>
    </row>
    <row r="3731" customFormat="false" ht="12" hidden="false" customHeight="false" outlineLevel="0" collapsed="false">
      <c r="A3731" s="182" t="s">
        <v>6194</v>
      </c>
    </row>
    <row r="3732" customFormat="false" ht="12" hidden="false" customHeight="false" outlineLevel="0" collapsed="false">
      <c r="A3732" s="182" t="s">
        <v>6195</v>
      </c>
    </row>
    <row r="3733" customFormat="false" ht="12" hidden="false" customHeight="false" outlineLevel="0" collapsed="false">
      <c r="A3733" s="182" t="s">
        <v>6196</v>
      </c>
    </row>
    <row r="3734" customFormat="false" ht="12" hidden="false" customHeight="false" outlineLevel="0" collapsed="false">
      <c r="A3734" s="182" t="s">
        <v>6197</v>
      </c>
    </row>
    <row r="3735" customFormat="false" ht="12" hidden="false" customHeight="false" outlineLevel="0" collapsed="false">
      <c r="A3735" s="182" t="s">
        <v>6198</v>
      </c>
    </row>
    <row r="3736" customFormat="false" ht="12" hidden="false" customHeight="false" outlineLevel="0" collapsed="false">
      <c r="A3736" s="182" t="s">
        <v>6199</v>
      </c>
    </row>
    <row r="3737" customFormat="false" ht="12" hidden="false" customHeight="false" outlineLevel="0" collapsed="false">
      <c r="A3737" s="182" t="s">
        <v>6200</v>
      </c>
    </row>
    <row r="3738" customFormat="false" ht="12" hidden="false" customHeight="false" outlineLevel="0" collapsed="false">
      <c r="A3738" s="182" t="s">
        <v>6201</v>
      </c>
    </row>
    <row r="3739" customFormat="false" ht="12" hidden="false" customHeight="false" outlineLevel="0" collapsed="false">
      <c r="A3739" s="182" t="s">
        <v>6202</v>
      </c>
    </row>
    <row r="3740" customFormat="false" ht="12" hidden="false" customHeight="false" outlineLevel="0" collapsed="false">
      <c r="A3740" s="182" t="s">
        <v>6203</v>
      </c>
    </row>
    <row r="3741" customFormat="false" ht="12" hidden="false" customHeight="false" outlineLevel="0" collapsed="false">
      <c r="A3741" s="182" t="s">
        <v>6204</v>
      </c>
    </row>
    <row r="3742" customFormat="false" ht="12" hidden="false" customHeight="false" outlineLevel="0" collapsed="false">
      <c r="A3742" s="182" t="s">
        <v>6205</v>
      </c>
    </row>
    <row r="3743" customFormat="false" ht="12" hidden="false" customHeight="false" outlineLevel="0" collapsed="false">
      <c r="A3743" s="182" t="s">
        <v>6206</v>
      </c>
    </row>
    <row r="3744" customFormat="false" ht="12" hidden="false" customHeight="false" outlineLevel="0" collapsed="false">
      <c r="A3744" s="182" t="s">
        <v>6207</v>
      </c>
    </row>
    <row r="3745" customFormat="false" ht="12" hidden="false" customHeight="false" outlineLevel="0" collapsed="false">
      <c r="A3745" s="182" t="s">
        <v>6208</v>
      </c>
    </row>
    <row r="3746" customFormat="false" ht="12" hidden="false" customHeight="false" outlineLevel="0" collapsed="false">
      <c r="A3746" s="182" t="s">
        <v>6209</v>
      </c>
    </row>
    <row r="3747" customFormat="false" ht="12" hidden="false" customHeight="false" outlineLevel="0" collapsed="false">
      <c r="A3747" s="182" t="s">
        <v>6210</v>
      </c>
    </row>
    <row r="3748" customFormat="false" ht="12" hidden="false" customHeight="false" outlineLevel="0" collapsed="false">
      <c r="A3748" s="182" t="s">
        <v>6211</v>
      </c>
    </row>
    <row r="3749" customFormat="false" ht="12" hidden="false" customHeight="false" outlineLevel="0" collapsed="false">
      <c r="A3749" s="182" t="s">
        <v>6212</v>
      </c>
    </row>
    <row r="3750" customFormat="false" ht="12" hidden="false" customHeight="false" outlineLevel="0" collapsed="false">
      <c r="A3750" s="182" t="s">
        <v>6213</v>
      </c>
    </row>
    <row r="3751" customFormat="false" ht="12" hidden="false" customHeight="false" outlineLevel="0" collapsed="false">
      <c r="A3751" s="182" t="s">
        <v>6214</v>
      </c>
    </row>
    <row r="3752" customFormat="false" ht="12" hidden="false" customHeight="false" outlineLevel="0" collapsed="false">
      <c r="A3752" s="182" t="s">
        <v>6215</v>
      </c>
    </row>
    <row r="3753" customFormat="false" ht="12" hidden="false" customHeight="false" outlineLevel="0" collapsed="false">
      <c r="A3753" s="182" t="s">
        <v>6216</v>
      </c>
    </row>
    <row r="3754" customFormat="false" ht="12" hidden="false" customHeight="false" outlineLevel="0" collapsed="false">
      <c r="A3754" s="182" t="s">
        <v>6217</v>
      </c>
    </row>
    <row r="3755" customFormat="false" ht="12" hidden="false" customHeight="false" outlineLevel="0" collapsed="false">
      <c r="A3755" s="182" t="s">
        <v>6218</v>
      </c>
    </row>
    <row r="3756" customFormat="false" ht="12" hidden="false" customHeight="false" outlineLevel="0" collapsed="false">
      <c r="A3756" s="182" t="s">
        <v>6219</v>
      </c>
    </row>
    <row r="3757" customFormat="false" ht="12" hidden="false" customHeight="false" outlineLevel="0" collapsed="false">
      <c r="A3757" s="182" t="s">
        <v>6220</v>
      </c>
    </row>
    <row r="3758" customFormat="false" ht="12" hidden="false" customHeight="false" outlineLevel="0" collapsed="false">
      <c r="A3758" s="182" t="s">
        <v>6221</v>
      </c>
    </row>
    <row r="3759" customFormat="false" ht="12" hidden="false" customHeight="false" outlineLevel="0" collapsed="false">
      <c r="A3759" s="182" t="s">
        <v>6222</v>
      </c>
    </row>
    <row r="3760" customFormat="false" ht="12" hidden="false" customHeight="false" outlineLevel="0" collapsed="false">
      <c r="A3760" s="182" t="s">
        <v>6223</v>
      </c>
    </row>
    <row r="3761" customFormat="false" ht="12" hidden="false" customHeight="false" outlineLevel="0" collapsed="false">
      <c r="A3761" s="182" t="s">
        <v>6224</v>
      </c>
    </row>
    <row r="3762" customFormat="false" ht="12" hidden="false" customHeight="false" outlineLevel="0" collapsed="false">
      <c r="A3762" s="182" t="s">
        <v>6225</v>
      </c>
    </row>
    <row r="3763" customFormat="false" ht="12" hidden="false" customHeight="false" outlineLevel="0" collapsed="false">
      <c r="A3763" s="182" t="s">
        <v>6226</v>
      </c>
    </row>
    <row r="3764" customFormat="false" ht="12" hidden="false" customHeight="false" outlineLevel="0" collapsed="false">
      <c r="A3764" s="182" t="s">
        <v>6227</v>
      </c>
    </row>
    <row r="3765" customFormat="false" ht="12" hidden="false" customHeight="false" outlineLevel="0" collapsed="false">
      <c r="A3765" s="182" t="s">
        <v>6228</v>
      </c>
    </row>
    <row r="3766" customFormat="false" ht="12" hidden="false" customHeight="false" outlineLevel="0" collapsed="false">
      <c r="A3766" s="182" t="s">
        <v>6229</v>
      </c>
    </row>
    <row r="3767" customFormat="false" ht="12" hidden="false" customHeight="false" outlineLevel="0" collapsed="false">
      <c r="A3767" s="182" t="s">
        <v>6230</v>
      </c>
    </row>
    <row r="3768" customFormat="false" ht="12" hidden="false" customHeight="false" outlineLevel="0" collapsed="false">
      <c r="A3768" s="182" t="s">
        <v>6231</v>
      </c>
    </row>
    <row r="3769" customFormat="false" ht="12" hidden="false" customHeight="false" outlineLevel="0" collapsed="false">
      <c r="A3769" s="182" t="s">
        <v>6232</v>
      </c>
    </row>
    <row r="3770" customFormat="false" ht="12" hidden="false" customHeight="false" outlineLevel="0" collapsed="false">
      <c r="A3770" s="182" t="s">
        <v>6233</v>
      </c>
    </row>
    <row r="3771" customFormat="false" ht="12" hidden="false" customHeight="false" outlineLevel="0" collapsed="false">
      <c r="A3771" s="182" t="s">
        <v>6234</v>
      </c>
    </row>
    <row r="3772" customFormat="false" ht="12" hidden="false" customHeight="false" outlineLevel="0" collapsed="false">
      <c r="A3772" s="182" t="s">
        <v>6235</v>
      </c>
    </row>
    <row r="3773" customFormat="false" ht="12" hidden="false" customHeight="false" outlineLevel="0" collapsed="false">
      <c r="A3773" s="182" t="s">
        <v>6236</v>
      </c>
    </row>
    <row r="3774" customFormat="false" ht="12" hidden="false" customHeight="false" outlineLevel="0" collapsed="false">
      <c r="A3774" s="182" t="s">
        <v>6237</v>
      </c>
    </row>
    <row r="3775" customFormat="false" ht="12" hidden="false" customHeight="false" outlineLevel="0" collapsed="false">
      <c r="A3775" s="182" t="s">
        <v>6238</v>
      </c>
    </row>
    <row r="3776" customFormat="false" ht="12" hidden="false" customHeight="false" outlineLevel="0" collapsed="false">
      <c r="A3776" s="182" t="s">
        <v>6239</v>
      </c>
    </row>
    <row r="3777" customFormat="false" ht="12" hidden="false" customHeight="false" outlineLevel="0" collapsed="false">
      <c r="A3777" s="182" t="s">
        <v>6240</v>
      </c>
    </row>
    <row r="3778" customFormat="false" ht="12" hidden="false" customHeight="false" outlineLevel="0" collapsed="false">
      <c r="A3778" s="182" t="s">
        <v>6241</v>
      </c>
    </row>
    <row r="3779" customFormat="false" ht="12" hidden="false" customHeight="false" outlineLevel="0" collapsed="false">
      <c r="A3779" s="182" t="s">
        <v>6242</v>
      </c>
    </row>
    <row r="3780" customFormat="false" ht="12" hidden="false" customHeight="false" outlineLevel="0" collapsed="false">
      <c r="A3780" s="182" t="s">
        <v>6243</v>
      </c>
    </row>
    <row r="3781" customFormat="false" ht="12" hidden="false" customHeight="false" outlineLevel="0" collapsed="false">
      <c r="A3781" s="182" t="s">
        <v>6244</v>
      </c>
    </row>
    <row r="3782" customFormat="false" ht="12" hidden="false" customHeight="false" outlineLevel="0" collapsed="false">
      <c r="A3782" s="182" t="s">
        <v>6245</v>
      </c>
    </row>
    <row r="3783" customFormat="false" ht="12" hidden="false" customHeight="false" outlineLevel="0" collapsed="false">
      <c r="A3783" s="182" t="s">
        <v>6246</v>
      </c>
    </row>
    <row r="3784" customFormat="false" ht="12" hidden="false" customHeight="false" outlineLevel="0" collapsed="false">
      <c r="A3784" s="182" t="s">
        <v>6247</v>
      </c>
    </row>
    <row r="3785" customFormat="false" ht="12" hidden="false" customHeight="false" outlineLevel="0" collapsed="false">
      <c r="A3785" s="182" t="s">
        <v>6248</v>
      </c>
    </row>
    <row r="3786" customFormat="false" ht="12" hidden="false" customHeight="false" outlineLevel="0" collapsed="false">
      <c r="A3786" s="182" t="s">
        <v>6249</v>
      </c>
    </row>
    <row r="3787" customFormat="false" ht="12" hidden="false" customHeight="false" outlineLevel="0" collapsed="false">
      <c r="A3787" s="182" t="s">
        <v>6250</v>
      </c>
    </row>
    <row r="3788" customFormat="false" ht="12" hidden="false" customHeight="false" outlineLevel="0" collapsed="false">
      <c r="A3788" s="182" t="s">
        <v>6251</v>
      </c>
    </row>
    <row r="3789" customFormat="false" ht="12" hidden="false" customHeight="false" outlineLevel="0" collapsed="false">
      <c r="A3789" s="182" t="s">
        <v>6252</v>
      </c>
    </row>
    <row r="3790" customFormat="false" ht="12" hidden="false" customHeight="false" outlineLevel="0" collapsed="false">
      <c r="A3790" s="182" t="s">
        <v>6253</v>
      </c>
    </row>
    <row r="3791" customFormat="false" ht="12" hidden="false" customHeight="false" outlineLevel="0" collapsed="false">
      <c r="A3791" s="182" t="s">
        <v>6254</v>
      </c>
    </row>
    <row r="3792" customFormat="false" ht="12" hidden="false" customHeight="false" outlineLevel="0" collapsed="false">
      <c r="A3792" s="182" t="s">
        <v>6255</v>
      </c>
    </row>
    <row r="3793" customFormat="false" ht="12" hidden="false" customHeight="false" outlineLevel="0" collapsed="false">
      <c r="A3793" s="182" t="s">
        <v>6256</v>
      </c>
    </row>
    <row r="3794" customFormat="false" ht="12" hidden="false" customHeight="false" outlineLevel="0" collapsed="false">
      <c r="A3794" s="182" t="s">
        <v>6257</v>
      </c>
    </row>
    <row r="3795" customFormat="false" ht="12" hidden="false" customHeight="false" outlineLevel="0" collapsed="false">
      <c r="A3795" s="182" t="s">
        <v>6258</v>
      </c>
    </row>
    <row r="3796" customFormat="false" ht="12" hidden="false" customHeight="false" outlineLevel="0" collapsed="false">
      <c r="A3796" s="182" t="s">
        <v>6259</v>
      </c>
    </row>
    <row r="3797" customFormat="false" ht="12" hidden="false" customHeight="false" outlineLevel="0" collapsed="false">
      <c r="A3797" s="182" t="s">
        <v>6260</v>
      </c>
    </row>
    <row r="3798" customFormat="false" ht="12" hidden="false" customHeight="false" outlineLevel="0" collapsed="false">
      <c r="A3798" s="182" t="s">
        <v>6261</v>
      </c>
    </row>
    <row r="3799" customFormat="false" ht="12" hidden="false" customHeight="false" outlineLevel="0" collapsed="false">
      <c r="A3799" s="182" t="s">
        <v>6262</v>
      </c>
    </row>
    <row r="3800" customFormat="false" ht="12" hidden="false" customHeight="false" outlineLevel="0" collapsed="false">
      <c r="A3800" s="182" t="s">
        <v>6263</v>
      </c>
    </row>
    <row r="3801" customFormat="false" ht="12" hidden="false" customHeight="false" outlineLevel="0" collapsed="false">
      <c r="A3801" s="182" t="s">
        <v>6264</v>
      </c>
    </row>
    <row r="3802" customFormat="false" ht="12" hidden="false" customHeight="false" outlineLevel="0" collapsed="false">
      <c r="A3802" s="182" t="s">
        <v>6265</v>
      </c>
    </row>
    <row r="3803" customFormat="false" ht="12" hidden="false" customHeight="false" outlineLevel="0" collapsed="false">
      <c r="A3803" s="182" t="s">
        <v>6266</v>
      </c>
    </row>
    <row r="3804" customFormat="false" ht="12" hidden="false" customHeight="false" outlineLevel="0" collapsed="false">
      <c r="A3804" s="182" t="s">
        <v>6267</v>
      </c>
    </row>
    <row r="3805" customFormat="false" ht="12" hidden="false" customHeight="false" outlineLevel="0" collapsed="false">
      <c r="A3805" s="182" t="s">
        <v>6268</v>
      </c>
    </row>
    <row r="3806" customFormat="false" ht="12" hidden="false" customHeight="false" outlineLevel="0" collapsed="false">
      <c r="A3806" s="182" t="s">
        <v>6269</v>
      </c>
    </row>
    <row r="3807" customFormat="false" ht="12" hidden="false" customHeight="false" outlineLevel="0" collapsed="false">
      <c r="A3807" s="182" t="s">
        <v>6270</v>
      </c>
    </row>
    <row r="3808" customFormat="false" ht="12" hidden="false" customHeight="false" outlineLevel="0" collapsed="false">
      <c r="A3808" s="182" t="s">
        <v>6271</v>
      </c>
    </row>
    <row r="3809" customFormat="false" ht="12" hidden="false" customHeight="false" outlineLevel="0" collapsed="false">
      <c r="A3809" s="182" t="s">
        <v>6272</v>
      </c>
    </row>
    <row r="3810" customFormat="false" ht="12" hidden="false" customHeight="false" outlineLevel="0" collapsed="false">
      <c r="A3810" s="182" t="s">
        <v>6273</v>
      </c>
    </row>
    <row r="3811" customFormat="false" ht="12" hidden="false" customHeight="false" outlineLevel="0" collapsed="false">
      <c r="A3811" s="182" t="s">
        <v>6274</v>
      </c>
    </row>
    <row r="3812" customFormat="false" ht="12" hidden="false" customHeight="false" outlineLevel="0" collapsed="false">
      <c r="A3812" s="182" t="s">
        <v>6275</v>
      </c>
    </row>
    <row r="3813" customFormat="false" ht="12" hidden="false" customHeight="false" outlineLevel="0" collapsed="false">
      <c r="A3813" s="182" t="s">
        <v>6276</v>
      </c>
    </row>
    <row r="3814" customFormat="false" ht="12" hidden="false" customHeight="false" outlineLevel="0" collapsed="false">
      <c r="A3814" s="182" t="s">
        <v>6277</v>
      </c>
    </row>
    <row r="3815" customFormat="false" ht="12" hidden="false" customHeight="false" outlineLevel="0" collapsed="false">
      <c r="A3815" s="182" t="s">
        <v>6278</v>
      </c>
    </row>
    <row r="3816" customFormat="false" ht="12" hidden="false" customHeight="false" outlineLevel="0" collapsed="false">
      <c r="A3816" s="182" t="s">
        <v>6279</v>
      </c>
    </row>
    <row r="3817" customFormat="false" ht="12" hidden="false" customHeight="false" outlineLevel="0" collapsed="false">
      <c r="A3817" s="182" t="s">
        <v>6280</v>
      </c>
    </row>
    <row r="3818" customFormat="false" ht="12" hidden="false" customHeight="false" outlineLevel="0" collapsed="false">
      <c r="A3818" s="182" t="s">
        <v>6281</v>
      </c>
    </row>
    <row r="3819" customFormat="false" ht="12" hidden="false" customHeight="false" outlineLevel="0" collapsed="false">
      <c r="A3819" s="182" t="s">
        <v>6282</v>
      </c>
    </row>
    <row r="3820" customFormat="false" ht="12" hidden="false" customHeight="false" outlineLevel="0" collapsed="false">
      <c r="A3820" s="182" t="s">
        <v>6283</v>
      </c>
    </row>
    <row r="3821" customFormat="false" ht="12" hidden="false" customHeight="false" outlineLevel="0" collapsed="false">
      <c r="A3821" s="182" t="s">
        <v>6284</v>
      </c>
    </row>
    <row r="3822" customFormat="false" ht="12" hidden="false" customHeight="false" outlineLevel="0" collapsed="false">
      <c r="A3822" s="182" t="s">
        <v>6285</v>
      </c>
    </row>
    <row r="3823" customFormat="false" ht="12" hidden="false" customHeight="false" outlineLevel="0" collapsed="false">
      <c r="A3823" s="182" t="s">
        <v>6286</v>
      </c>
    </row>
    <row r="3824" customFormat="false" ht="12" hidden="false" customHeight="false" outlineLevel="0" collapsed="false">
      <c r="A3824" s="182" t="s">
        <v>6287</v>
      </c>
    </row>
    <row r="3825" customFormat="false" ht="12" hidden="false" customHeight="false" outlineLevel="0" collapsed="false">
      <c r="A3825" s="182" t="s">
        <v>6288</v>
      </c>
    </row>
    <row r="3826" customFormat="false" ht="12" hidden="false" customHeight="false" outlineLevel="0" collapsed="false">
      <c r="A3826" s="182" t="s">
        <v>6289</v>
      </c>
    </row>
    <row r="3827" customFormat="false" ht="12" hidden="false" customHeight="false" outlineLevel="0" collapsed="false">
      <c r="A3827" s="182" t="s">
        <v>6290</v>
      </c>
    </row>
    <row r="3828" customFormat="false" ht="12" hidden="false" customHeight="false" outlineLevel="0" collapsed="false">
      <c r="A3828" s="182" t="s">
        <v>6291</v>
      </c>
    </row>
    <row r="3829" customFormat="false" ht="12" hidden="false" customHeight="false" outlineLevel="0" collapsed="false">
      <c r="A3829" s="182" t="s">
        <v>6292</v>
      </c>
    </row>
    <row r="3830" customFormat="false" ht="12" hidden="false" customHeight="false" outlineLevel="0" collapsed="false">
      <c r="A3830" s="182" t="s">
        <v>6293</v>
      </c>
    </row>
    <row r="3831" customFormat="false" ht="12" hidden="false" customHeight="false" outlineLevel="0" collapsed="false">
      <c r="A3831" s="182" t="s">
        <v>6294</v>
      </c>
    </row>
    <row r="3832" customFormat="false" ht="12" hidden="false" customHeight="false" outlineLevel="0" collapsed="false">
      <c r="A3832" s="182" t="s">
        <v>6295</v>
      </c>
    </row>
    <row r="3833" customFormat="false" ht="12" hidden="false" customHeight="false" outlineLevel="0" collapsed="false">
      <c r="A3833" s="182" t="s">
        <v>6296</v>
      </c>
    </row>
    <row r="3834" customFormat="false" ht="12" hidden="false" customHeight="false" outlineLevel="0" collapsed="false">
      <c r="A3834" s="182" t="s">
        <v>6297</v>
      </c>
    </row>
    <row r="3835" customFormat="false" ht="12" hidden="false" customHeight="false" outlineLevel="0" collapsed="false">
      <c r="A3835" s="182" t="s">
        <v>6298</v>
      </c>
    </row>
    <row r="3836" customFormat="false" ht="12" hidden="false" customHeight="false" outlineLevel="0" collapsed="false">
      <c r="A3836" s="182" t="s">
        <v>6299</v>
      </c>
    </row>
    <row r="3837" customFormat="false" ht="12" hidden="false" customHeight="false" outlineLevel="0" collapsed="false">
      <c r="A3837" s="182" t="s">
        <v>6300</v>
      </c>
    </row>
    <row r="3838" customFormat="false" ht="12" hidden="false" customHeight="false" outlineLevel="0" collapsed="false">
      <c r="A3838" s="182" t="s">
        <v>6301</v>
      </c>
    </row>
    <row r="3839" customFormat="false" ht="12" hidden="false" customHeight="false" outlineLevel="0" collapsed="false">
      <c r="A3839" s="182" t="s">
        <v>6302</v>
      </c>
    </row>
    <row r="3840" customFormat="false" ht="12" hidden="false" customHeight="false" outlineLevel="0" collapsed="false">
      <c r="A3840" s="182" t="s">
        <v>6303</v>
      </c>
    </row>
    <row r="3841" customFormat="false" ht="12" hidden="false" customHeight="false" outlineLevel="0" collapsed="false">
      <c r="A3841" s="182" t="s">
        <v>6304</v>
      </c>
    </row>
    <row r="3842" customFormat="false" ht="12" hidden="false" customHeight="false" outlineLevel="0" collapsed="false">
      <c r="A3842" s="182" t="s">
        <v>6305</v>
      </c>
    </row>
    <row r="3843" customFormat="false" ht="12" hidden="false" customHeight="false" outlineLevel="0" collapsed="false">
      <c r="A3843" s="182" t="s">
        <v>6306</v>
      </c>
    </row>
    <row r="3844" customFormat="false" ht="12" hidden="false" customHeight="false" outlineLevel="0" collapsed="false">
      <c r="A3844" s="182" t="s">
        <v>6307</v>
      </c>
    </row>
    <row r="3845" customFormat="false" ht="12" hidden="false" customHeight="false" outlineLevel="0" collapsed="false">
      <c r="A3845" s="182" t="s">
        <v>6308</v>
      </c>
    </row>
    <row r="3846" customFormat="false" ht="12" hidden="false" customHeight="false" outlineLevel="0" collapsed="false">
      <c r="A3846" s="182" t="s">
        <v>6309</v>
      </c>
    </row>
    <row r="3847" customFormat="false" ht="12" hidden="false" customHeight="false" outlineLevel="0" collapsed="false">
      <c r="A3847" s="182" t="s">
        <v>6310</v>
      </c>
    </row>
    <row r="3848" customFormat="false" ht="12" hidden="false" customHeight="false" outlineLevel="0" collapsed="false">
      <c r="A3848" s="182" t="s">
        <v>6311</v>
      </c>
    </row>
    <row r="3849" customFormat="false" ht="12" hidden="false" customHeight="false" outlineLevel="0" collapsed="false">
      <c r="A3849" s="182" t="s">
        <v>6312</v>
      </c>
    </row>
    <row r="3850" customFormat="false" ht="12" hidden="false" customHeight="false" outlineLevel="0" collapsed="false">
      <c r="A3850" s="182" t="s">
        <v>6313</v>
      </c>
    </row>
    <row r="3851" customFormat="false" ht="12" hidden="false" customHeight="false" outlineLevel="0" collapsed="false">
      <c r="A3851" s="182" t="s">
        <v>6314</v>
      </c>
    </row>
    <row r="3852" customFormat="false" ht="12" hidden="false" customHeight="false" outlineLevel="0" collapsed="false">
      <c r="A3852" s="182" t="s">
        <v>6315</v>
      </c>
    </row>
    <row r="3853" customFormat="false" ht="12" hidden="false" customHeight="false" outlineLevel="0" collapsed="false">
      <c r="A3853" s="182" t="s">
        <v>6316</v>
      </c>
    </row>
    <row r="3854" customFormat="false" ht="12" hidden="false" customHeight="false" outlineLevel="0" collapsed="false">
      <c r="A3854" s="182" t="s">
        <v>6317</v>
      </c>
    </row>
    <row r="3855" customFormat="false" ht="12" hidden="false" customHeight="false" outlineLevel="0" collapsed="false">
      <c r="A3855" s="182" t="s">
        <v>6318</v>
      </c>
    </row>
    <row r="3856" customFormat="false" ht="12" hidden="false" customHeight="false" outlineLevel="0" collapsed="false">
      <c r="A3856" s="182" t="s">
        <v>6319</v>
      </c>
    </row>
    <row r="3857" customFormat="false" ht="12" hidden="false" customHeight="false" outlineLevel="0" collapsed="false">
      <c r="A3857" s="182" t="s">
        <v>6320</v>
      </c>
    </row>
    <row r="3858" customFormat="false" ht="12" hidden="false" customHeight="false" outlineLevel="0" collapsed="false">
      <c r="A3858" s="182" t="s">
        <v>6321</v>
      </c>
    </row>
    <row r="3859" customFormat="false" ht="12" hidden="false" customHeight="false" outlineLevel="0" collapsed="false">
      <c r="A3859" s="182" t="s">
        <v>6322</v>
      </c>
    </row>
    <row r="3860" customFormat="false" ht="12" hidden="false" customHeight="false" outlineLevel="0" collapsed="false">
      <c r="A3860" s="182" t="s">
        <v>6323</v>
      </c>
    </row>
    <row r="3861" customFormat="false" ht="12" hidden="false" customHeight="false" outlineLevel="0" collapsed="false">
      <c r="A3861" s="182" t="s">
        <v>6324</v>
      </c>
    </row>
    <row r="3862" customFormat="false" ht="12" hidden="false" customHeight="false" outlineLevel="0" collapsed="false">
      <c r="A3862" s="182" t="s">
        <v>6325</v>
      </c>
    </row>
    <row r="3863" customFormat="false" ht="12" hidden="false" customHeight="false" outlineLevel="0" collapsed="false">
      <c r="A3863" s="182" t="s">
        <v>6326</v>
      </c>
    </row>
    <row r="3864" customFormat="false" ht="12" hidden="false" customHeight="false" outlineLevel="0" collapsed="false">
      <c r="A3864" s="182" t="s">
        <v>6327</v>
      </c>
    </row>
    <row r="3865" customFormat="false" ht="12" hidden="false" customHeight="false" outlineLevel="0" collapsed="false">
      <c r="A3865" s="182" t="s">
        <v>6328</v>
      </c>
    </row>
    <row r="3866" customFormat="false" ht="12" hidden="false" customHeight="false" outlineLevel="0" collapsed="false">
      <c r="A3866" s="182" t="s">
        <v>6329</v>
      </c>
    </row>
    <row r="3867" customFormat="false" ht="12" hidden="false" customHeight="false" outlineLevel="0" collapsed="false">
      <c r="A3867" s="182" t="s">
        <v>6330</v>
      </c>
    </row>
    <row r="3868" customFormat="false" ht="12" hidden="false" customHeight="false" outlineLevel="0" collapsed="false">
      <c r="A3868" s="182" t="s">
        <v>6331</v>
      </c>
    </row>
    <row r="3869" customFormat="false" ht="12" hidden="false" customHeight="false" outlineLevel="0" collapsed="false">
      <c r="A3869" s="182" t="s">
        <v>6332</v>
      </c>
    </row>
    <row r="3870" customFormat="false" ht="12" hidden="false" customHeight="false" outlineLevel="0" collapsed="false">
      <c r="A3870" s="182" t="s">
        <v>6333</v>
      </c>
    </row>
    <row r="3871" customFormat="false" ht="12" hidden="false" customHeight="false" outlineLevel="0" collapsed="false">
      <c r="A3871" s="182" t="s">
        <v>6334</v>
      </c>
    </row>
    <row r="3872" customFormat="false" ht="12" hidden="false" customHeight="false" outlineLevel="0" collapsed="false">
      <c r="A3872" s="182" t="s">
        <v>6335</v>
      </c>
    </row>
    <row r="3873" customFormat="false" ht="12" hidden="false" customHeight="false" outlineLevel="0" collapsed="false">
      <c r="A3873" s="182" t="s">
        <v>6336</v>
      </c>
    </row>
    <row r="3874" customFormat="false" ht="12" hidden="false" customHeight="false" outlineLevel="0" collapsed="false">
      <c r="A3874" s="182" t="s">
        <v>6337</v>
      </c>
    </row>
    <row r="3875" customFormat="false" ht="12" hidden="false" customHeight="false" outlineLevel="0" collapsed="false">
      <c r="A3875" s="182" t="s">
        <v>6338</v>
      </c>
    </row>
    <row r="3876" customFormat="false" ht="12" hidden="false" customHeight="false" outlineLevel="0" collapsed="false">
      <c r="A3876" s="182" t="s">
        <v>6339</v>
      </c>
    </row>
    <row r="3877" customFormat="false" ht="12" hidden="false" customHeight="false" outlineLevel="0" collapsed="false">
      <c r="A3877" s="182" t="s">
        <v>6340</v>
      </c>
    </row>
    <row r="3878" customFormat="false" ht="12" hidden="false" customHeight="false" outlineLevel="0" collapsed="false">
      <c r="A3878" s="182" t="s">
        <v>6341</v>
      </c>
    </row>
    <row r="3879" customFormat="false" ht="12" hidden="false" customHeight="false" outlineLevel="0" collapsed="false">
      <c r="A3879" s="182" t="s">
        <v>6342</v>
      </c>
    </row>
    <row r="3880" customFormat="false" ht="12" hidden="false" customHeight="false" outlineLevel="0" collapsed="false">
      <c r="A3880" s="182" t="s">
        <v>6343</v>
      </c>
    </row>
    <row r="3881" customFormat="false" ht="12" hidden="false" customHeight="false" outlineLevel="0" collapsed="false">
      <c r="A3881" s="182" t="s">
        <v>6344</v>
      </c>
    </row>
    <row r="3882" customFormat="false" ht="12" hidden="false" customHeight="false" outlineLevel="0" collapsed="false">
      <c r="A3882" s="182" t="s">
        <v>6345</v>
      </c>
    </row>
    <row r="3883" customFormat="false" ht="12" hidden="false" customHeight="false" outlineLevel="0" collapsed="false">
      <c r="A3883" s="182" t="s">
        <v>6346</v>
      </c>
    </row>
    <row r="3884" customFormat="false" ht="12" hidden="false" customHeight="false" outlineLevel="0" collapsed="false">
      <c r="A3884" s="182" t="s">
        <v>6347</v>
      </c>
    </row>
    <row r="3885" customFormat="false" ht="12" hidden="false" customHeight="false" outlineLevel="0" collapsed="false">
      <c r="A3885" s="182" t="s">
        <v>6348</v>
      </c>
    </row>
    <row r="3886" customFormat="false" ht="12" hidden="false" customHeight="false" outlineLevel="0" collapsed="false">
      <c r="A3886" s="182" t="s">
        <v>6349</v>
      </c>
    </row>
    <row r="3887" customFormat="false" ht="12" hidden="false" customHeight="false" outlineLevel="0" collapsed="false">
      <c r="A3887" s="182" t="s">
        <v>6350</v>
      </c>
    </row>
    <row r="3888" customFormat="false" ht="12" hidden="false" customHeight="false" outlineLevel="0" collapsed="false">
      <c r="A3888" s="182" t="s">
        <v>6351</v>
      </c>
    </row>
    <row r="3889" customFormat="false" ht="12" hidden="false" customHeight="false" outlineLevel="0" collapsed="false">
      <c r="A3889" s="182" t="s">
        <v>6352</v>
      </c>
    </row>
    <row r="3890" customFormat="false" ht="12" hidden="false" customHeight="false" outlineLevel="0" collapsed="false">
      <c r="A3890" s="182" t="s">
        <v>6353</v>
      </c>
    </row>
    <row r="3891" customFormat="false" ht="12" hidden="false" customHeight="false" outlineLevel="0" collapsed="false">
      <c r="A3891" s="182" t="s">
        <v>6354</v>
      </c>
    </row>
    <row r="3892" customFormat="false" ht="12" hidden="false" customHeight="false" outlineLevel="0" collapsed="false">
      <c r="A3892" s="182" t="s">
        <v>6355</v>
      </c>
    </row>
    <row r="3893" customFormat="false" ht="12" hidden="false" customHeight="false" outlineLevel="0" collapsed="false">
      <c r="A3893" s="182" t="s">
        <v>6356</v>
      </c>
    </row>
    <row r="3894" customFormat="false" ht="12" hidden="false" customHeight="false" outlineLevel="0" collapsed="false">
      <c r="A3894" s="182" t="s">
        <v>6357</v>
      </c>
    </row>
    <row r="3895" customFormat="false" ht="12" hidden="false" customHeight="false" outlineLevel="0" collapsed="false">
      <c r="A3895" s="182" t="s">
        <v>6358</v>
      </c>
    </row>
    <row r="3896" customFormat="false" ht="12" hidden="false" customHeight="false" outlineLevel="0" collapsed="false">
      <c r="A3896" s="182" t="s">
        <v>6359</v>
      </c>
    </row>
    <row r="3897" customFormat="false" ht="12" hidden="false" customHeight="false" outlineLevel="0" collapsed="false">
      <c r="A3897" s="182" t="s">
        <v>6360</v>
      </c>
    </row>
    <row r="3898" customFormat="false" ht="12" hidden="false" customHeight="false" outlineLevel="0" collapsed="false">
      <c r="A3898" s="182" t="s">
        <v>6361</v>
      </c>
    </row>
    <row r="3899" customFormat="false" ht="12" hidden="false" customHeight="false" outlineLevel="0" collapsed="false">
      <c r="A3899" s="182" t="s">
        <v>6362</v>
      </c>
    </row>
    <row r="3900" customFormat="false" ht="12" hidden="false" customHeight="false" outlineLevel="0" collapsed="false">
      <c r="A3900" s="182" t="s">
        <v>6363</v>
      </c>
    </row>
    <row r="3901" customFormat="false" ht="12" hidden="false" customHeight="false" outlineLevel="0" collapsed="false">
      <c r="A3901" s="182" t="s">
        <v>6364</v>
      </c>
    </row>
    <row r="3902" customFormat="false" ht="12" hidden="false" customHeight="false" outlineLevel="0" collapsed="false">
      <c r="A3902" s="182" t="s">
        <v>6365</v>
      </c>
    </row>
    <row r="3903" customFormat="false" ht="12" hidden="false" customHeight="false" outlineLevel="0" collapsed="false">
      <c r="A3903" s="182" t="s">
        <v>6366</v>
      </c>
    </row>
    <row r="3904" customFormat="false" ht="12" hidden="false" customHeight="false" outlineLevel="0" collapsed="false">
      <c r="A3904" s="182" t="s">
        <v>6367</v>
      </c>
    </row>
    <row r="3905" customFormat="false" ht="12" hidden="false" customHeight="false" outlineLevel="0" collapsed="false">
      <c r="A3905" s="182" t="s">
        <v>6368</v>
      </c>
    </row>
    <row r="3906" customFormat="false" ht="12" hidden="false" customHeight="false" outlineLevel="0" collapsed="false">
      <c r="A3906" s="182" t="s">
        <v>6369</v>
      </c>
    </row>
    <row r="3907" customFormat="false" ht="12" hidden="false" customHeight="false" outlineLevel="0" collapsed="false">
      <c r="A3907" s="182" t="s">
        <v>6370</v>
      </c>
    </row>
    <row r="3908" customFormat="false" ht="12" hidden="false" customHeight="false" outlineLevel="0" collapsed="false">
      <c r="A3908" s="182" t="s">
        <v>6371</v>
      </c>
    </row>
    <row r="3909" customFormat="false" ht="12" hidden="false" customHeight="false" outlineLevel="0" collapsed="false">
      <c r="A3909" s="182" t="s">
        <v>6372</v>
      </c>
    </row>
    <row r="3910" customFormat="false" ht="12" hidden="false" customHeight="false" outlineLevel="0" collapsed="false">
      <c r="A3910" s="182" t="s">
        <v>6373</v>
      </c>
    </row>
    <row r="3911" customFormat="false" ht="12" hidden="false" customHeight="false" outlineLevel="0" collapsed="false">
      <c r="A3911" s="182" t="s">
        <v>6374</v>
      </c>
    </row>
    <row r="3912" customFormat="false" ht="12" hidden="false" customHeight="false" outlineLevel="0" collapsed="false">
      <c r="A3912" s="182" t="s">
        <v>6375</v>
      </c>
    </row>
    <row r="3913" customFormat="false" ht="12" hidden="false" customHeight="false" outlineLevel="0" collapsed="false">
      <c r="A3913" s="182" t="s">
        <v>6376</v>
      </c>
    </row>
    <row r="3914" customFormat="false" ht="12" hidden="false" customHeight="false" outlineLevel="0" collapsed="false">
      <c r="A3914" s="182" t="s">
        <v>6377</v>
      </c>
    </row>
    <row r="3915" customFormat="false" ht="12" hidden="false" customHeight="false" outlineLevel="0" collapsed="false">
      <c r="A3915" s="182" t="s">
        <v>6378</v>
      </c>
    </row>
    <row r="3916" customFormat="false" ht="12" hidden="false" customHeight="false" outlineLevel="0" collapsed="false">
      <c r="A3916" s="182" t="s">
        <v>6379</v>
      </c>
    </row>
    <row r="3917" customFormat="false" ht="12" hidden="false" customHeight="false" outlineLevel="0" collapsed="false">
      <c r="A3917" s="182" t="s">
        <v>6380</v>
      </c>
    </row>
    <row r="3918" customFormat="false" ht="12" hidden="false" customHeight="false" outlineLevel="0" collapsed="false">
      <c r="A3918" s="182" t="s">
        <v>6381</v>
      </c>
    </row>
    <row r="3919" customFormat="false" ht="12" hidden="false" customHeight="false" outlineLevel="0" collapsed="false">
      <c r="A3919" s="182" t="s">
        <v>6382</v>
      </c>
    </row>
    <row r="3920" customFormat="false" ht="12" hidden="false" customHeight="false" outlineLevel="0" collapsed="false">
      <c r="A3920" s="182" t="s">
        <v>6383</v>
      </c>
    </row>
    <row r="3921" customFormat="false" ht="12" hidden="false" customHeight="false" outlineLevel="0" collapsed="false">
      <c r="A3921" s="182" t="s">
        <v>6384</v>
      </c>
    </row>
    <row r="3922" customFormat="false" ht="12" hidden="false" customHeight="false" outlineLevel="0" collapsed="false">
      <c r="A3922" s="182" t="s">
        <v>6385</v>
      </c>
    </row>
    <row r="3923" customFormat="false" ht="12" hidden="false" customHeight="false" outlineLevel="0" collapsed="false">
      <c r="A3923" s="182" t="s">
        <v>6386</v>
      </c>
    </row>
    <row r="3924" customFormat="false" ht="12" hidden="false" customHeight="false" outlineLevel="0" collapsed="false">
      <c r="A3924" s="182" t="s">
        <v>6387</v>
      </c>
    </row>
    <row r="3925" customFormat="false" ht="12" hidden="false" customHeight="false" outlineLevel="0" collapsed="false">
      <c r="A3925" s="182" t="s">
        <v>6388</v>
      </c>
    </row>
    <row r="3926" customFormat="false" ht="12" hidden="false" customHeight="false" outlineLevel="0" collapsed="false">
      <c r="A3926" s="182" t="s">
        <v>6389</v>
      </c>
    </row>
    <row r="3927" customFormat="false" ht="12" hidden="false" customHeight="false" outlineLevel="0" collapsed="false">
      <c r="A3927" s="182" t="s">
        <v>6390</v>
      </c>
    </row>
    <row r="3928" customFormat="false" ht="12" hidden="false" customHeight="false" outlineLevel="0" collapsed="false">
      <c r="A3928" s="182" t="s">
        <v>6391</v>
      </c>
    </row>
    <row r="3929" customFormat="false" ht="12" hidden="false" customHeight="false" outlineLevel="0" collapsed="false">
      <c r="A3929" s="182" t="s">
        <v>6392</v>
      </c>
    </row>
    <row r="3930" customFormat="false" ht="12" hidden="false" customHeight="false" outlineLevel="0" collapsed="false">
      <c r="A3930" s="182" t="s">
        <v>6393</v>
      </c>
    </row>
    <row r="3931" customFormat="false" ht="12" hidden="false" customHeight="false" outlineLevel="0" collapsed="false">
      <c r="A3931" s="182" t="s">
        <v>6394</v>
      </c>
    </row>
    <row r="3932" customFormat="false" ht="12" hidden="false" customHeight="false" outlineLevel="0" collapsed="false">
      <c r="A3932" s="182" t="s">
        <v>6395</v>
      </c>
    </row>
    <row r="3933" customFormat="false" ht="12" hidden="false" customHeight="false" outlineLevel="0" collapsed="false">
      <c r="A3933" s="182" t="s">
        <v>6396</v>
      </c>
    </row>
    <row r="3934" customFormat="false" ht="12" hidden="false" customHeight="false" outlineLevel="0" collapsed="false">
      <c r="A3934" s="182" t="s">
        <v>6397</v>
      </c>
    </row>
    <row r="3935" customFormat="false" ht="12" hidden="false" customHeight="false" outlineLevel="0" collapsed="false">
      <c r="A3935" s="182" t="s">
        <v>6398</v>
      </c>
    </row>
    <row r="3936" customFormat="false" ht="12" hidden="false" customHeight="false" outlineLevel="0" collapsed="false">
      <c r="A3936" s="182" t="s">
        <v>6399</v>
      </c>
    </row>
    <row r="3937" customFormat="false" ht="12" hidden="false" customHeight="false" outlineLevel="0" collapsed="false">
      <c r="A3937" s="182" t="s">
        <v>6400</v>
      </c>
    </row>
    <row r="3938" customFormat="false" ht="12" hidden="false" customHeight="false" outlineLevel="0" collapsed="false">
      <c r="A3938" s="182" t="s">
        <v>6401</v>
      </c>
    </row>
    <row r="3939" customFormat="false" ht="12" hidden="false" customHeight="false" outlineLevel="0" collapsed="false">
      <c r="A3939" s="182" t="s">
        <v>6402</v>
      </c>
    </row>
    <row r="3940" customFormat="false" ht="12" hidden="false" customHeight="false" outlineLevel="0" collapsed="false">
      <c r="A3940" s="182" t="s">
        <v>6403</v>
      </c>
    </row>
    <row r="3941" customFormat="false" ht="12" hidden="false" customHeight="false" outlineLevel="0" collapsed="false">
      <c r="A3941" s="182" t="s">
        <v>6404</v>
      </c>
    </row>
    <row r="3942" customFormat="false" ht="12" hidden="false" customHeight="false" outlineLevel="0" collapsed="false">
      <c r="A3942" s="182" t="s">
        <v>6405</v>
      </c>
    </row>
    <row r="3943" customFormat="false" ht="12" hidden="false" customHeight="false" outlineLevel="0" collapsed="false">
      <c r="A3943" s="182" t="s">
        <v>6406</v>
      </c>
    </row>
    <row r="3944" customFormat="false" ht="12" hidden="false" customHeight="false" outlineLevel="0" collapsed="false">
      <c r="A3944" s="182" t="s">
        <v>6407</v>
      </c>
    </row>
    <row r="3945" customFormat="false" ht="12" hidden="false" customHeight="false" outlineLevel="0" collapsed="false">
      <c r="A3945" s="182" t="s">
        <v>6408</v>
      </c>
    </row>
    <row r="3946" customFormat="false" ht="12" hidden="false" customHeight="false" outlineLevel="0" collapsed="false">
      <c r="A3946" s="182" t="s">
        <v>6409</v>
      </c>
    </row>
    <row r="3947" customFormat="false" ht="12" hidden="false" customHeight="false" outlineLevel="0" collapsed="false">
      <c r="A3947" s="182" t="s">
        <v>6410</v>
      </c>
    </row>
    <row r="3948" customFormat="false" ht="12" hidden="false" customHeight="false" outlineLevel="0" collapsed="false">
      <c r="A3948" s="182" t="s">
        <v>6411</v>
      </c>
    </row>
    <row r="3949" customFormat="false" ht="12" hidden="false" customHeight="false" outlineLevel="0" collapsed="false">
      <c r="A3949" s="182" t="s">
        <v>6412</v>
      </c>
    </row>
    <row r="3950" customFormat="false" ht="12" hidden="false" customHeight="false" outlineLevel="0" collapsed="false">
      <c r="A3950" s="182" t="s">
        <v>6413</v>
      </c>
    </row>
    <row r="3951" customFormat="false" ht="12" hidden="false" customHeight="false" outlineLevel="0" collapsed="false">
      <c r="A3951" s="182" t="s">
        <v>6414</v>
      </c>
    </row>
    <row r="3952" customFormat="false" ht="12" hidden="false" customHeight="false" outlineLevel="0" collapsed="false">
      <c r="A3952" s="182" t="s">
        <v>6415</v>
      </c>
    </row>
    <row r="3953" customFormat="false" ht="12" hidden="false" customHeight="false" outlineLevel="0" collapsed="false">
      <c r="A3953" s="182" t="s">
        <v>6416</v>
      </c>
    </row>
    <row r="3954" customFormat="false" ht="12" hidden="false" customHeight="false" outlineLevel="0" collapsed="false">
      <c r="A3954" s="182" t="s">
        <v>6417</v>
      </c>
    </row>
    <row r="3955" customFormat="false" ht="12" hidden="false" customHeight="false" outlineLevel="0" collapsed="false">
      <c r="A3955" s="182" t="s">
        <v>6418</v>
      </c>
    </row>
    <row r="3956" customFormat="false" ht="12" hidden="false" customHeight="false" outlineLevel="0" collapsed="false">
      <c r="A3956" s="182" t="s">
        <v>6419</v>
      </c>
    </row>
    <row r="3957" customFormat="false" ht="12" hidden="false" customHeight="false" outlineLevel="0" collapsed="false">
      <c r="A3957" s="182" t="s">
        <v>6420</v>
      </c>
    </row>
    <row r="3958" customFormat="false" ht="12" hidden="false" customHeight="false" outlineLevel="0" collapsed="false">
      <c r="A3958" s="182" t="s">
        <v>6421</v>
      </c>
    </row>
    <row r="3959" customFormat="false" ht="12" hidden="false" customHeight="false" outlineLevel="0" collapsed="false">
      <c r="A3959" s="182" t="s">
        <v>6422</v>
      </c>
    </row>
    <row r="3960" customFormat="false" ht="12" hidden="false" customHeight="false" outlineLevel="0" collapsed="false">
      <c r="A3960" s="182" t="s">
        <v>6423</v>
      </c>
    </row>
    <row r="3961" customFormat="false" ht="12" hidden="false" customHeight="false" outlineLevel="0" collapsed="false">
      <c r="A3961" s="182" t="s">
        <v>6424</v>
      </c>
    </row>
    <row r="3962" customFormat="false" ht="12" hidden="false" customHeight="false" outlineLevel="0" collapsed="false">
      <c r="A3962" s="182" t="s">
        <v>6425</v>
      </c>
    </row>
    <row r="3963" customFormat="false" ht="12" hidden="false" customHeight="false" outlineLevel="0" collapsed="false">
      <c r="A3963" s="182" t="s">
        <v>6426</v>
      </c>
    </row>
    <row r="3964" customFormat="false" ht="12" hidden="false" customHeight="false" outlineLevel="0" collapsed="false">
      <c r="A3964" s="182" t="s">
        <v>6427</v>
      </c>
    </row>
    <row r="3965" customFormat="false" ht="12" hidden="false" customHeight="false" outlineLevel="0" collapsed="false">
      <c r="A3965" s="182" t="s">
        <v>6428</v>
      </c>
    </row>
    <row r="3966" customFormat="false" ht="12" hidden="false" customHeight="false" outlineLevel="0" collapsed="false">
      <c r="A3966" s="182" t="s">
        <v>6429</v>
      </c>
    </row>
    <row r="3967" customFormat="false" ht="12" hidden="false" customHeight="false" outlineLevel="0" collapsed="false">
      <c r="A3967" s="182" t="s">
        <v>6430</v>
      </c>
    </row>
    <row r="3968" customFormat="false" ht="12" hidden="false" customHeight="false" outlineLevel="0" collapsed="false">
      <c r="A3968" s="182" t="s">
        <v>6431</v>
      </c>
    </row>
    <row r="3969" customFormat="false" ht="12" hidden="false" customHeight="false" outlineLevel="0" collapsed="false">
      <c r="A3969" s="182" t="s">
        <v>6432</v>
      </c>
    </row>
    <row r="3970" customFormat="false" ht="12" hidden="false" customHeight="false" outlineLevel="0" collapsed="false">
      <c r="A3970" s="182" t="s">
        <v>6433</v>
      </c>
    </row>
    <row r="3971" customFormat="false" ht="12" hidden="false" customHeight="false" outlineLevel="0" collapsed="false">
      <c r="A3971" s="182" t="s">
        <v>6434</v>
      </c>
    </row>
    <row r="3972" customFormat="false" ht="12" hidden="false" customHeight="false" outlineLevel="0" collapsed="false">
      <c r="A3972" s="182" t="s">
        <v>6435</v>
      </c>
    </row>
    <row r="3973" customFormat="false" ht="12" hidden="false" customHeight="false" outlineLevel="0" collapsed="false">
      <c r="A3973" s="182" t="s">
        <v>6436</v>
      </c>
    </row>
    <row r="3974" customFormat="false" ht="12" hidden="false" customHeight="false" outlineLevel="0" collapsed="false">
      <c r="A3974" s="182" t="s">
        <v>6437</v>
      </c>
    </row>
    <row r="3975" customFormat="false" ht="12" hidden="false" customHeight="false" outlineLevel="0" collapsed="false">
      <c r="A3975" s="182" t="s">
        <v>6438</v>
      </c>
    </row>
    <row r="3976" customFormat="false" ht="12" hidden="false" customHeight="false" outlineLevel="0" collapsed="false">
      <c r="A3976" s="182" t="s">
        <v>6439</v>
      </c>
    </row>
    <row r="3977" customFormat="false" ht="12" hidden="false" customHeight="false" outlineLevel="0" collapsed="false">
      <c r="A3977" s="182" t="s">
        <v>6440</v>
      </c>
    </row>
    <row r="3978" customFormat="false" ht="12" hidden="false" customHeight="false" outlineLevel="0" collapsed="false">
      <c r="A3978" s="182" t="s">
        <v>6441</v>
      </c>
    </row>
    <row r="3979" customFormat="false" ht="12" hidden="false" customHeight="false" outlineLevel="0" collapsed="false">
      <c r="A3979" s="182" t="s">
        <v>6442</v>
      </c>
    </row>
    <row r="3980" customFormat="false" ht="12" hidden="false" customHeight="false" outlineLevel="0" collapsed="false">
      <c r="A3980" s="182" t="s">
        <v>6443</v>
      </c>
    </row>
    <row r="3981" customFormat="false" ht="12" hidden="false" customHeight="false" outlineLevel="0" collapsed="false">
      <c r="A3981" s="182" t="s">
        <v>6444</v>
      </c>
    </row>
    <row r="3982" customFormat="false" ht="12" hidden="false" customHeight="false" outlineLevel="0" collapsed="false">
      <c r="A3982" s="182" t="s">
        <v>6445</v>
      </c>
    </row>
    <row r="3983" customFormat="false" ht="12" hidden="false" customHeight="false" outlineLevel="0" collapsed="false">
      <c r="A3983" s="182" t="s">
        <v>6446</v>
      </c>
    </row>
    <row r="3984" customFormat="false" ht="12" hidden="false" customHeight="false" outlineLevel="0" collapsed="false">
      <c r="A3984" s="182" t="s">
        <v>6447</v>
      </c>
    </row>
    <row r="3985" customFormat="false" ht="12" hidden="false" customHeight="false" outlineLevel="0" collapsed="false">
      <c r="A3985" s="182" t="s">
        <v>6448</v>
      </c>
    </row>
    <row r="3986" customFormat="false" ht="12" hidden="false" customHeight="false" outlineLevel="0" collapsed="false">
      <c r="A3986" s="182" t="s">
        <v>6449</v>
      </c>
    </row>
    <row r="3987" customFormat="false" ht="12" hidden="false" customHeight="false" outlineLevel="0" collapsed="false">
      <c r="A3987" s="182" t="s">
        <v>6450</v>
      </c>
    </row>
    <row r="3988" customFormat="false" ht="12" hidden="false" customHeight="false" outlineLevel="0" collapsed="false">
      <c r="A3988" s="182" t="s">
        <v>6451</v>
      </c>
    </row>
    <row r="3989" customFormat="false" ht="12" hidden="false" customHeight="false" outlineLevel="0" collapsed="false">
      <c r="A3989" s="182" t="s">
        <v>6452</v>
      </c>
    </row>
    <row r="3990" customFormat="false" ht="12" hidden="false" customHeight="false" outlineLevel="0" collapsed="false">
      <c r="A3990" s="182" t="s">
        <v>6453</v>
      </c>
    </row>
    <row r="3991" customFormat="false" ht="12" hidden="false" customHeight="false" outlineLevel="0" collapsed="false">
      <c r="A3991" s="182" t="s">
        <v>6454</v>
      </c>
    </row>
    <row r="3992" customFormat="false" ht="12" hidden="false" customHeight="false" outlineLevel="0" collapsed="false">
      <c r="A3992" s="182" t="s">
        <v>6455</v>
      </c>
    </row>
    <row r="3993" customFormat="false" ht="12" hidden="false" customHeight="false" outlineLevel="0" collapsed="false">
      <c r="A3993" s="182" t="s">
        <v>6456</v>
      </c>
    </row>
    <row r="3994" customFormat="false" ht="12" hidden="false" customHeight="false" outlineLevel="0" collapsed="false">
      <c r="A3994" s="182" t="s">
        <v>6457</v>
      </c>
    </row>
    <row r="3995" customFormat="false" ht="12" hidden="false" customHeight="false" outlineLevel="0" collapsed="false">
      <c r="A3995" s="182" t="s">
        <v>6458</v>
      </c>
    </row>
    <row r="3996" customFormat="false" ht="12" hidden="false" customHeight="false" outlineLevel="0" collapsed="false">
      <c r="A3996" s="182" t="s">
        <v>6459</v>
      </c>
    </row>
    <row r="3997" customFormat="false" ht="12" hidden="false" customHeight="false" outlineLevel="0" collapsed="false">
      <c r="A3997" s="182" t="s">
        <v>6460</v>
      </c>
    </row>
    <row r="3998" customFormat="false" ht="12" hidden="false" customHeight="false" outlineLevel="0" collapsed="false">
      <c r="A3998" s="182" t="s">
        <v>6461</v>
      </c>
    </row>
    <row r="3999" customFormat="false" ht="12" hidden="false" customHeight="false" outlineLevel="0" collapsed="false">
      <c r="A3999" s="182" t="s">
        <v>6462</v>
      </c>
    </row>
    <row r="4000" customFormat="false" ht="12" hidden="false" customHeight="false" outlineLevel="0" collapsed="false">
      <c r="A4000" s="182" t="s">
        <v>6463</v>
      </c>
    </row>
    <row r="4001" customFormat="false" ht="12" hidden="false" customHeight="false" outlineLevel="0" collapsed="false">
      <c r="A4001" s="182" t="s">
        <v>6464</v>
      </c>
    </row>
    <row r="4002" customFormat="false" ht="12" hidden="false" customHeight="false" outlineLevel="0" collapsed="false">
      <c r="A4002" s="182" t="s">
        <v>6465</v>
      </c>
    </row>
    <row r="4003" customFormat="false" ht="12" hidden="false" customHeight="false" outlineLevel="0" collapsed="false">
      <c r="A4003" s="182" t="s">
        <v>6466</v>
      </c>
    </row>
    <row r="4004" customFormat="false" ht="12" hidden="false" customHeight="false" outlineLevel="0" collapsed="false">
      <c r="A4004" s="182" t="s">
        <v>6467</v>
      </c>
    </row>
    <row r="4005" customFormat="false" ht="12" hidden="false" customHeight="false" outlineLevel="0" collapsed="false">
      <c r="A4005" s="182" t="s">
        <v>6468</v>
      </c>
    </row>
    <row r="4006" customFormat="false" ht="12" hidden="false" customHeight="false" outlineLevel="0" collapsed="false">
      <c r="A4006" s="182" t="s">
        <v>6469</v>
      </c>
    </row>
    <row r="4007" customFormat="false" ht="12" hidden="false" customHeight="false" outlineLevel="0" collapsed="false">
      <c r="A4007" s="182" t="s">
        <v>6470</v>
      </c>
    </row>
    <row r="4008" customFormat="false" ht="12" hidden="false" customHeight="false" outlineLevel="0" collapsed="false">
      <c r="A4008" s="182" t="s">
        <v>6471</v>
      </c>
    </row>
    <row r="4009" customFormat="false" ht="12" hidden="false" customHeight="false" outlineLevel="0" collapsed="false">
      <c r="A4009" s="182" t="s">
        <v>6472</v>
      </c>
    </row>
    <row r="4010" customFormat="false" ht="12" hidden="false" customHeight="false" outlineLevel="0" collapsed="false">
      <c r="A4010" s="182" t="s">
        <v>6473</v>
      </c>
    </row>
    <row r="4011" customFormat="false" ht="12" hidden="false" customHeight="false" outlineLevel="0" collapsed="false">
      <c r="A4011" s="182" t="s">
        <v>6474</v>
      </c>
    </row>
    <row r="4012" customFormat="false" ht="12" hidden="false" customHeight="false" outlineLevel="0" collapsed="false">
      <c r="A4012" s="182" t="s">
        <v>6475</v>
      </c>
    </row>
    <row r="4013" customFormat="false" ht="12" hidden="false" customHeight="false" outlineLevel="0" collapsed="false">
      <c r="A4013" s="182" t="s">
        <v>6476</v>
      </c>
    </row>
    <row r="4014" customFormat="false" ht="12" hidden="false" customHeight="false" outlineLevel="0" collapsed="false">
      <c r="A4014" s="182" t="s">
        <v>6477</v>
      </c>
    </row>
    <row r="4015" customFormat="false" ht="12" hidden="false" customHeight="false" outlineLevel="0" collapsed="false">
      <c r="A4015" s="182" t="s">
        <v>6478</v>
      </c>
    </row>
    <row r="4016" customFormat="false" ht="12" hidden="false" customHeight="false" outlineLevel="0" collapsed="false">
      <c r="A4016" s="182" t="s">
        <v>6479</v>
      </c>
    </row>
    <row r="4017" customFormat="false" ht="12" hidden="false" customHeight="false" outlineLevel="0" collapsed="false">
      <c r="A4017" s="182" t="s">
        <v>6480</v>
      </c>
    </row>
    <row r="4018" customFormat="false" ht="12" hidden="false" customHeight="false" outlineLevel="0" collapsed="false">
      <c r="A4018" s="182" t="s">
        <v>6481</v>
      </c>
    </row>
    <row r="4019" customFormat="false" ht="12" hidden="false" customHeight="false" outlineLevel="0" collapsed="false">
      <c r="A4019" s="182" t="s">
        <v>6482</v>
      </c>
    </row>
    <row r="4020" customFormat="false" ht="12" hidden="false" customHeight="false" outlineLevel="0" collapsed="false">
      <c r="A4020" s="182" t="s">
        <v>6483</v>
      </c>
    </row>
    <row r="4021" customFormat="false" ht="12" hidden="false" customHeight="false" outlineLevel="0" collapsed="false">
      <c r="A4021" s="182" t="s">
        <v>6484</v>
      </c>
    </row>
    <row r="4022" customFormat="false" ht="12" hidden="false" customHeight="false" outlineLevel="0" collapsed="false">
      <c r="A4022" s="182" t="s">
        <v>6485</v>
      </c>
    </row>
    <row r="4023" customFormat="false" ht="12" hidden="false" customHeight="false" outlineLevel="0" collapsed="false">
      <c r="A4023" s="182" t="s">
        <v>6486</v>
      </c>
    </row>
    <row r="4024" customFormat="false" ht="12" hidden="false" customHeight="false" outlineLevel="0" collapsed="false">
      <c r="A4024" s="182" t="s">
        <v>6487</v>
      </c>
    </row>
    <row r="4025" customFormat="false" ht="12" hidden="false" customHeight="false" outlineLevel="0" collapsed="false">
      <c r="A4025" s="182" t="s">
        <v>6488</v>
      </c>
    </row>
    <row r="4026" customFormat="false" ht="12" hidden="false" customHeight="false" outlineLevel="0" collapsed="false">
      <c r="A4026" s="182" t="s">
        <v>6489</v>
      </c>
    </row>
    <row r="4027" customFormat="false" ht="12" hidden="false" customHeight="false" outlineLevel="0" collapsed="false">
      <c r="A4027" s="182" t="s">
        <v>6490</v>
      </c>
    </row>
    <row r="4028" customFormat="false" ht="12" hidden="false" customHeight="false" outlineLevel="0" collapsed="false">
      <c r="A4028" s="182" t="s">
        <v>6491</v>
      </c>
    </row>
    <row r="4029" customFormat="false" ht="12" hidden="false" customHeight="false" outlineLevel="0" collapsed="false">
      <c r="A4029" s="182" t="s">
        <v>6492</v>
      </c>
    </row>
    <row r="4030" customFormat="false" ht="12" hidden="false" customHeight="false" outlineLevel="0" collapsed="false">
      <c r="A4030" s="182" t="s">
        <v>6493</v>
      </c>
    </row>
    <row r="4031" customFormat="false" ht="12" hidden="false" customHeight="false" outlineLevel="0" collapsed="false">
      <c r="A4031" s="182" t="s">
        <v>6494</v>
      </c>
    </row>
    <row r="4032" customFormat="false" ht="12" hidden="false" customHeight="false" outlineLevel="0" collapsed="false">
      <c r="A4032" s="182" t="s">
        <v>6495</v>
      </c>
    </row>
    <row r="4033" customFormat="false" ht="12" hidden="false" customHeight="false" outlineLevel="0" collapsed="false">
      <c r="A4033" s="182" t="s">
        <v>6496</v>
      </c>
    </row>
    <row r="4034" customFormat="false" ht="12" hidden="false" customHeight="false" outlineLevel="0" collapsed="false">
      <c r="A4034" s="182" t="s">
        <v>6497</v>
      </c>
    </row>
    <row r="4035" customFormat="false" ht="12" hidden="false" customHeight="false" outlineLevel="0" collapsed="false">
      <c r="A4035" s="182" t="s">
        <v>6498</v>
      </c>
    </row>
    <row r="4036" customFormat="false" ht="12" hidden="false" customHeight="false" outlineLevel="0" collapsed="false">
      <c r="A4036" s="182" t="s">
        <v>6499</v>
      </c>
    </row>
    <row r="4037" customFormat="false" ht="12" hidden="false" customHeight="false" outlineLevel="0" collapsed="false">
      <c r="A4037" s="182" t="s">
        <v>6500</v>
      </c>
    </row>
    <row r="4038" customFormat="false" ht="12" hidden="false" customHeight="false" outlineLevel="0" collapsed="false">
      <c r="A4038" s="182" t="s">
        <v>6501</v>
      </c>
    </row>
    <row r="4039" customFormat="false" ht="12" hidden="false" customHeight="false" outlineLevel="0" collapsed="false">
      <c r="A4039" s="182" t="s">
        <v>6502</v>
      </c>
    </row>
    <row r="4040" customFormat="false" ht="12" hidden="false" customHeight="false" outlineLevel="0" collapsed="false">
      <c r="A4040" s="182" t="s">
        <v>6503</v>
      </c>
    </row>
    <row r="4041" customFormat="false" ht="12" hidden="false" customHeight="false" outlineLevel="0" collapsed="false">
      <c r="A4041" s="182" t="s">
        <v>6504</v>
      </c>
    </row>
    <row r="4042" customFormat="false" ht="12" hidden="false" customHeight="false" outlineLevel="0" collapsed="false">
      <c r="A4042" s="182" t="s">
        <v>6505</v>
      </c>
    </row>
    <row r="4043" customFormat="false" ht="12" hidden="false" customHeight="false" outlineLevel="0" collapsed="false">
      <c r="A4043" s="182" t="s">
        <v>6506</v>
      </c>
    </row>
    <row r="4044" customFormat="false" ht="12" hidden="false" customHeight="false" outlineLevel="0" collapsed="false">
      <c r="A4044" s="182" t="s">
        <v>6507</v>
      </c>
    </row>
    <row r="4045" customFormat="false" ht="12" hidden="false" customHeight="false" outlineLevel="0" collapsed="false">
      <c r="A4045" s="182" t="s">
        <v>6508</v>
      </c>
    </row>
    <row r="4046" customFormat="false" ht="12" hidden="false" customHeight="false" outlineLevel="0" collapsed="false">
      <c r="A4046" s="182" t="s">
        <v>6509</v>
      </c>
    </row>
    <row r="4047" customFormat="false" ht="12" hidden="false" customHeight="false" outlineLevel="0" collapsed="false">
      <c r="A4047" s="182" t="s">
        <v>6510</v>
      </c>
    </row>
    <row r="4048" customFormat="false" ht="12" hidden="false" customHeight="false" outlineLevel="0" collapsed="false">
      <c r="A4048" s="182" t="s">
        <v>6511</v>
      </c>
    </row>
    <row r="4049" customFormat="false" ht="12" hidden="false" customHeight="false" outlineLevel="0" collapsed="false">
      <c r="A4049" s="182" t="s">
        <v>6512</v>
      </c>
    </row>
    <row r="4050" customFormat="false" ht="12" hidden="false" customHeight="false" outlineLevel="0" collapsed="false">
      <c r="A4050" s="182" t="s">
        <v>6513</v>
      </c>
    </row>
    <row r="4051" customFormat="false" ht="12" hidden="false" customHeight="false" outlineLevel="0" collapsed="false">
      <c r="A4051" s="182" t="s">
        <v>6514</v>
      </c>
    </row>
    <row r="4052" customFormat="false" ht="12" hidden="false" customHeight="false" outlineLevel="0" collapsed="false">
      <c r="A4052" s="182" t="s">
        <v>6515</v>
      </c>
    </row>
    <row r="4053" customFormat="false" ht="12" hidden="false" customHeight="false" outlineLevel="0" collapsed="false">
      <c r="A4053" s="182" t="s">
        <v>6516</v>
      </c>
    </row>
    <row r="4054" customFormat="false" ht="12" hidden="false" customHeight="false" outlineLevel="0" collapsed="false">
      <c r="A4054" s="182" t="s">
        <v>6517</v>
      </c>
    </row>
    <row r="4055" customFormat="false" ht="12" hidden="false" customHeight="false" outlineLevel="0" collapsed="false">
      <c r="A4055" s="182" t="s">
        <v>6518</v>
      </c>
    </row>
    <row r="4056" customFormat="false" ht="12" hidden="false" customHeight="false" outlineLevel="0" collapsed="false">
      <c r="A4056" s="182" t="s">
        <v>6519</v>
      </c>
    </row>
    <row r="4057" customFormat="false" ht="12" hidden="false" customHeight="false" outlineLevel="0" collapsed="false">
      <c r="A4057" s="182" t="s">
        <v>6520</v>
      </c>
    </row>
    <row r="4058" customFormat="false" ht="12" hidden="false" customHeight="false" outlineLevel="0" collapsed="false">
      <c r="A4058" s="182" t="s">
        <v>6521</v>
      </c>
    </row>
    <row r="4059" customFormat="false" ht="12" hidden="false" customHeight="false" outlineLevel="0" collapsed="false">
      <c r="A4059" s="182" t="s">
        <v>6522</v>
      </c>
    </row>
    <row r="4060" customFormat="false" ht="12" hidden="false" customHeight="false" outlineLevel="0" collapsed="false">
      <c r="A4060" s="182" t="s">
        <v>6523</v>
      </c>
    </row>
    <row r="4061" customFormat="false" ht="12" hidden="false" customHeight="false" outlineLevel="0" collapsed="false">
      <c r="A4061" s="182" t="s">
        <v>6524</v>
      </c>
    </row>
    <row r="4062" customFormat="false" ht="12" hidden="false" customHeight="false" outlineLevel="0" collapsed="false">
      <c r="A4062" s="182" t="s">
        <v>6525</v>
      </c>
    </row>
    <row r="4063" customFormat="false" ht="12" hidden="false" customHeight="false" outlineLevel="0" collapsed="false">
      <c r="A4063" s="182" t="s">
        <v>6526</v>
      </c>
    </row>
    <row r="4064" customFormat="false" ht="12" hidden="false" customHeight="false" outlineLevel="0" collapsed="false">
      <c r="A4064" s="182" t="s">
        <v>6527</v>
      </c>
    </row>
    <row r="4065" customFormat="false" ht="12" hidden="false" customHeight="false" outlineLevel="0" collapsed="false">
      <c r="A4065" s="182" t="s">
        <v>6528</v>
      </c>
    </row>
    <row r="4066" customFormat="false" ht="12" hidden="false" customHeight="false" outlineLevel="0" collapsed="false">
      <c r="A4066" s="182" t="s">
        <v>6529</v>
      </c>
    </row>
    <row r="4067" customFormat="false" ht="12" hidden="false" customHeight="false" outlineLevel="0" collapsed="false">
      <c r="A4067" s="182" t="s">
        <v>6530</v>
      </c>
    </row>
    <row r="4068" customFormat="false" ht="12" hidden="false" customHeight="false" outlineLevel="0" collapsed="false">
      <c r="A4068" s="182" t="s">
        <v>6531</v>
      </c>
    </row>
    <row r="4069" customFormat="false" ht="12" hidden="false" customHeight="false" outlineLevel="0" collapsed="false">
      <c r="A4069" s="182" t="s">
        <v>6532</v>
      </c>
    </row>
    <row r="4070" customFormat="false" ht="12" hidden="false" customHeight="false" outlineLevel="0" collapsed="false">
      <c r="A4070" s="182" t="s">
        <v>6533</v>
      </c>
    </row>
    <row r="4071" customFormat="false" ht="12" hidden="false" customHeight="false" outlineLevel="0" collapsed="false">
      <c r="A4071" s="182" t="s">
        <v>6534</v>
      </c>
    </row>
    <row r="4072" customFormat="false" ht="12" hidden="false" customHeight="false" outlineLevel="0" collapsed="false">
      <c r="A4072" s="182" t="s">
        <v>6535</v>
      </c>
    </row>
    <row r="4073" customFormat="false" ht="12" hidden="false" customHeight="false" outlineLevel="0" collapsed="false">
      <c r="A4073" s="182" t="s">
        <v>6536</v>
      </c>
    </row>
    <row r="4074" customFormat="false" ht="12" hidden="false" customHeight="false" outlineLevel="0" collapsed="false">
      <c r="A4074" s="182" t="s">
        <v>6537</v>
      </c>
    </row>
    <row r="4075" customFormat="false" ht="12" hidden="false" customHeight="false" outlineLevel="0" collapsed="false">
      <c r="A4075" s="182" t="s">
        <v>6538</v>
      </c>
    </row>
    <row r="4076" customFormat="false" ht="12" hidden="false" customHeight="false" outlineLevel="0" collapsed="false">
      <c r="A4076" s="182" t="s">
        <v>6539</v>
      </c>
    </row>
    <row r="4077" customFormat="false" ht="12" hidden="false" customHeight="false" outlineLevel="0" collapsed="false">
      <c r="A4077" s="182" t="s">
        <v>6540</v>
      </c>
    </row>
    <row r="4078" customFormat="false" ht="12" hidden="false" customHeight="false" outlineLevel="0" collapsed="false">
      <c r="A4078" s="182" t="s">
        <v>6541</v>
      </c>
    </row>
    <row r="4079" customFormat="false" ht="12" hidden="false" customHeight="false" outlineLevel="0" collapsed="false">
      <c r="A4079" s="182" t="s">
        <v>6542</v>
      </c>
    </row>
    <row r="4080" customFormat="false" ht="12" hidden="false" customHeight="false" outlineLevel="0" collapsed="false">
      <c r="A4080" s="182" t="s">
        <v>6543</v>
      </c>
    </row>
    <row r="4081" customFormat="false" ht="12" hidden="false" customHeight="false" outlineLevel="0" collapsed="false">
      <c r="A4081" s="182" t="s">
        <v>6544</v>
      </c>
    </row>
    <row r="4082" customFormat="false" ht="12" hidden="false" customHeight="false" outlineLevel="0" collapsed="false">
      <c r="A4082" s="182" t="s">
        <v>6545</v>
      </c>
    </row>
    <row r="4083" customFormat="false" ht="12" hidden="false" customHeight="false" outlineLevel="0" collapsed="false">
      <c r="A4083" s="182" t="s">
        <v>6546</v>
      </c>
    </row>
    <row r="4084" customFormat="false" ht="12" hidden="false" customHeight="false" outlineLevel="0" collapsed="false">
      <c r="A4084" s="182" t="s">
        <v>6547</v>
      </c>
    </row>
    <row r="4085" customFormat="false" ht="12" hidden="false" customHeight="false" outlineLevel="0" collapsed="false">
      <c r="A4085" s="182" t="s">
        <v>6548</v>
      </c>
    </row>
    <row r="4086" customFormat="false" ht="12" hidden="false" customHeight="false" outlineLevel="0" collapsed="false">
      <c r="A4086" s="182" t="s">
        <v>6549</v>
      </c>
    </row>
    <row r="4087" customFormat="false" ht="12" hidden="false" customHeight="false" outlineLevel="0" collapsed="false">
      <c r="A4087" s="182" t="s">
        <v>6550</v>
      </c>
    </row>
    <row r="4088" customFormat="false" ht="12" hidden="false" customHeight="false" outlineLevel="0" collapsed="false">
      <c r="A4088" s="182" t="s">
        <v>6551</v>
      </c>
    </row>
    <row r="4089" customFormat="false" ht="12" hidden="false" customHeight="false" outlineLevel="0" collapsed="false">
      <c r="A4089" s="182" t="s">
        <v>6552</v>
      </c>
    </row>
    <row r="4090" customFormat="false" ht="12" hidden="false" customHeight="false" outlineLevel="0" collapsed="false">
      <c r="A4090" s="182" t="s">
        <v>6553</v>
      </c>
    </row>
    <row r="4091" customFormat="false" ht="12" hidden="false" customHeight="false" outlineLevel="0" collapsed="false">
      <c r="A4091" s="182" t="s">
        <v>6554</v>
      </c>
    </row>
    <row r="4092" customFormat="false" ht="12" hidden="false" customHeight="false" outlineLevel="0" collapsed="false">
      <c r="A4092" s="182" t="s">
        <v>6555</v>
      </c>
    </row>
    <row r="4093" customFormat="false" ht="12" hidden="false" customHeight="false" outlineLevel="0" collapsed="false">
      <c r="A4093" s="182" t="s">
        <v>6556</v>
      </c>
    </row>
    <row r="4094" customFormat="false" ht="12" hidden="false" customHeight="false" outlineLevel="0" collapsed="false">
      <c r="A4094" s="182" t="s">
        <v>6557</v>
      </c>
    </row>
    <row r="4095" customFormat="false" ht="12" hidden="false" customHeight="false" outlineLevel="0" collapsed="false">
      <c r="A4095" s="182" t="s">
        <v>6558</v>
      </c>
    </row>
    <row r="4096" customFormat="false" ht="12" hidden="false" customHeight="false" outlineLevel="0" collapsed="false">
      <c r="A4096" s="182" t="s">
        <v>6559</v>
      </c>
    </row>
    <row r="4097" customFormat="false" ht="12" hidden="false" customHeight="false" outlineLevel="0" collapsed="false">
      <c r="A4097" s="182" t="s">
        <v>6560</v>
      </c>
    </row>
    <row r="4098" customFormat="false" ht="12" hidden="false" customHeight="false" outlineLevel="0" collapsed="false">
      <c r="A4098" s="182" t="s">
        <v>6561</v>
      </c>
    </row>
    <row r="4099" customFormat="false" ht="12" hidden="false" customHeight="false" outlineLevel="0" collapsed="false">
      <c r="A4099" s="182" t="s">
        <v>6562</v>
      </c>
    </row>
    <row r="4100" customFormat="false" ht="12" hidden="false" customHeight="false" outlineLevel="0" collapsed="false">
      <c r="A4100" s="182" t="s">
        <v>6563</v>
      </c>
    </row>
    <row r="4101" customFormat="false" ht="12" hidden="false" customHeight="false" outlineLevel="0" collapsed="false">
      <c r="A4101" s="182" t="s">
        <v>6564</v>
      </c>
    </row>
    <row r="4102" customFormat="false" ht="12" hidden="false" customHeight="false" outlineLevel="0" collapsed="false">
      <c r="A4102" s="182" t="s">
        <v>6565</v>
      </c>
    </row>
    <row r="4103" customFormat="false" ht="12" hidden="false" customHeight="false" outlineLevel="0" collapsed="false">
      <c r="A4103" s="182" t="s">
        <v>6566</v>
      </c>
    </row>
    <row r="4104" customFormat="false" ht="12" hidden="false" customHeight="false" outlineLevel="0" collapsed="false">
      <c r="A4104" s="182" t="s">
        <v>6567</v>
      </c>
    </row>
    <row r="4105" customFormat="false" ht="12" hidden="false" customHeight="false" outlineLevel="0" collapsed="false">
      <c r="A4105" s="182" t="s">
        <v>6568</v>
      </c>
    </row>
    <row r="4106" customFormat="false" ht="12" hidden="false" customHeight="false" outlineLevel="0" collapsed="false">
      <c r="A4106" s="182" t="s">
        <v>6569</v>
      </c>
    </row>
    <row r="4107" customFormat="false" ht="12" hidden="false" customHeight="false" outlineLevel="0" collapsed="false">
      <c r="A4107" s="182" t="s">
        <v>6570</v>
      </c>
    </row>
    <row r="4108" customFormat="false" ht="12" hidden="false" customHeight="false" outlineLevel="0" collapsed="false">
      <c r="A4108" s="182" t="s">
        <v>6571</v>
      </c>
    </row>
    <row r="4109" customFormat="false" ht="12" hidden="false" customHeight="false" outlineLevel="0" collapsed="false">
      <c r="A4109" s="182" t="s">
        <v>6572</v>
      </c>
    </row>
    <row r="4110" customFormat="false" ht="12" hidden="false" customHeight="false" outlineLevel="0" collapsed="false">
      <c r="A4110" s="182" t="s">
        <v>6573</v>
      </c>
    </row>
    <row r="4111" customFormat="false" ht="12" hidden="false" customHeight="false" outlineLevel="0" collapsed="false">
      <c r="A4111" s="182" t="s">
        <v>6574</v>
      </c>
    </row>
    <row r="4112" customFormat="false" ht="12" hidden="false" customHeight="false" outlineLevel="0" collapsed="false">
      <c r="A4112" s="182" t="s">
        <v>6575</v>
      </c>
    </row>
    <row r="4113" customFormat="false" ht="12" hidden="false" customHeight="false" outlineLevel="0" collapsed="false">
      <c r="A4113" s="182" t="s">
        <v>6576</v>
      </c>
    </row>
    <row r="4114" customFormat="false" ht="12" hidden="false" customHeight="false" outlineLevel="0" collapsed="false">
      <c r="A4114" s="182" t="s">
        <v>6577</v>
      </c>
    </row>
    <row r="4115" customFormat="false" ht="12" hidden="false" customHeight="false" outlineLevel="0" collapsed="false">
      <c r="A4115" s="182" t="s">
        <v>6578</v>
      </c>
    </row>
    <row r="4116" customFormat="false" ht="12" hidden="false" customHeight="false" outlineLevel="0" collapsed="false">
      <c r="A4116" s="182" t="s">
        <v>6579</v>
      </c>
    </row>
    <row r="4117" customFormat="false" ht="12" hidden="false" customHeight="false" outlineLevel="0" collapsed="false">
      <c r="A4117" s="182" t="s">
        <v>6580</v>
      </c>
    </row>
    <row r="4118" customFormat="false" ht="12" hidden="false" customHeight="false" outlineLevel="0" collapsed="false">
      <c r="A4118" s="182" t="s">
        <v>6581</v>
      </c>
    </row>
    <row r="4119" customFormat="false" ht="12" hidden="false" customHeight="false" outlineLevel="0" collapsed="false">
      <c r="A4119" s="182" t="s">
        <v>6582</v>
      </c>
    </row>
    <row r="4120" customFormat="false" ht="12" hidden="false" customHeight="false" outlineLevel="0" collapsed="false">
      <c r="A4120" s="182" t="s">
        <v>6583</v>
      </c>
    </row>
    <row r="4121" customFormat="false" ht="12" hidden="false" customHeight="false" outlineLevel="0" collapsed="false">
      <c r="A4121" s="182" t="s">
        <v>6584</v>
      </c>
    </row>
    <row r="4122" customFormat="false" ht="12" hidden="false" customHeight="false" outlineLevel="0" collapsed="false">
      <c r="A4122" s="182" t="s">
        <v>6585</v>
      </c>
    </row>
    <row r="4123" customFormat="false" ht="12" hidden="false" customHeight="false" outlineLevel="0" collapsed="false">
      <c r="A4123" s="182" t="s">
        <v>6586</v>
      </c>
    </row>
    <row r="4124" customFormat="false" ht="12" hidden="false" customHeight="false" outlineLevel="0" collapsed="false">
      <c r="A4124" s="182" t="s">
        <v>6587</v>
      </c>
    </row>
    <row r="4125" customFormat="false" ht="12" hidden="false" customHeight="false" outlineLevel="0" collapsed="false">
      <c r="A4125" s="182" t="s">
        <v>6588</v>
      </c>
    </row>
    <row r="4126" customFormat="false" ht="12" hidden="false" customHeight="false" outlineLevel="0" collapsed="false">
      <c r="A4126" s="182" t="s">
        <v>6589</v>
      </c>
    </row>
    <row r="4127" customFormat="false" ht="12" hidden="false" customHeight="false" outlineLevel="0" collapsed="false">
      <c r="A4127" s="182" t="s">
        <v>6590</v>
      </c>
    </row>
    <row r="4128" customFormat="false" ht="12" hidden="false" customHeight="false" outlineLevel="0" collapsed="false">
      <c r="A4128" s="182" t="s">
        <v>6591</v>
      </c>
    </row>
    <row r="4129" customFormat="false" ht="12" hidden="false" customHeight="false" outlineLevel="0" collapsed="false">
      <c r="A4129" s="182" t="s">
        <v>6592</v>
      </c>
    </row>
    <row r="4130" customFormat="false" ht="12" hidden="false" customHeight="false" outlineLevel="0" collapsed="false">
      <c r="A4130" s="182" t="s">
        <v>6593</v>
      </c>
    </row>
    <row r="4131" customFormat="false" ht="12" hidden="false" customHeight="false" outlineLevel="0" collapsed="false">
      <c r="A4131" s="182" t="s">
        <v>6594</v>
      </c>
    </row>
    <row r="4132" customFormat="false" ht="12" hidden="false" customHeight="false" outlineLevel="0" collapsed="false">
      <c r="A4132" s="182" t="s">
        <v>6595</v>
      </c>
    </row>
    <row r="4133" customFormat="false" ht="12" hidden="false" customHeight="false" outlineLevel="0" collapsed="false">
      <c r="A4133" s="182" t="s">
        <v>6596</v>
      </c>
    </row>
    <row r="4134" customFormat="false" ht="12" hidden="false" customHeight="false" outlineLevel="0" collapsed="false">
      <c r="A4134" s="182" t="s">
        <v>6597</v>
      </c>
    </row>
    <row r="4135" customFormat="false" ht="12" hidden="false" customHeight="false" outlineLevel="0" collapsed="false">
      <c r="A4135" s="182" t="s">
        <v>6598</v>
      </c>
    </row>
    <row r="4136" customFormat="false" ht="12" hidden="false" customHeight="false" outlineLevel="0" collapsed="false">
      <c r="A4136" s="182" t="s">
        <v>6599</v>
      </c>
    </row>
    <row r="4137" customFormat="false" ht="12" hidden="false" customHeight="false" outlineLevel="0" collapsed="false">
      <c r="A4137" s="182" t="s">
        <v>6600</v>
      </c>
    </row>
    <row r="4138" customFormat="false" ht="12" hidden="false" customHeight="false" outlineLevel="0" collapsed="false">
      <c r="A4138" s="182" t="s">
        <v>6601</v>
      </c>
    </row>
    <row r="4139" customFormat="false" ht="12" hidden="false" customHeight="false" outlineLevel="0" collapsed="false">
      <c r="A4139" s="182" t="s">
        <v>6602</v>
      </c>
    </row>
    <row r="4140" customFormat="false" ht="12" hidden="false" customHeight="false" outlineLevel="0" collapsed="false">
      <c r="A4140" s="182" t="s">
        <v>6603</v>
      </c>
    </row>
    <row r="4141" customFormat="false" ht="12" hidden="false" customHeight="false" outlineLevel="0" collapsed="false">
      <c r="A4141" s="182" t="s">
        <v>6604</v>
      </c>
    </row>
    <row r="4142" customFormat="false" ht="12" hidden="false" customHeight="false" outlineLevel="0" collapsed="false">
      <c r="A4142" s="182" t="s">
        <v>6605</v>
      </c>
    </row>
    <row r="4143" customFormat="false" ht="12" hidden="false" customHeight="false" outlineLevel="0" collapsed="false">
      <c r="A4143" s="182" t="s">
        <v>6606</v>
      </c>
    </row>
    <row r="4144" customFormat="false" ht="12" hidden="false" customHeight="false" outlineLevel="0" collapsed="false">
      <c r="A4144" s="182" t="s">
        <v>6607</v>
      </c>
    </row>
    <row r="4145" customFormat="false" ht="12" hidden="false" customHeight="false" outlineLevel="0" collapsed="false">
      <c r="A4145" s="182" t="s">
        <v>6608</v>
      </c>
    </row>
    <row r="4146" customFormat="false" ht="12" hidden="false" customHeight="false" outlineLevel="0" collapsed="false">
      <c r="A4146" s="182" t="s">
        <v>6609</v>
      </c>
    </row>
    <row r="4147" customFormat="false" ht="12" hidden="false" customHeight="false" outlineLevel="0" collapsed="false">
      <c r="A4147" s="182" t="s">
        <v>6610</v>
      </c>
    </row>
    <row r="4148" customFormat="false" ht="12" hidden="false" customHeight="false" outlineLevel="0" collapsed="false">
      <c r="A4148" s="182" t="s">
        <v>6611</v>
      </c>
    </row>
    <row r="4149" customFormat="false" ht="12" hidden="false" customHeight="false" outlineLevel="0" collapsed="false">
      <c r="A4149" s="182" t="s">
        <v>6612</v>
      </c>
    </row>
    <row r="4150" customFormat="false" ht="12" hidden="false" customHeight="false" outlineLevel="0" collapsed="false">
      <c r="A4150" s="182" t="s">
        <v>6613</v>
      </c>
    </row>
    <row r="4151" customFormat="false" ht="12" hidden="false" customHeight="false" outlineLevel="0" collapsed="false">
      <c r="A4151" s="182" t="s">
        <v>6614</v>
      </c>
    </row>
    <row r="4152" customFormat="false" ht="12" hidden="false" customHeight="false" outlineLevel="0" collapsed="false">
      <c r="A4152" s="182" t="s">
        <v>6615</v>
      </c>
    </row>
    <row r="4153" customFormat="false" ht="12" hidden="false" customHeight="false" outlineLevel="0" collapsed="false">
      <c r="A4153" s="182" t="s">
        <v>6616</v>
      </c>
    </row>
    <row r="4154" customFormat="false" ht="12" hidden="false" customHeight="false" outlineLevel="0" collapsed="false">
      <c r="A4154" s="182" t="s">
        <v>6617</v>
      </c>
    </row>
    <row r="4155" customFormat="false" ht="12" hidden="false" customHeight="false" outlineLevel="0" collapsed="false">
      <c r="A4155" s="182" t="s">
        <v>6618</v>
      </c>
    </row>
    <row r="4156" customFormat="false" ht="12" hidden="false" customHeight="false" outlineLevel="0" collapsed="false">
      <c r="A4156" s="182" t="s">
        <v>6619</v>
      </c>
    </row>
    <row r="4157" customFormat="false" ht="12" hidden="false" customHeight="false" outlineLevel="0" collapsed="false">
      <c r="A4157" s="182" t="s">
        <v>6620</v>
      </c>
    </row>
    <row r="4158" customFormat="false" ht="12" hidden="false" customHeight="false" outlineLevel="0" collapsed="false">
      <c r="A4158" s="182" t="s">
        <v>6621</v>
      </c>
    </row>
    <row r="4159" customFormat="false" ht="12" hidden="false" customHeight="false" outlineLevel="0" collapsed="false">
      <c r="A4159" s="182" t="s">
        <v>6622</v>
      </c>
    </row>
    <row r="4160" customFormat="false" ht="12" hidden="false" customHeight="false" outlineLevel="0" collapsed="false">
      <c r="A4160" s="182" t="s">
        <v>6623</v>
      </c>
    </row>
    <row r="4161" customFormat="false" ht="12" hidden="false" customHeight="false" outlineLevel="0" collapsed="false">
      <c r="A4161" s="182" t="s">
        <v>6624</v>
      </c>
    </row>
    <row r="4162" customFormat="false" ht="12" hidden="false" customHeight="false" outlineLevel="0" collapsed="false">
      <c r="A4162" s="182" t="s">
        <v>6625</v>
      </c>
    </row>
    <row r="4163" customFormat="false" ht="12" hidden="false" customHeight="false" outlineLevel="0" collapsed="false">
      <c r="A4163" s="182" t="s">
        <v>6626</v>
      </c>
    </row>
    <row r="4164" customFormat="false" ht="12" hidden="false" customHeight="false" outlineLevel="0" collapsed="false">
      <c r="A4164" s="182" t="s">
        <v>6627</v>
      </c>
    </row>
    <row r="4165" customFormat="false" ht="12" hidden="false" customHeight="false" outlineLevel="0" collapsed="false">
      <c r="A4165" s="182" t="s">
        <v>6628</v>
      </c>
    </row>
    <row r="4166" customFormat="false" ht="12" hidden="false" customHeight="false" outlineLevel="0" collapsed="false">
      <c r="A4166" s="182" t="s">
        <v>6629</v>
      </c>
    </row>
    <row r="4167" customFormat="false" ht="12" hidden="false" customHeight="false" outlineLevel="0" collapsed="false">
      <c r="A4167" s="182" t="s">
        <v>6630</v>
      </c>
    </row>
    <row r="4168" customFormat="false" ht="12" hidden="false" customHeight="false" outlineLevel="0" collapsed="false">
      <c r="A4168" s="182" t="s">
        <v>6631</v>
      </c>
    </row>
    <row r="4169" customFormat="false" ht="12" hidden="false" customHeight="false" outlineLevel="0" collapsed="false">
      <c r="A4169" s="182" t="s">
        <v>6632</v>
      </c>
    </row>
    <row r="4170" customFormat="false" ht="12" hidden="false" customHeight="false" outlineLevel="0" collapsed="false">
      <c r="A4170" s="182" t="s">
        <v>6633</v>
      </c>
    </row>
    <row r="4171" customFormat="false" ht="12" hidden="false" customHeight="false" outlineLevel="0" collapsed="false">
      <c r="A4171" s="182" t="s">
        <v>6634</v>
      </c>
    </row>
    <row r="4172" customFormat="false" ht="12" hidden="false" customHeight="false" outlineLevel="0" collapsed="false">
      <c r="A4172" s="182" t="s">
        <v>6635</v>
      </c>
    </row>
    <row r="4173" customFormat="false" ht="12" hidden="false" customHeight="false" outlineLevel="0" collapsed="false">
      <c r="A4173" s="182" t="s">
        <v>6636</v>
      </c>
    </row>
    <row r="4174" customFormat="false" ht="12" hidden="false" customHeight="false" outlineLevel="0" collapsed="false">
      <c r="A4174" s="182" t="s">
        <v>6637</v>
      </c>
    </row>
    <row r="4175" customFormat="false" ht="12" hidden="false" customHeight="false" outlineLevel="0" collapsed="false">
      <c r="A4175" s="182" t="s">
        <v>6638</v>
      </c>
    </row>
    <row r="4176" customFormat="false" ht="12" hidden="false" customHeight="false" outlineLevel="0" collapsed="false">
      <c r="A4176" s="182" t="s">
        <v>6639</v>
      </c>
    </row>
    <row r="4177" customFormat="false" ht="12" hidden="false" customHeight="false" outlineLevel="0" collapsed="false">
      <c r="A4177" s="182" t="s">
        <v>6640</v>
      </c>
    </row>
    <row r="4178" customFormat="false" ht="12" hidden="false" customHeight="false" outlineLevel="0" collapsed="false">
      <c r="A4178" s="182" t="s">
        <v>6641</v>
      </c>
    </row>
    <row r="4179" customFormat="false" ht="12" hidden="false" customHeight="false" outlineLevel="0" collapsed="false">
      <c r="A4179" s="182" t="s">
        <v>6642</v>
      </c>
    </row>
    <row r="4180" customFormat="false" ht="12" hidden="false" customHeight="false" outlineLevel="0" collapsed="false">
      <c r="A4180" s="182" t="s">
        <v>6643</v>
      </c>
    </row>
    <row r="4181" customFormat="false" ht="12" hidden="false" customHeight="false" outlineLevel="0" collapsed="false">
      <c r="A4181" s="182" t="s">
        <v>6644</v>
      </c>
    </row>
    <row r="4182" customFormat="false" ht="12" hidden="false" customHeight="false" outlineLevel="0" collapsed="false">
      <c r="A4182" s="182" t="s">
        <v>6645</v>
      </c>
    </row>
    <row r="4183" customFormat="false" ht="12" hidden="false" customHeight="false" outlineLevel="0" collapsed="false">
      <c r="A4183" s="182" t="s">
        <v>6646</v>
      </c>
    </row>
    <row r="4184" customFormat="false" ht="12" hidden="false" customHeight="false" outlineLevel="0" collapsed="false">
      <c r="A4184" s="182" t="s">
        <v>6647</v>
      </c>
    </row>
    <row r="4185" customFormat="false" ht="12" hidden="false" customHeight="false" outlineLevel="0" collapsed="false">
      <c r="A4185" s="182" t="s">
        <v>6648</v>
      </c>
    </row>
    <row r="4186" customFormat="false" ht="12" hidden="false" customHeight="false" outlineLevel="0" collapsed="false">
      <c r="A4186" s="182" t="s">
        <v>6649</v>
      </c>
    </row>
    <row r="4187" customFormat="false" ht="12" hidden="false" customHeight="false" outlineLevel="0" collapsed="false">
      <c r="A4187" s="182" t="s">
        <v>6650</v>
      </c>
    </row>
    <row r="4188" customFormat="false" ht="12" hidden="false" customHeight="false" outlineLevel="0" collapsed="false">
      <c r="A4188" s="182" t="s">
        <v>6651</v>
      </c>
    </row>
    <row r="4189" customFormat="false" ht="12" hidden="false" customHeight="false" outlineLevel="0" collapsed="false">
      <c r="A4189" s="182" t="s">
        <v>6652</v>
      </c>
    </row>
    <row r="4190" customFormat="false" ht="12" hidden="false" customHeight="false" outlineLevel="0" collapsed="false">
      <c r="A4190" s="182" t="s">
        <v>6653</v>
      </c>
    </row>
    <row r="4191" customFormat="false" ht="12" hidden="false" customHeight="false" outlineLevel="0" collapsed="false">
      <c r="A4191" s="182" t="s">
        <v>6654</v>
      </c>
    </row>
    <row r="4192" customFormat="false" ht="12" hidden="false" customHeight="false" outlineLevel="0" collapsed="false">
      <c r="A4192" s="182" t="s">
        <v>6655</v>
      </c>
    </row>
    <row r="4193" customFormat="false" ht="12" hidden="false" customHeight="false" outlineLevel="0" collapsed="false">
      <c r="A4193" s="182" t="s">
        <v>6656</v>
      </c>
    </row>
    <row r="4194" customFormat="false" ht="12" hidden="false" customHeight="false" outlineLevel="0" collapsed="false">
      <c r="A4194" s="182" t="s">
        <v>6657</v>
      </c>
    </row>
    <row r="4195" customFormat="false" ht="12" hidden="false" customHeight="false" outlineLevel="0" collapsed="false">
      <c r="A4195" s="182" t="s">
        <v>6658</v>
      </c>
    </row>
    <row r="4196" customFormat="false" ht="12" hidden="false" customHeight="false" outlineLevel="0" collapsed="false">
      <c r="A4196" s="182" t="s">
        <v>6659</v>
      </c>
    </row>
    <row r="4197" customFormat="false" ht="12" hidden="false" customHeight="false" outlineLevel="0" collapsed="false">
      <c r="A4197" s="182" t="s">
        <v>6660</v>
      </c>
    </row>
    <row r="4198" customFormat="false" ht="12" hidden="false" customHeight="false" outlineLevel="0" collapsed="false">
      <c r="A4198" s="182" t="s">
        <v>6661</v>
      </c>
    </row>
    <row r="4199" customFormat="false" ht="12" hidden="false" customHeight="false" outlineLevel="0" collapsed="false">
      <c r="A4199" s="182" t="s">
        <v>6662</v>
      </c>
    </row>
    <row r="4200" customFormat="false" ht="12" hidden="false" customHeight="false" outlineLevel="0" collapsed="false">
      <c r="A4200" s="182" t="s">
        <v>6663</v>
      </c>
    </row>
    <row r="4201" customFormat="false" ht="12" hidden="false" customHeight="false" outlineLevel="0" collapsed="false">
      <c r="A4201" s="182" t="s">
        <v>6664</v>
      </c>
    </row>
    <row r="4202" customFormat="false" ht="12" hidden="false" customHeight="false" outlineLevel="0" collapsed="false">
      <c r="A4202" s="182" t="s">
        <v>6665</v>
      </c>
    </row>
    <row r="4203" customFormat="false" ht="12" hidden="false" customHeight="false" outlineLevel="0" collapsed="false">
      <c r="A4203" s="182" t="s">
        <v>6666</v>
      </c>
    </row>
    <row r="4204" customFormat="false" ht="12" hidden="false" customHeight="false" outlineLevel="0" collapsed="false">
      <c r="A4204" s="182" t="s">
        <v>6667</v>
      </c>
    </row>
    <row r="4205" customFormat="false" ht="12" hidden="false" customHeight="false" outlineLevel="0" collapsed="false">
      <c r="A4205" s="182" t="s">
        <v>6668</v>
      </c>
    </row>
    <row r="4206" customFormat="false" ht="12" hidden="false" customHeight="false" outlineLevel="0" collapsed="false">
      <c r="A4206" s="182" t="s">
        <v>6669</v>
      </c>
    </row>
    <row r="4207" customFormat="false" ht="12" hidden="false" customHeight="false" outlineLevel="0" collapsed="false">
      <c r="A4207" s="182" t="s">
        <v>6670</v>
      </c>
    </row>
    <row r="4208" customFormat="false" ht="12" hidden="false" customHeight="false" outlineLevel="0" collapsed="false">
      <c r="A4208" s="182" t="s">
        <v>6671</v>
      </c>
    </row>
    <row r="4209" customFormat="false" ht="12" hidden="false" customHeight="false" outlineLevel="0" collapsed="false">
      <c r="A4209" s="182" t="s">
        <v>6672</v>
      </c>
    </row>
    <row r="4210" customFormat="false" ht="12" hidden="false" customHeight="false" outlineLevel="0" collapsed="false">
      <c r="A4210" s="182" t="s">
        <v>6673</v>
      </c>
    </row>
    <row r="4211" customFormat="false" ht="12" hidden="false" customHeight="false" outlineLevel="0" collapsed="false">
      <c r="A4211" s="182" t="s">
        <v>6674</v>
      </c>
    </row>
    <row r="4212" customFormat="false" ht="12" hidden="false" customHeight="false" outlineLevel="0" collapsed="false">
      <c r="A4212" s="182" t="s">
        <v>6675</v>
      </c>
    </row>
    <row r="4213" customFormat="false" ht="12" hidden="false" customHeight="false" outlineLevel="0" collapsed="false">
      <c r="A4213" s="182" t="s">
        <v>6676</v>
      </c>
    </row>
    <row r="4214" customFormat="false" ht="12" hidden="false" customHeight="false" outlineLevel="0" collapsed="false">
      <c r="A4214" s="182" t="s">
        <v>6677</v>
      </c>
    </row>
    <row r="4215" customFormat="false" ht="12" hidden="false" customHeight="false" outlineLevel="0" collapsed="false">
      <c r="A4215" s="182" t="s">
        <v>6678</v>
      </c>
    </row>
    <row r="4216" customFormat="false" ht="12" hidden="false" customHeight="false" outlineLevel="0" collapsed="false">
      <c r="A4216" s="182" t="s">
        <v>6679</v>
      </c>
    </row>
    <row r="4217" customFormat="false" ht="12" hidden="false" customHeight="false" outlineLevel="0" collapsed="false">
      <c r="A4217" s="182" t="s">
        <v>6680</v>
      </c>
    </row>
    <row r="4218" customFormat="false" ht="12" hidden="false" customHeight="false" outlineLevel="0" collapsed="false">
      <c r="A4218" s="182" t="s">
        <v>6681</v>
      </c>
    </row>
    <row r="4219" customFormat="false" ht="12" hidden="false" customHeight="false" outlineLevel="0" collapsed="false">
      <c r="A4219" s="182" t="s">
        <v>6682</v>
      </c>
    </row>
    <row r="4220" customFormat="false" ht="12" hidden="false" customHeight="false" outlineLevel="0" collapsed="false">
      <c r="A4220" s="182" t="s">
        <v>6683</v>
      </c>
    </row>
    <row r="4221" customFormat="false" ht="12" hidden="false" customHeight="false" outlineLevel="0" collapsed="false">
      <c r="A4221" s="182" t="s">
        <v>6684</v>
      </c>
    </row>
    <row r="4222" customFormat="false" ht="12" hidden="false" customHeight="false" outlineLevel="0" collapsed="false">
      <c r="A4222" s="182" t="s">
        <v>6685</v>
      </c>
    </row>
    <row r="4223" customFormat="false" ht="12" hidden="false" customHeight="false" outlineLevel="0" collapsed="false">
      <c r="A4223" s="182" t="s">
        <v>6686</v>
      </c>
    </row>
    <row r="4224" customFormat="false" ht="12" hidden="false" customHeight="false" outlineLevel="0" collapsed="false">
      <c r="A4224" s="182" t="s">
        <v>6687</v>
      </c>
    </row>
    <row r="4225" customFormat="false" ht="12" hidden="false" customHeight="false" outlineLevel="0" collapsed="false">
      <c r="A4225" s="182" t="s">
        <v>6688</v>
      </c>
    </row>
    <row r="4226" customFormat="false" ht="12" hidden="false" customHeight="false" outlineLevel="0" collapsed="false">
      <c r="A4226" s="182" t="s">
        <v>6689</v>
      </c>
    </row>
    <row r="4227" customFormat="false" ht="12" hidden="false" customHeight="false" outlineLevel="0" collapsed="false">
      <c r="A4227" s="182" t="s">
        <v>6690</v>
      </c>
    </row>
    <row r="4228" customFormat="false" ht="12" hidden="false" customHeight="false" outlineLevel="0" collapsed="false">
      <c r="A4228" s="182" t="s">
        <v>6691</v>
      </c>
    </row>
    <row r="4229" customFormat="false" ht="12" hidden="false" customHeight="false" outlineLevel="0" collapsed="false">
      <c r="A4229" s="182" t="s">
        <v>6692</v>
      </c>
    </row>
    <row r="4230" customFormat="false" ht="12" hidden="false" customHeight="false" outlineLevel="0" collapsed="false">
      <c r="A4230" s="182" t="s">
        <v>6693</v>
      </c>
    </row>
    <row r="4231" customFormat="false" ht="12" hidden="false" customHeight="false" outlineLevel="0" collapsed="false">
      <c r="A4231" s="182" t="s">
        <v>6694</v>
      </c>
    </row>
    <row r="4232" customFormat="false" ht="12" hidden="false" customHeight="false" outlineLevel="0" collapsed="false">
      <c r="A4232" s="182" t="s">
        <v>6695</v>
      </c>
    </row>
    <row r="4233" customFormat="false" ht="12" hidden="false" customHeight="false" outlineLevel="0" collapsed="false">
      <c r="A4233" s="182" t="s">
        <v>6696</v>
      </c>
    </row>
    <row r="4234" customFormat="false" ht="12" hidden="false" customHeight="false" outlineLevel="0" collapsed="false">
      <c r="A4234" s="182" t="s">
        <v>6697</v>
      </c>
    </row>
    <row r="4235" customFormat="false" ht="12" hidden="false" customHeight="false" outlineLevel="0" collapsed="false">
      <c r="A4235" s="182" t="s">
        <v>6698</v>
      </c>
    </row>
    <row r="4236" customFormat="false" ht="12" hidden="false" customHeight="false" outlineLevel="0" collapsed="false">
      <c r="A4236" s="182" t="s">
        <v>6699</v>
      </c>
    </row>
    <row r="4237" customFormat="false" ht="12" hidden="false" customHeight="false" outlineLevel="0" collapsed="false">
      <c r="A4237" s="182" t="s">
        <v>6700</v>
      </c>
    </row>
    <row r="4238" customFormat="false" ht="12" hidden="false" customHeight="false" outlineLevel="0" collapsed="false">
      <c r="A4238" s="182" t="s">
        <v>6701</v>
      </c>
    </row>
    <row r="4239" customFormat="false" ht="12" hidden="false" customHeight="false" outlineLevel="0" collapsed="false">
      <c r="A4239" s="182" t="s">
        <v>6702</v>
      </c>
    </row>
    <row r="4240" customFormat="false" ht="12" hidden="false" customHeight="false" outlineLevel="0" collapsed="false">
      <c r="A4240" s="182" t="s">
        <v>6703</v>
      </c>
    </row>
    <row r="4241" customFormat="false" ht="12" hidden="false" customHeight="false" outlineLevel="0" collapsed="false">
      <c r="A4241" s="182" t="s">
        <v>6704</v>
      </c>
    </row>
    <row r="4242" customFormat="false" ht="12" hidden="false" customHeight="false" outlineLevel="0" collapsed="false">
      <c r="A4242" s="182" t="s">
        <v>6705</v>
      </c>
    </row>
    <row r="4243" customFormat="false" ht="12" hidden="false" customHeight="false" outlineLevel="0" collapsed="false">
      <c r="A4243" s="182" t="s">
        <v>6706</v>
      </c>
    </row>
    <row r="4244" customFormat="false" ht="12" hidden="false" customHeight="false" outlineLevel="0" collapsed="false">
      <c r="A4244" s="182" t="s">
        <v>6707</v>
      </c>
    </row>
    <row r="4245" customFormat="false" ht="12" hidden="false" customHeight="false" outlineLevel="0" collapsed="false">
      <c r="A4245" s="182" t="s">
        <v>6708</v>
      </c>
    </row>
    <row r="4246" customFormat="false" ht="12" hidden="false" customHeight="false" outlineLevel="0" collapsed="false">
      <c r="A4246" s="182" t="s">
        <v>6709</v>
      </c>
    </row>
    <row r="4247" customFormat="false" ht="12" hidden="false" customHeight="false" outlineLevel="0" collapsed="false">
      <c r="A4247" s="182" t="s">
        <v>6710</v>
      </c>
    </row>
    <row r="4248" customFormat="false" ht="12" hidden="false" customHeight="false" outlineLevel="0" collapsed="false">
      <c r="A4248" s="182" t="s">
        <v>6711</v>
      </c>
    </row>
    <row r="4249" customFormat="false" ht="12" hidden="false" customHeight="false" outlineLevel="0" collapsed="false">
      <c r="A4249" s="182" t="s">
        <v>6712</v>
      </c>
    </row>
    <row r="4250" customFormat="false" ht="12" hidden="false" customHeight="false" outlineLevel="0" collapsed="false">
      <c r="A4250" s="182" t="s">
        <v>6713</v>
      </c>
    </row>
    <row r="4251" customFormat="false" ht="12" hidden="false" customHeight="false" outlineLevel="0" collapsed="false">
      <c r="A4251" s="182" t="s">
        <v>6714</v>
      </c>
    </row>
    <row r="4252" customFormat="false" ht="12" hidden="false" customHeight="false" outlineLevel="0" collapsed="false">
      <c r="A4252" s="182" t="s">
        <v>6715</v>
      </c>
    </row>
    <row r="4253" customFormat="false" ht="12" hidden="false" customHeight="false" outlineLevel="0" collapsed="false">
      <c r="A4253" s="182" t="s">
        <v>6716</v>
      </c>
    </row>
    <row r="4254" customFormat="false" ht="12" hidden="false" customHeight="false" outlineLevel="0" collapsed="false">
      <c r="A4254" s="182" t="s">
        <v>6717</v>
      </c>
    </row>
    <row r="4255" customFormat="false" ht="12" hidden="false" customHeight="false" outlineLevel="0" collapsed="false">
      <c r="A4255" s="182" t="s">
        <v>6718</v>
      </c>
    </row>
    <row r="4256" customFormat="false" ht="12" hidden="false" customHeight="false" outlineLevel="0" collapsed="false">
      <c r="A4256" s="182" t="s">
        <v>6719</v>
      </c>
    </row>
    <row r="4257" customFormat="false" ht="12" hidden="false" customHeight="false" outlineLevel="0" collapsed="false">
      <c r="A4257" s="182" t="s">
        <v>6720</v>
      </c>
    </row>
    <row r="4258" customFormat="false" ht="12" hidden="false" customHeight="false" outlineLevel="0" collapsed="false">
      <c r="A4258" s="182" t="s">
        <v>6721</v>
      </c>
    </row>
    <row r="4259" customFormat="false" ht="12" hidden="false" customHeight="false" outlineLevel="0" collapsed="false">
      <c r="A4259" s="182" t="s">
        <v>6722</v>
      </c>
    </row>
    <row r="4260" customFormat="false" ht="12" hidden="false" customHeight="false" outlineLevel="0" collapsed="false">
      <c r="A4260" s="182" t="s">
        <v>6723</v>
      </c>
    </row>
    <row r="4261" customFormat="false" ht="12" hidden="false" customHeight="false" outlineLevel="0" collapsed="false">
      <c r="A4261" s="182" t="s">
        <v>6724</v>
      </c>
    </row>
    <row r="4262" customFormat="false" ht="12" hidden="false" customHeight="false" outlineLevel="0" collapsed="false">
      <c r="A4262" s="182" t="s">
        <v>6725</v>
      </c>
    </row>
    <row r="4263" customFormat="false" ht="12" hidden="false" customHeight="false" outlineLevel="0" collapsed="false">
      <c r="A4263" s="182" t="s">
        <v>6726</v>
      </c>
    </row>
    <row r="4264" customFormat="false" ht="12" hidden="false" customHeight="false" outlineLevel="0" collapsed="false">
      <c r="A4264" s="182" t="s">
        <v>6727</v>
      </c>
    </row>
    <row r="4265" customFormat="false" ht="12" hidden="false" customHeight="false" outlineLevel="0" collapsed="false">
      <c r="A4265" s="182" t="s">
        <v>6728</v>
      </c>
    </row>
    <row r="4266" customFormat="false" ht="12" hidden="false" customHeight="false" outlineLevel="0" collapsed="false">
      <c r="A4266" s="182" t="s">
        <v>6729</v>
      </c>
    </row>
    <row r="4267" customFormat="false" ht="12" hidden="false" customHeight="false" outlineLevel="0" collapsed="false">
      <c r="A4267" s="182" t="s">
        <v>6730</v>
      </c>
    </row>
    <row r="4268" customFormat="false" ht="12" hidden="false" customHeight="false" outlineLevel="0" collapsed="false">
      <c r="A4268" s="182" t="s">
        <v>6731</v>
      </c>
    </row>
    <row r="4269" customFormat="false" ht="12" hidden="false" customHeight="false" outlineLevel="0" collapsed="false">
      <c r="A4269" s="182" t="s">
        <v>6732</v>
      </c>
    </row>
    <row r="4270" customFormat="false" ht="12" hidden="false" customHeight="false" outlineLevel="0" collapsed="false">
      <c r="A4270" s="182" t="s">
        <v>6733</v>
      </c>
    </row>
    <row r="4271" customFormat="false" ht="12" hidden="false" customHeight="false" outlineLevel="0" collapsed="false">
      <c r="A4271" s="182" t="s">
        <v>6734</v>
      </c>
    </row>
    <row r="4272" customFormat="false" ht="12" hidden="false" customHeight="false" outlineLevel="0" collapsed="false">
      <c r="A4272" s="182" t="s">
        <v>6735</v>
      </c>
    </row>
    <row r="4273" customFormat="false" ht="12" hidden="false" customHeight="false" outlineLevel="0" collapsed="false">
      <c r="A4273" s="182" t="s">
        <v>6736</v>
      </c>
    </row>
    <row r="4274" customFormat="false" ht="12" hidden="false" customHeight="false" outlineLevel="0" collapsed="false">
      <c r="A4274" s="182" t="s">
        <v>6737</v>
      </c>
    </row>
    <row r="4275" customFormat="false" ht="12" hidden="false" customHeight="false" outlineLevel="0" collapsed="false">
      <c r="A4275" s="182" t="s">
        <v>6738</v>
      </c>
    </row>
    <row r="4276" customFormat="false" ht="12" hidden="false" customHeight="false" outlineLevel="0" collapsed="false">
      <c r="A4276" s="182" t="s">
        <v>6739</v>
      </c>
    </row>
    <row r="4277" customFormat="false" ht="12" hidden="false" customHeight="false" outlineLevel="0" collapsed="false">
      <c r="A4277" s="182" t="s">
        <v>6740</v>
      </c>
    </row>
    <row r="4278" customFormat="false" ht="12" hidden="false" customHeight="false" outlineLevel="0" collapsed="false">
      <c r="A4278" s="182" t="s">
        <v>6741</v>
      </c>
    </row>
    <row r="4279" customFormat="false" ht="12" hidden="false" customHeight="false" outlineLevel="0" collapsed="false">
      <c r="A4279" s="182" t="s">
        <v>6742</v>
      </c>
    </row>
    <row r="4280" customFormat="false" ht="12" hidden="false" customHeight="false" outlineLevel="0" collapsed="false">
      <c r="A4280" s="182" t="s">
        <v>6743</v>
      </c>
    </row>
    <row r="4281" customFormat="false" ht="12" hidden="false" customHeight="false" outlineLevel="0" collapsed="false">
      <c r="A4281" s="182" t="s">
        <v>6744</v>
      </c>
    </row>
    <row r="4282" customFormat="false" ht="12" hidden="false" customHeight="false" outlineLevel="0" collapsed="false">
      <c r="A4282" s="182" t="s">
        <v>6745</v>
      </c>
    </row>
    <row r="4283" customFormat="false" ht="12" hidden="false" customHeight="false" outlineLevel="0" collapsed="false">
      <c r="A4283" s="182" t="s">
        <v>6746</v>
      </c>
    </row>
    <row r="4284" customFormat="false" ht="12" hidden="false" customHeight="false" outlineLevel="0" collapsed="false">
      <c r="A4284" s="182" t="s">
        <v>6747</v>
      </c>
    </row>
    <row r="4285" customFormat="false" ht="12" hidden="false" customHeight="false" outlineLevel="0" collapsed="false">
      <c r="A4285" s="182" t="s">
        <v>6748</v>
      </c>
    </row>
    <row r="4286" customFormat="false" ht="12" hidden="false" customHeight="false" outlineLevel="0" collapsed="false">
      <c r="A4286" s="182" t="s">
        <v>6749</v>
      </c>
    </row>
    <row r="4287" customFormat="false" ht="12" hidden="false" customHeight="false" outlineLevel="0" collapsed="false">
      <c r="A4287" s="182" t="s">
        <v>6750</v>
      </c>
    </row>
    <row r="4288" customFormat="false" ht="12" hidden="false" customHeight="false" outlineLevel="0" collapsed="false">
      <c r="A4288" s="182" t="s">
        <v>6751</v>
      </c>
    </row>
    <row r="4289" customFormat="false" ht="12" hidden="false" customHeight="false" outlineLevel="0" collapsed="false">
      <c r="A4289" s="182" t="s">
        <v>6752</v>
      </c>
    </row>
    <row r="4290" customFormat="false" ht="12" hidden="false" customHeight="false" outlineLevel="0" collapsed="false">
      <c r="A4290" s="182" t="s">
        <v>6753</v>
      </c>
    </row>
    <row r="4291" customFormat="false" ht="12" hidden="false" customHeight="false" outlineLevel="0" collapsed="false">
      <c r="A4291" s="182" t="s">
        <v>6754</v>
      </c>
    </row>
    <row r="4292" customFormat="false" ht="12" hidden="false" customHeight="false" outlineLevel="0" collapsed="false">
      <c r="A4292" s="182" t="s">
        <v>6755</v>
      </c>
    </row>
    <row r="4293" customFormat="false" ht="12" hidden="false" customHeight="false" outlineLevel="0" collapsed="false">
      <c r="A4293" s="182" t="s">
        <v>6756</v>
      </c>
    </row>
    <row r="4294" customFormat="false" ht="12" hidden="false" customHeight="false" outlineLevel="0" collapsed="false">
      <c r="A4294" s="182" t="s">
        <v>6757</v>
      </c>
    </row>
    <row r="4295" customFormat="false" ht="12" hidden="false" customHeight="false" outlineLevel="0" collapsed="false">
      <c r="A4295" s="182" t="s">
        <v>6758</v>
      </c>
    </row>
    <row r="4296" customFormat="false" ht="12" hidden="false" customHeight="false" outlineLevel="0" collapsed="false">
      <c r="A4296" s="182" t="s">
        <v>6759</v>
      </c>
    </row>
    <row r="4297" customFormat="false" ht="12" hidden="false" customHeight="false" outlineLevel="0" collapsed="false">
      <c r="A4297" s="182" t="s">
        <v>6760</v>
      </c>
    </row>
    <row r="4298" customFormat="false" ht="12" hidden="false" customHeight="false" outlineLevel="0" collapsed="false">
      <c r="A4298" s="182" t="s">
        <v>6761</v>
      </c>
    </row>
    <row r="4299" customFormat="false" ht="12" hidden="false" customHeight="false" outlineLevel="0" collapsed="false">
      <c r="A4299" s="182" t="s">
        <v>6762</v>
      </c>
    </row>
    <row r="4300" customFormat="false" ht="12" hidden="false" customHeight="false" outlineLevel="0" collapsed="false">
      <c r="A4300" s="182" t="s">
        <v>6763</v>
      </c>
    </row>
    <row r="4301" customFormat="false" ht="12" hidden="false" customHeight="false" outlineLevel="0" collapsed="false">
      <c r="A4301" s="182" t="s">
        <v>6764</v>
      </c>
    </row>
    <row r="4302" customFormat="false" ht="12" hidden="false" customHeight="false" outlineLevel="0" collapsed="false">
      <c r="A4302" s="182" t="s">
        <v>6765</v>
      </c>
    </row>
    <row r="4303" customFormat="false" ht="12" hidden="false" customHeight="false" outlineLevel="0" collapsed="false">
      <c r="A4303" s="182" t="s">
        <v>6766</v>
      </c>
    </row>
    <row r="4304" customFormat="false" ht="12" hidden="false" customHeight="false" outlineLevel="0" collapsed="false">
      <c r="A4304" s="182" t="s">
        <v>6767</v>
      </c>
    </row>
    <row r="4305" customFormat="false" ht="12" hidden="false" customHeight="false" outlineLevel="0" collapsed="false">
      <c r="A4305" s="182" t="s">
        <v>6768</v>
      </c>
    </row>
    <row r="4306" customFormat="false" ht="12" hidden="false" customHeight="false" outlineLevel="0" collapsed="false">
      <c r="A4306" s="182" t="s">
        <v>6769</v>
      </c>
    </row>
    <row r="4307" customFormat="false" ht="12" hidden="false" customHeight="false" outlineLevel="0" collapsed="false">
      <c r="A4307" s="182" t="s">
        <v>6770</v>
      </c>
    </row>
    <row r="4308" customFormat="false" ht="12" hidden="false" customHeight="false" outlineLevel="0" collapsed="false">
      <c r="A4308" s="182" t="s">
        <v>6771</v>
      </c>
    </row>
    <row r="4309" customFormat="false" ht="12" hidden="false" customHeight="false" outlineLevel="0" collapsed="false">
      <c r="A4309" s="182" t="s">
        <v>6772</v>
      </c>
    </row>
    <row r="4310" customFormat="false" ht="12" hidden="false" customHeight="false" outlineLevel="0" collapsed="false">
      <c r="A4310" s="182" t="s">
        <v>6773</v>
      </c>
    </row>
    <row r="4311" customFormat="false" ht="12" hidden="false" customHeight="false" outlineLevel="0" collapsed="false">
      <c r="A4311" s="182" t="s">
        <v>6774</v>
      </c>
    </row>
    <row r="4312" customFormat="false" ht="12" hidden="false" customHeight="false" outlineLevel="0" collapsed="false">
      <c r="A4312" s="182" t="s">
        <v>6775</v>
      </c>
    </row>
    <row r="4313" customFormat="false" ht="12" hidden="false" customHeight="false" outlineLevel="0" collapsed="false">
      <c r="A4313" s="182" t="s">
        <v>6776</v>
      </c>
    </row>
    <row r="4314" customFormat="false" ht="12" hidden="false" customHeight="false" outlineLevel="0" collapsed="false">
      <c r="A4314" s="182" t="s">
        <v>6777</v>
      </c>
    </row>
    <row r="4315" customFormat="false" ht="12" hidden="false" customHeight="false" outlineLevel="0" collapsed="false">
      <c r="A4315" s="182" t="s">
        <v>6778</v>
      </c>
    </row>
    <row r="4316" customFormat="false" ht="12" hidden="false" customHeight="false" outlineLevel="0" collapsed="false">
      <c r="A4316" s="182" t="s">
        <v>6779</v>
      </c>
    </row>
    <row r="4317" customFormat="false" ht="12" hidden="false" customHeight="false" outlineLevel="0" collapsed="false">
      <c r="A4317" s="182" t="s">
        <v>6780</v>
      </c>
    </row>
    <row r="4318" customFormat="false" ht="12" hidden="false" customHeight="false" outlineLevel="0" collapsed="false">
      <c r="A4318" s="182" t="s">
        <v>6781</v>
      </c>
    </row>
    <row r="4319" customFormat="false" ht="12" hidden="false" customHeight="false" outlineLevel="0" collapsed="false">
      <c r="A4319" s="182" t="s">
        <v>6782</v>
      </c>
    </row>
    <row r="4320" customFormat="false" ht="12" hidden="false" customHeight="false" outlineLevel="0" collapsed="false">
      <c r="A4320" s="182" t="s">
        <v>6783</v>
      </c>
    </row>
    <row r="4321" customFormat="false" ht="12" hidden="false" customHeight="false" outlineLevel="0" collapsed="false">
      <c r="A4321" s="182" t="s">
        <v>6784</v>
      </c>
    </row>
    <row r="4322" customFormat="false" ht="12" hidden="false" customHeight="false" outlineLevel="0" collapsed="false">
      <c r="A4322" s="182" t="s">
        <v>6785</v>
      </c>
    </row>
    <row r="4323" customFormat="false" ht="12" hidden="false" customHeight="false" outlineLevel="0" collapsed="false">
      <c r="A4323" s="182" t="s">
        <v>6786</v>
      </c>
    </row>
    <row r="4324" customFormat="false" ht="12" hidden="false" customHeight="false" outlineLevel="0" collapsed="false">
      <c r="A4324" s="182" t="s">
        <v>6787</v>
      </c>
    </row>
    <row r="4325" customFormat="false" ht="12" hidden="false" customHeight="false" outlineLevel="0" collapsed="false">
      <c r="A4325" s="182" t="s">
        <v>6788</v>
      </c>
    </row>
    <row r="4326" customFormat="false" ht="12" hidden="false" customHeight="false" outlineLevel="0" collapsed="false">
      <c r="A4326" s="182" t="s">
        <v>6789</v>
      </c>
    </row>
    <row r="4327" customFormat="false" ht="12" hidden="false" customHeight="false" outlineLevel="0" collapsed="false">
      <c r="A4327" s="182" t="s">
        <v>6790</v>
      </c>
    </row>
    <row r="4328" customFormat="false" ht="12" hidden="false" customHeight="false" outlineLevel="0" collapsed="false">
      <c r="A4328" s="182" t="s">
        <v>6791</v>
      </c>
    </row>
    <row r="4329" customFormat="false" ht="12" hidden="false" customHeight="false" outlineLevel="0" collapsed="false">
      <c r="A4329" s="182" t="s">
        <v>6792</v>
      </c>
    </row>
    <row r="4330" customFormat="false" ht="12" hidden="false" customHeight="false" outlineLevel="0" collapsed="false">
      <c r="A4330" s="182" t="s">
        <v>6793</v>
      </c>
    </row>
    <row r="4331" customFormat="false" ht="12" hidden="false" customHeight="false" outlineLevel="0" collapsed="false">
      <c r="A4331" s="182" t="s">
        <v>6794</v>
      </c>
    </row>
    <row r="4332" customFormat="false" ht="12" hidden="false" customHeight="false" outlineLevel="0" collapsed="false">
      <c r="A4332" s="182" t="s">
        <v>6795</v>
      </c>
    </row>
    <row r="4333" customFormat="false" ht="12" hidden="false" customHeight="false" outlineLevel="0" collapsed="false">
      <c r="A4333" s="182" t="s">
        <v>6796</v>
      </c>
    </row>
    <row r="4334" customFormat="false" ht="12" hidden="false" customHeight="false" outlineLevel="0" collapsed="false">
      <c r="A4334" s="182" t="s">
        <v>6797</v>
      </c>
    </row>
    <row r="4335" customFormat="false" ht="12" hidden="false" customHeight="false" outlineLevel="0" collapsed="false">
      <c r="A4335" s="182" t="s">
        <v>6798</v>
      </c>
    </row>
    <row r="4336" customFormat="false" ht="12" hidden="false" customHeight="false" outlineLevel="0" collapsed="false">
      <c r="A4336" s="182" t="s">
        <v>6799</v>
      </c>
    </row>
    <row r="4337" customFormat="false" ht="12" hidden="false" customHeight="false" outlineLevel="0" collapsed="false">
      <c r="A4337" s="182" t="s">
        <v>6800</v>
      </c>
    </row>
    <row r="4338" customFormat="false" ht="12" hidden="false" customHeight="false" outlineLevel="0" collapsed="false">
      <c r="A4338" s="182" t="s">
        <v>6801</v>
      </c>
    </row>
    <row r="4339" customFormat="false" ht="12" hidden="false" customHeight="false" outlineLevel="0" collapsed="false">
      <c r="A4339" s="182" t="s">
        <v>6802</v>
      </c>
    </row>
    <row r="4340" customFormat="false" ht="12" hidden="false" customHeight="false" outlineLevel="0" collapsed="false">
      <c r="A4340" s="182" t="s">
        <v>6803</v>
      </c>
    </row>
    <row r="4341" customFormat="false" ht="12" hidden="false" customHeight="false" outlineLevel="0" collapsed="false">
      <c r="A4341" s="182" t="s">
        <v>6804</v>
      </c>
    </row>
    <row r="4342" customFormat="false" ht="12" hidden="false" customHeight="false" outlineLevel="0" collapsed="false">
      <c r="A4342" s="182" t="s">
        <v>6805</v>
      </c>
    </row>
    <row r="4343" customFormat="false" ht="12" hidden="false" customHeight="false" outlineLevel="0" collapsed="false">
      <c r="A4343" s="182" t="s">
        <v>6806</v>
      </c>
    </row>
    <row r="4344" customFormat="false" ht="12" hidden="false" customHeight="false" outlineLevel="0" collapsed="false">
      <c r="A4344" s="182" t="s">
        <v>6807</v>
      </c>
    </row>
    <row r="4345" customFormat="false" ht="12" hidden="false" customHeight="false" outlineLevel="0" collapsed="false">
      <c r="A4345" s="182" t="s">
        <v>6808</v>
      </c>
    </row>
    <row r="4346" customFormat="false" ht="12" hidden="false" customHeight="false" outlineLevel="0" collapsed="false">
      <c r="A4346" s="182" t="s">
        <v>6809</v>
      </c>
    </row>
    <row r="4347" customFormat="false" ht="12" hidden="false" customHeight="false" outlineLevel="0" collapsed="false">
      <c r="A4347" s="182" t="s">
        <v>6810</v>
      </c>
    </row>
    <row r="4348" customFormat="false" ht="12" hidden="false" customHeight="false" outlineLevel="0" collapsed="false">
      <c r="A4348" s="182" t="s">
        <v>6811</v>
      </c>
    </row>
    <row r="4349" customFormat="false" ht="12" hidden="false" customHeight="false" outlineLevel="0" collapsed="false">
      <c r="A4349" s="182" t="s">
        <v>6812</v>
      </c>
    </row>
    <row r="4350" customFormat="false" ht="12" hidden="false" customHeight="false" outlineLevel="0" collapsed="false">
      <c r="A4350" s="182" t="s">
        <v>6813</v>
      </c>
    </row>
    <row r="4351" customFormat="false" ht="12" hidden="false" customHeight="false" outlineLevel="0" collapsed="false">
      <c r="A4351" s="182" t="s">
        <v>6814</v>
      </c>
    </row>
    <row r="4352" customFormat="false" ht="12" hidden="false" customHeight="false" outlineLevel="0" collapsed="false">
      <c r="A4352" s="182" t="s">
        <v>6815</v>
      </c>
    </row>
    <row r="4353" customFormat="false" ht="12" hidden="false" customHeight="false" outlineLevel="0" collapsed="false">
      <c r="A4353" s="182" t="s">
        <v>6816</v>
      </c>
    </row>
    <row r="4354" customFormat="false" ht="12" hidden="false" customHeight="false" outlineLevel="0" collapsed="false">
      <c r="A4354" s="182" t="s">
        <v>6817</v>
      </c>
    </row>
    <row r="4355" customFormat="false" ht="12" hidden="false" customHeight="false" outlineLevel="0" collapsed="false">
      <c r="A4355" s="182" t="s">
        <v>6818</v>
      </c>
    </row>
    <row r="4356" customFormat="false" ht="12" hidden="false" customHeight="false" outlineLevel="0" collapsed="false">
      <c r="A4356" s="182" t="s">
        <v>6819</v>
      </c>
    </row>
    <row r="4357" customFormat="false" ht="12" hidden="false" customHeight="false" outlineLevel="0" collapsed="false">
      <c r="A4357" s="182" t="s">
        <v>6820</v>
      </c>
    </row>
    <row r="4358" customFormat="false" ht="12" hidden="false" customHeight="false" outlineLevel="0" collapsed="false">
      <c r="A4358" s="182" t="s">
        <v>6821</v>
      </c>
    </row>
    <row r="4359" customFormat="false" ht="12" hidden="false" customHeight="false" outlineLevel="0" collapsed="false">
      <c r="A4359" s="182" t="s">
        <v>6822</v>
      </c>
    </row>
    <row r="4360" customFormat="false" ht="12" hidden="false" customHeight="false" outlineLevel="0" collapsed="false">
      <c r="A4360" s="182" t="s">
        <v>6823</v>
      </c>
    </row>
    <row r="4361" customFormat="false" ht="12" hidden="false" customHeight="false" outlineLevel="0" collapsed="false">
      <c r="A4361" s="182" t="s">
        <v>6824</v>
      </c>
    </row>
    <row r="4362" customFormat="false" ht="12" hidden="false" customHeight="false" outlineLevel="0" collapsed="false">
      <c r="A4362" s="182" t="s">
        <v>6825</v>
      </c>
    </row>
    <row r="4363" customFormat="false" ht="12" hidden="false" customHeight="false" outlineLevel="0" collapsed="false">
      <c r="A4363" s="182" t="s">
        <v>6826</v>
      </c>
    </row>
    <row r="4364" customFormat="false" ht="12" hidden="false" customHeight="false" outlineLevel="0" collapsed="false">
      <c r="A4364" s="182" t="s">
        <v>6827</v>
      </c>
    </row>
    <row r="4365" customFormat="false" ht="12" hidden="false" customHeight="false" outlineLevel="0" collapsed="false">
      <c r="A4365" s="182" t="s">
        <v>6828</v>
      </c>
    </row>
    <row r="4366" customFormat="false" ht="12" hidden="false" customHeight="false" outlineLevel="0" collapsed="false">
      <c r="A4366" s="182" t="s">
        <v>6829</v>
      </c>
    </row>
    <row r="4367" customFormat="false" ht="12" hidden="false" customHeight="false" outlineLevel="0" collapsed="false">
      <c r="A4367" s="182" t="s">
        <v>6830</v>
      </c>
    </row>
    <row r="4368" customFormat="false" ht="12" hidden="false" customHeight="false" outlineLevel="0" collapsed="false">
      <c r="A4368" s="182" t="s">
        <v>6831</v>
      </c>
    </row>
    <row r="4369" customFormat="false" ht="12" hidden="false" customHeight="false" outlineLevel="0" collapsed="false">
      <c r="A4369" s="182" t="s">
        <v>6832</v>
      </c>
    </row>
    <row r="4370" customFormat="false" ht="12" hidden="false" customHeight="false" outlineLevel="0" collapsed="false">
      <c r="A4370" s="182" t="s">
        <v>6833</v>
      </c>
    </row>
    <row r="4371" customFormat="false" ht="12" hidden="false" customHeight="false" outlineLevel="0" collapsed="false">
      <c r="A4371" s="182" t="s">
        <v>6834</v>
      </c>
    </row>
    <row r="4372" customFormat="false" ht="12" hidden="false" customHeight="false" outlineLevel="0" collapsed="false">
      <c r="A4372" s="182" t="s">
        <v>6835</v>
      </c>
    </row>
    <row r="4373" customFormat="false" ht="12" hidden="false" customHeight="false" outlineLevel="0" collapsed="false">
      <c r="A4373" s="182" t="s">
        <v>6836</v>
      </c>
    </row>
    <row r="4374" customFormat="false" ht="12" hidden="false" customHeight="false" outlineLevel="0" collapsed="false">
      <c r="A4374" s="182" t="s">
        <v>6837</v>
      </c>
    </row>
    <row r="4375" customFormat="false" ht="12" hidden="false" customHeight="false" outlineLevel="0" collapsed="false">
      <c r="A4375" s="182" t="s">
        <v>6838</v>
      </c>
    </row>
    <row r="4376" customFormat="false" ht="12" hidden="false" customHeight="false" outlineLevel="0" collapsed="false">
      <c r="A4376" s="182" t="s">
        <v>6839</v>
      </c>
    </row>
    <row r="4377" customFormat="false" ht="12" hidden="false" customHeight="false" outlineLevel="0" collapsed="false">
      <c r="A4377" s="182" t="s">
        <v>6840</v>
      </c>
    </row>
    <row r="4378" customFormat="false" ht="12" hidden="false" customHeight="false" outlineLevel="0" collapsed="false">
      <c r="A4378" s="182" t="s">
        <v>6841</v>
      </c>
    </row>
    <row r="4379" customFormat="false" ht="12" hidden="false" customHeight="false" outlineLevel="0" collapsed="false">
      <c r="A4379" s="182" t="s">
        <v>6842</v>
      </c>
    </row>
    <row r="4380" customFormat="false" ht="12" hidden="false" customHeight="false" outlineLevel="0" collapsed="false">
      <c r="A4380" s="182" t="s">
        <v>6843</v>
      </c>
    </row>
    <row r="4381" customFormat="false" ht="12" hidden="false" customHeight="false" outlineLevel="0" collapsed="false">
      <c r="A4381" s="182" t="s">
        <v>6844</v>
      </c>
    </row>
    <row r="4382" customFormat="false" ht="12" hidden="false" customHeight="false" outlineLevel="0" collapsed="false">
      <c r="A4382" s="182" t="s">
        <v>6845</v>
      </c>
    </row>
    <row r="4383" customFormat="false" ht="12" hidden="false" customHeight="false" outlineLevel="0" collapsed="false">
      <c r="A4383" s="182" t="s">
        <v>6846</v>
      </c>
    </row>
    <row r="4384" customFormat="false" ht="12" hidden="false" customHeight="false" outlineLevel="0" collapsed="false">
      <c r="A4384" s="182" t="s">
        <v>6847</v>
      </c>
    </row>
    <row r="4385" customFormat="false" ht="12" hidden="false" customHeight="false" outlineLevel="0" collapsed="false">
      <c r="A4385" s="182" t="s">
        <v>6848</v>
      </c>
    </row>
    <row r="4386" customFormat="false" ht="12" hidden="false" customHeight="false" outlineLevel="0" collapsed="false">
      <c r="A4386" s="182" t="s">
        <v>6849</v>
      </c>
    </row>
    <row r="4387" customFormat="false" ht="12" hidden="false" customHeight="false" outlineLevel="0" collapsed="false">
      <c r="A4387" s="182" t="s">
        <v>6850</v>
      </c>
    </row>
    <row r="4388" customFormat="false" ht="12" hidden="false" customHeight="false" outlineLevel="0" collapsed="false">
      <c r="A4388" s="182" t="s">
        <v>6851</v>
      </c>
    </row>
    <row r="4389" customFormat="false" ht="12" hidden="false" customHeight="false" outlineLevel="0" collapsed="false">
      <c r="A4389" s="182" t="s">
        <v>6852</v>
      </c>
    </row>
    <row r="4390" customFormat="false" ht="12" hidden="false" customHeight="false" outlineLevel="0" collapsed="false">
      <c r="A4390" s="182" t="s">
        <v>6853</v>
      </c>
    </row>
    <row r="4391" customFormat="false" ht="12" hidden="false" customHeight="false" outlineLevel="0" collapsed="false">
      <c r="A4391" s="182" t="s">
        <v>6854</v>
      </c>
    </row>
    <row r="4392" customFormat="false" ht="12" hidden="false" customHeight="false" outlineLevel="0" collapsed="false">
      <c r="A4392" s="182" t="s">
        <v>6855</v>
      </c>
    </row>
    <row r="4393" customFormat="false" ht="12" hidden="false" customHeight="false" outlineLevel="0" collapsed="false">
      <c r="A4393" s="182" t="s">
        <v>6856</v>
      </c>
    </row>
    <row r="4394" customFormat="false" ht="12" hidden="false" customHeight="false" outlineLevel="0" collapsed="false">
      <c r="A4394" s="182" t="s">
        <v>6857</v>
      </c>
    </row>
    <row r="4395" customFormat="false" ht="12" hidden="false" customHeight="false" outlineLevel="0" collapsed="false">
      <c r="A4395" s="182" t="s">
        <v>6858</v>
      </c>
    </row>
    <row r="4396" customFormat="false" ht="12" hidden="false" customHeight="false" outlineLevel="0" collapsed="false">
      <c r="A4396" s="182" t="s">
        <v>6859</v>
      </c>
    </row>
    <row r="4397" customFormat="false" ht="12" hidden="false" customHeight="false" outlineLevel="0" collapsed="false">
      <c r="A4397" s="182" t="s">
        <v>6860</v>
      </c>
    </row>
    <row r="4398" customFormat="false" ht="12" hidden="false" customHeight="false" outlineLevel="0" collapsed="false">
      <c r="A4398" s="182" t="s">
        <v>6861</v>
      </c>
    </row>
    <row r="4399" customFormat="false" ht="12" hidden="false" customHeight="false" outlineLevel="0" collapsed="false">
      <c r="A4399" s="182" t="s">
        <v>6862</v>
      </c>
    </row>
    <row r="4400" customFormat="false" ht="12" hidden="false" customHeight="false" outlineLevel="0" collapsed="false">
      <c r="A4400" s="182" t="s">
        <v>6863</v>
      </c>
    </row>
    <row r="4401" customFormat="false" ht="12" hidden="false" customHeight="false" outlineLevel="0" collapsed="false">
      <c r="A4401" s="182" t="s">
        <v>6864</v>
      </c>
    </row>
    <row r="4402" customFormat="false" ht="12" hidden="false" customHeight="false" outlineLevel="0" collapsed="false">
      <c r="A4402" s="182" t="s">
        <v>6865</v>
      </c>
    </row>
    <row r="4403" customFormat="false" ht="12" hidden="false" customHeight="false" outlineLevel="0" collapsed="false">
      <c r="A4403" s="182" t="s">
        <v>6866</v>
      </c>
    </row>
    <row r="4404" customFormat="false" ht="12" hidden="false" customHeight="false" outlineLevel="0" collapsed="false">
      <c r="A4404" s="182" t="s">
        <v>6867</v>
      </c>
    </row>
    <row r="4405" customFormat="false" ht="12" hidden="false" customHeight="false" outlineLevel="0" collapsed="false">
      <c r="A4405" s="182" t="s">
        <v>6868</v>
      </c>
    </row>
    <row r="4406" customFormat="false" ht="12" hidden="false" customHeight="false" outlineLevel="0" collapsed="false">
      <c r="A4406" s="182" t="s">
        <v>6869</v>
      </c>
    </row>
    <row r="4407" customFormat="false" ht="12" hidden="false" customHeight="false" outlineLevel="0" collapsed="false">
      <c r="A4407" s="182" t="s">
        <v>6870</v>
      </c>
    </row>
    <row r="4408" customFormat="false" ht="12" hidden="false" customHeight="false" outlineLevel="0" collapsed="false">
      <c r="A4408" s="182" t="s">
        <v>6871</v>
      </c>
    </row>
    <row r="4409" customFormat="false" ht="12" hidden="false" customHeight="false" outlineLevel="0" collapsed="false">
      <c r="A4409" s="182" t="s">
        <v>6872</v>
      </c>
    </row>
    <row r="4410" customFormat="false" ht="12" hidden="false" customHeight="false" outlineLevel="0" collapsed="false">
      <c r="A4410" s="182" t="s">
        <v>6873</v>
      </c>
    </row>
    <row r="4411" customFormat="false" ht="12" hidden="false" customHeight="false" outlineLevel="0" collapsed="false">
      <c r="A4411" s="182" t="s">
        <v>6874</v>
      </c>
    </row>
    <row r="4412" customFormat="false" ht="12" hidden="false" customHeight="false" outlineLevel="0" collapsed="false">
      <c r="A4412" s="182" t="s">
        <v>6875</v>
      </c>
    </row>
    <row r="4413" customFormat="false" ht="12" hidden="false" customHeight="false" outlineLevel="0" collapsed="false">
      <c r="A4413" s="182" t="s">
        <v>6876</v>
      </c>
    </row>
    <row r="4414" customFormat="false" ht="12" hidden="false" customHeight="false" outlineLevel="0" collapsed="false">
      <c r="A4414" s="182" t="s">
        <v>6877</v>
      </c>
    </row>
    <row r="4415" customFormat="false" ht="12" hidden="false" customHeight="false" outlineLevel="0" collapsed="false">
      <c r="A4415" s="182" t="s">
        <v>6878</v>
      </c>
    </row>
    <row r="4416" customFormat="false" ht="12" hidden="false" customHeight="false" outlineLevel="0" collapsed="false">
      <c r="A4416" s="182" t="s">
        <v>6879</v>
      </c>
    </row>
    <row r="4417" customFormat="false" ht="12" hidden="false" customHeight="false" outlineLevel="0" collapsed="false">
      <c r="A4417" s="182" t="s">
        <v>6880</v>
      </c>
    </row>
    <row r="4418" customFormat="false" ht="12" hidden="false" customHeight="false" outlineLevel="0" collapsed="false">
      <c r="A4418" s="182" t="s">
        <v>6881</v>
      </c>
    </row>
    <row r="4419" customFormat="false" ht="12" hidden="false" customHeight="false" outlineLevel="0" collapsed="false">
      <c r="A4419" s="182" t="s">
        <v>6882</v>
      </c>
    </row>
    <row r="4420" customFormat="false" ht="12" hidden="false" customHeight="false" outlineLevel="0" collapsed="false">
      <c r="A4420" s="182" t="s">
        <v>6883</v>
      </c>
    </row>
    <row r="4421" customFormat="false" ht="12" hidden="false" customHeight="false" outlineLevel="0" collapsed="false">
      <c r="A4421" s="182" t="s">
        <v>6884</v>
      </c>
    </row>
    <row r="4422" customFormat="false" ht="12" hidden="false" customHeight="false" outlineLevel="0" collapsed="false">
      <c r="A4422" s="182" t="s">
        <v>6885</v>
      </c>
    </row>
    <row r="4423" customFormat="false" ht="12" hidden="false" customHeight="false" outlineLevel="0" collapsed="false">
      <c r="A4423" s="182" t="s">
        <v>6886</v>
      </c>
    </row>
    <row r="4424" customFormat="false" ht="12" hidden="false" customHeight="false" outlineLevel="0" collapsed="false">
      <c r="A4424" s="182" t="s">
        <v>6887</v>
      </c>
    </row>
    <row r="4425" customFormat="false" ht="12" hidden="false" customHeight="false" outlineLevel="0" collapsed="false">
      <c r="A4425" s="182" t="s">
        <v>6888</v>
      </c>
    </row>
    <row r="4426" customFormat="false" ht="12" hidden="false" customHeight="false" outlineLevel="0" collapsed="false">
      <c r="A4426" s="182" t="s">
        <v>6889</v>
      </c>
    </row>
    <row r="4427" customFormat="false" ht="12" hidden="false" customHeight="false" outlineLevel="0" collapsed="false">
      <c r="A4427" s="182" t="s">
        <v>6890</v>
      </c>
    </row>
    <row r="4428" customFormat="false" ht="12" hidden="false" customHeight="false" outlineLevel="0" collapsed="false">
      <c r="A4428" s="182" t="s">
        <v>6891</v>
      </c>
    </row>
    <row r="4429" customFormat="false" ht="12" hidden="false" customHeight="false" outlineLevel="0" collapsed="false">
      <c r="A4429" s="182" t="s">
        <v>6892</v>
      </c>
    </row>
    <row r="4430" customFormat="false" ht="12" hidden="false" customHeight="false" outlineLevel="0" collapsed="false">
      <c r="A4430" s="182" t="s">
        <v>6893</v>
      </c>
    </row>
    <row r="4431" customFormat="false" ht="12" hidden="false" customHeight="false" outlineLevel="0" collapsed="false">
      <c r="A4431" s="182" t="s">
        <v>6894</v>
      </c>
    </row>
    <row r="4432" customFormat="false" ht="12" hidden="false" customHeight="false" outlineLevel="0" collapsed="false">
      <c r="A4432" s="182" t="s">
        <v>6895</v>
      </c>
    </row>
    <row r="4433" customFormat="false" ht="12" hidden="false" customHeight="false" outlineLevel="0" collapsed="false">
      <c r="A4433" s="182" t="s">
        <v>6896</v>
      </c>
    </row>
    <row r="4434" customFormat="false" ht="12" hidden="false" customHeight="false" outlineLevel="0" collapsed="false">
      <c r="A4434" s="182" t="s">
        <v>6897</v>
      </c>
    </row>
    <row r="4435" customFormat="false" ht="12" hidden="false" customHeight="false" outlineLevel="0" collapsed="false">
      <c r="A4435" s="182" t="s">
        <v>6898</v>
      </c>
    </row>
    <row r="4436" customFormat="false" ht="12" hidden="false" customHeight="false" outlineLevel="0" collapsed="false">
      <c r="A4436" s="182" t="s">
        <v>6899</v>
      </c>
    </row>
    <row r="4437" customFormat="false" ht="12" hidden="false" customHeight="false" outlineLevel="0" collapsed="false">
      <c r="A4437" s="182" t="s">
        <v>6900</v>
      </c>
    </row>
    <row r="4438" customFormat="false" ht="12" hidden="false" customHeight="false" outlineLevel="0" collapsed="false">
      <c r="A4438" s="182" t="s">
        <v>6901</v>
      </c>
    </row>
    <row r="4439" customFormat="false" ht="12" hidden="false" customHeight="false" outlineLevel="0" collapsed="false">
      <c r="A4439" s="182" t="s">
        <v>6902</v>
      </c>
    </row>
    <row r="4440" customFormat="false" ht="12" hidden="false" customHeight="false" outlineLevel="0" collapsed="false">
      <c r="A4440" s="182" t="s">
        <v>6903</v>
      </c>
    </row>
    <row r="4441" customFormat="false" ht="12" hidden="false" customHeight="false" outlineLevel="0" collapsed="false">
      <c r="A4441" s="182" t="s">
        <v>6904</v>
      </c>
    </row>
    <row r="4442" customFormat="false" ht="12" hidden="false" customHeight="false" outlineLevel="0" collapsed="false">
      <c r="A4442" s="182" t="s">
        <v>6905</v>
      </c>
    </row>
    <row r="4443" customFormat="false" ht="12" hidden="false" customHeight="false" outlineLevel="0" collapsed="false">
      <c r="A4443" s="182" t="s">
        <v>6906</v>
      </c>
    </row>
    <row r="4444" customFormat="false" ht="12" hidden="false" customHeight="false" outlineLevel="0" collapsed="false">
      <c r="A4444" s="182" t="s">
        <v>6907</v>
      </c>
    </row>
    <row r="4445" customFormat="false" ht="12" hidden="false" customHeight="false" outlineLevel="0" collapsed="false">
      <c r="A4445" s="182" t="s">
        <v>6908</v>
      </c>
    </row>
    <row r="4446" customFormat="false" ht="12" hidden="false" customHeight="false" outlineLevel="0" collapsed="false">
      <c r="A4446" s="182" t="s">
        <v>6909</v>
      </c>
    </row>
    <row r="4447" customFormat="false" ht="12" hidden="false" customHeight="false" outlineLevel="0" collapsed="false">
      <c r="A4447" s="182" t="s">
        <v>6910</v>
      </c>
    </row>
    <row r="4448" customFormat="false" ht="12" hidden="false" customHeight="false" outlineLevel="0" collapsed="false">
      <c r="A4448" s="182" t="s">
        <v>6911</v>
      </c>
    </row>
    <row r="4449" customFormat="false" ht="12" hidden="false" customHeight="false" outlineLevel="0" collapsed="false">
      <c r="A4449" s="182" t="s">
        <v>6912</v>
      </c>
    </row>
    <row r="4450" customFormat="false" ht="12" hidden="false" customHeight="false" outlineLevel="0" collapsed="false">
      <c r="A4450" s="182" t="s">
        <v>6913</v>
      </c>
    </row>
    <row r="4451" customFormat="false" ht="12" hidden="false" customHeight="false" outlineLevel="0" collapsed="false">
      <c r="A4451" s="182" t="s">
        <v>6914</v>
      </c>
    </row>
    <row r="4452" customFormat="false" ht="12" hidden="false" customHeight="false" outlineLevel="0" collapsed="false">
      <c r="A4452" s="182" t="s">
        <v>6915</v>
      </c>
    </row>
    <row r="4453" customFormat="false" ht="12" hidden="false" customHeight="false" outlineLevel="0" collapsed="false">
      <c r="A4453" s="182" t="s">
        <v>6916</v>
      </c>
    </row>
    <row r="4454" customFormat="false" ht="12" hidden="false" customHeight="false" outlineLevel="0" collapsed="false">
      <c r="A4454" s="182" t="s">
        <v>6917</v>
      </c>
    </row>
    <row r="4455" customFormat="false" ht="12" hidden="false" customHeight="false" outlineLevel="0" collapsed="false">
      <c r="A4455" s="182" t="s">
        <v>6918</v>
      </c>
    </row>
    <row r="4456" customFormat="false" ht="12" hidden="false" customHeight="false" outlineLevel="0" collapsed="false">
      <c r="A4456" s="182" t="s">
        <v>6919</v>
      </c>
    </row>
    <row r="4457" customFormat="false" ht="12" hidden="false" customHeight="false" outlineLevel="0" collapsed="false">
      <c r="A4457" s="182" t="s">
        <v>6920</v>
      </c>
    </row>
    <row r="4458" customFormat="false" ht="12" hidden="false" customHeight="false" outlineLevel="0" collapsed="false">
      <c r="A4458" s="182" t="s">
        <v>6921</v>
      </c>
    </row>
    <row r="4459" customFormat="false" ht="12" hidden="false" customHeight="false" outlineLevel="0" collapsed="false">
      <c r="A4459" s="182" t="s">
        <v>6922</v>
      </c>
    </row>
    <row r="4460" customFormat="false" ht="12" hidden="false" customHeight="false" outlineLevel="0" collapsed="false">
      <c r="A4460" s="182" t="s">
        <v>6923</v>
      </c>
    </row>
    <row r="4461" customFormat="false" ht="12" hidden="false" customHeight="false" outlineLevel="0" collapsed="false">
      <c r="A4461" s="182" t="s">
        <v>6924</v>
      </c>
    </row>
    <row r="4462" customFormat="false" ht="12" hidden="false" customHeight="false" outlineLevel="0" collapsed="false">
      <c r="A4462" s="182" t="s">
        <v>6925</v>
      </c>
    </row>
    <row r="4463" customFormat="false" ht="12" hidden="false" customHeight="false" outlineLevel="0" collapsed="false">
      <c r="A4463" s="182" t="s">
        <v>6926</v>
      </c>
    </row>
    <row r="4464" customFormat="false" ht="12" hidden="false" customHeight="false" outlineLevel="0" collapsed="false">
      <c r="A4464" s="182" t="s">
        <v>6927</v>
      </c>
    </row>
    <row r="4465" customFormat="false" ht="12" hidden="false" customHeight="false" outlineLevel="0" collapsed="false">
      <c r="A4465" s="182" t="s">
        <v>6928</v>
      </c>
    </row>
    <row r="4466" customFormat="false" ht="12" hidden="false" customHeight="false" outlineLevel="0" collapsed="false">
      <c r="A4466" s="182" t="s">
        <v>6929</v>
      </c>
    </row>
    <row r="4467" customFormat="false" ht="12" hidden="false" customHeight="false" outlineLevel="0" collapsed="false">
      <c r="A4467" s="182" t="s">
        <v>6930</v>
      </c>
    </row>
    <row r="4468" customFormat="false" ht="12" hidden="false" customHeight="false" outlineLevel="0" collapsed="false">
      <c r="A4468" s="182" t="s">
        <v>6931</v>
      </c>
    </row>
    <row r="4469" customFormat="false" ht="12" hidden="false" customHeight="false" outlineLevel="0" collapsed="false">
      <c r="A4469" s="182" t="s">
        <v>6932</v>
      </c>
    </row>
    <row r="4470" customFormat="false" ht="12" hidden="false" customHeight="false" outlineLevel="0" collapsed="false">
      <c r="A4470" s="182" t="s">
        <v>6933</v>
      </c>
    </row>
    <row r="4471" customFormat="false" ht="12" hidden="false" customHeight="false" outlineLevel="0" collapsed="false">
      <c r="A4471" s="182" t="s">
        <v>6934</v>
      </c>
    </row>
    <row r="4472" customFormat="false" ht="12" hidden="false" customHeight="false" outlineLevel="0" collapsed="false">
      <c r="A4472" s="182" t="s">
        <v>6935</v>
      </c>
    </row>
    <row r="4473" customFormat="false" ht="12" hidden="false" customHeight="false" outlineLevel="0" collapsed="false">
      <c r="A4473" s="182" t="s">
        <v>6936</v>
      </c>
    </row>
    <row r="4474" customFormat="false" ht="12" hidden="false" customHeight="false" outlineLevel="0" collapsed="false">
      <c r="A4474" s="182" t="s">
        <v>6937</v>
      </c>
    </row>
    <row r="4475" customFormat="false" ht="12" hidden="false" customHeight="false" outlineLevel="0" collapsed="false">
      <c r="A4475" s="182" t="s">
        <v>6938</v>
      </c>
    </row>
    <row r="4476" customFormat="false" ht="12" hidden="false" customHeight="false" outlineLevel="0" collapsed="false">
      <c r="A4476" s="182" t="s">
        <v>6939</v>
      </c>
    </row>
    <row r="4477" customFormat="false" ht="12" hidden="false" customHeight="false" outlineLevel="0" collapsed="false">
      <c r="A4477" s="182" t="s">
        <v>6940</v>
      </c>
    </row>
    <row r="4478" customFormat="false" ht="12" hidden="false" customHeight="false" outlineLevel="0" collapsed="false">
      <c r="A4478" s="182" t="s">
        <v>6941</v>
      </c>
    </row>
    <row r="4479" customFormat="false" ht="12" hidden="false" customHeight="false" outlineLevel="0" collapsed="false">
      <c r="A4479" s="182" t="s">
        <v>6942</v>
      </c>
    </row>
    <row r="4480" customFormat="false" ht="12" hidden="false" customHeight="false" outlineLevel="0" collapsed="false">
      <c r="A4480" s="182" t="s">
        <v>6943</v>
      </c>
    </row>
    <row r="4481" customFormat="false" ht="12" hidden="false" customHeight="false" outlineLevel="0" collapsed="false">
      <c r="A4481" s="182" t="s">
        <v>6944</v>
      </c>
    </row>
    <row r="4482" customFormat="false" ht="12" hidden="false" customHeight="false" outlineLevel="0" collapsed="false">
      <c r="A4482" s="182" t="s">
        <v>6945</v>
      </c>
    </row>
    <row r="4483" customFormat="false" ht="12" hidden="false" customHeight="false" outlineLevel="0" collapsed="false">
      <c r="A4483" s="182" t="s">
        <v>6946</v>
      </c>
    </row>
    <row r="4484" customFormat="false" ht="12" hidden="false" customHeight="false" outlineLevel="0" collapsed="false">
      <c r="A4484" s="182" t="s">
        <v>6947</v>
      </c>
    </row>
    <row r="4485" customFormat="false" ht="12" hidden="false" customHeight="false" outlineLevel="0" collapsed="false">
      <c r="A4485" s="182" t="s">
        <v>6948</v>
      </c>
    </row>
    <row r="4486" customFormat="false" ht="12" hidden="false" customHeight="false" outlineLevel="0" collapsed="false">
      <c r="A4486" s="182" t="s">
        <v>6949</v>
      </c>
    </row>
    <row r="4487" customFormat="false" ht="12" hidden="false" customHeight="false" outlineLevel="0" collapsed="false">
      <c r="A4487" s="182" t="s">
        <v>6950</v>
      </c>
    </row>
    <row r="4488" customFormat="false" ht="12" hidden="false" customHeight="false" outlineLevel="0" collapsed="false">
      <c r="A4488" s="182" t="s">
        <v>6951</v>
      </c>
    </row>
    <row r="4489" customFormat="false" ht="12" hidden="false" customHeight="false" outlineLevel="0" collapsed="false">
      <c r="A4489" s="182" t="s">
        <v>6952</v>
      </c>
    </row>
    <row r="4490" customFormat="false" ht="12" hidden="false" customHeight="false" outlineLevel="0" collapsed="false">
      <c r="A4490" s="182" t="s">
        <v>6953</v>
      </c>
    </row>
    <row r="4491" customFormat="false" ht="12" hidden="false" customHeight="false" outlineLevel="0" collapsed="false">
      <c r="A4491" s="182" t="s">
        <v>6954</v>
      </c>
    </row>
    <row r="4492" customFormat="false" ht="12" hidden="false" customHeight="false" outlineLevel="0" collapsed="false">
      <c r="A4492" s="182" t="s">
        <v>6955</v>
      </c>
    </row>
    <row r="4493" customFormat="false" ht="12" hidden="false" customHeight="false" outlineLevel="0" collapsed="false">
      <c r="A4493" s="182" t="s">
        <v>6956</v>
      </c>
    </row>
    <row r="4494" customFormat="false" ht="12" hidden="false" customHeight="false" outlineLevel="0" collapsed="false">
      <c r="A4494" s="182" t="s">
        <v>6957</v>
      </c>
    </row>
    <row r="4495" customFormat="false" ht="12" hidden="false" customHeight="false" outlineLevel="0" collapsed="false">
      <c r="A4495" s="182" t="s">
        <v>6958</v>
      </c>
    </row>
    <row r="4496" customFormat="false" ht="12" hidden="false" customHeight="false" outlineLevel="0" collapsed="false">
      <c r="A4496" s="182" t="s">
        <v>6959</v>
      </c>
    </row>
    <row r="4497" customFormat="false" ht="12" hidden="false" customHeight="false" outlineLevel="0" collapsed="false">
      <c r="A4497" s="182" t="s">
        <v>6960</v>
      </c>
    </row>
    <row r="4498" customFormat="false" ht="12" hidden="false" customHeight="false" outlineLevel="0" collapsed="false">
      <c r="A4498" s="182" t="s">
        <v>6961</v>
      </c>
    </row>
    <row r="4499" customFormat="false" ht="12" hidden="false" customHeight="false" outlineLevel="0" collapsed="false">
      <c r="A4499" s="182" t="s">
        <v>6962</v>
      </c>
    </row>
    <row r="4500" customFormat="false" ht="12" hidden="false" customHeight="false" outlineLevel="0" collapsed="false">
      <c r="A4500" s="182" t="s">
        <v>6963</v>
      </c>
    </row>
    <row r="4501" customFormat="false" ht="12" hidden="false" customHeight="false" outlineLevel="0" collapsed="false">
      <c r="A4501" s="182" t="s">
        <v>6964</v>
      </c>
    </row>
    <row r="4502" customFormat="false" ht="12" hidden="false" customHeight="false" outlineLevel="0" collapsed="false">
      <c r="A4502" s="182" t="s">
        <v>6965</v>
      </c>
    </row>
    <row r="4503" customFormat="false" ht="12" hidden="false" customHeight="false" outlineLevel="0" collapsed="false">
      <c r="A4503" s="182" t="s">
        <v>6966</v>
      </c>
    </row>
    <row r="4504" customFormat="false" ht="12" hidden="false" customHeight="false" outlineLevel="0" collapsed="false">
      <c r="A4504" s="182" t="s">
        <v>6967</v>
      </c>
    </row>
    <row r="4505" customFormat="false" ht="12" hidden="false" customHeight="false" outlineLevel="0" collapsed="false">
      <c r="A4505" s="182" t="s">
        <v>6968</v>
      </c>
    </row>
    <row r="4506" customFormat="false" ht="12" hidden="false" customHeight="false" outlineLevel="0" collapsed="false">
      <c r="A4506" s="182" t="s">
        <v>6969</v>
      </c>
    </row>
    <row r="4507" customFormat="false" ht="12" hidden="false" customHeight="false" outlineLevel="0" collapsed="false">
      <c r="A4507" s="182" t="s">
        <v>6970</v>
      </c>
    </row>
    <row r="4508" customFormat="false" ht="12" hidden="false" customHeight="false" outlineLevel="0" collapsed="false">
      <c r="A4508" s="182" t="s">
        <v>6971</v>
      </c>
    </row>
    <row r="4509" customFormat="false" ht="12" hidden="false" customHeight="false" outlineLevel="0" collapsed="false">
      <c r="A4509" s="182" t="s">
        <v>6972</v>
      </c>
    </row>
    <row r="4510" customFormat="false" ht="12" hidden="false" customHeight="false" outlineLevel="0" collapsed="false">
      <c r="A4510" s="182" t="s">
        <v>6973</v>
      </c>
    </row>
    <row r="4511" customFormat="false" ht="12" hidden="false" customHeight="false" outlineLevel="0" collapsed="false">
      <c r="A4511" s="182" t="s">
        <v>6974</v>
      </c>
    </row>
    <row r="4512" customFormat="false" ht="12" hidden="false" customHeight="false" outlineLevel="0" collapsed="false">
      <c r="A4512" s="182" t="s">
        <v>6975</v>
      </c>
    </row>
    <row r="4513" customFormat="false" ht="12" hidden="false" customHeight="false" outlineLevel="0" collapsed="false">
      <c r="A4513" s="182" t="s">
        <v>6976</v>
      </c>
    </row>
    <row r="4514" customFormat="false" ht="12" hidden="false" customHeight="false" outlineLevel="0" collapsed="false">
      <c r="A4514" s="182" t="s">
        <v>6977</v>
      </c>
    </row>
    <row r="4515" customFormat="false" ht="12" hidden="false" customHeight="false" outlineLevel="0" collapsed="false">
      <c r="A4515" s="182" t="s">
        <v>6978</v>
      </c>
    </row>
    <row r="4516" customFormat="false" ht="12" hidden="false" customHeight="false" outlineLevel="0" collapsed="false">
      <c r="A4516" s="182" t="s">
        <v>6979</v>
      </c>
    </row>
    <row r="4517" customFormat="false" ht="12" hidden="false" customHeight="false" outlineLevel="0" collapsed="false">
      <c r="A4517" s="182" t="s">
        <v>6980</v>
      </c>
    </row>
    <row r="4518" customFormat="false" ht="12" hidden="false" customHeight="false" outlineLevel="0" collapsed="false">
      <c r="A4518" s="182" t="s">
        <v>6981</v>
      </c>
    </row>
    <row r="4519" customFormat="false" ht="12" hidden="false" customHeight="false" outlineLevel="0" collapsed="false">
      <c r="A4519" s="182" t="s">
        <v>6982</v>
      </c>
    </row>
    <row r="4520" customFormat="false" ht="12" hidden="false" customHeight="false" outlineLevel="0" collapsed="false">
      <c r="A4520" s="182" t="s">
        <v>6983</v>
      </c>
    </row>
    <row r="4521" customFormat="false" ht="12" hidden="false" customHeight="false" outlineLevel="0" collapsed="false">
      <c r="A4521" s="182" t="s">
        <v>6984</v>
      </c>
    </row>
    <row r="4522" customFormat="false" ht="12" hidden="false" customHeight="false" outlineLevel="0" collapsed="false">
      <c r="A4522" s="182" t="s">
        <v>6985</v>
      </c>
    </row>
    <row r="4523" customFormat="false" ht="12" hidden="false" customHeight="false" outlineLevel="0" collapsed="false">
      <c r="A4523" s="182" t="s">
        <v>6986</v>
      </c>
    </row>
    <row r="4524" customFormat="false" ht="12" hidden="false" customHeight="false" outlineLevel="0" collapsed="false">
      <c r="A4524" s="182" t="s">
        <v>6987</v>
      </c>
    </row>
    <row r="4525" customFormat="false" ht="12" hidden="false" customHeight="false" outlineLevel="0" collapsed="false">
      <c r="A4525" s="182" t="s">
        <v>6988</v>
      </c>
    </row>
    <row r="4526" customFormat="false" ht="12" hidden="false" customHeight="false" outlineLevel="0" collapsed="false">
      <c r="A4526" s="182" t="s">
        <v>6989</v>
      </c>
    </row>
    <row r="4527" customFormat="false" ht="12" hidden="false" customHeight="false" outlineLevel="0" collapsed="false">
      <c r="A4527" s="182" t="s">
        <v>6990</v>
      </c>
    </row>
    <row r="4528" customFormat="false" ht="12" hidden="false" customHeight="false" outlineLevel="0" collapsed="false">
      <c r="A4528" s="182" t="s">
        <v>6991</v>
      </c>
    </row>
    <row r="4529" customFormat="false" ht="12" hidden="false" customHeight="false" outlineLevel="0" collapsed="false">
      <c r="A4529" s="182" t="s">
        <v>6992</v>
      </c>
    </row>
    <row r="4530" customFormat="false" ht="12" hidden="false" customHeight="false" outlineLevel="0" collapsed="false">
      <c r="A4530" s="182" t="s">
        <v>6993</v>
      </c>
    </row>
    <row r="4531" customFormat="false" ht="12" hidden="false" customHeight="false" outlineLevel="0" collapsed="false">
      <c r="A4531" s="182" t="s">
        <v>6994</v>
      </c>
    </row>
    <row r="4532" customFormat="false" ht="12" hidden="false" customHeight="false" outlineLevel="0" collapsed="false">
      <c r="A4532" s="182" t="s">
        <v>6995</v>
      </c>
    </row>
    <row r="4533" customFormat="false" ht="12" hidden="false" customHeight="false" outlineLevel="0" collapsed="false">
      <c r="A4533" s="182" t="s">
        <v>6996</v>
      </c>
    </row>
    <row r="4534" customFormat="false" ht="12" hidden="false" customHeight="false" outlineLevel="0" collapsed="false">
      <c r="A4534" s="182" t="s">
        <v>6997</v>
      </c>
    </row>
    <row r="4535" customFormat="false" ht="12" hidden="false" customHeight="false" outlineLevel="0" collapsed="false">
      <c r="A4535" s="182" t="s">
        <v>6998</v>
      </c>
    </row>
    <row r="4536" customFormat="false" ht="12" hidden="false" customHeight="false" outlineLevel="0" collapsed="false">
      <c r="A4536" s="182" t="s">
        <v>6999</v>
      </c>
    </row>
    <row r="4537" customFormat="false" ht="12" hidden="false" customHeight="false" outlineLevel="0" collapsed="false">
      <c r="A4537" s="182" t="s">
        <v>7000</v>
      </c>
    </row>
    <row r="4538" customFormat="false" ht="12" hidden="false" customHeight="false" outlineLevel="0" collapsed="false">
      <c r="A4538" s="182" t="s">
        <v>7001</v>
      </c>
    </row>
    <row r="4539" customFormat="false" ht="12" hidden="false" customHeight="false" outlineLevel="0" collapsed="false">
      <c r="A4539" s="182" t="s">
        <v>7002</v>
      </c>
    </row>
    <row r="4540" customFormat="false" ht="12" hidden="false" customHeight="false" outlineLevel="0" collapsed="false">
      <c r="A4540" s="182" t="s">
        <v>7003</v>
      </c>
    </row>
    <row r="4541" customFormat="false" ht="12" hidden="false" customHeight="false" outlineLevel="0" collapsed="false">
      <c r="A4541" s="182" t="s">
        <v>7004</v>
      </c>
    </row>
    <row r="4542" customFormat="false" ht="12" hidden="false" customHeight="false" outlineLevel="0" collapsed="false">
      <c r="A4542" s="182" t="s">
        <v>7005</v>
      </c>
    </row>
    <row r="4543" customFormat="false" ht="12" hidden="false" customHeight="false" outlineLevel="0" collapsed="false">
      <c r="A4543" s="182" t="s">
        <v>7006</v>
      </c>
    </row>
    <row r="4544" customFormat="false" ht="12" hidden="false" customHeight="false" outlineLevel="0" collapsed="false">
      <c r="A4544" s="182" t="s">
        <v>7007</v>
      </c>
    </row>
    <row r="4545" customFormat="false" ht="12" hidden="false" customHeight="false" outlineLevel="0" collapsed="false">
      <c r="A4545" s="182" t="s">
        <v>7008</v>
      </c>
    </row>
    <row r="4546" customFormat="false" ht="12" hidden="false" customHeight="false" outlineLevel="0" collapsed="false">
      <c r="A4546" s="182" t="s">
        <v>7009</v>
      </c>
    </row>
    <row r="4547" customFormat="false" ht="12" hidden="false" customHeight="false" outlineLevel="0" collapsed="false">
      <c r="A4547" s="182" t="s">
        <v>7010</v>
      </c>
    </row>
    <row r="4548" customFormat="false" ht="12" hidden="false" customHeight="false" outlineLevel="0" collapsed="false">
      <c r="A4548" s="182" t="s">
        <v>7011</v>
      </c>
    </row>
    <row r="4549" customFormat="false" ht="12" hidden="false" customHeight="false" outlineLevel="0" collapsed="false">
      <c r="A4549" s="182" t="s">
        <v>7012</v>
      </c>
    </row>
    <row r="4550" customFormat="false" ht="12" hidden="false" customHeight="false" outlineLevel="0" collapsed="false">
      <c r="A4550" s="182" t="s">
        <v>7013</v>
      </c>
    </row>
    <row r="4551" customFormat="false" ht="12" hidden="false" customHeight="false" outlineLevel="0" collapsed="false">
      <c r="A4551" s="182" t="s">
        <v>7014</v>
      </c>
    </row>
    <row r="4552" customFormat="false" ht="12" hidden="false" customHeight="false" outlineLevel="0" collapsed="false">
      <c r="A4552" s="182" t="s">
        <v>7015</v>
      </c>
    </row>
    <row r="4553" customFormat="false" ht="12" hidden="false" customHeight="false" outlineLevel="0" collapsed="false">
      <c r="A4553" s="182" t="s">
        <v>7016</v>
      </c>
    </row>
    <row r="4554" customFormat="false" ht="12" hidden="false" customHeight="false" outlineLevel="0" collapsed="false">
      <c r="A4554" s="182" t="s">
        <v>7017</v>
      </c>
    </row>
    <row r="4555" customFormat="false" ht="12" hidden="false" customHeight="false" outlineLevel="0" collapsed="false">
      <c r="A4555" s="182" t="s">
        <v>7018</v>
      </c>
    </row>
    <row r="4556" customFormat="false" ht="12" hidden="false" customHeight="false" outlineLevel="0" collapsed="false">
      <c r="A4556" s="182" t="s">
        <v>7019</v>
      </c>
    </row>
    <row r="4557" customFormat="false" ht="12" hidden="false" customHeight="false" outlineLevel="0" collapsed="false">
      <c r="A4557" s="182" t="s">
        <v>7020</v>
      </c>
    </row>
    <row r="4558" customFormat="false" ht="12" hidden="false" customHeight="false" outlineLevel="0" collapsed="false">
      <c r="A4558" s="182" t="s">
        <v>7021</v>
      </c>
    </row>
    <row r="4559" customFormat="false" ht="12" hidden="false" customHeight="false" outlineLevel="0" collapsed="false">
      <c r="A4559" s="182" t="s">
        <v>7022</v>
      </c>
    </row>
    <row r="4560" customFormat="false" ht="12" hidden="false" customHeight="false" outlineLevel="0" collapsed="false">
      <c r="A4560" s="182" t="s">
        <v>7023</v>
      </c>
    </row>
    <row r="4561" customFormat="false" ht="12" hidden="false" customHeight="false" outlineLevel="0" collapsed="false">
      <c r="A4561" s="182" t="s">
        <v>7024</v>
      </c>
    </row>
    <row r="4562" customFormat="false" ht="12" hidden="false" customHeight="false" outlineLevel="0" collapsed="false">
      <c r="A4562" s="182" t="s">
        <v>7025</v>
      </c>
    </row>
    <row r="4563" customFormat="false" ht="12" hidden="false" customHeight="false" outlineLevel="0" collapsed="false">
      <c r="A4563" s="182" t="s">
        <v>7026</v>
      </c>
    </row>
    <row r="4564" customFormat="false" ht="12" hidden="false" customHeight="false" outlineLevel="0" collapsed="false">
      <c r="A4564" s="182" t="s">
        <v>7027</v>
      </c>
    </row>
    <row r="4565" customFormat="false" ht="12" hidden="false" customHeight="false" outlineLevel="0" collapsed="false">
      <c r="A4565" s="182" t="s">
        <v>7028</v>
      </c>
    </row>
    <row r="4566" customFormat="false" ht="12" hidden="false" customHeight="false" outlineLevel="0" collapsed="false">
      <c r="A4566" s="182" t="s">
        <v>7029</v>
      </c>
    </row>
    <row r="4567" customFormat="false" ht="12" hidden="false" customHeight="false" outlineLevel="0" collapsed="false">
      <c r="A4567" s="182" t="s">
        <v>7030</v>
      </c>
    </row>
    <row r="4568" customFormat="false" ht="12" hidden="false" customHeight="false" outlineLevel="0" collapsed="false">
      <c r="A4568" s="182" t="s">
        <v>7031</v>
      </c>
    </row>
    <row r="4569" customFormat="false" ht="12" hidden="false" customHeight="false" outlineLevel="0" collapsed="false">
      <c r="A4569" s="182" t="s">
        <v>7032</v>
      </c>
    </row>
    <row r="4570" customFormat="false" ht="12" hidden="false" customHeight="false" outlineLevel="0" collapsed="false">
      <c r="A4570" s="182" t="s">
        <v>7033</v>
      </c>
    </row>
    <row r="4571" customFormat="false" ht="12" hidden="false" customHeight="false" outlineLevel="0" collapsed="false">
      <c r="A4571" s="182" t="s">
        <v>7034</v>
      </c>
    </row>
    <row r="4572" customFormat="false" ht="12" hidden="false" customHeight="false" outlineLevel="0" collapsed="false">
      <c r="A4572" s="182" t="s">
        <v>7035</v>
      </c>
    </row>
    <row r="4573" customFormat="false" ht="12" hidden="false" customHeight="false" outlineLevel="0" collapsed="false">
      <c r="A4573" s="182" t="s">
        <v>7036</v>
      </c>
    </row>
    <row r="4574" customFormat="false" ht="12" hidden="false" customHeight="false" outlineLevel="0" collapsed="false">
      <c r="A4574" s="182" t="s">
        <v>7037</v>
      </c>
    </row>
    <row r="4575" customFormat="false" ht="12" hidden="false" customHeight="false" outlineLevel="0" collapsed="false">
      <c r="A4575" s="182" t="s">
        <v>7038</v>
      </c>
    </row>
    <row r="4576" customFormat="false" ht="12" hidden="false" customHeight="false" outlineLevel="0" collapsed="false">
      <c r="A4576" s="182" t="s">
        <v>7039</v>
      </c>
    </row>
    <row r="4577" customFormat="false" ht="12" hidden="false" customHeight="false" outlineLevel="0" collapsed="false">
      <c r="A4577" s="182" t="s">
        <v>7040</v>
      </c>
    </row>
    <row r="4578" customFormat="false" ht="12" hidden="false" customHeight="false" outlineLevel="0" collapsed="false">
      <c r="A4578" s="182" t="s">
        <v>7041</v>
      </c>
    </row>
    <row r="4579" customFormat="false" ht="12" hidden="false" customHeight="false" outlineLevel="0" collapsed="false">
      <c r="A4579" s="182" t="s">
        <v>7042</v>
      </c>
    </row>
    <row r="4580" customFormat="false" ht="12" hidden="false" customHeight="false" outlineLevel="0" collapsed="false">
      <c r="A4580" s="182" t="s">
        <v>7043</v>
      </c>
    </row>
    <row r="4581" customFormat="false" ht="12" hidden="false" customHeight="false" outlineLevel="0" collapsed="false">
      <c r="A4581" s="182" t="s">
        <v>7044</v>
      </c>
    </row>
    <row r="4582" customFormat="false" ht="12" hidden="false" customHeight="false" outlineLevel="0" collapsed="false">
      <c r="A4582" s="182" t="s">
        <v>7045</v>
      </c>
    </row>
    <row r="4583" customFormat="false" ht="12" hidden="false" customHeight="false" outlineLevel="0" collapsed="false">
      <c r="A4583" s="182" t="s">
        <v>7046</v>
      </c>
    </row>
    <row r="4584" customFormat="false" ht="12" hidden="false" customHeight="false" outlineLevel="0" collapsed="false">
      <c r="A4584" s="182" t="s">
        <v>7047</v>
      </c>
    </row>
    <row r="4585" customFormat="false" ht="12" hidden="false" customHeight="false" outlineLevel="0" collapsed="false">
      <c r="A4585" s="182" t="s">
        <v>7048</v>
      </c>
    </row>
    <row r="4586" customFormat="false" ht="12" hidden="false" customHeight="false" outlineLevel="0" collapsed="false">
      <c r="A4586" s="182" t="s">
        <v>7049</v>
      </c>
    </row>
    <row r="4587" customFormat="false" ht="12" hidden="false" customHeight="false" outlineLevel="0" collapsed="false">
      <c r="A4587" s="182" t="s">
        <v>7050</v>
      </c>
    </row>
    <row r="4588" customFormat="false" ht="12" hidden="false" customHeight="false" outlineLevel="0" collapsed="false">
      <c r="A4588" s="182" t="s">
        <v>7051</v>
      </c>
    </row>
    <row r="4589" customFormat="false" ht="12" hidden="false" customHeight="false" outlineLevel="0" collapsed="false">
      <c r="A4589" s="182" t="s">
        <v>7052</v>
      </c>
    </row>
    <row r="4590" customFormat="false" ht="12" hidden="false" customHeight="false" outlineLevel="0" collapsed="false">
      <c r="A4590" s="182" t="s">
        <v>7053</v>
      </c>
    </row>
    <row r="4591" customFormat="false" ht="12" hidden="false" customHeight="false" outlineLevel="0" collapsed="false">
      <c r="A4591" s="182" t="s">
        <v>7054</v>
      </c>
    </row>
    <row r="4592" customFormat="false" ht="12" hidden="false" customHeight="false" outlineLevel="0" collapsed="false">
      <c r="A4592" s="182" t="s">
        <v>7055</v>
      </c>
    </row>
    <row r="4593" customFormat="false" ht="12" hidden="false" customHeight="false" outlineLevel="0" collapsed="false">
      <c r="A4593" s="182" t="s">
        <v>7056</v>
      </c>
    </row>
    <row r="4594" customFormat="false" ht="12" hidden="false" customHeight="false" outlineLevel="0" collapsed="false">
      <c r="A4594" s="182" t="s">
        <v>7057</v>
      </c>
    </row>
    <row r="4595" customFormat="false" ht="12" hidden="false" customHeight="false" outlineLevel="0" collapsed="false">
      <c r="A4595" s="182" t="s">
        <v>7058</v>
      </c>
    </row>
    <row r="4596" customFormat="false" ht="12" hidden="false" customHeight="false" outlineLevel="0" collapsed="false">
      <c r="A4596" s="182" t="s">
        <v>7059</v>
      </c>
    </row>
    <row r="4597" customFormat="false" ht="12" hidden="false" customHeight="false" outlineLevel="0" collapsed="false">
      <c r="A4597" s="182" t="s">
        <v>7060</v>
      </c>
    </row>
    <row r="4598" customFormat="false" ht="12" hidden="false" customHeight="false" outlineLevel="0" collapsed="false">
      <c r="A4598" s="182" t="s">
        <v>7061</v>
      </c>
    </row>
    <row r="4599" customFormat="false" ht="12" hidden="false" customHeight="false" outlineLevel="0" collapsed="false">
      <c r="A4599" s="182" t="s">
        <v>7062</v>
      </c>
    </row>
    <row r="4600" customFormat="false" ht="12" hidden="false" customHeight="false" outlineLevel="0" collapsed="false">
      <c r="A4600" s="182" t="s">
        <v>7063</v>
      </c>
    </row>
    <row r="4601" customFormat="false" ht="12" hidden="false" customHeight="false" outlineLevel="0" collapsed="false">
      <c r="A4601" s="182" t="s">
        <v>7064</v>
      </c>
    </row>
    <row r="4602" customFormat="false" ht="12" hidden="false" customHeight="false" outlineLevel="0" collapsed="false">
      <c r="A4602" s="182" t="s">
        <v>7065</v>
      </c>
    </row>
    <row r="4603" customFormat="false" ht="12" hidden="false" customHeight="false" outlineLevel="0" collapsed="false">
      <c r="A4603" s="182" t="s">
        <v>7066</v>
      </c>
    </row>
    <row r="4604" customFormat="false" ht="12" hidden="false" customHeight="false" outlineLevel="0" collapsed="false">
      <c r="A4604" s="182" t="s">
        <v>7067</v>
      </c>
    </row>
    <row r="4605" customFormat="false" ht="12" hidden="false" customHeight="false" outlineLevel="0" collapsed="false">
      <c r="A4605" s="182" t="s">
        <v>7068</v>
      </c>
    </row>
    <row r="4606" customFormat="false" ht="12" hidden="false" customHeight="false" outlineLevel="0" collapsed="false">
      <c r="A4606" s="182" t="s">
        <v>7069</v>
      </c>
    </row>
    <row r="4607" customFormat="false" ht="12" hidden="false" customHeight="false" outlineLevel="0" collapsed="false">
      <c r="A4607" s="182" t="s">
        <v>7070</v>
      </c>
    </row>
    <row r="4608" customFormat="false" ht="12" hidden="false" customHeight="false" outlineLevel="0" collapsed="false">
      <c r="A4608" s="182" t="s">
        <v>7071</v>
      </c>
    </row>
    <row r="4609" customFormat="false" ht="12" hidden="false" customHeight="false" outlineLevel="0" collapsed="false">
      <c r="A4609" s="182" t="s">
        <v>7072</v>
      </c>
    </row>
    <row r="4610" customFormat="false" ht="12" hidden="false" customHeight="false" outlineLevel="0" collapsed="false">
      <c r="A4610" s="182" t="s">
        <v>7073</v>
      </c>
    </row>
    <row r="4611" customFormat="false" ht="12" hidden="false" customHeight="false" outlineLevel="0" collapsed="false">
      <c r="A4611" s="182" t="s">
        <v>7074</v>
      </c>
    </row>
    <row r="4612" customFormat="false" ht="12" hidden="false" customHeight="false" outlineLevel="0" collapsed="false">
      <c r="A4612" s="182" t="s">
        <v>7075</v>
      </c>
    </row>
    <row r="4613" customFormat="false" ht="12" hidden="false" customHeight="false" outlineLevel="0" collapsed="false">
      <c r="A4613" s="182" t="s">
        <v>7076</v>
      </c>
    </row>
    <row r="4614" customFormat="false" ht="12" hidden="false" customHeight="false" outlineLevel="0" collapsed="false">
      <c r="A4614" s="182" t="s">
        <v>7077</v>
      </c>
    </row>
    <row r="4615" customFormat="false" ht="12" hidden="false" customHeight="false" outlineLevel="0" collapsed="false">
      <c r="A4615" s="182" t="s">
        <v>7078</v>
      </c>
    </row>
    <row r="4616" customFormat="false" ht="12" hidden="false" customHeight="false" outlineLevel="0" collapsed="false">
      <c r="A4616" s="182" t="s">
        <v>7079</v>
      </c>
    </row>
    <row r="4617" customFormat="false" ht="12" hidden="false" customHeight="false" outlineLevel="0" collapsed="false">
      <c r="A4617" s="182" t="s">
        <v>7080</v>
      </c>
    </row>
    <row r="4618" customFormat="false" ht="12" hidden="false" customHeight="false" outlineLevel="0" collapsed="false">
      <c r="A4618" s="182" t="s">
        <v>7081</v>
      </c>
    </row>
    <row r="4619" customFormat="false" ht="12" hidden="false" customHeight="false" outlineLevel="0" collapsed="false">
      <c r="A4619" s="182" t="s">
        <v>7082</v>
      </c>
    </row>
    <row r="4620" customFormat="false" ht="12" hidden="false" customHeight="false" outlineLevel="0" collapsed="false">
      <c r="A4620" s="182" t="s">
        <v>7083</v>
      </c>
    </row>
    <row r="4621" customFormat="false" ht="12" hidden="false" customHeight="false" outlineLevel="0" collapsed="false">
      <c r="A4621" s="182" t="s">
        <v>7084</v>
      </c>
    </row>
    <row r="4622" customFormat="false" ht="12" hidden="false" customHeight="false" outlineLevel="0" collapsed="false">
      <c r="A4622" s="182" t="s">
        <v>7085</v>
      </c>
    </row>
    <row r="4623" customFormat="false" ht="12" hidden="false" customHeight="false" outlineLevel="0" collapsed="false">
      <c r="A4623" s="182" t="s">
        <v>7086</v>
      </c>
    </row>
    <row r="4624" customFormat="false" ht="12" hidden="false" customHeight="false" outlineLevel="0" collapsed="false">
      <c r="A4624" s="182" t="s">
        <v>7087</v>
      </c>
    </row>
    <row r="4625" customFormat="false" ht="12" hidden="false" customHeight="false" outlineLevel="0" collapsed="false">
      <c r="A4625" s="182" t="s">
        <v>7088</v>
      </c>
    </row>
    <row r="4626" customFormat="false" ht="12" hidden="false" customHeight="false" outlineLevel="0" collapsed="false">
      <c r="A4626" s="182" t="s">
        <v>7089</v>
      </c>
    </row>
    <row r="4627" customFormat="false" ht="12" hidden="false" customHeight="false" outlineLevel="0" collapsed="false">
      <c r="A4627" s="182" t="s">
        <v>7090</v>
      </c>
    </row>
    <row r="4628" customFormat="false" ht="12" hidden="false" customHeight="false" outlineLevel="0" collapsed="false">
      <c r="A4628" s="182" t="s">
        <v>7091</v>
      </c>
    </row>
    <row r="4629" customFormat="false" ht="12" hidden="false" customHeight="false" outlineLevel="0" collapsed="false">
      <c r="A4629" s="182" t="s">
        <v>7092</v>
      </c>
    </row>
    <row r="4630" customFormat="false" ht="12" hidden="false" customHeight="false" outlineLevel="0" collapsed="false">
      <c r="A4630" s="182" t="s">
        <v>7093</v>
      </c>
    </row>
    <row r="4631" customFormat="false" ht="12" hidden="false" customHeight="false" outlineLevel="0" collapsed="false">
      <c r="A4631" s="182" t="s">
        <v>7094</v>
      </c>
    </row>
    <row r="4632" customFormat="false" ht="12" hidden="false" customHeight="false" outlineLevel="0" collapsed="false">
      <c r="A4632" s="182" t="s">
        <v>7095</v>
      </c>
    </row>
    <row r="4633" customFormat="false" ht="12" hidden="false" customHeight="false" outlineLevel="0" collapsed="false">
      <c r="A4633" s="182" t="s">
        <v>7096</v>
      </c>
    </row>
    <row r="4634" customFormat="false" ht="12" hidden="false" customHeight="false" outlineLevel="0" collapsed="false">
      <c r="A4634" s="182" t="s">
        <v>7097</v>
      </c>
    </row>
    <row r="4635" customFormat="false" ht="12" hidden="false" customHeight="false" outlineLevel="0" collapsed="false">
      <c r="A4635" s="182" t="s">
        <v>7098</v>
      </c>
    </row>
    <row r="4636" customFormat="false" ht="12" hidden="false" customHeight="false" outlineLevel="0" collapsed="false">
      <c r="A4636" s="182" t="s">
        <v>7099</v>
      </c>
    </row>
    <row r="4637" customFormat="false" ht="12" hidden="false" customHeight="false" outlineLevel="0" collapsed="false">
      <c r="A4637" s="182" t="s">
        <v>7100</v>
      </c>
    </row>
    <row r="4638" customFormat="false" ht="12" hidden="false" customHeight="false" outlineLevel="0" collapsed="false">
      <c r="A4638" s="182" t="s">
        <v>7101</v>
      </c>
    </row>
    <row r="4639" customFormat="false" ht="12" hidden="false" customHeight="false" outlineLevel="0" collapsed="false">
      <c r="A4639" s="182" t="s">
        <v>7102</v>
      </c>
    </row>
    <row r="4640" customFormat="false" ht="12" hidden="false" customHeight="false" outlineLevel="0" collapsed="false">
      <c r="A4640" s="182" t="s">
        <v>7103</v>
      </c>
    </row>
    <row r="4641" customFormat="false" ht="12" hidden="false" customHeight="false" outlineLevel="0" collapsed="false">
      <c r="A4641" s="182" t="s">
        <v>7104</v>
      </c>
    </row>
    <row r="4642" customFormat="false" ht="12" hidden="false" customHeight="false" outlineLevel="0" collapsed="false">
      <c r="A4642" s="182" t="s">
        <v>7105</v>
      </c>
    </row>
    <row r="4643" customFormat="false" ht="12" hidden="false" customHeight="false" outlineLevel="0" collapsed="false">
      <c r="A4643" s="182" t="s">
        <v>7106</v>
      </c>
    </row>
    <row r="4644" customFormat="false" ht="12" hidden="false" customHeight="false" outlineLevel="0" collapsed="false">
      <c r="A4644" s="182" t="s">
        <v>7107</v>
      </c>
    </row>
    <row r="4645" customFormat="false" ht="12" hidden="false" customHeight="false" outlineLevel="0" collapsed="false">
      <c r="A4645" s="182" t="s">
        <v>7108</v>
      </c>
    </row>
    <row r="4646" customFormat="false" ht="12" hidden="false" customHeight="false" outlineLevel="0" collapsed="false">
      <c r="A4646" s="182" t="s">
        <v>7109</v>
      </c>
    </row>
    <row r="4647" customFormat="false" ht="12" hidden="false" customHeight="false" outlineLevel="0" collapsed="false">
      <c r="A4647" s="182" t="s">
        <v>7110</v>
      </c>
    </row>
    <row r="4648" customFormat="false" ht="12" hidden="false" customHeight="false" outlineLevel="0" collapsed="false">
      <c r="A4648" s="182" t="s">
        <v>7111</v>
      </c>
    </row>
    <row r="4649" customFormat="false" ht="12" hidden="false" customHeight="false" outlineLevel="0" collapsed="false">
      <c r="A4649" s="182" t="s">
        <v>7112</v>
      </c>
    </row>
    <row r="4650" customFormat="false" ht="12" hidden="false" customHeight="false" outlineLevel="0" collapsed="false">
      <c r="A4650" s="182" t="s">
        <v>7113</v>
      </c>
    </row>
    <row r="4651" customFormat="false" ht="12" hidden="false" customHeight="false" outlineLevel="0" collapsed="false">
      <c r="A4651" s="182" t="s">
        <v>7114</v>
      </c>
    </row>
    <row r="4652" customFormat="false" ht="12" hidden="false" customHeight="false" outlineLevel="0" collapsed="false">
      <c r="A4652" s="182" t="s">
        <v>7115</v>
      </c>
    </row>
    <row r="4653" customFormat="false" ht="12" hidden="false" customHeight="false" outlineLevel="0" collapsed="false">
      <c r="A4653" s="182" t="s">
        <v>7116</v>
      </c>
    </row>
    <row r="4654" customFormat="false" ht="12" hidden="false" customHeight="false" outlineLevel="0" collapsed="false">
      <c r="A4654" s="182" t="s">
        <v>7117</v>
      </c>
    </row>
    <row r="4655" customFormat="false" ht="12" hidden="false" customHeight="false" outlineLevel="0" collapsed="false">
      <c r="A4655" s="182" t="s">
        <v>7118</v>
      </c>
    </row>
    <row r="4656" customFormat="false" ht="12" hidden="false" customHeight="false" outlineLevel="0" collapsed="false">
      <c r="A4656" s="182" t="s">
        <v>7119</v>
      </c>
    </row>
    <row r="4657" customFormat="false" ht="12" hidden="false" customHeight="false" outlineLevel="0" collapsed="false">
      <c r="A4657" s="182" t="s">
        <v>7120</v>
      </c>
    </row>
    <row r="4658" customFormat="false" ht="12" hidden="false" customHeight="false" outlineLevel="0" collapsed="false">
      <c r="A4658" s="182" t="s">
        <v>7121</v>
      </c>
    </row>
    <row r="4659" customFormat="false" ht="12" hidden="false" customHeight="false" outlineLevel="0" collapsed="false">
      <c r="A4659" s="182" t="s">
        <v>7122</v>
      </c>
    </row>
    <row r="4660" customFormat="false" ht="12" hidden="false" customHeight="false" outlineLevel="0" collapsed="false">
      <c r="A4660" s="182" t="s">
        <v>7123</v>
      </c>
    </row>
    <row r="4661" customFormat="false" ht="12" hidden="false" customHeight="false" outlineLevel="0" collapsed="false">
      <c r="A4661" s="182" t="s">
        <v>7124</v>
      </c>
    </row>
    <row r="4662" customFormat="false" ht="12" hidden="false" customHeight="false" outlineLevel="0" collapsed="false">
      <c r="A4662" s="182" t="s">
        <v>7125</v>
      </c>
    </row>
    <row r="4663" customFormat="false" ht="12" hidden="false" customHeight="false" outlineLevel="0" collapsed="false">
      <c r="A4663" s="182" t="s">
        <v>7126</v>
      </c>
    </row>
    <row r="4664" customFormat="false" ht="12" hidden="false" customHeight="false" outlineLevel="0" collapsed="false">
      <c r="A4664" s="182" t="s">
        <v>7127</v>
      </c>
    </row>
    <row r="4665" customFormat="false" ht="12" hidden="false" customHeight="false" outlineLevel="0" collapsed="false">
      <c r="A4665" s="182" t="s">
        <v>7128</v>
      </c>
    </row>
    <row r="4666" customFormat="false" ht="12" hidden="false" customHeight="false" outlineLevel="0" collapsed="false">
      <c r="A4666" s="182" t="s">
        <v>7129</v>
      </c>
    </row>
    <row r="4667" customFormat="false" ht="12" hidden="false" customHeight="false" outlineLevel="0" collapsed="false">
      <c r="A4667" s="182" t="s">
        <v>7130</v>
      </c>
    </row>
    <row r="4668" customFormat="false" ht="12" hidden="false" customHeight="false" outlineLevel="0" collapsed="false">
      <c r="A4668" s="182" t="s">
        <v>7131</v>
      </c>
    </row>
    <row r="4669" customFormat="false" ht="12" hidden="false" customHeight="false" outlineLevel="0" collapsed="false">
      <c r="A4669" s="182" t="s">
        <v>7132</v>
      </c>
    </row>
    <row r="4670" customFormat="false" ht="12" hidden="false" customHeight="false" outlineLevel="0" collapsed="false">
      <c r="A4670" s="182" t="s">
        <v>7133</v>
      </c>
    </row>
    <row r="4671" customFormat="false" ht="12" hidden="false" customHeight="false" outlineLevel="0" collapsed="false">
      <c r="A4671" s="182" t="s">
        <v>7134</v>
      </c>
    </row>
    <row r="4672" customFormat="false" ht="12" hidden="false" customHeight="false" outlineLevel="0" collapsed="false">
      <c r="A4672" s="182" t="s">
        <v>7135</v>
      </c>
    </row>
    <row r="4673" customFormat="false" ht="12" hidden="false" customHeight="false" outlineLevel="0" collapsed="false">
      <c r="A4673" s="182" t="s">
        <v>7136</v>
      </c>
    </row>
    <row r="4674" customFormat="false" ht="12" hidden="false" customHeight="false" outlineLevel="0" collapsed="false">
      <c r="A4674" s="182" t="s">
        <v>7137</v>
      </c>
    </row>
    <row r="4675" customFormat="false" ht="12" hidden="false" customHeight="false" outlineLevel="0" collapsed="false">
      <c r="A4675" s="182" t="s">
        <v>7138</v>
      </c>
    </row>
    <row r="4676" customFormat="false" ht="12" hidden="false" customHeight="false" outlineLevel="0" collapsed="false">
      <c r="A4676" s="182" t="s">
        <v>7139</v>
      </c>
    </row>
    <row r="4677" customFormat="false" ht="12" hidden="false" customHeight="false" outlineLevel="0" collapsed="false">
      <c r="A4677" s="182" t="s">
        <v>7140</v>
      </c>
    </row>
    <row r="4678" customFormat="false" ht="12" hidden="false" customHeight="false" outlineLevel="0" collapsed="false">
      <c r="A4678" s="182" t="s">
        <v>7141</v>
      </c>
    </row>
    <row r="4679" customFormat="false" ht="12" hidden="false" customHeight="false" outlineLevel="0" collapsed="false">
      <c r="A4679" s="182" t="s">
        <v>7142</v>
      </c>
    </row>
    <row r="4680" customFormat="false" ht="12" hidden="false" customHeight="false" outlineLevel="0" collapsed="false">
      <c r="A4680" s="182" t="s">
        <v>7143</v>
      </c>
    </row>
    <row r="4681" customFormat="false" ht="12" hidden="false" customHeight="false" outlineLevel="0" collapsed="false">
      <c r="A4681" s="182" t="s">
        <v>7144</v>
      </c>
    </row>
    <row r="4682" customFormat="false" ht="12" hidden="false" customHeight="false" outlineLevel="0" collapsed="false">
      <c r="A4682" s="182" t="s">
        <v>7145</v>
      </c>
    </row>
    <row r="4683" customFormat="false" ht="12" hidden="false" customHeight="false" outlineLevel="0" collapsed="false">
      <c r="A4683" s="182" t="s">
        <v>7146</v>
      </c>
    </row>
    <row r="4684" customFormat="false" ht="12" hidden="false" customHeight="false" outlineLevel="0" collapsed="false">
      <c r="A4684" s="182" t="s">
        <v>7147</v>
      </c>
    </row>
    <row r="4685" customFormat="false" ht="12" hidden="false" customHeight="false" outlineLevel="0" collapsed="false">
      <c r="A4685" s="182" t="s">
        <v>7148</v>
      </c>
    </row>
    <row r="4686" customFormat="false" ht="12" hidden="false" customHeight="false" outlineLevel="0" collapsed="false">
      <c r="A4686" s="182" t="s">
        <v>7149</v>
      </c>
    </row>
    <row r="4687" customFormat="false" ht="12" hidden="false" customHeight="false" outlineLevel="0" collapsed="false">
      <c r="A4687" s="182" t="s">
        <v>7150</v>
      </c>
    </row>
    <row r="4688" customFormat="false" ht="12" hidden="false" customHeight="false" outlineLevel="0" collapsed="false">
      <c r="A4688" s="182" t="s">
        <v>7151</v>
      </c>
    </row>
    <row r="4689" customFormat="false" ht="12" hidden="false" customHeight="false" outlineLevel="0" collapsed="false">
      <c r="A4689" s="182" t="s">
        <v>7152</v>
      </c>
    </row>
    <row r="4690" customFormat="false" ht="12" hidden="false" customHeight="false" outlineLevel="0" collapsed="false">
      <c r="A4690" s="182" t="s">
        <v>7153</v>
      </c>
    </row>
    <row r="4691" customFormat="false" ht="12" hidden="false" customHeight="false" outlineLevel="0" collapsed="false">
      <c r="A4691" s="182" t="s">
        <v>7154</v>
      </c>
    </row>
    <row r="4692" customFormat="false" ht="12" hidden="false" customHeight="false" outlineLevel="0" collapsed="false">
      <c r="A4692" s="182" t="s">
        <v>7155</v>
      </c>
    </row>
    <row r="4693" customFormat="false" ht="12" hidden="false" customHeight="false" outlineLevel="0" collapsed="false">
      <c r="A4693" s="182" t="s">
        <v>7156</v>
      </c>
    </row>
    <row r="4694" customFormat="false" ht="12" hidden="false" customHeight="false" outlineLevel="0" collapsed="false">
      <c r="A4694" s="182" t="s">
        <v>7157</v>
      </c>
    </row>
    <row r="4695" customFormat="false" ht="12" hidden="false" customHeight="false" outlineLevel="0" collapsed="false">
      <c r="A4695" s="182" t="s">
        <v>7158</v>
      </c>
    </row>
    <row r="4696" customFormat="false" ht="12" hidden="false" customHeight="false" outlineLevel="0" collapsed="false">
      <c r="A4696" s="182" t="s">
        <v>7159</v>
      </c>
    </row>
    <row r="4697" customFormat="false" ht="12" hidden="false" customHeight="false" outlineLevel="0" collapsed="false">
      <c r="A4697" s="182" t="s">
        <v>7160</v>
      </c>
    </row>
    <row r="4698" customFormat="false" ht="12" hidden="false" customHeight="false" outlineLevel="0" collapsed="false">
      <c r="A4698" s="182" t="s">
        <v>7161</v>
      </c>
    </row>
    <row r="4699" customFormat="false" ht="12" hidden="false" customHeight="false" outlineLevel="0" collapsed="false">
      <c r="A4699" s="182" t="s">
        <v>7162</v>
      </c>
    </row>
    <row r="4700" customFormat="false" ht="12" hidden="false" customHeight="false" outlineLevel="0" collapsed="false">
      <c r="A4700" s="182" t="s">
        <v>7163</v>
      </c>
    </row>
    <row r="4701" customFormat="false" ht="12" hidden="false" customHeight="false" outlineLevel="0" collapsed="false">
      <c r="A4701" s="182" t="s">
        <v>7164</v>
      </c>
    </row>
    <row r="4702" customFormat="false" ht="12" hidden="false" customHeight="false" outlineLevel="0" collapsed="false">
      <c r="A4702" s="182" t="s">
        <v>7165</v>
      </c>
    </row>
    <row r="4703" customFormat="false" ht="12" hidden="false" customHeight="false" outlineLevel="0" collapsed="false">
      <c r="A4703" s="182" t="s">
        <v>7166</v>
      </c>
    </row>
    <row r="4704" customFormat="false" ht="12" hidden="false" customHeight="false" outlineLevel="0" collapsed="false">
      <c r="A4704" s="182" t="s">
        <v>7167</v>
      </c>
    </row>
    <row r="4705" customFormat="false" ht="12" hidden="false" customHeight="false" outlineLevel="0" collapsed="false">
      <c r="A4705" s="182" t="s">
        <v>7168</v>
      </c>
    </row>
    <row r="4706" customFormat="false" ht="12" hidden="false" customHeight="false" outlineLevel="0" collapsed="false">
      <c r="A4706" s="182" t="s">
        <v>7169</v>
      </c>
    </row>
    <row r="4707" customFormat="false" ht="12" hidden="false" customHeight="false" outlineLevel="0" collapsed="false">
      <c r="A4707" s="182" t="s">
        <v>7170</v>
      </c>
    </row>
    <row r="4708" customFormat="false" ht="12" hidden="false" customHeight="false" outlineLevel="0" collapsed="false">
      <c r="A4708" s="182" t="s">
        <v>7171</v>
      </c>
    </row>
    <row r="4709" customFormat="false" ht="12" hidden="false" customHeight="false" outlineLevel="0" collapsed="false">
      <c r="A4709" s="182" t="s">
        <v>7172</v>
      </c>
    </row>
    <row r="4710" customFormat="false" ht="12" hidden="false" customHeight="false" outlineLevel="0" collapsed="false">
      <c r="A4710" s="182" t="s">
        <v>7173</v>
      </c>
    </row>
    <row r="4711" customFormat="false" ht="12" hidden="false" customHeight="false" outlineLevel="0" collapsed="false">
      <c r="A4711" s="182" t="s">
        <v>7174</v>
      </c>
    </row>
    <row r="4712" customFormat="false" ht="12" hidden="false" customHeight="false" outlineLevel="0" collapsed="false">
      <c r="A4712" s="182" t="s">
        <v>7175</v>
      </c>
    </row>
    <row r="4713" customFormat="false" ht="12" hidden="false" customHeight="false" outlineLevel="0" collapsed="false">
      <c r="A4713" s="182" t="s">
        <v>7176</v>
      </c>
    </row>
    <row r="4714" customFormat="false" ht="12" hidden="false" customHeight="false" outlineLevel="0" collapsed="false">
      <c r="A4714" s="182" t="s">
        <v>7177</v>
      </c>
    </row>
    <row r="4715" customFormat="false" ht="12" hidden="false" customHeight="false" outlineLevel="0" collapsed="false">
      <c r="A4715" s="182" t="s">
        <v>7178</v>
      </c>
    </row>
    <row r="4716" customFormat="false" ht="12" hidden="false" customHeight="false" outlineLevel="0" collapsed="false">
      <c r="A4716" s="182" t="s">
        <v>7179</v>
      </c>
    </row>
    <row r="4717" customFormat="false" ht="12" hidden="false" customHeight="false" outlineLevel="0" collapsed="false">
      <c r="A4717" s="182" t="s">
        <v>7180</v>
      </c>
    </row>
    <row r="4718" customFormat="false" ht="12" hidden="false" customHeight="false" outlineLevel="0" collapsed="false">
      <c r="A4718" s="182" t="s">
        <v>7181</v>
      </c>
    </row>
    <row r="4719" customFormat="false" ht="12" hidden="false" customHeight="false" outlineLevel="0" collapsed="false">
      <c r="A4719" s="182" t="s">
        <v>7182</v>
      </c>
    </row>
    <row r="4720" customFormat="false" ht="12" hidden="false" customHeight="false" outlineLevel="0" collapsed="false">
      <c r="A4720" s="182" t="s">
        <v>7183</v>
      </c>
    </row>
    <row r="4721" customFormat="false" ht="12" hidden="false" customHeight="false" outlineLevel="0" collapsed="false">
      <c r="A4721" s="182" t="s">
        <v>7184</v>
      </c>
    </row>
    <row r="4722" customFormat="false" ht="12" hidden="false" customHeight="false" outlineLevel="0" collapsed="false">
      <c r="A4722" s="182" t="s">
        <v>7185</v>
      </c>
    </row>
    <row r="4723" customFormat="false" ht="12" hidden="false" customHeight="false" outlineLevel="0" collapsed="false">
      <c r="A4723" s="182" t="s">
        <v>7186</v>
      </c>
    </row>
    <row r="4724" customFormat="false" ht="12" hidden="false" customHeight="false" outlineLevel="0" collapsed="false">
      <c r="A4724" s="182" t="s">
        <v>7187</v>
      </c>
    </row>
    <row r="4725" customFormat="false" ht="12" hidden="false" customHeight="false" outlineLevel="0" collapsed="false">
      <c r="A4725" s="182" t="s">
        <v>7188</v>
      </c>
    </row>
    <row r="4726" customFormat="false" ht="12" hidden="false" customHeight="false" outlineLevel="0" collapsed="false">
      <c r="A4726" s="182" t="s">
        <v>7189</v>
      </c>
    </row>
    <row r="4727" customFormat="false" ht="12" hidden="false" customHeight="false" outlineLevel="0" collapsed="false">
      <c r="A4727" s="182" t="s">
        <v>7190</v>
      </c>
    </row>
    <row r="4728" customFormat="false" ht="12" hidden="false" customHeight="false" outlineLevel="0" collapsed="false">
      <c r="A4728" s="182" t="s">
        <v>7191</v>
      </c>
    </row>
    <row r="4729" customFormat="false" ht="12" hidden="false" customHeight="false" outlineLevel="0" collapsed="false">
      <c r="A4729" s="182" t="s">
        <v>7192</v>
      </c>
    </row>
    <row r="4730" customFormat="false" ht="12" hidden="false" customHeight="false" outlineLevel="0" collapsed="false">
      <c r="A4730" s="182" t="s">
        <v>7193</v>
      </c>
    </row>
    <row r="4731" customFormat="false" ht="12" hidden="false" customHeight="false" outlineLevel="0" collapsed="false">
      <c r="A4731" s="182" t="s">
        <v>7194</v>
      </c>
    </row>
    <row r="4732" customFormat="false" ht="12" hidden="false" customHeight="false" outlineLevel="0" collapsed="false">
      <c r="A4732" s="182" t="s">
        <v>7195</v>
      </c>
    </row>
    <row r="4733" customFormat="false" ht="12" hidden="false" customHeight="false" outlineLevel="0" collapsed="false">
      <c r="A4733" s="182" t="s">
        <v>7196</v>
      </c>
    </row>
    <row r="4734" customFormat="false" ht="12" hidden="false" customHeight="false" outlineLevel="0" collapsed="false">
      <c r="A4734" s="182" t="s">
        <v>7197</v>
      </c>
    </row>
    <row r="4735" customFormat="false" ht="12" hidden="false" customHeight="false" outlineLevel="0" collapsed="false">
      <c r="A4735" s="182" t="s">
        <v>7198</v>
      </c>
    </row>
    <row r="4736" customFormat="false" ht="12" hidden="false" customHeight="false" outlineLevel="0" collapsed="false">
      <c r="A4736" s="182" t="s">
        <v>7199</v>
      </c>
    </row>
    <row r="4737" customFormat="false" ht="12" hidden="false" customHeight="false" outlineLevel="0" collapsed="false">
      <c r="A4737" s="182" t="s">
        <v>7200</v>
      </c>
    </row>
    <row r="4738" customFormat="false" ht="12" hidden="false" customHeight="false" outlineLevel="0" collapsed="false">
      <c r="A4738" s="182" t="s">
        <v>7201</v>
      </c>
    </row>
    <row r="4739" customFormat="false" ht="12" hidden="false" customHeight="false" outlineLevel="0" collapsed="false">
      <c r="A4739" s="182" t="s">
        <v>7202</v>
      </c>
    </row>
    <row r="4740" customFormat="false" ht="12" hidden="false" customHeight="false" outlineLevel="0" collapsed="false">
      <c r="A4740" s="182" t="s">
        <v>7203</v>
      </c>
    </row>
    <row r="4741" customFormat="false" ht="12" hidden="false" customHeight="false" outlineLevel="0" collapsed="false">
      <c r="A4741" s="182" t="s">
        <v>7204</v>
      </c>
    </row>
    <row r="4742" customFormat="false" ht="12" hidden="false" customHeight="false" outlineLevel="0" collapsed="false">
      <c r="A4742" s="182" t="s">
        <v>7205</v>
      </c>
    </row>
    <row r="4743" customFormat="false" ht="12" hidden="false" customHeight="false" outlineLevel="0" collapsed="false">
      <c r="A4743" s="182" t="s">
        <v>7206</v>
      </c>
    </row>
    <row r="4744" customFormat="false" ht="12" hidden="false" customHeight="false" outlineLevel="0" collapsed="false">
      <c r="A4744" s="182" t="s">
        <v>7207</v>
      </c>
    </row>
    <row r="4745" customFormat="false" ht="12" hidden="false" customHeight="false" outlineLevel="0" collapsed="false">
      <c r="A4745" s="182" t="s">
        <v>7208</v>
      </c>
    </row>
    <row r="4746" customFormat="false" ht="12" hidden="false" customHeight="false" outlineLevel="0" collapsed="false">
      <c r="A4746" s="182" t="s">
        <v>7209</v>
      </c>
    </row>
    <row r="4747" customFormat="false" ht="12" hidden="false" customHeight="false" outlineLevel="0" collapsed="false">
      <c r="A4747" s="182" t="s">
        <v>7210</v>
      </c>
    </row>
    <row r="4748" customFormat="false" ht="12" hidden="false" customHeight="false" outlineLevel="0" collapsed="false">
      <c r="A4748" s="182" t="s">
        <v>7211</v>
      </c>
    </row>
    <row r="4749" customFormat="false" ht="12" hidden="false" customHeight="false" outlineLevel="0" collapsed="false">
      <c r="A4749" s="182" t="s">
        <v>7212</v>
      </c>
    </row>
    <row r="4750" customFormat="false" ht="12" hidden="false" customHeight="false" outlineLevel="0" collapsed="false">
      <c r="A4750" s="182" t="s">
        <v>7213</v>
      </c>
    </row>
    <row r="4751" customFormat="false" ht="12" hidden="false" customHeight="false" outlineLevel="0" collapsed="false">
      <c r="A4751" s="182" t="s">
        <v>7214</v>
      </c>
    </row>
    <row r="4752" customFormat="false" ht="12" hidden="false" customHeight="false" outlineLevel="0" collapsed="false">
      <c r="A4752" s="182" t="s">
        <v>7215</v>
      </c>
    </row>
    <row r="4753" customFormat="false" ht="12" hidden="false" customHeight="false" outlineLevel="0" collapsed="false">
      <c r="A4753" s="182" t="s">
        <v>7216</v>
      </c>
    </row>
    <row r="4754" customFormat="false" ht="12" hidden="false" customHeight="false" outlineLevel="0" collapsed="false">
      <c r="A4754" s="182" t="s">
        <v>7217</v>
      </c>
    </row>
    <row r="4755" customFormat="false" ht="12" hidden="false" customHeight="false" outlineLevel="0" collapsed="false">
      <c r="A4755" s="182" t="s">
        <v>7218</v>
      </c>
    </row>
    <row r="4756" customFormat="false" ht="12" hidden="false" customHeight="false" outlineLevel="0" collapsed="false">
      <c r="A4756" s="182" t="s">
        <v>7219</v>
      </c>
    </row>
    <row r="4757" customFormat="false" ht="12" hidden="false" customHeight="false" outlineLevel="0" collapsed="false">
      <c r="A4757" s="182" t="s">
        <v>7220</v>
      </c>
    </row>
    <row r="4758" customFormat="false" ht="12" hidden="false" customHeight="false" outlineLevel="0" collapsed="false">
      <c r="A4758" s="182" t="s">
        <v>7221</v>
      </c>
    </row>
    <row r="4759" customFormat="false" ht="12" hidden="false" customHeight="false" outlineLevel="0" collapsed="false">
      <c r="A4759" s="182" t="s">
        <v>7222</v>
      </c>
    </row>
    <row r="4760" customFormat="false" ht="12" hidden="false" customHeight="false" outlineLevel="0" collapsed="false">
      <c r="A4760" s="182" t="s">
        <v>7223</v>
      </c>
    </row>
    <row r="4761" customFormat="false" ht="12" hidden="false" customHeight="false" outlineLevel="0" collapsed="false">
      <c r="A4761" s="182" t="s">
        <v>7224</v>
      </c>
    </row>
    <row r="4762" customFormat="false" ht="12" hidden="false" customHeight="false" outlineLevel="0" collapsed="false">
      <c r="A4762" s="182" t="s">
        <v>7225</v>
      </c>
    </row>
    <row r="4763" customFormat="false" ht="12" hidden="false" customHeight="false" outlineLevel="0" collapsed="false">
      <c r="A4763" s="182" t="s">
        <v>7226</v>
      </c>
    </row>
    <row r="4764" customFormat="false" ht="12" hidden="false" customHeight="false" outlineLevel="0" collapsed="false">
      <c r="A4764" s="182" t="s">
        <v>7227</v>
      </c>
    </row>
    <row r="4765" customFormat="false" ht="12" hidden="false" customHeight="false" outlineLevel="0" collapsed="false">
      <c r="A4765" s="182" t="s">
        <v>7228</v>
      </c>
    </row>
    <row r="4766" customFormat="false" ht="12" hidden="false" customHeight="false" outlineLevel="0" collapsed="false">
      <c r="A4766" s="182" t="s">
        <v>7229</v>
      </c>
    </row>
    <row r="4767" customFormat="false" ht="12" hidden="false" customHeight="false" outlineLevel="0" collapsed="false">
      <c r="A4767" s="182" t="s">
        <v>7230</v>
      </c>
    </row>
    <row r="4768" customFormat="false" ht="12" hidden="false" customHeight="false" outlineLevel="0" collapsed="false">
      <c r="A4768" s="182" t="s">
        <v>7231</v>
      </c>
    </row>
    <row r="4769" customFormat="false" ht="12" hidden="false" customHeight="false" outlineLevel="0" collapsed="false">
      <c r="A4769" s="182" t="s">
        <v>7232</v>
      </c>
    </row>
    <row r="4770" customFormat="false" ht="12" hidden="false" customHeight="false" outlineLevel="0" collapsed="false">
      <c r="A4770" s="182" t="s">
        <v>7233</v>
      </c>
    </row>
    <row r="4771" customFormat="false" ht="12" hidden="false" customHeight="false" outlineLevel="0" collapsed="false">
      <c r="A4771" s="182" t="s">
        <v>7234</v>
      </c>
    </row>
    <row r="4772" customFormat="false" ht="12" hidden="false" customHeight="false" outlineLevel="0" collapsed="false">
      <c r="A4772" s="182" t="s">
        <v>7235</v>
      </c>
    </row>
    <row r="4773" customFormat="false" ht="12" hidden="false" customHeight="false" outlineLevel="0" collapsed="false">
      <c r="A4773" s="182" t="s">
        <v>7236</v>
      </c>
    </row>
    <row r="4774" customFormat="false" ht="12" hidden="false" customHeight="false" outlineLevel="0" collapsed="false">
      <c r="A4774" s="182" t="s">
        <v>7237</v>
      </c>
    </row>
    <row r="4775" customFormat="false" ht="12" hidden="false" customHeight="false" outlineLevel="0" collapsed="false">
      <c r="A4775" s="182" t="s">
        <v>7238</v>
      </c>
    </row>
    <row r="4776" customFormat="false" ht="12" hidden="false" customHeight="false" outlineLevel="0" collapsed="false">
      <c r="A4776" s="182" t="s">
        <v>7239</v>
      </c>
    </row>
    <row r="4777" customFormat="false" ht="12" hidden="false" customHeight="false" outlineLevel="0" collapsed="false">
      <c r="A4777" s="182" t="s">
        <v>7240</v>
      </c>
    </row>
    <row r="4778" customFormat="false" ht="12" hidden="false" customHeight="false" outlineLevel="0" collapsed="false">
      <c r="A4778" s="182" t="s">
        <v>7241</v>
      </c>
    </row>
    <row r="4779" customFormat="false" ht="12" hidden="false" customHeight="false" outlineLevel="0" collapsed="false">
      <c r="A4779" s="182" t="s">
        <v>7242</v>
      </c>
    </row>
    <row r="4780" customFormat="false" ht="12" hidden="false" customHeight="false" outlineLevel="0" collapsed="false">
      <c r="A4780" s="182" t="s">
        <v>7243</v>
      </c>
    </row>
    <row r="4781" customFormat="false" ht="12" hidden="false" customHeight="false" outlineLevel="0" collapsed="false">
      <c r="A4781" s="182" t="s">
        <v>7244</v>
      </c>
    </row>
    <row r="4782" customFormat="false" ht="12" hidden="false" customHeight="false" outlineLevel="0" collapsed="false">
      <c r="A4782" s="182" t="s">
        <v>7245</v>
      </c>
    </row>
    <row r="4783" customFormat="false" ht="12" hidden="false" customHeight="false" outlineLevel="0" collapsed="false">
      <c r="A4783" s="182" t="s">
        <v>7246</v>
      </c>
    </row>
    <row r="4784" customFormat="false" ht="12" hidden="false" customHeight="false" outlineLevel="0" collapsed="false">
      <c r="A4784" s="182" t="s">
        <v>7247</v>
      </c>
    </row>
    <row r="4785" customFormat="false" ht="12" hidden="false" customHeight="false" outlineLevel="0" collapsed="false">
      <c r="A4785" s="182" t="s">
        <v>7248</v>
      </c>
    </row>
    <row r="4786" customFormat="false" ht="12" hidden="false" customHeight="false" outlineLevel="0" collapsed="false">
      <c r="A4786" s="182" t="s">
        <v>7249</v>
      </c>
    </row>
    <row r="4787" customFormat="false" ht="12" hidden="false" customHeight="false" outlineLevel="0" collapsed="false">
      <c r="A4787" s="182" t="s">
        <v>7250</v>
      </c>
    </row>
    <row r="4788" customFormat="false" ht="12" hidden="false" customHeight="false" outlineLevel="0" collapsed="false">
      <c r="A4788" s="182" t="s">
        <v>7251</v>
      </c>
    </row>
    <row r="4789" customFormat="false" ht="12" hidden="false" customHeight="false" outlineLevel="0" collapsed="false">
      <c r="A4789" s="182" t="s">
        <v>7252</v>
      </c>
    </row>
    <row r="4790" customFormat="false" ht="12" hidden="false" customHeight="false" outlineLevel="0" collapsed="false">
      <c r="A4790" s="182" t="s">
        <v>7253</v>
      </c>
    </row>
    <row r="4791" customFormat="false" ht="12" hidden="false" customHeight="false" outlineLevel="0" collapsed="false">
      <c r="A4791" s="182" t="s">
        <v>7254</v>
      </c>
    </row>
    <row r="4792" customFormat="false" ht="12" hidden="false" customHeight="false" outlineLevel="0" collapsed="false">
      <c r="A4792" s="182" t="s">
        <v>7255</v>
      </c>
    </row>
    <row r="4793" customFormat="false" ht="12" hidden="false" customHeight="false" outlineLevel="0" collapsed="false">
      <c r="A4793" s="182" t="s">
        <v>7256</v>
      </c>
    </row>
    <row r="4794" customFormat="false" ht="12" hidden="false" customHeight="false" outlineLevel="0" collapsed="false">
      <c r="A4794" s="182" t="s">
        <v>7257</v>
      </c>
    </row>
    <row r="4795" customFormat="false" ht="12" hidden="false" customHeight="false" outlineLevel="0" collapsed="false">
      <c r="A4795" s="182" t="s">
        <v>7258</v>
      </c>
    </row>
    <row r="4796" customFormat="false" ht="12" hidden="false" customHeight="false" outlineLevel="0" collapsed="false">
      <c r="A4796" s="182" t="s">
        <v>7259</v>
      </c>
    </row>
    <row r="4797" customFormat="false" ht="12" hidden="false" customHeight="false" outlineLevel="0" collapsed="false">
      <c r="A4797" s="182" t="s">
        <v>7260</v>
      </c>
    </row>
    <row r="4798" customFormat="false" ht="12" hidden="false" customHeight="false" outlineLevel="0" collapsed="false">
      <c r="A4798" s="182" t="s">
        <v>7261</v>
      </c>
    </row>
    <row r="4799" customFormat="false" ht="12" hidden="false" customHeight="false" outlineLevel="0" collapsed="false">
      <c r="A4799" s="182" t="s">
        <v>7262</v>
      </c>
    </row>
    <row r="4800" customFormat="false" ht="12" hidden="false" customHeight="false" outlineLevel="0" collapsed="false">
      <c r="A4800" s="182" t="s">
        <v>7263</v>
      </c>
    </row>
    <row r="4801" customFormat="false" ht="12" hidden="false" customHeight="false" outlineLevel="0" collapsed="false">
      <c r="A4801" s="182" t="s">
        <v>7264</v>
      </c>
    </row>
    <row r="4802" customFormat="false" ht="12" hidden="false" customHeight="false" outlineLevel="0" collapsed="false">
      <c r="A4802" s="182" t="s">
        <v>7265</v>
      </c>
    </row>
    <row r="4803" customFormat="false" ht="12" hidden="false" customHeight="false" outlineLevel="0" collapsed="false">
      <c r="A4803" s="182" t="s">
        <v>7266</v>
      </c>
    </row>
    <row r="4804" customFormat="false" ht="12" hidden="false" customHeight="false" outlineLevel="0" collapsed="false">
      <c r="A4804" s="182" t="s">
        <v>7267</v>
      </c>
    </row>
    <row r="4805" customFormat="false" ht="12" hidden="false" customHeight="false" outlineLevel="0" collapsed="false">
      <c r="A4805" s="182" t="s">
        <v>7268</v>
      </c>
    </row>
    <row r="4806" customFormat="false" ht="12" hidden="false" customHeight="false" outlineLevel="0" collapsed="false">
      <c r="A4806" s="182" t="s">
        <v>7269</v>
      </c>
    </row>
    <row r="4807" customFormat="false" ht="12" hidden="false" customHeight="false" outlineLevel="0" collapsed="false">
      <c r="A4807" s="182" t="s">
        <v>7270</v>
      </c>
    </row>
    <row r="4808" customFormat="false" ht="12" hidden="false" customHeight="false" outlineLevel="0" collapsed="false">
      <c r="A4808" s="182" t="s">
        <v>7271</v>
      </c>
    </row>
    <row r="4809" customFormat="false" ht="12" hidden="false" customHeight="false" outlineLevel="0" collapsed="false">
      <c r="A4809" s="182" t="s">
        <v>7272</v>
      </c>
    </row>
    <row r="4810" customFormat="false" ht="12" hidden="false" customHeight="false" outlineLevel="0" collapsed="false">
      <c r="A4810" s="182" t="s">
        <v>7273</v>
      </c>
    </row>
    <row r="4811" customFormat="false" ht="12" hidden="false" customHeight="false" outlineLevel="0" collapsed="false">
      <c r="A4811" s="182" t="s">
        <v>7274</v>
      </c>
    </row>
    <row r="4812" customFormat="false" ht="12" hidden="false" customHeight="false" outlineLevel="0" collapsed="false">
      <c r="A4812" s="182" t="s">
        <v>7275</v>
      </c>
    </row>
    <row r="4813" customFormat="false" ht="12" hidden="false" customHeight="false" outlineLevel="0" collapsed="false">
      <c r="A4813" s="182" t="s">
        <v>7276</v>
      </c>
    </row>
    <row r="4814" customFormat="false" ht="12" hidden="false" customHeight="false" outlineLevel="0" collapsed="false">
      <c r="A4814" s="182" t="s">
        <v>7277</v>
      </c>
    </row>
    <row r="4815" customFormat="false" ht="12" hidden="false" customHeight="false" outlineLevel="0" collapsed="false">
      <c r="A4815" s="182" t="s">
        <v>7278</v>
      </c>
    </row>
    <row r="4816" customFormat="false" ht="12" hidden="false" customHeight="false" outlineLevel="0" collapsed="false">
      <c r="A4816" s="182" t="s">
        <v>7279</v>
      </c>
    </row>
    <row r="4817" customFormat="false" ht="12" hidden="false" customHeight="false" outlineLevel="0" collapsed="false">
      <c r="A4817" s="182" t="s">
        <v>7280</v>
      </c>
    </row>
    <row r="4818" customFormat="false" ht="12" hidden="false" customHeight="false" outlineLevel="0" collapsed="false">
      <c r="A4818" s="182" t="s">
        <v>7281</v>
      </c>
    </row>
    <row r="4819" customFormat="false" ht="12" hidden="false" customHeight="false" outlineLevel="0" collapsed="false">
      <c r="A4819" s="182" t="s">
        <v>7282</v>
      </c>
    </row>
    <row r="4820" customFormat="false" ht="12" hidden="false" customHeight="false" outlineLevel="0" collapsed="false">
      <c r="A4820" s="182" t="s">
        <v>7283</v>
      </c>
    </row>
    <row r="4821" customFormat="false" ht="12" hidden="false" customHeight="false" outlineLevel="0" collapsed="false">
      <c r="A4821" s="182" t="s">
        <v>7284</v>
      </c>
    </row>
    <row r="4822" customFormat="false" ht="12" hidden="false" customHeight="false" outlineLevel="0" collapsed="false">
      <c r="A4822" s="182" t="s">
        <v>7285</v>
      </c>
    </row>
    <row r="4823" customFormat="false" ht="12" hidden="false" customHeight="false" outlineLevel="0" collapsed="false">
      <c r="A4823" s="182" t="s">
        <v>7286</v>
      </c>
    </row>
    <row r="4824" customFormat="false" ht="12" hidden="false" customHeight="false" outlineLevel="0" collapsed="false">
      <c r="A4824" s="182" t="s">
        <v>7287</v>
      </c>
    </row>
    <row r="4825" customFormat="false" ht="12" hidden="false" customHeight="false" outlineLevel="0" collapsed="false">
      <c r="A4825" s="182" t="s">
        <v>7288</v>
      </c>
    </row>
    <row r="4826" customFormat="false" ht="12" hidden="false" customHeight="false" outlineLevel="0" collapsed="false">
      <c r="A4826" s="182" t="s">
        <v>7289</v>
      </c>
    </row>
    <row r="4827" customFormat="false" ht="12" hidden="false" customHeight="false" outlineLevel="0" collapsed="false">
      <c r="A4827" s="182" t="s">
        <v>7290</v>
      </c>
    </row>
    <row r="4828" customFormat="false" ht="12" hidden="false" customHeight="false" outlineLevel="0" collapsed="false">
      <c r="A4828" s="182" t="s">
        <v>7291</v>
      </c>
    </row>
    <row r="4829" customFormat="false" ht="12" hidden="false" customHeight="false" outlineLevel="0" collapsed="false">
      <c r="A4829" s="182" t="s">
        <v>7292</v>
      </c>
    </row>
    <row r="4830" customFormat="false" ht="12" hidden="false" customHeight="false" outlineLevel="0" collapsed="false">
      <c r="A4830" s="182" t="s">
        <v>7293</v>
      </c>
    </row>
    <row r="4831" customFormat="false" ht="12" hidden="false" customHeight="false" outlineLevel="0" collapsed="false">
      <c r="A4831" s="182" t="s">
        <v>7294</v>
      </c>
    </row>
    <row r="4832" customFormat="false" ht="12" hidden="false" customHeight="false" outlineLevel="0" collapsed="false">
      <c r="A4832" s="182" t="s">
        <v>7295</v>
      </c>
    </row>
    <row r="4833" customFormat="false" ht="12" hidden="false" customHeight="false" outlineLevel="0" collapsed="false">
      <c r="A4833" s="182" t="s">
        <v>7296</v>
      </c>
    </row>
    <row r="4834" customFormat="false" ht="12" hidden="false" customHeight="false" outlineLevel="0" collapsed="false">
      <c r="A4834" s="182" t="s">
        <v>7297</v>
      </c>
    </row>
    <row r="4835" customFormat="false" ht="12" hidden="false" customHeight="false" outlineLevel="0" collapsed="false">
      <c r="A4835" s="182" t="s">
        <v>7298</v>
      </c>
    </row>
    <row r="4836" customFormat="false" ht="12" hidden="false" customHeight="false" outlineLevel="0" collapsed="false">
      <c r="A4836" s="182" t="s">
        <v>7299</v>
      </c>
    </row>
    <row r="4837" customFormat="false" ht="12" hidden="false" customHeight="false" outlineLevel="0" collapsed="false">
      <c r="A4837" s="182" t="s">
        <v>7300</v>
      </c>
    </row>
    <row r="4838" customFormat="false" ht="12" hidden="false" customHeight="false" outlineLevel="0" collapsed="false">
      <c r="A4838" s="182" t="s">
        <v>7301</v>
      </c>
    </row>
    <row r="4839" customFormat="false" ht="12" hidden="false" customHeight="false" outlineLevel="0" collapsed="false">
      <c r="A4839" s="182" t="s">
        <v>7302</v>
      </c>
    </row>
    <row r="4840" customFormat="false" ht="12" hidden="false" customHeight="false" outlineLevel="0" collapsed="false">
      <c r="A4840" s="182" t="s">
        <v>7303</v>
      </c>
    </row>
    <row r="4841" customFormat="false" ht="12" hidden="false" customHeight="false" outlineLevel="0" collapsed="false">
      <c r="A4841" s="182" t="s">
        <v>7304</v>
      </c>
    </row>
    <row r="4842" customFormat="false" ht="12" hidden="false" customHeight="false" outlineLevel="0" collapsed="false">
      <c r="A4842" s="182" t="s">
        <v>7305</v>
      </c>
    </row>
    <row r="4843" customFormat="false" ht="12" hidden="false" customHeight="false" outlineLevel="0" collapsed="false">
      <c r="A4843" s="182" t="s">
        <v>7306</v>
      </c>
    </row>
    <row r="4844" customFormat="false" ht="12" hidden="false" customHeight="false" outlineLevel="0" collapsed="false">
      <c r="A4844" s="182" t="s">
        <v>7307</v>
      </c>
    </row>
    <row r="4845" customFormat="false" ht="12" hidden="false" customHeight="false" outlineLevel="0" collapsed="false">
      <c r="A4845" s="182" t="s">
        <v>7308</v>
      </c>
    </row>
    <row r="4846" customFormat="false" ht="12" hidden="false" customHeight="false" outlineLevel="0" collapsed="false">
      <c r="A4846" s="182" t="s">
        <v>7309</v>
      </c>
    </row>
    <row r="4847" customFormat="false" ht="12" hidden="false" customHeight="false" outlineLevel="0" collapsed="false">
      <c r="A4847" s="182" t="s">
        <v>7310</v>
      </c>
    </row>
    <row r="4848" customFormat="false" ht="12" hidden="false" customHeight="false" outlineLevel="0" collapsed="false">
      <c r="A4848" s="182" t="s">
        <v>7311</v>
      </c>
    </row>
    <row r="4849" customFormat="false" ht="12" hidden="false" customHeight="false" outlineLevel="0" collapsed="false">
      <c r="A4849" s="182" t="s">
        <v>7312</v>
      </c>
    </row>
    <row r="4850" customFormat="false" ht="12" hidden="false" customHeight="false" outlineLevel="0" collapsed="false">
      <c r="A4850" s="182" t="s">
        <v>7313</v>
      </c>
    </row>
    <row r="4851" customFormat="false" ht="12" hidden="false" customHeight="false" outlineLevel="0" collapsed="false">
      <c r="A4851" s="182" t="s">
        <v>7314</v>
      </c>
    </row>
    <row r="4852" customFormat="false" ht="12" hidden="false" customHeight="false" outlineLevel="0" collapsed="false">
      <c r="A4852" s="182" t="s">
        <v>7315</v>
      </c>
    </row>
    <row r="4853" customFormat="false" ht="12" hidden="false" customHeight="false" outlineLevel="0" collapsed="false">
      <c r="A4853" s="182" t="s">
        <v>7316</v>
      </c>
    </row>
    <row r="4854" customFormat="false" ht="12" hidden="false" customHeight="false" outlineLevel="0" collapsed="false">
      <c r="A4854" s="182" t="s">
        <v>7317</v>
      </c>
    </row>
    <row r="4855" customFormat="false" ht="12" hidden="false" customHeight="false" outlineLevel="0" collapsed="false">
      <c r="A4855" s="182" t="s">
        <v>7318</v>
      </c>
    </row>
    <row r="4856" customFormat="false" ht="12" hidden="false" customHeight="false" outlineLevel="0" collapsed="false">
      <c r="A4856" s="182" t="s">
        <v>7319</v>
      </c>
    </row>
    <row r="4857" customFormat="false" ht="12" hidden="false" customHeight="false" outlineLevel="0" collapsed="false">
      <c r="A4857" s="182" t="s">
        <v>7320</v>
      </c>
    </row>
    <row r="4858" customFormat="false" ht="12" hidden="false" customHeight="false" outlineLevel="0" collapsed="false">
      <c r="A4858" s="182" t="s">
        <v>7321</v>
      </c>
    </row>
    <row r="4859" customFormat="false" ht="12" hidden="false" customHeight="false" outlineLevel="0" collapsed="false">
      <c r="A4859" s="182" t="s">
        <v>7322</v>
      </c>
    </row>
    <row r="4860" customFormat="false" ht="12" hidden="false" customHeight="false" outlineLevel="0" collapsed="false">
      <c r="A4860" s="182" t="s">
        <v>7323</v>
      </c>
    </row>
    <row r="4861" customFormat="false" ht="12" hidden="false" customHeight="false" outlineLevel="0" collapsed="false">
      <c r="A4861" s="182" t="s">
        <v>7324</v>
      </c>
    </row>
    <row r="4862" customFormat="false" ht="12" hidden="false" customHeight="false" outlineLevel="0" collapsed="false">
      <c r="A4862" s="182" t="s">
        <v>7325</v>
      </c>
    </row>
    <row r="4863" customFormat="false" ht="12" hidden="false" customHeight="false" outlineLevel="0" collapsed="false">
      <c r="A4863" s="182" t="s">
        <v>7326</v>
      </c>
    </row>
    <row r="4864" customFormat="false" ht="12" hidden="false" customHeight="false" outlineLevel="0" collapsed="false">
      <c r="A4864" s="182" t="s">
        <v>7327</v>
      </c>
    </row>
    <row r="4865" customFormat="false" ht="12" hidden="false" customHeight="false" outlineLevel="0" collapsed="false">
      <c r="A4865" s="182" t="s">
        <v>7328</v>
      </c>
    </row>
    <row r="4866" customFormat="false" ht="12" hidden="false" customHeight="false" outlineLevel="0" collapsed="false">
      <c r="A4866" s="182" t="s">
        <v>7329</v>
      </c>
    </row>
    <row r="4867" customFormat="false" ht="12" hidden="false" customHeight="false" outlineLevel="0" collapsed="false">
      <c r="A4867" s="182" t="s">
        <v>7330</v>
      </c>
    </row>
    <row r="4868" customFormat="false" ht="12" hidden="false" customHeight="false" outlineLevel="0" collapsed="false">
      <c r="A4868" s="182" t="s">
        <v>7331</v>
      </c>
    </row>
    <row r="4869" customFormat="false" ht="12" hidden="false" customHeight="false" outlineLevel="0" collapsed="false">
      <c r="A4869" s="182" t="s">
        <v>7332</v>
      </c>
    </row>
    <row r="4870" customFormat="false" ht="12" hidden="false" customHeight="false" outlineLevel="0" collapsed="false">
      <c r="A4870" s="182" t="s">
        <v>7333</v>
      </c>
    </row>
    <row r="4871" customFormat="false" ht="12" hidden="false" customHeight="false" outlineLevel="0" collapsed="false">
      <c r="A4871" s="182" t="s">
        <v>7334</v>
      </c>
    </row>
    <row r="4872" customFormat="false" ht="12" hidden="false" customHeight="false" outlineLevel="0" collapsed="false">
      <c r="A4872" s="182" t="s">
        <v>7335</v>
      </c>
    </row>
    <row r="4873" customFormat="false" ht="12" hidden="false" customHeight="false" outlineLevel="0" collapsed="false">
      <c r="A4873" s="182" t="s">
        <v>7336</v>
      </c>
    </row>
    <row r="4874" customFormat="false" ht="12" hidden="false" customHeight="false" outlineLevel="0" collapsed="false">
      <c r="A4874" s="182" t="s">
        <v>7337</v>
      </c>
    </row>
    <row r="4875" customFormat="false" ht="12" hidden="false" customHeight="false" outlineLevel="0" collapsed="false">
      <c r="A4875" s="182" t="s">
        <v>7338</v>
      </c>
    </row>
    <row r="4876" customFormat="false" ht="12" hidden="false" customHeight="false" outlineLevel="0" collapsed="false">
      <c r="A4876" s="182" t="s">
        <v>7339</v>
      </c>
    </row>
    <row r="4877" customFormat="false" ht="12" hidden="false" customHeight="false" outlineLevel="0" collapsed="false">
      <c r="A4877" s="182" t="s">
        <v>7340</v>
      </c>
    </row>
    <row r="4878" customFormat="false" ht="12" hidden="false" customHeight="false" outlineLevel="0" collapsed="false">
      <c r="A4878" s="182" t="s">
        <v>7341</v>
      </c>
    </row>
    <row r="4879" customFormat="false" ht="12" hidden="false" customHeight="false" outlineLevel="0" collapsed="false">
      <c r="A4879" s="182" t="s">
        <v>7342</v>
      </c>
    </row>
    <row r="4880" customFormat="false" ht="12" hidden="false" customHeight="false" outlineLevel="0" collapsed="false">
      <c r="A4880" s="182" t="s">
        <v>7343</v>
      </c>
    </row>
    <row r="4881" customFormat="false" ht="12" hidden="false" customHeight="false" outlineLevel="0" collapsed="false">
      <c r="A4881" s="182" t="s">
        <v>7344</v>
      </c>
    </row>
    <row r="4882" customFormat="false" ht="12" hidden="false" customHeight="false" outlineLevel="0" collapsed="false">
      <c r="A4882" s="182" t="s">
        <v>7345</v>
      </c>
    </row>
    <row r="4883" customFormat="false" ht="12" hidden="false" customHeight="false" outlineLevel="0" collapsed="false">
      <c r="A4883" s="182" t="s">
        <v>7346</v>
      </c>
    </row>
    <row r="4884" customFormat="false" ht="12" hidden="false" customHeight="false" outlineLevel="0" collapsed="false">
      <c r="A4884" s="182" t="s">
        <v>7347</v>
      </c>
    </row>
    <row r="4885" customFormat="false" ht="12" hidden="false" customHeight="false" outlineLevel="0" collapsed="false">
      <c r="A4885" s="182" t="s">
        <v>7348</v>
      </c>
    </row>
    <row r="4886" customFormat="false" ht="12" hidden="false" customHeight="false" outlineLevel="0" collapsed="false">
      <c r="A4886" s="182" t="s">
        <v>7349</v>
      </c>
    </row>
    <row r="4887" customFormat="false" ht="12" hidden="false" customHeight="false" outlineLevel="0" collapsed="false">
      <c r="A4887" s="182" t="s">
        <v>7350</v>
      </c>
    </row>
    <row r="4888" customFormat="false" ht="12" hidden="false" customHeight="false" outlineLevel="0" collapsed="false">
      <c r="A4888" s="182" t="s">
        <v>7351</v>
      </c>
    </row>
    <row r="4889" customFormat="false" ht="12" hidden="false" customHeight="false" outlineLevel="0" collapsed="false">
      <c r="A4889" s="182" t="s">
        <v>7352</v>
      </c>
    </row>
    <row r="4890" customFormat="false" ht="12" hidden="false" customHeight="false" outlineLevel="0" collapsed="false">
      <c r="A4890" s="182" t="s">
        <v>7353</v>
      </c>
    </row>
    <row r="4891" customFormat="false" ht="12" hidden="false" customHeight="false" outlineLevel="0" collapsed="false">
      <c r="A4891" s="182" t="s">
        <v>7354</v>
      </c>
    </row>
    <row r="4892" customFormat="false" ht="12" hidden="false" customHeight="false" outlineLevel="0" collapsed="false">
      <c r="A4892" s="182" t="s">
        <v>7355</v>
      </c>
    </row>
    <row r="4893" customFormat="false" ht="12" hidden="false" customHeight="false" outlineLevel="0" collapsed="false">
      <c r="A4893" s="182" t="s">
        <v>7356</v>
      </c>
    </row>
    <row r="4894" customFormat="false" ht="12" hidden="false" customHeight="false" outlineLevel="0" collapsed="false">
      <c r="A4894" s="182" t="s">
        <v>7357</v>
      </c>
    </row>
    <row r="4895" customFormat="false" ht="12" hidden="false" customHeight="false" outlineLevel="0" collapsed="false">
      <c r="A4895" s="182" t="s">
        <v>7358</v>
      </c>
    </row>
    <row r="4896" customFormat="false" ht="12" hidden="false" customHeight="false" outlineLevel="0" collapsed="false">
      <c r="A4896" s="182" t="s">
        <v>7359</v>
      </c>
    </row>
    <row r="4897" customFormat="false" ht="12" hidden="false" customHeight="false" outlineLevel="0" collapsed="false">
      <c r="A4897" s="182" t="s">
        <v>7360</v>
      </c>
    </row>
    <row r="4898" customFormat="false" ht="12" hidden="false" customHeight="false" outlineLevel="0" collapsed="false">
      <c r="A4898" s="182" t="s">
        <v>7361</v>
      </c>
    </row>
    <row r="4899" customFormat="false" ht="12" hidden="false" customHeight="false" outlineLevel="0" collapsed="false">
      <c r="A4899" s="182" t="s">
        <v>7362</v>
      </c>
    </row>
    <row r="4900" customFormat="false" ht="12" hidden="false" customHeight="false" outlineLevel="0" collapsed="false">
      <c r="A4900" s="182" t="s">
        <v>7363</v>
      </c>
    </row>
    <row r="4901" customFormat="false" ht="12" hidden="false" customHeight="false" outlineLevel="0" collapsed="false">
      <c r="A4901" s="182" t="s">
        <v>7364</v>
      </c>
    </row>
    <row r="4902" customFormat="false" ht="12" hidden="false" customHeight="false" outlineLevel="0" collapsed="false">
      <c r="A4902" s="182" t="s">
        <v>7365</v>
      </c>
    </row>
    <row r="4903" customFormat="false" ht="12" hidden="false" customHeight="false" outlineLevel="0" collapsed="false">
      <c r="A4903" s="182" t="s">
        <v>7366</v>
      </c>
    </row>
    <row r="4904" customFormat="false" ht="12" hidden="false" customHeight="false" outlineLevel="0" collapsed="false">
      <c r="A4904" s="182" t="s">
        <v>7367</v>
      </c>
    </row>
    <row r="4905" customFormat="false" ht="12" hidden="false" customHeight="false" outlineLevel="0" collapsed="false">
      <c r="A4905" s="182" t="s">
        <v>7368</v>
      </c>
    </row>
    <row r="4906" customFormat="false" ht="12" hidden="false" customHeight="false" outlineLevel="0" collapsed="false">
      <c r="A4906" s="182" t="s">
        <v>7369</v>
      </c>
    </row>
    <row r="4907" customFormat="false" ht="12" hidden="false" customHeight="false" outlineLevel="0" collapsed="false">
      <c r="A4907" s="182" t="s">
        <v>7370</v>
      </c>
    </row>
    <row r="4908" customFormat="false" ht="12" hidden="false" customHeight="false" outlineLevel="0" collapsed="false">
      <c r="A4908" s="182" t="s">
        <v>7371</v>
      </c>
    </row>
    <row r="4909" customFormat="false" ht="12" hidden="false" customHeight="false" outlineLevel="0" collapsed="false">
      <c r="A4909" s="182" t="s">
        <v>7372</v>
      </c>
    </row>
    <row r="4910" customFormat="false" ht="12" hidden="false" customHeight="false" outlineLevel="0" collapsed="false">
      <c r="A4910" s="182" t="s">
        <v>7373</v>
      </c>
    </row>
    <row r="4911" customFormat="false" ht="12" hidden="false" customHeight="false" outlineLevel="0" collapsed="false">
      <c r="A4911" s="182" t="s">
        <v>7374</v>
      </c>
    </row>
    <row r="4912" customFormat="false" ht="12" hidden="false" customHeight="false" outlineLevel="0" collapsed="false">
      <c r="A4912" s="182" t="s">
        <v>7375</v>
      </c>
    </row>
    <row r="4913" customFormat="false" ht="12" hidden="false" customHeight="false" outlineLevel="0" collapsed="false">
      <c r="A4913" s="182" t="s">
        <v>7376</v>
      </c>
    </row>
    <row r="4914" customFormat="false" ht="12" hidden="false" customHeight="false" outlineLevel="0" collapsed="false">
      <c r="A4914" s="182" t="s">
        <v>7377</v>
      </c>
    </row>
    <row r="4915" customFormat="false" ht="12" hidden="false" customHeight="false" outlineLevel="0" collapsed="false">
      <c r="A4915" s="182" t="s">
        <v>7378</v>
      </c>
    </row>
    <row r="4916" customFormat="false" ht="12" hidden="false" customHeight="false" outlineLevel="0" collapsed="false">
      <c r="A4916" s="182" t="s">
        <v>7379</v>
      </c>
    </row>
    <row r="4917" customFormat="false" ht="12" hidden="false" customHeight="false" outlineLevel="0" collapsed="false">
      <c r="A4917" s="182" t="s">
        <v>7380</v>
      </c>
    </row>
    <row r="4918" customFormat="false" ht="12" hidden="false" customHeight="false" outlineLevel="0" collapsed="false">
      <c r="A4918" s="182" t="s">
        <v>7381</v>
      </c>
    </row>
    <row r="4919" customFormat="false" ht="12" hidden="false" customHeight="false" outlineLevel="0" collapsed="false">
      <c r="A4919" s="182" t="s">
        <v>7382</v>
      </c>
    </row>
    <row r="4920" customFormat="false" ht="12" hidden="false" customHeight="false" outlineLevel="0" collapsed="false">
      <c r="A4920" s="182" t="s">
        <v>7383</v>
      </c>
    </row>
    <row r="4921" customFormat="false" ht="12" hidden="false" customHeight="false" outlineLevel="0" collapsed="false">
      <c r="A4921" s="182" t="s">
        <v>7384</v>
      </c>
    </row>
    <row r="4922" customFormat="false" ht="12" hidden="false" customHeight="false" outlineLevel="0" collapsed="false">
      <c r="A4922" s="182" t="s">
        <v>7385</v>
      </c>
    </row>
    <row r="4923" customFormat="false" ht="12" hidden="false" customHeight="false" outlineLevel="0" collapsed="false">
      <c r="A4923" s="182" t="s">
        <v>7386</v>
      </c>
    </row>
    <row r="4924" customFormat="false" ht="12" hidden="false" customHeight="false" outlineLevel="0" collapsed="false">
      <c r="A4924" s="182" t="s">
        <v>7387</v>
      </c>
    </row>
    <row r="4925" customFormat="false" ht="12" hidden="false" customHeight="false" outlineLevel="0" collapsed="false">
      <c r="A4925" s="182" t="s">
        <v>7388</v>
      </c>
    </row>
    <row r="4926" customFormat="false" ht="12" hidden="false" customHeight="false" outlineLevel="0" collapsed="false">
      <c r="A4926" s="182" t="s">
        <v>7389</v>
      </c>
    </row>
    <row r="4927" customFormat="false" ht="12" hidden="false" customHeight="false" outlineLevel="0" collapsed="false">
      <c r="A4927" s="182" t="s">
        <v>7390</v>
      </c>
    </row>
    <row r="4928" customFormat="false" ht="12" hidden="false" customHeight="false" outlineLevel="0" collapsed="false">
      <c r="A4928" s="182" t="s">
        <v>7391</v>
      </c>
    </row>
    <row r="4929" customFormat="false" ht="12" hidden="false" customHeight="false" outlineLevel="0" collapsed="false">
      <c r="A4929" s="182" t="s">
        <v>7392</v>
      </c>
    </row>
    <row r="4930" customFormat="false" ht="12" hidden="false" customHeight="false" outlineLevel="0" collapsed="false">
      <c r="A4930" s="182" t="s">
        <v>7393</v>
      </c>
    </row>
    <row r="4931" customFormat="false" ht="12" hidden="false" customHeight="false" outlineLevel="0" collapsed="false">
      <c r="A4931" s="182" t="s">
        <v>7394</v>
      </c>
    </row>
    <row r="4932" customFormat="false" ht="12" hidden="false" customHeight="false" outlineLevel="0" collapsed="false">
      <c r="A4932" s="182" t="s">
        <v>7395</v>
      </c>
    </row>
    <row r="4933" customFormat="false" ht="12" hidden="false" customHeight="false" outlineLevel="0" collapsed="false">
      <c r="A4933" s="182" t="s">
        <v>7396</v>
      </c>
    </row>
    <row r="4934" customFormat="false" ht="12" hidden="false" customHeight="false" outlineLevel="0" collapsed="false">
      <c r="A4934" s="182" t="s">
        <v>7397</v>
      </c>
    </row>
    <row r="4935" customFormat="false" ht="12" hidden="false" customHeight="false" outlineLevel="0" collapsed="false">
      <c r="A4935" s="182" t="s">
        <v>7398</v>
      </c>
    </row>
    <row r="4936" customFormat="false" ht="12" hidden="false" customHeight="false" outlineLevel="0" collapsed="false">
      <c r="A4936" s="182" t="s">
        <v>7399</v>
      </c>
    </row>
    <row r="4937" customFormat="false" ht="12" hidden="false" customHeight="false" outlineLevel="0" collapsed="false">
      <c r="A4937" s="182" t="s">
        <v>7400</v>
      </c>
    </row>
    <row r="4938" customFormat="false" ht="12" hidden="false" customHeight="false" outlineLevel="0" collapsed="false">
      <c r="A4938" s="182" t="s">
        <v>7401</v>
      </c>
    </row>
    <row r="4939" customFormat="false" ht="12" hidden="false" customHeight="false" outlineLevel="0" collapsed="false">
      <c r="A4939" s="182" t="s">
        <v>7402</v>
      </c>
    </row>
    <row r="4940" customFormat="false" ht="12" hidden="false" customHeight="false" outlineLevel="0" collapsed="false">
      <c r="A4940" s="182" t="s">
        <v>7403</v>
      </c>
    </row>
    <row r="4941" customFormat="false" ht="12" hidden="false" customHeight="false" outlineLevel="0" collapsed="false">
      <c r="A4941" s="182" t="s">
        <v>7404</v>
      </c>
    </row>
    <row r="4942" customFormat="false" ht="12" hidden="false" customHeight="false" outlineLevel="0" collapsed="false">
      <c r="A4942" s="182" t="s">
        <v>7405</v>
      </c>
    </row>
    <row r="4943" customFormat="false" ht="12" hidden="false" customHeight="false" outlineLevel="0" collapsed="false">
      <c r="A4943" s="182" t="s">
        <v>7406</v>
      </c>
    </row>
    <row r="4944" customFormat="false" ht="12" hidden="false" customHeight="false" outlineLevel="0" collapsed="false">
      <c r="A4944" s="182" t="s">
        <v>7407</v>
      </c>
    </row>
    <row r="4945" customFormat="false" ht="12" hidden="false" customHeight="false" outlineLevel="0" collapsed="false">
      <c r="A4945" s="182" t="s">
        <v>7408</v>
      </c>
    </row>
    <row r="4946" customFormat="false" ht="12" hidden="false" customHeight="false" outlineLevel="0" collapsed="false">
      <c r="A4946" s="182" t="s">
        <v>7409</v>
      </c>
    </row>
    <row r="4947" customFormat="false" ht="12" hidden="false" customHeight="false" outlineLevel="0" collapsed="false">
      <c r="A4947" s="182" t="s">
        <v>7410</v>
      </c>
    </row>
    <row r="4948" customFormat="false" ht="12" hidden="false" customHeight="false" outlineLevel="0" collapsed="false">
      <c r="A4948" s="182" t="s">
        <v>7411</v>
      </c>
    </row>
    <row r="4949" customFormat="false" ht="12" hidden="false" customHeight="false" outlineLevel="0" collapsed="false">
      <c r="A4949" s="182" t="s">
        <v>7412</v>
      </c>
    </row>
    <row r="4950" customFormat="false" ht="12" hidden="false" customHeight="false" outlineLevel="0" collapsed="false">
      <c r="A4950" s="182" t="s">
        <v>7413</v>
      </c>
    </row>
    <row r="4951" customFormat="false" ht="12" hidden="false" customHeight="false" outlineLevel="0" collapsed="false">
      <c r="A4951" s="182" t="s">
        <v>7414</v>
      </c>
    </row>
    <row r="4952" customFormat="false" ht="12" hidden="false" customHeight="false" outlineLevel="0" collapsed="false">
      <c r="A4952" s="182" t="s">
        <v>7415</v>
      </c>
    </row>
    <row r="4953" customFormat="false" ht="12" hidden="false" customHeight="false" outlineLevel="0" collapsed="false">
      <c r="A4953" s="182" t="s">
        <v>7416</v>
      </c>
    </row>
    <row r="4954" customFormat="false" ht="12" hidden="false" customHeight="false" outlineLevel="0" collapsed="false">
      <c r="A4954" s="182" t="s">
        <v>7417</v>
      </c>
    </row>
    <row r="4955" customFormat="false" ht="12" hidden="false" customHeight="false" outlineLevel="0" collapsed="false">
      <c r="A4955" s="182" t="s">
        <v>7418</v>
      </c>
    </row>
    <row r="4956" customFormat="false" ht="12" hidden="false" customHeight="false" outlineLevel="0" collapsed="false">
      <c r="A4956" s="182" t="s">
        <v>7419</v>
      </c>
    </row>
    <row r="4957" customFormat="false" ht="12" hidden="false" customHeight="false" outlineLevel="0" collapsed="false">
      <c r="A4957" s="182" t="s">
        <v>7420</v>
      </c>
    </row>
    <row r="4958" customFormat="false" ht="12" hidden="false" customHeight="false" outlineLevel="0" collapsed="false">
      <c r="A4958" s="182" t="s">
        <v>7421</v>
      </c>
    </row>
    <row r="4959" customFormat="false" ht="12" hidden="false" customHeight="false" outlineLevel="0" collapsed="false">
      <c r="A4959" s="182" t="s">
        <v>7422</v>
      </c>
    </row>
    <row r="4960" customFormat="false" ht="12" hidden="false" customHeight="false" outlineLevel="0" collapsed="false">
      <c r="A4960" s="182" t="s">
        <v>7423</v>
      </c>
    </row>
    <row r="4961" customFormat="false" ht="12" hidden="false" customHeight="false" outlineLevel="0" collapsed="false">
      <c r="A4961" s="182" t="s">
        <v>7424</v>
      </c>
    </row>
    <row r="4962" customFormat="false" ht="12" hidden="false" customHeight="false" outlineLevel="0" collapsed="false">
      <c r="A4962" s="182" t="s">
        <v>7425</v>
      </c>
    </row>
    <row r="4963" customFormat="false" ht="12" hidden="false" customHeight="false" outlineLevel="0" collapsed="false">
      <c r="A4963" s="182" t="s">
        <v>7426</v>
      </c>
    </row>
    <row r="4964" customFormat="false" ht="12" hidden="false" customHeight="false" outlineLevel="0" collapsed="false">
      <c r="A4964" s="182" t="s">
        <v>7427</v>
      </c>
    </row>
    <row r="4965" customFormat="false" ht="12" hidden="false" customHeight="false" outlineLevel="0" collapsed="false">
      <c r="A4965" s="182" t="s">
        <v>7428</v>
      </c>
    </row>
    <row r="4966" customFormat="false" ht="12" hidden="false" customHeight="false" outlineLevel="0" collapsed="false">
      <c r="A4966" s="182" t="s">
        <v>7429</v>
      </c>
    </row>
    <row r="4967" customFormat="false" ht="12" hidden="false" customHeight="false" outlineLevel="0" collapsed="false">
      <c r="A4967" s="182" t="s">
        <v>7430</v>
      </c>
    </row>
    <row r="4968" customFormat="false" ht="12" hidden="false" customHeight="false" outlineLevel="0" collapsed="false">
      <c r="A4968" s="182" t="s">
        <v>7431</v>
      </c>
    </row>
    <row r="4969" customFormat="false" ht="12" hidden="false" customHeight="false" outlineLevel="0" collapsed="false">
      <c r="A4969" s="182" t="s">
        <v>7432</v>
      </c>
    </row>
    <row r="4970" customFormat="false" ht="12" hidden="false" customHeight="false" outlineLevel="0" collapsed="false">
      <c r="A4970" s="182" t="s">
        <v>7433</v>
      </c>
    </row>
    <row r="4971" customFormat="false" ht="12" hidden="false" customHeight="false" outlineLevel="0" collapsed="false">
      <c r="A4971" s="182" t="s">
        <v>7434</v>
      </c>
    </row>
    <row r="4972" customFormat="false" ht="12" hidden="false" customHeight="false" outlineLevel="0" collapsed="false">
      <c r="A4972" s="182" t="s">
        <v>7435</v>
      </c>
    </row>
    <row r="4973" customFormat="false" ht="12" hidden="false" customHeight="false" outlineLevel="0" collapsed="false">
      <c r="A4973" s="182" t="s">
        <v>7436</v>
      </c>
    </row>
    <row r="4974" customFormat="false" ht="12" hidden="false" customHeight="false" outlineLevel="0" collapsed="false">
      <c r="A4974" s="182" t="s">
        <v>7437</v>
      </c>
    </row>
    <row r="4975" customFormat="false" ht="12" hidden="false" customHeight="false" outlineLevel="0" collapsed="false">
      <c r="A4975" s="182" t="s">
        <v>7438</v>
      </c>
    </row>
    <row r="4976" customFormat="false" ht="12" hidden="false" customHeight="false" outlineLevel="0" collapsed="false">
      <c r="A4976" s="182" t="s">
        <v>7439</v>
      </c>
    </row>
    <row r="4977" customFormat="false" ht="12" hidden="false" customHeight="false" outlineLevel="0" collapsed="false">
      <c r="A4977" s="182" t="s">
        <v>7440</v>
      </c>
    </row>
    <row r="4978" customFormat="false" ht="12" hidden="false" customHeight="false" outlineLevel="0" collapsed="false">
      <c r="A4978" s="182" t="s">
        <v>7441</v>
      </c>
    </row>
    <row r="4979" customFormat="false" ht="12" hidden="false" customHeight="false" outlineLevel="0" collapsed="false">
      <c r="A4979" s="182" t="s">
        <v>7442</v>
      </c>
    </row>
    <row r="4980" customFormat="false" ht="12" hidden="false" customHeight="false" outlineLevel="0" collapsed="false">
      <c r="A4980" s="182" t="s">
        <v>7443</v>
      </c>
    </row>
    <row r="4981" customFormat="false" ht="12" hidden="false" customHeight="false" outlineLevel="0" collapsed="false">
      <c r="A4981" s="182" t="s">
        <v>7444</v>
      </c>
    </row>
    <row r="4982" customFormat="false" ht="12" hidden="false" customHeight="false" outlineLevel="0" collapsed="false">
      <c r="A4982" s="182" t="s">
        <v>7445</v>
      </c>
    </row>
    <row r="4983" customFormat="false" ht="12" hidden="false" customHeight="false" outlineLevel="0" collapsed="false">
      <c r="A4983" s="182" t="s">
        <v>7446</v>
      </c>
    </row>
    <row r="4984" customFormat="false" ht="12" hidden="false" customHeight="false" outlineLevel="0" collapsed="false">
      <c r="A4984" s="182" t="s">
        <v>7447</v>
      </c>
    </row>
    <row r="4985" customFormat="false" ht="12" hidden="false" customHeight="false" outlineLevel="0" collapsed="false">
      <c r="A4985" s="182" t="s">
        <v>7448</v>
      </c>
    </row>
    <row r="4986" customFormat="false" ht="12" hidden="false" customHeight="false" outlineLevel="0" collapsed="false">
      <c r="A4986" s="182" t="s">
        <v>7449</v>
      </c>
    </row>
    <row r="4987" customFormat="false" ht="12" hidden="false" customHeight="false" outlineLevel="0" collapsed="false">
      <c r="A4987" s="182" t="s">
        <v>7450</v>
      </c>
    </row>
    <row r="4988" customFormat="false" ht="12" hidden="false" customHeight="false" outlineLevel="0" collapsed="false">
      <c r="A4988" s="182" t="s">
        <v>7451</v>
      </c>
    </row>
    <row r="4989" customFormat="false" ht="12" hidden="false" customHeight="false" outlineLevel="0" collapsed="false">
      <c r="A4989" s="182" t="s">
        <v>7452</v>
      </c>
    </row>
    <row r="4990" customFormat="false" ht="12" hidden="false" customHeight="false" outlineLevel="0" collapsed="false">
      <c r="A4990" s="182" t="s">
        <v>7453</v>
      </c>
    </row>
    <row r="4991" customFormat="false" ht="12" hidden="false" customHeight="false" outlineLevel="0" collapsed="false">
      <c r="A4991" s="182" t="s">
        <v>7454</v>
      </c>
    </row>
    <row r="4992" customFormat="false" ht="12" hidden="false" customHeight="false" outlineLevel="0" collapsed="false">
      <c r="A4992" s="182" t="s">
        <v>7455</v>
      </c>
    </row>
    <row r="4993" customFormat="false" ht="12" hidden="false" customHeight="false" outlineLevel="0" collapsed="false">
      <c r="A4993" s="182" t="s">
        <v>7456</v>
      </c>
    </row>
    <row r="4994" customFormat="false" ht="12" hidden="false" customHeight="false" outlineLevel="0" collapsed="false">
      <c r="A4994" s="182" t="s">
        <v>7457</v>
      </c>
    </row>
    <row r="4995" customFormat="false" ht="12" hidden="false" customHeight="false" outlineLevel="0" collapsed="false">
      <c r="A4995" s="182" t="s">
        <v>7458</v>
      </c>
    </row>
    <row r="4996" customFormat="false" ht="12" hidden="false" customHeight="false" outlineLevel="0" collapsed="false">
      <c r="A4996" s="182" t="s">
        <v>7459</v>
      </c>
    </row>
    <row r="4997" customFormat="false" ht="12" hidden="false" customHeight="false" outlineLevel="0" collapsed="false">
      <c r="A4997" s="182" t="s">
        <v>7460</v>
      </c>
    </row>
    <row r="4998" customFormat="false" ht="12" hidden="false" customHeight="false" outlineLevel="0" collapsed="false">
      <c r="A4998" s="182" t="s">
        <v>7461</v>
      </c>
    </row>
    <row r="4999" customFormat="false" ht="12" hidden="false" customHeight="false" outlineLevel="0" collapsed="false">
      <c r="A4999" s="182" t="s">
        <v>7462</v>
      </c>
    </row>
    <row r="5000" customFormat="false" ht="12" hidden="false" customHeight="false" outlineLevel="0" collapsed="false">
      <c r="A5000" s="182" t="s">
        <v>7463</v>
      </c>
    </row>
    <row r="5001" customFormat="false" ht="12" hidden="false" customHeight="false" outlineLevel="0" collapsed="false">
      <c r="A5001" s="182" t="s">
        <v>7464</v>
      </c>
    </row>
    <row r="5002" customFormat="false" ht="12" hidden="false" customHeight="false" outlineLevel="0" collapsed="false">
      <c r="A5002" s="182" t="s">
        <v>7465</v>
      </c>
    </row>
    <row r="5003" customFormat="false" ht="12" hidden="false" customHeight="false" outlineLevel="0" collapsed="false">
      <c r="A5003" s="182" t="s">
        <v>7466</v>
      </c>
    </row>
    <row r="5004" customFormat="false" ht="12" hidden="false" customHeight="false" outlineLevel="0" collapsed="false">
      <c r="A5004" s="182" t="s">
        <v>7467</v>
      </c>
    </row>
    <row r="5005" customFormat="false" ht="12" hidden="false" customHeight="false" outlineLevel="0" collapsed="false">
      <c r="A5005" s="182" t="s">
        <v>7468</v>
      </c>
    </row>
    <row r="5006" customFormat="false" ht="12" hidden="false" customHeight="false" outlineLevel="0" collapsed="false">
      <c r="A5006" s="182" t="s">
        <v>7469</v>
      </c>
    </row>
    <row r="5007" customFormat="false" ht="12" hidden="false" customHeight="false" outlineLevel="0" collapsed="false">
      <c r="A5007" s="182" t="s">
        <v>7470</v>
      </c>
    </row>
    <row r="5008" customFormat="false" ht="12" hidden="false" customHeight="false" outlineLevel="0" collapsed="false">
      <c r="A5008" s="182" t="s">
        <v>7471</v>
      </c>
    </row>
    <row r="5009" customFormat="false" ht="12" hidden="false" customHeight="false" outlineLevel="0" collapsed="false">
      <c r="A5009" s="182" t="s">
        <v>7472</v>
      </c>
    </row>
    <row r="5010" customFormat="false" ht="12" hidden="false" customHeight="false" outlineLevel="0" collapsed="false">
      <c r="A5010" s="182" t="s">
        <v>7473</v>
      </c>
    </row>
    <row r="5011" customFormat="false" ht="12" hidden="false" customHeight="false" outlineLevel="0" collapsed="false">
      <c r="A5011" s="182" t="s">
        <v>7474</v>
      </c>
    </row>
    <row r="5012" customFormat="false" ht="12" hidden="false" customHeight="false" outlineLevel="0" collapsed="false">
      <c r="A5012" s="182" t="s">
        <v>7475</v>
      </c>
    </row>
    <row r="5013" customFormat="false" ht="12" hidden="false" customHeight="false" outlineLevel="0" collapsed="false">
      <c r="A5013" s="182" t="s">
        <v>7476</v>
      </c>
    </row>
    <row r="5014" customFormat="false" ht="12" hidden="false" customHeight="false" outlineLevel="0" collapsed="false">
      <c r="A5014" s="182" t="s">
        <v>7477</v>
      </c>
    </row>
    <row r="5015" customFormat="false" ht="12" hidden="false" customHeight="false" outlineLevel="0" collapsed="false">
      <c r="A5015" s="182" t="s">
        <v>7478</v>
      </c>
    </row>
    <row r="5016" customFormat="false" ht="12" hidden="false" customHeight="false" outlineLevel="0" collapsed="false">
      <c r="A5016" s="182" t="s">
        <v>7479</v>
      </c>
    </row>
    <row r="5017" customFormat="false" ht="12" hidden="false" customHeight="false" outlineLevel="0" collapsed="false">
      <c r="A5017" s="182" t="s">
        <v>7480</v>
      </c>
    </row>
    <row r="5018" customFormat="false" ht="12" hidden="false" customHeight="false" outlineLevel="0" collapsed="false">
      <c r="A5018" s="182" t="s">
        <v>7481</v>
      </c>
    </row>
    <row r="5019" customFormat="false" ht="12" hidden="false" customHeight="false" outlineLevel="0" collapsed="false">
      <c r="A5019" s="182" t="s">
        <v>7482</v>
      </c>
    </row>
    <row r="5020" customFormat="false" ht="12" hidden="false" customHeight="false" outlineLevel="0" collapsed="false">
      <c r="A5020" s="182" t="s">
        <v>7483</v>
      </c>
    </row>
    <row r="5021" customFormat="false" ht="12" hidden="false" customHeight="false" outlineLevel="0" collapsed="false">
      <c r="A5021" s="182" t="s">
        <v>7484</v>
      </c>
    </row>
    <row r="5022" customFormat="false" ht="12" hidden="false" customHeight="false" outlineLevel="0" collapsed="false">
      <c r="A5022" s="182" t="s">
        <v>7485</v>
      </c>
    </row>
    <row r="5023" customFormat="false" ht="12" hidden="false" customHeight="false" outlineLevel="0" collapsed="false">
      <c r="A5023" s="182" t="s">
        <v>7486</v>
      </c>
    </row>
    <row r="5024" customFormat="false" ht="12" hidden="false" customHeight="false" outlineLevel="0" collapsed="false">
      <c r="A5024" s="182" t="s">
        <v>7487</v>
      </c>
    </row>
    <row r="5025" customFormat="false" ht="12" hidden="false" customHeight="false" outlineLevel="0" collapsed="false">
      <c r="A5025" s="182" t="s">
        <v>7488</v>
      </c>
    </row>
    <row r="5026" customFormat="false" ht="12" hidden="false" customHeight="false" outlineLevel="0" collapsed="false">
      <c r="A5026" s="182" t="s">
        <v>7489</v>
      </c>
    </row>
    <row r="5027" customFormat="false" ht="12" hidden="false" customHeight="false" outlineLevel="0" collapsed="false">
      <c r="A5027" s="182" t="s">
        <v>7490</v>
      </c>
    </row>
    <row r="5028" customFormat="false" ht="12" hidden="false" customHeight="false" outlineLevel="0" collapsed="false">
      <c r="A5028" s="182" t="s">
        <v>7491</v>
      </c>
    </row>
    <row r="5029" customFormat="false" ht="12" hidden="false" customHeight="false" outlineLevel="0" collapsed="false">
      <c r="A5029" s="182" t="s">
        <v>7492</v>
      </c>
    </row>
    <row r="5030" customFormat="false" ht="12" hidden="false" customHeight="false" outlineLevel="0" collapsed="false">
      <c r="A5030" s="182" t="s">
        <v>7493</v>
      </c>
    </row>
    <row r="5031" customFormat="false" ht="12" hidden="false" customHeight="false" outlineLevel="0" collapsed="false">
      <c r="A5031" s="182" t="s">
        <v>7494</v>
      </c>
    </row>
    <row r="5032" customFormat="false" ht="12" hidden="false" customHeight="false" outlineLevel="0" collapsed="false">
      <c r="A5032" s="182" t="s">
        <v>7495</v>
      </c>
    </row>
    <row r="5033" customFormat="false" ht="12" hidden="false" customHeight="false" outlineLevel="0" collapsed="false">
      <c r="A5033" s="182" t="s">
        <v>7496</v>
      </c>
    </row>
    <row r="5034" customFormat="false" ht="12" hidden="false" customHeight="false" outlineLevel="0" collapsed="false">
      <c r="A5034" s="182" t="s">
        <v>7497</v>
      </c>
    </row>
    <row r="5035" customFormat="false" ht="12" hidden="false" customHeight="false" outlineLevel="0" collapsed="false">
      <c r="A5035" s="182" t="s">
        <v>7498</v>
      </c>
    </row>
    <row r="5036" customFormat="false" ht="12" hidden="false" customHeight="false" outlineLevel="0" collapsed="false">
      <c r="A5036" s="182" t="s">
        <v>7499</v>
      </c>
    </row>
    <row r="5037" customFormat="false" ht="12" hidden="false" customHeight="false" outlineLevel="0" collapsed="false">
      <c r="A5037" s="182" t="s">
        <v>7500</v>
      </c>
    </row>
    <row r="5038" customFormat="false" ht="12" hidden="false" customHeight="false" outlineLevel="0" collapsed="false">
      <c r="A5038" s="182" t="s">
        <v>7501</v>
      </c>
    </row>
    <row r="5039" customFormat="false" ht="12" hidden="false" customHeight="false" outlineLevel="0" collapsed="false">
      <c r="A5039" s="182" t="s">
        <v>7502</v>
      </c>
    </row>
    <row r="5040" customFormat="false" ht="12" hidden="false" customHeight="false" outlineLevel="0" collapsed="false">
      <c r="A5040" s="182" t="s">
        <v>7503</v>
      </c>
    </row>
    <row r="5041" customFormat="false" ht="12" hidden="false" customHeight="false" outlineLevel="0" collapsed="false">
      <c r="A5041" s="182" t="s">
        <v>7504</v>
      </c>
    </row>
    <row r="5042" customFormat="false" ht="12" hidden="false" customHeight="false" outlineLevel="0" collapsed="false">
      <c r="A5042" s="182" t="s">
        <v>7505</v>
      </c>
    </row>
    <row r="5043" customFormat="false" ht="12" hidden="false" customHeight="false" outlineLevel="0" collapsed="false">
      <c r="A5043" s="182" t="s">
        <v>7506</v>
      </c>
    </row>
    <row r="5044" customFormat="false" ht="12" hidden="false" customHeight="false" outlineLevel="0" collapsed="false">
      <c r="A5044" s="182" t="s">
        <v>7507</v>
      </c>
    </row>
    <row r="5045" customFormat="false" ht="12" hidden="false" customHeight="false" outlineLevel="0" collapsed="false">
      <c r="A5045" s="182" t="s">
        <v>7508</v>
      </c>
    </row>
    <row r="5046" customFormat="false" ht="12" hidden="false" customHeight="false" outlineLevel="0" collapsed="false">
      <c r="A5046" s="182" t="s">
        <v>7509</v>
      </c>
    </row>
    <row r="5047" customFormat="false" ht="12" hidden="false" customHeight="false" outlineLevel="0" collapsed="false">
      <c r="A5047" s="182" t="s">
        <v>7510</v>
      </c>
    </row>
    <row r="5048" customFormat="false" ht="12" hidden="false" customHeight="false" outlineLevel="0" collapsed="false">
      <c r="A5048" s="182" t="s">
        <v>7511</v>
      </c>
    </row>
    <row r="5049" customFormat="false" ht="12" hidden="false" customHeight="false" outlineLevel="0" collapsed="false">
      <c r="A5049" s="182" t="s">
        <v>7512</v>
      </c>
    </row>
    <row r="5050" customFormat="false" ht="12" hidden="false" customHeight="false" outlineLevel="0" collapsed="false">
      <c r="A5050" s="182" t="s">
        <v>7513</v>
      </c>
    </row>
    <row r="5051" customFormat="false" ht="12" hidden="false" customHeight="false" outlineLevel="0" collapsed="false">
      <c r="A5051" s="182" t="s">
        <v>7514</v>
      </c>
    </row>
    <row r="5052" customFormat="false" ht="12" hidden="false" customHeight="false" outlineLevel="0" collapsed="false">
      <c r="A5052" s="182" t="s">
        <v>7515</v>
      </c>
    </row>
    <row r="5053" customFormat="false" ht="12" hidden="false" customHeight="false" outlineLevel="0" collapsed="false">
      <c r="A5053" s="182" t="s">
        <v>7516</v>
      </c>
    </row>
    <row r="5054" customFormat="false" ht="12" hidden="false" customHeight="false" outlineLevel="0" collapsed="false">
      <c r="A5054" s="182" t="s">
        <v>7517</v>
      </c>
    </row>
    <row r="5055" customFormat="false" ht="12" hidden="false" customHeight="false" outlineLevel="0" collapsed="false">
      <c r="A5055" s="182" t="s">
        <v>7518</v>
      </c>
    </row>
    <row r="5056" customFormat="false" ht="12" hidden="false" customHeight="false" outlineLevel="0" collapsed="false">
      <c r="A5056" s="182" t="s">
        <v>7519</v>
      </c>
    </row>
    <row r="5057" customFormat="false" ht="12" hidden="false" customHeight="false" outlineLevel="0" collapsed="false">
      <c r="A5057" s="182" t="s">
        <v>7520</v>
      </c>
    </row>
    <row r="5058" customFormat="false" ht="12" hidden="false" customHeight="false" outlineLevel="0" collapsed="false">
      <c r="A5058" s="182" t="s">
        <v>7521</v>
      </c>
    </row>
    <row r="5059" customFormat="false" ht="12" hidden="false" customHeight="false" outlineLevel="0" collapsed="false">
      <c r="A5059" s="182" t="s">
        <v>7522</v>
      </c>
    </row>
    <row r="5060" customFormat="false" ht="12" hidden="false" customHeight="false" outlineLevel="0" collapsed="false">
      <c r="A5060" s="182" t="s">
        <v>7523</v>
      </c>
    </row>
    <row r="5061" customFormat="false" ht="12" hidden="false" customHeight="false" outlineLevel="0" collapsed="false">
      <c r="A5061" s="182" t="s">
        <v>7524</v>
      </c>
    </row>
    <row r="5062" customFormat="false" ht="12" hidden="false" customHeight="false" outlineLevel="0" collapsed="false">
      <c r="A5062" s="182" t="s">
        <v>7525</v>
      </c>
    </row>
    <row r="5063" customFormat="false" ht="12" hidden="false" customHeight="false" outlineLevel="0" collapsed="false">
      <c r="A5063" s="182" t="s">
        <v>7526</v>
      </c>
    </row>
    <row r="5064" customFormat="false" ht="12" hidden="false" customHeight="false" outlineLevel="0" collapsed="false">
      <c r="A5064" s="182" t="s">
        <v>7527</v>
      </c>
    </row>
    <row r="5065" customFormat="false" ht="12" hidden="false" customHeight="false" outlineLevel="0" collapsed="false">
      <c r="A5065" s="182" t="s">
        <v>7528</v>
      </c>
    </row>
    <row r="5066" customFormat="false" ht="12" hidden="false" customHeight="false" outlineLevel="0" collapsed="false">
      <c r="A5066" s="182" t="s">
        <v>7529</v>
      </c>
    </row>
    <row r="5067" customFormat="false" ht="12" hidden="false" customHeight="false" outlineLevel="0" collapsed="false">
      <c r="A5067" s="182" t="s">
        <v>7530</v>
      </c>
    </row>
    <row r="5068" customFormat="false" ht="12" hidden="false" customHeight="false" outlineLevel="0" collapsed="false">
      <c r="A5068" s="182" t="s">
        <v>7531</v>
      </c>
    </row>
    <row r="5069" customFormat="false" ht="12" hidden="false" customHeight="false" outlineLevel="0" collapsed="false">
      <c r="A5069" s="182" t="s">
        <v>7532</v>
      </c>
    </row>
    <row r="5070" customFormat="false" ht="12" hidden="false" customHeight="false" outlineLevel="0" collapsed="false">
      <c r="A5070" s="182" t="s">
        <v>7533</v>
      </c>
    </row>
    <row r="5071" customFormat="false" ht="12" hidden="false" customHeight="false" outlineLevel="0" collapsed="false">
      <c r="A5071" s="182" t="s">
        <v>7534</v>
      </c>
    </row>
    <row r="5072" customFormat="false" ht="12" hidden="false" customHeight="false" outlineLevel="0" collapsed="false">
      <c r="A5072" s="182" t="s">
        <v>7535</v>
      </c>
    </row>
    <row r="5073" customFormat="false" ht="12" hidden="false" customHeight="false" outlineLevel="0" collapsed="false">
      <c r="A5073" s="182" t="s">
        <v>7536</v>
      </c>
    </row>
    <row r="5074" customFormat="false" ht="12" hidden="false" customHeight="false" outlineLevel="0" collapsed="false">
      <c r="A5074" s="182" t="s">
        <v>7537</v>
      </c>
    </row>
    <row r="5075" customFormat="false" ht="12" hidden="false" customHeight="false" outlineLevel="0" collapsed="false">
      <c r="A5075" s="182" t="s">
        <v>7538</v>
      </c>
    </row>
    <row r="5076" customFormat="false" ht="12" hidden="false" customHeight="false" outlineLevel="0" collapsed="false">
      <c r="A5076" s="182" t="s">
        <v>7539</v>
      </c>
    </row>
    <row r="5077" customFormat="false" ht="12" hidden="false" customHeight="false" outlineLevel="0" collapsed="false">
      <c r="A5077" s="182" t="s">
        <v>7540</v>
      </c>
    </row>
    <row r="5078" customFormat="false" ht="12" hidden="false" customHeight="false" outlineLevel="0" collapsed="false">
      <c r="A5078" s="182" t="s">
        <v>7541</v>
      </c>
    </row>
    <row r="5079" customFormat="false" ht="12" hidden="false" customHeight="false" outlineLevel="0" collapsed="false">
      <c r="A5079" s="182" t="s">
        <v>7542</v>
      </c>
    </row>
    <row r="5080" customFormat="false" ht="12" hidden="false" customHeight="false" outlineLevel="0" collapsed="false">
      <c r="A5080" s="182" t="s">
        <v>7543</v>
      </c>
    </row>
    <row r="5081" customFormat="false" ht="12" hidden="false" customHeight="false" outlineLevel="0" collapsed="false">
      <c r="A5081" s="182" t="s">
        <v>7544</v>
      </c>
    </row>
    <row r="5082" customFormat="false" ht="12" hidden="false" customHeight="false" outlineLevel="0" collapsed="false">
      <c r="A5082" s="182" t="s">
        <v>7545</v>
      </c>
    </row>
    <row r="5083" customFormat="false" ht="12" hidden="false" customHeight="false" outlineLevel="0" collapsed="false">
      <c r="A5083" s="182" t="s">
        <v>7546</v>
      </c>
    </row>
    <row r="5084" customFormat="false" ht="12" hidden="false" customHeight="false" outlineLevel="0" collapsed="false">
      <c r="A5084" s="182" t="s">
        <v>7547</v>
      </c>
    </row>
    <row r="5085" customFormat="false" ht="12" hidden="false" customHeight="false" outlineLevel="0" collapsed="false">
      <c r="A5085" s="182" t="s">
        <v>7548</v>
      </c>
    </row>
    <row r="5086" customFormat="false" ht="12" hidden="false" customHeight="false" outlineLevel="0" collapsed="false">
      <c r="A5086" s="182" t="s">
        <v>7549</v>
      </c>
    </row>
    <row r="5087" customFormat="false" ht="12" hidden="false" customHeight="false" outlineLevel="0" collapsed="false">
      <c r="A5087" s="182" t="s">
        <v>7550</v>
      </c>
    </row>
    <row r="5088" customFormat="false" ht="12" hidden="false" customHeight="false" outlineLevel="0" collapsed="false">
      <c r="A5088" s="182" t="s">
        <v>7551</v>
      </c>
    </row>
    <row r="5089" customFormat="false" ht="12" hidden="false" customHeight="false" outlineLevel="0" collapsed="false">
      <c r="A5089" s="182" t="s">
        <v>7552</v>
      </c>
    </row>
    <row r="5090" customFormat="false" ht="12" hidden="false" customHeight="false" outlineLevel="0" collapsed="false">
      <c r="A5090" s="182" t="s">
        <v>7553</v>
      </c>
    </row>
    <row r="5091" customFormat="false" ht="12" hidden="false" customHeight="false" outlineLevel="0" collapsed="false">
      <c r="A5091" s="182" t="s">
        <v>7554</v>
      </c>
    </row>
    <row r="5092" customFormat="false" ht="12" hidden="false" customHeight="false" outlineLevel="0" collapsed="false">
      <c r="A5092" s="182" t="s">
        <v>7555</v>
      </c>
    </row>
    <row r="5093" customFormat="false" ht="12" hidden="false" customHeight="false" outlineLevel="0" collapsed="false">
      <c r="A5093" s="182" t="s">
        <v>7556</v>
      </c>
    </row>
    <row r="5094" customFormat="false" ht="12" hidden="false" customHeight="false" outlineLevel="0" collapsed="false">
      <c r="A5094" s="182" t="s">
        <v>7557</v>
      </c>
    </row>
    <row r="5095" customFormat="false" ht="12" hidden="false" customHeight="false" outlineLevel="0" collapsed="false">
      <c r="A5095" s="182" t="s">
        <v>7558</v>
      </c>
    </row>
    <row r="5096" customFormat="false" ht="12" hidden="false" customHeight="false" outlineLevel="0" collapsed="false">
      <c r="A5096" s="182" t="s">
        <v>7559</v>
      </c>
    </row>
    <row r="5097" customFormat="false" ht="12" hidden="false" customHeight="false" outlineLevel="0" collapsed="false">
      <c r="A5097" s="182" t="s">
        <v>7560</v>
      </c>
    </row>
    <row r="5098" customFormat="false" ht="12" hidden="false" customHeight="false" outlineLevel="0" collapsed="false">
      <c r="A5098" s="182" t="s">
        <v>7561</v>
      </c>
    </row>
    <row r="5099" customFormat="false" ht="12" hidden="false" customHeight="false" outlineLevel="0" collapsed="false">
      <c r="A5099" s="182" t="s">
        <v>7562</v>
      </c>
    </row>
    <row r="5100" customFormat="false" ht="12" hidden="false" customHeight="false" outlineLevel="0" collapsed="false">
      <c r="A5100" s="182" t="s">
        <v>7563</v>
      </c>
    </row>
    <row r="5101" customFormat="false" ht="12" hidden="false" customHeight="false" outlineLevel="0" collapsed="false">
      <c r="A5101" s="182" t="s">
        <v>7564</v>
      </c>
    </row>
    <row r="5102" customFormat="false" ht="12" hidden="false" customHeight="false" outlineLevel="0" collapsed="false">
      <c r="A5102" s="182" t="s">
        <v>7565</v>
      </c>
    </row>
    <row r="5103" customFormat="false" ht="12" hidden="false" customHeight="false" outlineLevel="0" collapsed="false">
      <c r="A5103" s="182" t="s">
        <v>7566</v>
      </c>
    </row>
    <row r="5104" customFormat="false" ht="12" hidden="false" customHeight="false" outlineLevel="0" collapsed="false">
      <c r="A5104" s="182" t="s">
        <v>7567</v>
      </c>
    </row>
    <row r="5105" customFormat="false" ht="12" hidden="false" customHeight="false" outlineLevel="0" collapsed="false">
      <c r="A5105" s="182" t="s">
        <v>7568</v>
      </c>
    </row>
    <row r="5106" customFormat="false" ht="12" hidden="false" customHeight="false" outlineLevel="0" collapsed="false">
      <c r="A5106" s="182" t="s">
        <v>7569</v>
      </c>
    </row>
    <row r="5107" customFormat="false" ht="12" hidden="false" customHeight="false" outlineLevel="0" collapsed="false">
      <c r="A5107" s="182" t="s">
        <v>7570</v>
      </c>
    </row>
    <row r="5108" customFormat="false" ht="12" hidden="false" customHeight="false" outlineLevel="0" collapsed="false">
      <c r="A5108" s="182" t="s">
        <v>7571</v>
      </c>
    </row>
    <row r="5109" customFormat="false" ht="12" hidden="false" customHeight="false" outlineLevel="0" collapsed="false">
      <c r="A5109" s="182" t="s">
        <v>7572</v>
      </c>
    </row>
    <row r="5110" customFormat="false" ht="12" hidden="false" customHeight="false" outlineLevel="0" collapsed="false">
      <c r="A5110" s="182" t="s">
        <v>7573</v>
      </c>
    </row>
    <row r="5111" customFormat="false" ht="12" hidden="false" customHeight="false" outlineLevel="0" collapsed="false">
      <c r="A5111" s="182" t="s">
        <v>7574</v>
      </c>
    </row>
    <row r="5112" customFormat="false" ht="12" hidden="false" customHeight="false" outlineLevel="0" collapsed="false">
      <c r="A5112" s="182" t="s">
        <v>7575</v>
      </c>
    </row>
    <row r="5113" customFormat="false" ht="12" hidden="false" customHeight="false" outlineLevel="0" collapsed="false">
      <c r="A5113" s="182" t="s">
        <v>7576</v>
      </c>
    </row>
    <row r="5114" customFormat="false" ht="12" hidden="false" customHeight="false" outlineLevel="0" collapsed="false">
      <c r="A5114" s="182" t="s">
        <v>7577</v>
      </c>
    </row>
    <row r="5115" customFormat="false" ht="12" hidden="false" customHeight="false" outlineLevel="0" collapsed="false">
      <c r="A5115" s="182" t="s">
        <v>7578</v>
      </c>
    </row>
    <row r="5116" customFormat="false" ht="12" hidden="false" customHeight="false" outlineLevel="0" collapsed="false">
      <c r="A5116" s="182" t="s">
        <v>7579</v>
      </c>
    </row>
    <row r="5117" customFormat="false" ht="12" hidden="false" customHeight="false" outlineLevel="0" collapsed="false">
      <c r="A5117" s="182" t="s">
        <v>7580</v>
      </c>
    </row>
    <row r="5118" customFormat="false" ht="12" hidden="false" customHeight="false" outlineLevel="0" collapsed="false">
      <c r="A5118" s="182" t="s">
        <v>7581</v>
      </c>
    </row>
    <row r="5119" customFormat="false" ht="12" hidden="false" customHeight="false" outlineLevel="0" collapsed="false">
      <c r="A5119" s="182" t="s">
        <v>7582</v>
      </c>
    </row>
    <row r="5120" customFormat="false" ht="12" hidden="false" customHeight="false" outlineLevel="0" collapsed="false">
      <c r="A5120" s="182" t="s">
        <v>7583</v>
      </c>
    </row>
    <row r="5121" customFormat="false" ht="12" hidden="false" customHeight="false" outlineLevel="0" collapsed="false">
      <c r="A5121" s="182" t="s">
        <v>7584</v>
      </c>
    </row>
    <row r="5122" customFormat="false" ht="12" hidden="false" customHeight="false" outlineLevel="0" collapsed="false">
      <c r="A5122" s="182" t="s">
        <v>7585</v>
      </c>
    </row>
    <row r="5123" customFormat="false" ht="12" hidden="false" customHeight="false" outlineLevel="0" collapsed="false">
      <c r="A5123" s="182" t="s">
        <v>7586</v>
      </c>
    </row>
    <row r="5124" customFormat="false" ht="12" hidden="false" customHeight="false" outlineLevel="0" collapsed="false">
      <c r="A5124" s="182" t="s">
        <v>7587</v>
      </c>
    </row>
    <row r="5125" customFormat="false" ht="12" hidden="false" customHeight="false" outlineLevel="0" collapsed="false">
      <c r="A5125" s="182" t="s">
        <v>7588</v>
      </c>
    </row>
    <row r="5126" customFormat="false" ht="12" hidden="false" customHeight="false" outlineLevel="0" collapsed="false">
      <c r="A5126" s="182" t="s">
        <v>7589</v>
      </c>
    </row>
    <row r="5127" customFormat="false" ht="12" hidden="false" customHeight="false" outlineLevel="0" collapsed="false">
      <c r="A5127" s="182" t="s">
        <v>7590</v>
      </c>
    </row>
    <row r="5128" customFormat="false" ht="12" hidden="false" customHeight="false" outlineLevel="0" collapsed="false">
      <c r="A5128" s="182" t="s">
        <v>7591</v>
      </c>
    </row>
    <row r="5129" customFormat="false" ht="12" hidden="false" customHeight="false" outlineLevel="0" collapsed="false">
      <c r="A5129" s="182" t="s">
        <v>7592</v>
      </c>
    </row>
    <row r="5130" customFormat="false" ht="12" hidden="false" customHeight="false" outlineLevel="0" collapsed="false">
      <c r="A5130" s="182" t="s">
        <v>7593</v>
      </c>
    </row>
    <row r="5131" customFormat="false" ht="12" hidden="false" customHeight="false" outlineLevel="0" collapsed="false">
      <c r="A5131" s="182" t="s">
        <v>7594</v>
      </c>
    </row>
    <row r="5132" customFormat="false" ht="12" hidden="false" customHeight="false" outlineLevel="0" collapsed="false">
      <c r="A5132" s="182" t="s">
        <v>7595</v>
      </c>
    </row>
    <row r="5133" customFormat="false" ht="12" hidden="false" customHeight="false" outlineLevel="0" collapsed="false">
      <c r="A5133" s="182" t="s">
        <v>7596</v>
      </c>
    </row>
    <row r="5134" customFormat="false" ht="12" hidden="false" customHeight="false" outlineLevel="0" collapsed="false">
      <c r="A5134" s="182" t="s">
        <v>7597</v>
      </c>
    </row>
    <row r="5135" customFormat="false" ht="12" hidden="false" customHeight="false" outlineLevel="0" collapsed="false">
      <c r="A5135" s="182" t="s">
        <v>7598</v>
      </c>
    </row>
    <row r="5136" customFormat="false" ht="12" hidden="false" customHeight="false" outlineLevel="0" collapsed="false">
      <c r="A5136" s="182" t="s">
        <v>7599</v>
      </c>
    </row>
    <row r="5137" customFormat="false" ht="12" hidden="false" customHeight="false" outlineLevel="0" collapsed="false">
      <c r="A5137" s="182" t="s">
        <v>7600</v>
      </c>
    </row>
    <row r="5138" customFormat="false" ht="12" hidden="false" customHeight="false" outlineLevel="0" collapsed="false">
      <c r="A5138" s="182" t="s">
        <v>7601</v>
      </c>
    </row>
    <row r="5139" customFormat="false" ht="12" hidden="false" customHeight="false" outlineLevel="0" collapsed="false">
      <c r="A5139" s="182" t="s">
        <v>7602</v>
      </c>
    </row>
    <row r="5140" customFormat="false" ht="12" hidden="false" customHeight="false" outlineLevel="0" collapsed="false">
      <c r="A5140" s="182" t="s">
        <v>7603</v>
      </c>
    </row>
    <row r="5141" customFormat="false" ht="12" hidden="false" customHeight="false" outlineLevel="0" collapsed="false">
      <c r="A5141" s="182" t="s">
        <v>7604</v>
      </c>
    </row>
    <row r="5142" customFormat="false" ht="12" hidden="false" customHeight="false" outlineLevel="0" collapsed="false">
      <c r="A5142" s="182" t="s">
        <v>7605</v>
      </c>
    </row>
    <row r="5143" customFormat="false" ht="12" hidden="false" customHeight="false" outlineLevel="0" collapsed="false">
      <c r="A5143" s="182" t="s">
        <v>7606</v>
      </c>
    </row>
    <row r="5144" customFormat="false" ht="12" hidden="false" customHeight="false" outlineLevel="0" collapsed="false">
      <c r="A5144" s="182" t="s">
        <v>7607</v>
      </c>
    </row>
    <row r="5145" customFormat="false" ht="12" hidden="false" customHeight="false" outlineLevel="0" collapsed="false">
      <c r="A5145" s="182" t="s">
        <v>7608</v>
      </c>
    </row>
    <row r="5146" customFormat="false" ht="12" hidden="false" customHeight="false" outlineLevel="0" collapsed="false">
      <c r="A5146" s="182" t="s">
        <v>7609</v>
      </c>
    </row>
    <row r="5147" customFormat="false" ht="12" hidden="false" customHeight="false" outlineLevel="0" collapsed="false">
      <c r="A5147" s="182" t="s">
        <v>7610</v>
      </c>
    </row>
    <row r="5148" customFormat="false" ht="12" hidden="false" customHeight="false" outlineLevel="0" collapsed="false">
      <c r="A5148" s="182" t="s">
        <v>7611</v>
      </c>
    </row>
    <row r="5149" customFormat="false" ht="12" hidden="false" customHeight="false" outlineLevel="0" collapsed="false">
      <c r="A5149" s="182" t="s">
        <v>7612</v>
      </c>
    </row>
    <row r="5150" customFormat="false" ht="12" hidden="false" customHeight="false" outlineLevel="0" collapsed="false">
      <c r="A5150" s="182" t="s">
        <v>7613</v>
      </c>
    </row>
    <row r="5151" customFormat="false" ht="12" hidden="false" customHeight="false" outlineLevel="0" collapsed="false">
      <c r="A5151" s="182" t="s">
        <v>7614</v>
      </c>
    </row>
    <row r="5152" customFormat="false" ht="12" hidden="false" customHeight="false" outlineLevel="0" collapsed="false">
      <c r="A5152" s="182" t="s">
        <v>7615</v>
      </c>
    </row>
    <row r="5153" customFormat="false" ht="12" hidden="false" customHeight="false" outlineLevel="0" collapsed="false">
      <c r="A5153" s="182" t="s">
        <v>7616</v>
      </c>
    </row>
    <row r="5154" customFormat="false" ht="12" hidden="false" customHeight="false" outlineLevel="0" collapsed="false">
      <c r="A5154" s="182" t="s">
        <v>7617</v>
      </c>
    </row>
    <row r="5155" customFormat="false" ht="12" hidden="false" customHeight="false" outlineLevel="0" collapsed="false">
      <c r="A5155" s="182" t="s">
        <v>7618</v>
      </c>
    </row>
    <row r="5156" customFormat="false" ht="12" hidden="false" customHeight="false" outlineLevel="0" collapsed="false">
      <c r="A5156" s="182" t="s">
        <v>7619</v>
      </c>
    </row>
    <row r="5157" customFormat="false" ht="12" hidden="false" customHeight="false" outlineLevel="0" collapsed="false">
      <c r="A5157" s="182" t="s">
        <v>7620</v>
      </c>
    </row>
    <row r="5158" customFormat="false" ht="12" hidden="false" customHeight="false" outlineLevel="0" collapsed="false">
      <c r="A5158" s="182" t="s">
        <v>7621</v>
      </c>
    </row>
    <row r="5159" customFormat="false" ht="12" hidden="false" customHeight="false" outlineLevel="0" collapsed="false">
      <c r="A5159" s="182" t="s">
        <v>7622</v>
      </c>
    </row>
    <row r="5160" customFormat="false" ht="12" hidden="false" customHeight="false" outlineLevel="0" collapsed="false">
      <c r="A5160" s="182" t="s">
        <v>7623</v>
      </c>
    </row>
    <row r="5161" customFormat="false" ht="12" hidden="false" customHeight="false" outlineLevel="0" collapsed="false">
      <c r="A5161" s="182" t="s">
        <v>7624</v>
      </c>
    </row>
    <row r="5162" customFormat="false" ht="12" hidden="false" customHeight="false" outlineLevel="0" collapsed="false">
      <c r="A5162" s="182" t="s">
        <v>7625</v>
      </c>
    </row>
    <row r="5163" customFormat="false" ht="12" hidden="false" customHeight="false" outlineLevel="0" collapsed="false">
      <c r="A5163" s="182" t="s">
        <v>7626</v>
      </c>
    </row>
    <row r="5164" customFormat="false" ht="12" hidden="false" customHeight="false" outlineLevel="0" collapsed="false">
      <c r="A5164" s="182" t="s">
        <v>7627</v>
      </c>
    </row>
    <row r="5165" customFormat="false" ht="12" hidden="false" customHeight="false" outlineLevel="0" collapsed="false">
      <c r="A5165" s="182" t="s">
        <v>7628</v>
      </c>
    </row>
    <row r="5166" customFormat="false" ht="12" hidden="false" customHeight="false" outlineLevel="0" collapsed="false">
      <c r="A5166" s="182" t="s">
        <v>7629</v>
      </c>
    </row>
    <row r="5167" customFormat="false" ht="12" hidden="false" customHeight="false" outlineLevel="0" collapsed="false">
      <c r="A5167" s="182" t="s">
        <v>7630</v>
      </c>
    </row>
    <row r="5168" customFormat="false" ht="12" hidden="false" customHeight="false" outlineLevel="0" collapsed="false">
      <c r="A5168" s="182" t="s">
        <v>7631</v>
      </c>
    </row>
    <row r="5169" customFormat="false" ht="12" hidden="false" customHeight="false" outlineLevel="0" collapsed="false">
      <c r="A5169" s="182" t="s">
        <v>7632</v>
      </c>
    </row>
    <row r="5170" customFormat="false" ht="12" hidden="false" customHeight="false" outlineLevel="0" collapsed="false">
      <c r="A5170" s="182" t="s">
        <v>7633</v>
      </c>
    </row>
    <row r="5171" customFormat="false" ht="12" hidden="false" customHeight="false" outlineLevel="0" collapsed="false">
      <c r="A5171" s="182" t="s">
        <v>7634</v>
      </c>
    </row>
    <row r="5172" customFormat="false" ht="12" hidden="false" customHeight="false" outlineLevel="0" collapsed="false">
      <c r="A5172" s="182" t="s">
        <v>7635</v>
      </c>
    </row>
    <row r="5173" customFormat="false" ht="12" hidden="false" customHeight="false" outlineLevel="0" collapsed="false">
      <c r="A5173" s="182" t="s">
        <v>7636</v>
      </c>
    </row>
    <row r="5174" customFormat="false" ht="12" hidden="false" customHeight="false" outlineLevel="0" collapsed="false">
      <c r="A5174" s="182" t="s">
        <v>7637</v>
      </c>
    </row>
    <row r="5175" customFormat="false" ht="12" hidden="false" customHeight="false" outlineLevel="0" collapsed="false">
      <c r="A5175" s="182" t="s">
        <v>7638</v>
      </c>
    </row>
    <row r="5176" customFormat="false" ht="12" hidden="false" customHeight="false" outlineLevel="0" collapsed="false">
      <c r="A5176" s="182" t="s">
        <v>7639</v>
      </c>
    </row>
    <row r="5177" customFormat="false" ht="12" hidden="false" customHeight="false" outlineLevel="0" collapsed="false">
      <c r="A5177" s="182" t="s">
        <v>7640</v>
      </c>
    </row>
    <row r="5178" customFormat="false" ht="12" hidden="false" customHeight="false" outlineLevel="0" collapsed="false">
      <c r="A5178" s="182" t="s">
        <v>7641</v>
      </c>
    </row>
    <row r="5179" customFormat="false" ht="12" hidden="false" customHeight="false" outlineLevel="0" collapsed="false">
      <c r="A5179" s="182" t="s">
        <v>7642</v>
      </c>
    </row>
    <row r="5180" customFormat="false" ht="12" hidden="false" customHeight="false" outlineLevel="0" collapsed="false">
      <c r="A5180" s="182" t="s">
        <v>7643</v>
      </c>
    </row>
    <row r="5181" customFormat="false" ht="12" hidden="false" customHeight="false" outlineLevel="0" collapsed="false">
      <c r="A5181" s="182" t="s">
        <v>7644</v>
      </c>
    </row>
    <row r="5182" customFormat="false" ht="12" hidden="false" customHeight="false" outlineLevel="0" collapsed="false">
      <c r="A5182" s="182" t="s">
        <v>7645</v>
      </c>
    </row>
    <row r="5183" customFormat="false" ht="12" hidden="false" customHeight="false" outlineLevel="0" collapsed="false">
      <c r="A5183" s="182" t="s">
        <v>7646</v>
      </c>
    </row>
    <row r="5184" customFormat="false" ht="12" hidden="false" customHeight="false" outlineLevel="0" collapsed="false">
      <c r="A5184" s="182" t="s">
        <v>7647</v>
      </c>
    </row>
    <row r="5185" customFormat="false" ht="12" hidden="false" customHeight="false" outlineLevel="0" collapsed="false">
      <c r="A5185" s="182" t="s">
        <v>7648</v>
      </c>
    </row>
    <row r="5186" customFormat="false" ht="12" hidden="false" customHeight="false" outlineLevel="0" collapsed="false">
      <c r="A5186" s="182" t="s">
        <v>7649</v>
      </c>
    </row>
    <row r="5187" customFormat="false" ht="12" hidden="false" customHeight="false" outlineLevel="0" collapsed="false">
      <c r="A5187" s="182" t="s">
        <v>7650</v>
      </c>
    </row>
    <row r="5188" customFormat="false" ht="12" hidden="false" customHeight="false" outlineLevel="0" collapsed="false">
      <c r="A5188" s="182" t="s">
        <v>7651</v>
      </c>
    </row>
    <row r="5189" customFormat="false" ht="12" hidden="false" customHeight="false" outlineLevel="0" collapsed="false">
      <c r="A5189" s="182" t="s">
        <v>7652</v>
      </c>
    </row>
    <row r="5190" customFormat="false" ht="12" hidden="false" customHeight="false" outlineLevel="0" collapsed="false">
      <c r="A5190" s="182" t="s">
        <v>7653</v>
      </c>
    </row>
    <row r="5191" customFormat="false" ht="12" hidden="false" customHeight="false" outlineLevel="0" collapsed="false">
      <c r="A5191" s="182" t="s">
        <v>7654</v>
      </c>
    </row>
    <row r="5192" customFormat="false" ht="12" hidden="false" customHeight="false" outlineLevel="0" collapsed="false">
      <c r="A5192" s="182" t="s">
        <v>7655</v>
      </c>
    </row>
    <row r="5193" customFormat="false" ht="12" hidden="false" customHeight="false" outlineLevel="0" collapsed="false">
      <c r="A5193" s="182" t="s">
        <v>7656</v>
      </c>
    </row>
    <row r="5194" customFormat="false" ht="12" hidden="false" customHeight="false" outlineLevel="0" collapsed="false">
      <c r="A5194" s="182" t="s">
        <v>7657</v>
      </c>
    </row>
    <row r="5195" customFormat="false" ht="12" hidden="false" customHeight="false" outlineLevel="0" collapsed="false">
      <c r="A5195" s="182" t="s">
        <v>7658</v>
      </c>
    </row>
    <row r="5196" customFormat="false" ht="12" hidden="false" customHeight="false" outlineLevel="0" collapsed="false">
      <c r="A5196" s="182" t="s">
        <v>7659</v>
      </c>
    </row>
    <row r="5197" customFormat="false" ht="12" hidden="false" customHeight="false" outlineLevel="0" collapsed="false">
      <c r="A5197" s="182" t="s">
        <v>7660</v>
      </c>
    </row>
    <row r="5198" customFormat="false" ht="12" hidden="false" customHeight="false" outlineLevel="0" collapsed="false">
      <c r="A5198" s="182" t="s">
        <v>7661</v>
      </c>
    </row>
    <row r="5199" customFormat="false" ht="12" hidden="false" customHeight="false" outlineLevel="0" collapsed="false">
      <c r="A5199" s="182" t="s">
        <v>7662</v>
      </c>
    </row>
    <row r="5200" customFormat="false" ht="12" hidden="false" customHeight="false" outlineLevel="0" collapsed="false">
      <c r="A5200" s="182" t="s">
        <v>7663</v>
      </c>
    </row>
    <row r="5201" customFormat="false" ht="12" hidden="false" customHeight="false" outlineLevel="0" collapsed="false">
      <c r="A5201" s="182" t="s">
        <v>7664</v>
      </c>
    </row>
    <row r="5202" customFormat="false" ht="12" hidden="false" customHeight="false" outlineLevel="0" collapsed="false">
      <c r="A5202" s="182" t="s">
        <v>7665</v>
      </c>
    </row>
    <row r="5203" customFormat="false" ht="12" hidden="false" customHeight="false" outlineLevel="0" collapsed="false">
      <c r="A5203" s="182" t="s">
        <v>7666</v>
      </c>
    </row>
    <row r="5204" customFormat="false" ht="12" hidden="false" customHeight="false" outlineLevel="0" collapsed="false">
      <c r="A5204" s="182" t="s">
        <v>7667</v>
      </c>
    </row>
    <row r="5205" customFormat="false" ht="12" hidden="false" customHeight="false" outlineLevel="0" collapsed="false">
      <c r="A5205" s="182" t="s">
        <v>7668</v>
      </c>
    </row>
    <row r="5206" customFormat="false" ht="12" hidden="false" customHeight="false" outlineLevel="0" collapsed="false">
      <c r="A5206" s="182" t="s">
        <v>7669</v>
      </c>
    </row>
    <row r="5207" customFormat="false" ht="12" hidden="false" customHeight="false" outlineLevel="0" collapsed="false">
      <c r="A5207" s="182" t="s">
        <v>7670</v>
      </c>
    </row>
    <row r="5208" customFormat="false" ht="12" hidden="false" customHeight="false" outlineLevel="0" collapsed="false">
      <c r="A5208" s="182" t="s">
        <v>7671</v>
      </c>
    </row>
    <row r="5209" customFormat="false" ht="12" hidden="false" customHeight="false" outlineLevel="0" collapsed="false">
      <c r="A5209" s="182" t="s">
        <v>7672</v>
      </c>
    </row>
    <row r="5210" customFormat="false" ht="12" hidden="false" customHeight="false" outlineLevel="0" collapsed="false">
      <c r="A5210" s="182" t="s">
        <v>7673</v>
      </c>
    </row>
    <row r="5211" customFormat="false" ht="12" hidden="false" customHeight="false" outlineLevel="0" collapsed="false">
      <c r="A5211" s="182" t="s">
        <v>7674</v>
      </c>
    </row>
    <row r="5212" customFormat="false" ht="12" hidden="false" customHeight="false" outlineLevel="0" collapsed="false">
      <c r="A5212" s="182" t="s">
        <v>7675</v>
      </c>
    </row>
    <row r="5213" customFormat="false" ht="12" hidden="false" customHeight="false" outlineLevel="0" collapsed="false">
      <c r="A5213" s="182" t="s">
        <v>7676</v>
      </c>
    </row>
    <row r="5214" customFormat="false" ht="12" hidden="false" customHeight="false" outlineLevel="0" collapsed="false">
      <c r="A5214" s="182" t="s">
        <v>7677</v>
      </c>
    </row>
    <row r="5215" customFormat="false" ht="12" hidden="false" customHeight="false" outlineLevel="0" collapsed="false">
      <c r="A5215" s="182" t="s">
        <v>7678</v>
      </c>
    </row>
    <row r="5216" customFormat="false" ht="12" hidden="false" customHeight="false" outlineLevel="0" collapsed="false">
      <c r="A5216" s="182" t="s">
        <v>7679</v>
      </c>
    </row>
    <row r="5217" customFormat="false" ht="12" hidden="false" customHeight="false" outlineLevel="0" collapsed="false">
      <c r="A5217" s="182" t="s">
        <v>7680</v>
      </c>
    </row>
    <row r="5218" customFormat="false" ht="12" hidden="false" customHeight="false" outlineLevel="0" collapsed="false">
      <c r="A5218" s="182" t="s">
        <v>7681</v>
      </c>
    </row>
    <row r="5219" customFormat="false" ht="12" hidden="false" customHeight="false" outlineLevel="0" collapsed="false">
      <c r="A5219" s="182" t="s">
        <v>7682</v>
      </c>
    </row>
    <row r="5220" customFormat="false" ht="12" hidden="false" customHeight="false" outlineLevel="0" collapsed="false">
      <c r="A5220" s="182" t="s">
        <v>7683</v>
      </c>
    </row>
    <row r="5221" customFormat="false" ht="12" hidden="false" customHeight="false" outlineLevel="0" collapsed="false">
      <c r="A5221" s="182" t="s">
        <v>7684</v>
      </c>
    </row>
    <row r="5222" customFormat="false" ht="12" hidden="false" customHeight="false" outlineLevel="0" collapsed="false">
      <c r="A5222" s="182" t="s">
        <v>7685</v>
      </c>
    </row>
    <row r="5223" customFormat="false" ht="12" hidden="false" customHeight="false" outlineLevel="0" collapsed="false">
      <c r="A5223" s="182" t="s">
        <v>7686</v>
      </c>
    </row>
    <row r="5224" customFormat="false" ht="12" hidden="false" customHeight="false" outlineLevel="0" collapsed="false">
      <c r="A5224" s="182" t="s">
        <v>7687</v>
      </c>
    </row>
    <row r="5225" customFormat="false" ht="12" hidden="false" customHeight="false" outlineLevel="0" collapsed="false">
      <c r="A5225" s="182" t="s">
        <v>7688</v>
      </c>
    </row>
    <row r="5226" customFormat="false" ht="12" hidden="false" customHeight="false" outlineLevel="0" collapsed="false">
      <c r="A5226" s="182" t="s">
        <v>7689</v>
      </c>
    </row>
    <row r="5227" customFormat="false" ht="12" hidden="false" customHeight="false" outlineLevel="0" collapsed="false">
      <c r="A5227" s="182" t="s">
        <v>7690</v>
      </c>
    </row>
    <row r="5228" customFormat="false" ht="12" hidden="false" customHeight="false" outlineLevel="0" collapsed="false">
      <c r="A5228" s="182" t="s">
        <v>7691</v>
      </c>
    </row>
    <row r="5229" customFormat="false" ht="12" hidden="false" customHeight="false" outlineLevel="0" collapsed="false">
      <c r="A5229" s="182" t="s">
        <v>7692</v>
      </c>
    </row>
    <row r="5230" customFormat="false" ht="12" hidden="false" customHeight="false" outlineLevel="0" collapsed="false">
      <c r="A5230" s="182" t="s">
        <v>7693</v>
      </c>
    </row>
    <row r="5231" customFormat="false" ht="12" hidden="false" customHeight="false" outlineLevel="0" collapsed="false">
      <c r="A5231" s="182" t="s">
        <v>7694</v>
      </c>
    </row>
    <row r="5232" customFormat="false" ht="12" hidden="false" customHeight="false" outlineLevel="0" collapsed="false">
      <c r="A5232" s="182" t="s">
        <v>7695</v>
      </c>
    </row>
    <row r="5233" customFormat="false" ht="12" hidden="false" customHeight="false" outlineLevel="0" collapsed="false">
      <c r="A5233" s="182" t="s">
        <v>7696</v>
      </c>
    </row>
    <row r="5234" customFormat="false" ht="12" hidden="false" customHeight="false" outlineLevel="0" collapsed="false">
      <c r="A5234" s="182" t="s">
        <v>7697</v>
      </c>
    </row>
    <row r="5235" customFormat="false" ht="12" hidden="false" customHeight="false" outlineLevel="0" collapsed="false">
      <c r="A5235" s="182" t="s">
        <v>7698</v>
      </c>
    </row>
    <row r="5236" customFormat="false" ht="12" hidden="false" customHeight="false" outlineLevel="0" collapsed="false">
      <c r="A5236" s="182" t="s">
        <v>7699</v>
      </c>
    </row>
    <row r="5237" customFormat="false" ht="12" hidden="false" customHeight="false" outlineLevel="0" collapsed="false">
      <c r="A5237" s="182" t="s">
        <v>7700</v>
      </c>
    </row>
    <row r="5238" customFormat="false" ht="12" hidden="false" customHeight="false" outlineLevel="0" collapsed="false">
      <c r="A5238" s="182" t="s">
        <v>7701</v>
      </c>
    </row>
    <row r="5239" customFormat="false" ht="12" hidden="false" customHeight="false" outlineLevel="0" collapsed="false">
      <c r="A5239" s="182" t="s">
        <v>7702</v>
      </c>
    </row>
    <row r="5240" customFormat="false" ht="12" hidden="false" customHeight="false" outlineLevel="0" collapsed="false">
      <c r="A5240" s="182" t="s">
        <v>7703</v>
      </c>
    </row>
    <row r="5241" customFormat="false" ht="12" hidden="false" customHeight="false" outlineLevel="0" collapsed="false">
      <c r="A5241" s="182" t="s">
        <v>7704</v>
      </c>
    </row>
    <row r="5242" customFormat="false" ht="12" hidden="false" customHeight="false" outlineLevel="0" collapsed="false">
      <c r="A5242" s="182" t="s">
        <v>7705</v>
      </c>
    </row>
    <row r="5243" customFormat="false" ht="12" hidden="false" customHeight="false" outlineLevel="0" collapsed="false">
      <c r="A5243" s="182" t="s">
        <v>7706</v>
      </c>
    </row>
    <row r="5244" customFormat="false" ht="12" hidden="false" customHeight="false" outlineLevel="0" collapsed="false">
      <c r="A5244" s="182" t="s">
        <v>7707</v>
      </c>
    </row>
    <row r="5245" customFormat="false" ht="12" hidden="false" customHeight="false" outlineLevel="0" collapsed="false">
      <c r="A5245" s="182" t="s">
        <v>7708</v>
      </c>
    </row>
    <row r="5246" customFormat="false" ht="12" hidden="false" customHeight="false" outlineLevel="0" collapsed="false">
      <c r="A5246" s="182" t="s">
        <v>7709</v>
      </c>
    </row>
    <row r="5247" customFormat="false" ht="12" hidden="false" customHeight="false" outlineLevel="0" collapsed="false">
      <c r="A5247" s="182" t="s">
        <v>7710</v>
      </c>
    </row>
    <row r="5248" customFormat="false" ht="12" hidden="false" customHeight="false" outlineLevel="0" collapsed="false">
      <c r="A5248" s="182" t="s">
        <v>7711</v>
      </c>
    </row>
    <row r="5249" customFormat="false" ht="12" hidden="false" customHeight="false" outlineLevel="0" collapsed="false">
      <c r="A5249" s="182" t="s">
        <v>7712</v>
      </c>
    </row>
    <row r="5250" customFormat="false" ht="12" hidden="false" customHeight="false" outlineLevel="0" collapsed="false">
      <c r="A5250" s="182" t="s">
        <v>7713</v>
      </c>
    </row>
    <row r="5251" customFormat="false" ht="12" hidden="false" customHeight="false" outlineLevel="0" collapsed="false">
      <c r="A5251" s="182" t="s">
        <v>7714</v>
      </c>
    </row>
    <row r="5252" customFormat="false" ht="12" hidden="false" customHeight="false" outlineLevel="0" collapsed="false">
      <c r="A5252" s="182" t="s">
        <v>7715</v>
      </c>
    </row>
    <row r="5253" customFormat="false" ht="12" hidden="false" customHeight="false" outlineLevel="0" collapsed="false">
      <c r="A5253" s="182" t="s">
        <v>7716</v>
      </c>
    </row>
    <row r="5254" customFormat="false" ht="12" hidden="false" customHeight="false" outlineLevel="0" collapsed="false">
      <c r="A5254" s="182" t="s">
        <v>7717</v>
      </c>
    </row>
    <row r="5255" customFormat="false" ht="12" hidden="false" customHeight="false" outlineLevel="0" collapsed="false">
      <c r="A5255" s="182" t="s">
        <v>7718</v>
      </c>
    </row>
    <row r="5256" customFormat="false" ht="12" hidden="false" customHeight="false" outlineLevel="0" collapsed="false">
      <c r="A5256" s="182" t="s">
        <v>7719</v>
      </c>
    </row>
    <row r="5257" customFormat="false" ht="12" hidden="false" customHeight="false" outlineLevel="0" collapsed="false">
      <c r="A5257" s="182" t="s">
        <v>7720</v>
      </c>
    </row>
    <row r="5258" customFormat="false" ht="12" hidden="false" customHeight="false" outlineLevel="0" collapsed="false">
      <c r="A5258" s="182" t="s">
        <v>7721</v>
      </c>
    </row>
    <row r="5259" customFormat="false" ht="12" hidden="false" customHeight="false" outlineLevel="0" collapsed="false">
      <c r="A5259" s="182" t="s">
        <v>7722</v>
      </c>
    </row>
    <row r="5260" customFormat="false" ht="12" hidden="false" customHeight="false" outlineLevel="0" collapsed="false">
      <c r="A5260" s="182" t="s">
        <v>7723</v>
      </c>
    </row>
    <row r="5261" customFormat="false" ht="12" hidden="false" customHeight="false" outlineLevel="0" collapsed="false">
      <c r="A5261" s="182" t="s">
        <v>7724</v>
      </c>
    </row>
    <row r="5262" customFormat="false" ht="12" hidden="false" customHeight="false" outlineLevel="0" collapsed="false">
      <c r="A5262" s="182" t="s">
        <v>7725</v>
      </c>
    </row>
    <row r="5263" customFormat="false" ht="12" hidden="false" customHeight="false" outlineLevel="0" collapsed="false">
      <c r="A5263" s="182" t="s">
        <v>7726</v>
      </c>
    </row>
    <row r="5264" customFormat="false" ht="12" hidden="false" customHeight="false" outlineLevel="0" collapsed="false">
      <c r="A5264" s="182" t="s">
        <v>7727</v>
      </c>
    </row>
    <row r="5265" customFormat="false" ht="12" hidden="false" customHeight="false" outlineLevel="0" collapsed="false">
      <c r="A5265" s="182" t="s">
        <v>7728</v>
      </c>
    </row>
    <row r="5266" customFormat="false" ht="12" hidden="false" customHeight="false" outlineLevel="0" collapsed="false">
      <c r="A5266" s="182" t="s">
        <v>7729</v>
      </c>
    </row>
    <row r="5267" customFormat="false" ht="12" hidden="false" customHeight="false" outlineLevel="0" collapsed="false">
      <c r="A5267" s="182" t="s">
        <v>7730</v>
      </c>
    </row>
    <row r="5268" customFormat="false" ht="12" hidden="false" customHeight="false" outlineLevel="0" collapsed="false">
      <c r="A5268" s="182" t="s">
        <v>7731</v>
      </c>
    </row>
    <row r="5269" customFormat="false" ht="12" hidden="false" customHeight="false" outlineLevel="0" collapsed="false">
      <c r="A5269" s="182" t="s">
        <v>7732</v>
      </c>
    </row>
    <row r="5270" customFormat="false" ht="12" hidden="false" customHeight="false" outlineLevel="0" collapsed="false">
      <c r="A5270" s="182" t="s">
        <v>7733</v>
      </c>
    </row>
    <row r="5271" customFormat="false" ht="12" hidden="false" customHeight="false" outlineLevel="0" collapsed="false">
      <c r="A5271" s="182" t="s">
        <v>7734</v>
      </c>
    </row>
    <row r="5272" customFormat="false" ht="12" hidden="false" customHeight="false" outlineLevel="0" collapsed="false">
      <c r="A5272" s="182" t="s">
        <v>7735</v>
      </c>
    </row>
    <row r="5273" customFormat="false" ht="12" hidden="false" customHeight="false" outlineLevel="0" collapsed="false">
      <c r="A5273" s="182" t="s">
        <v>7736</v>
      </c>
    </row>
    <row r="5274" customFormat="false" ht="12" hidden="false" customHeight="false" outlineLevel="0" collapsed="false">
      <c r="A5274" s="182" t="s">
        <v>7737</v>
      </c>
    </row>
    <row r="5275" customFormat="false" ht="12" hidden="false" customHeight="false" outlineLevel="0" collapsed="false">
      <c r="A5275" s="182" t="s">
        <v>7738</v>
      </c>
    </row>
    <row r="5276" customFormat="false" ht="12" hidden="false" customHeight="false" outlineLevel="0" collapsed="false">
      <c r="A5276" s="182" t="s">
        <v>7739</v>
      </c>
    </row>
    <row r="5277" customFormat="false" ht="12" hidden="false" customHeight="false" outlineLevel="0" collapsed="false">
      <c r="A5277" s="182" t="s">
        <v>7740</v>
      </c>
    </row>
    <row r="5278" customFormat="false" ht="12" hidden="false" customHeight="false" outlineLevel="0" collapsed="false">
      <c r="A5278" s="182" t="s">
        <v>7741</v>
      </c>
    </row>
    <row r="5279" customFormat="false" ht="12" hidden="false" customHeight="false" outlineLevel="0" collapsed="false">
      <c r="A5279" s="182" t="s">
        <v>7742</v>
      </c>
    </row>
    <row r="5280" customFormat="false" ht="12" hidden="false" customHeight="false" outlineLevel="0" collapsed="false">
      <c r="A5280" s="182" t="s">
        <v>7743</v>
      </c>
    </row>
    <row r="5281" customFormat="false" ht="12" hidden="false" customHeight="false" outlineLevel="0" collapsed="false">
      <c r="A5281" s="182" t="s">
        <v>7744</v>
      </c>
    </row>
    <row r="5282" customFormat="false" ht="12" hidden="false" customHeight="false" outlineLevel="0" collapsed="false">
      <c r="A5282" s="182" t="s">
        <v>7745</v>
      </c>
    </row>
    <row r="5283" customFormat="false" ht="12" hidden="false" customHeight="false" outlineLevel="0" collapsed="false">
      <c r="A5283" s="182" t="s">
        <v>7746</v>
      </c>
    </row>
    <row r="5284" customFormat="false" ht="12" hidden="false" customHeight="false" outlineLevel="0" collapsed="false">
      <c r="A5284" s="182" t="s">
        <v>7747</v>
      </c>
    </row>
    <row r="5285" customFormat="false" ht="12" hidden="false" customHeight="false" outlineLevel="0" collapsed="false">
      <c r="A5285" s="182" t="s">
        <v>7748</v>
      </c>
    </row>
    <row r="5286" customFormat="false" ht="12" hidden="false" customHeight="false" outlineLevel="0" collapsed="false">
      <c r="A5286" s="182" t="s">
        <v>7749</v>
      </c>
    </row>
    <row r="5287" customFormat="false" ht="12" hidden="false" customHeight="false" outlineLevel="0" collapsed="false">
      <c r="A5287" s="182" t="s">
        <v>7750</v>
      </c>
    </row>
    <row r="5288" customFormat="false" ht="12" hidden="false" customHeight="false" outlineLevel="0" collapsed="false">
      <c r="A5288" s="182" t="s">
        <v>7751</v>
      </c>
    </row>
    <row r="5289" customFormat="false" ht="12" hidden="false" customHeight="false" outlineLevel="0" collapsed="false">
      <c r="A5289" s="182" t="s">
        <v>7752</v>
      </c>
    </row>
    <row r="5290" customFormat="false" ht="12" hidden="false" customHeight="false" outlineLevel="0" collapsed="false">
      <c r="A5290" s="182" t="s">
        <v>7753</v>
      </c>
    </row>
    <row r="5291" customFormat="false" ht="12" hidden="false" customHeight="false" outlineLevel="0" collapsed="false">
      <c r="A5291" s="182" t="s">
        <v>7754</v>
      </c>
    </row>
    <row r="5292" customFormat="false" ht="12" hidden="false" customHeight="false" outlineLevel="0" collapsed="false">
      <c r="A5292" s="182" t="s">
        <v>7755</v>
      </c>
    </row>
    <row r="5293" customFormat="false" ht="12" hidden="false" customHeight="false" outlineLevel="0" collapsed="false">
      <c r="A5293" s="182" t="s">
        <v>7756</v>
      </c>
    </row>
    <row r="5294" customFormat="false" ht="12" hidden="false" customHeight="false" outlineLevel="0" collapsed="false">
      <c r="A5294" s="182" t="s">
        <v>7757</v>
      </c>
    </row>
    <row r="5295" customFormat="false" ht="12" hidden="false" customHeight="false" outlineLevel="0" collapsed="false">
      <c r="A5295" s="182" t="s">
        <v>7758</v>
      </c>
    </row>
    <row r="5296" customFormat="false" ht="12" hidden="false" customHeight="false" outlineLevel="0" collapsed="false">
      <c r="A5296" s="182" t="s">
        <v>7759</v>
      </c>
    </row>
    <row r="5297" customFormat="false" ht="12" hidden="false" customHeight="false" outlineLevel="0" collapsed="false">
      <c r="A5297" s="182" t="s">
        <v>7760</v>
      </c>
    </row>
    <row r="5298" customFormat="false" ht="12" hidden="false" customHeight="false" outlineLevel="0" collapsed="false">
      <c r="A5298" s="182" t="s">
        <v>7761</v>
      </c>
    </row>
    <row r="5299" customFormat="false" ht="12" hidden="false" customHeight="false" outlineLevel="0" collapsed="false">
      <c r="A5299" s="182" t="s">
        <v>7762</v>
      </c>
    </row>
    <row r="5300" customFormat="false" ht="12" hidden="false" customHeight="false" outlineLevel="0" collapsed="false">
      <c r="A5300" s="182" t="s">
        <v>7763</v>
      </c>
    </row>
    <row r="5301" customFormat="false" ht="12" hidden="false" customHeight="false" outlineLevel="0" collapsed="false">
      <c r="A5301" s="182" t="s">
        <v>7764</v>
      </c>
    </row>
    <row r="5302" customFormat="false" ht="12" hidden="false" customHeight="false" outlineLevel="0" collapsed="false">
      <c r="A5302" s="182" t="s">
        <v>7765</v>
      </c>
    </row>
    <row r="5303" customFormat="false" ht="12" hidden="false" customHeight="false" outlineLevel="0" collapsed="false">
      <c r="A5303" s="182" t="s">
        <v>7766</v>
      </c>
    </row>
    <row r="5304" customFormat="false" ht="12" hidden="false" customHeight="false" outlineLevel="0" collapsed="false">
      <c r="A5304" s="182" t="s">
        <v>7767</v>
      </c>
    </row>
    <row r="5305" customFormat="false" ht="12" hidden="false" customHeight="false" outlineLevel="0" collapsed="false">
      <c r="A5305" s="182" t="s">
        <v>7768</v>
      </c>
    </row>
    <row r="5306" customFormat="false" ht="12" hidden="false" customHeight="false" outlineLevel="0" collapsed="false">
      <c r="A5306" s="182" t="s">
        <v>7769</v>
      </c>
    </row>
    <row r="5307" customFormat="false" ht="12" hidden="false" customHeight="false" outlineLevel="0" collapsed="false">
      <c r="A5307" s="182" t="s">
        <v>7770</v>
      </c>
    </row>
    <row r="5308" customFormat="false" ht="12" hidden="false" customHeight="false" outlineLevel="0" collapsed="false">
      <c r="A5308" s="182" t="s">
        <v>7771</v>
      </c>
    </row>
    <row r="5309" customFormat="false" ht="12" hidden="false" customHeight="false" outlineLevel="0" collapsed="false">
      <c r="A5309" s="182" t="s">
        <v>7772</v>
      </c>
    </row>
    <row r="5310" customFormat="false" ht="12" hidden="false" customHeight="false" outlineLevel="0" collapsed="false">
      <c r="A5310" s="182" t="s">
        <v>7773</v>
      </c>
    </row>
    <row r="5311" customFormat="false" ht="12" hidden="false" customHeight="false" outlineLevel="0" collapsed="false">
      <c r="A5311" s="182" t="s">
        <v>7774</v>
      </c>
    </row>
    <row r="5312" customFormat="false" ht="12" hidden="false" customHeight="false" outlineLevel="0" collapsed="false">
      <c r="A5312" s="182" t="s">
        <v>7775</v>
      </c>
    </row>
    <row r="5313" customFormat="false" ht="12" hidden="false" customHeight="false" outlineLevel="0" collapsed="false">
      <c r="A5313" s="182" t="s">
        <v>7776</v>
      </c>
    </row>
    <row r="5314" customFormat="false" ht="12" hidden="false" customHeight="false" outlineLevel="0" collapsed="false">
      <c r="A5314" s="182" t="s">
        <v>7777</v>
      </c>
    </row>
    <row r="5315" customFormat="false" ht="12" hidden="false" customHeight="false" outlineLevel="0" collapsed="false">
      <c r="A5315" s="182" t="s">
        <v>7778</v>
      </c>
    </row>
    <row r="5316" customFormat="false" ht="12" hidden="false" customHeight="false" outlineLevel="0" collapsed="false">
      <c r="A5316" s="182" t="s">
        <v>7779</v>
      </c>
    </row>
    <row r="5317" customFormat="false" ht="12" hidden="false" customHeight="false" outlineLevel="0" collapsed="false">
      <c r="A5317" s="182" t="s">
        <v>7780</v>
      </c>
    </row>
    <row r="5318" customFormat="false" ht="12" hidden="false" customHeight="false" outlineLevel="0" collapsed="false">
      <c r="A5318" s="182" t="s">
        <v>7781</v>
      </c>
    </row>
    <row r="5319" customFormat="false" ht="12" hidden="false" customHeight="false" outlineLevel="0" collapsed="false">
      <c r="A5319" s="182" t="s">
        <v>7782</v>
      </c>
    </row>
    <row r="5320" customFormat="false" ht="12" hidden="false" customHeight="false" outlineLevel="0" collapsed="false">
      <c r="A5320" s="182" t="s">
        <v>7783</v>
      </c>
    </row>
    <row r="5321" customFormat="false" ht="12" hidden="false" customHeight="false" outlineLevel="0" collapsed="false">
      <c r="A5321" s="182" t="s">
        <v>7784</v>
      </c>
    </row>
    <row r="5322" customFormat="false" ht="12" hidden="false" customHeight="false" outlineLevel="0" collapsed="false">
      <c r="A5322" s="182" t="s">
        <v>7785</v>
      </c>
    </row>
    <row r="5323" customFormat="false" ht="12" hidden="false" customHeight="false" outlineLevel="0" collapsed="false">
      <c r="A5323" s="182" t="s">
        <v>7786</v>
      </c>
    </row>
    <row r="5324" customFormat="false" ht="12" hidden="false" customHeight="false" outlineLevel="0" collapsed="false">
      <c r="A5324" s="182" t="s">
        <v>7787</v>
      </c>
    </row>
    <row r="5325" customFormat="false" ht="12" hidden="false" customHeight="false" outlineLevel="0" collapsed="false">
      <c r="A5325" s="182" t="s">
        <v>7788</v>
      </c>
    </row>
    <row r="5326" customFormat="false" ht="12" hidden="false" customHeight="false" outlineLevel="0" collapsed="false">
      <c r="A5326" s="182" t="s">
        <v>7789</v>
      </c>
    </row>
    <row r="5327" customFormat="false" ht="12" hidden="false" customHeight="false" outlineLevel="0" collapsed="false">
      <c r="A5327" s="182" t="s">
        <v>7790</v>
      </c>
    </row>
    <row r="5328" customFormat="false" ht="12" hidden="false" customHeight="false" outlineLevel="0" collapsed="false">
      <c r="A5328" s="182" t="s">
        <v>7791</v>
      </c>
    </row>
    <row r="5329" customFormat="false" ht="12" hidden="false" customHeight="false" outlineLevel="0" collapsed="false">
      <c r="A5329" s="182" t="s">
        <v>7792</v>
      </c>
    </row>
    <row r="5330" customFormat="false" ht="12" hidden="false" customHeight="false" outlineLevel="0" collapsed="false">
      <c r="A5330" s="182" t="s">
        <v>7793</v>
      </c>
    </row>
    <row r="5331" customFormat="false" ht="12" hidden="false" customHeight="false" outlineLevel="0" collapsed="false">
      <c r="A5331" s="182" t="s">
        <v>7794</v>
      </c>
    </row>
    <row r="5332" customFormat="false" ht="12" hidden="false" customHeight="false" outlineLevel="0" collapsed="false">
      <c r="A5332" s="182" t="s">
        <v>7795</v>
      </c>
    </row>
    <row r="5333" customFormat="false" ht="12" hidden="false" customHeight="false" outlineLevel="0" collapsed="false">
      <c r="A5333" s="182" t="s">
        <v>7796</v>
      </c>
    </row>
    <row r="5334" customFormat="false" ht="12" hidden="false" customHeight="false" outlineLevel="0" collapsed="false">
      <c r="A5334" s="182" t="s">
        <v>7797</v>
      </c>
    </row>
    <row r="5335" customFormat="false" ht="12" hidden="false" customHeight="false" outlineLevel="0" collapsed="false">
      <c r="A5335" s="182" t="s">
        <v>7798</v>
      </c>
    </row>
    <row r="5336" customFormat="false" ht="12" hidden="false" customHeight="false" outlineLevel="0" collapsed="false">
      <c r="A5336" s="182" t="s">
        <v>7799</v>
      </c>
    </row>
    <row r="5337" customFormat="false" ht="12" hidden="false" customHeight="false" outlineLevel="0" collapsed="false">
      <c r="A5337" s="182" t="s">
        <v>7800</v>
      </c>
    </row>
    <row r="5338" customFormat="false" ht="12" hidden="false" customHeight="false" outlineLevel="0" collapsed="false">
      <c r="A5338" s="182" t="s">
        <v>7801</v>
      </c>
    </row>
    <row r="5339" customFormat="false" ht="12" hidden="false" customHeight="false" outlineLevel="0" collapsed="false">
      <c r="A5339" s="182" t="s">
        <v>7802</v>
      </c>
    </row>
    <row r="5340" customFormat="false" ht="12" hidden="false" customHeight="false" outlineLevel="0" collapsed="false">
      <c r="A5340" s="182" t="s">
        <v>7803</v>
      </c>
    </row>
    <row r="5341" customFormat="false" ht="12" hidden="false" customHeight="false" outlineLevel="0" collapsed="false">
      <c r="A5341" s="182" t="s">
        <v>7804</v>
      </c>
    </row>
    <row r="5342" customFormat="false" ht="12" hidden="false" customHeight="false" outlineLevel="0" collapsed="false">
      <c r="A5342" s="182" t="s">
        <v>7805</v>
      </c>
    </row>
    <row r="5343" customFormat="false" ht="12" hidden="false" customHeight="false" outlineLevel="0" collapsed="false">
      <c r="A5343" s="182" t="s">
        <v>7806</v>
      </c>
    </row>
    <row r="5344" customFormat="false" ht="12" hidden="false" customHeight="false" outlineLevel="0" collapsed="false">
      <c r="A5344" s="182" t="s">
        <v>7807</v>
      </c>
    </row>
    <row r="5345" customFormat="false" ht="12" hidden="false" customHeight="false" outlineLevel="0" collapsed="false">
      <c r="A5345" s="182" t="s">
        <v>7808</v>
      </c>
    </row>
    <row r="5346" customFormat="false" ht="12" hidden="false" customHeight="false" outlineLevel="0" collapsed="false">
      <c r="A5346" s="182" t="s">
        <v>7809</v>
      </c>
    </row>
    <row r="5347" customFormat="false" ht="12" hidden="false" customHeight="false" outlineLevel="0" collapsed="false">
      <c r="A5347" s="182" t="s">
        <v>7810</v>
      </c>
    </row>
    <row r="5348" customFormat="false" ht="12" hidden="false" customHeight="false" outlineLevel="0" collapsed="false">
      <c r="A5348" s="182" t="s">
        <v>7811</v>
      </c>
    </row>
    <row r="5349" customFormat="false" ht="12" hidden="false" customHeight="false" outlineLevel="0" collapsed="false">
      <c r="A5349" s="182" t="s">
        <v>7812</v>
      </c>
    </row>
    <row r="5350" customFormat="false" ht="12" hidden="false" customHeight="false" outlineLevel="0" collapsed="false">
      <c r="A5350" s="182" t="s">
        <v>7813</v>
      </c>
    </row>
    <row r="5351" customFormat="false" ht="12" hidden="false" customHeight="false" outlineLevel="0" collapsed="false">
      <c r="A5351" s="182" t="s">
        <v>7814</v>
      </c>
    </row>
    <row r="5352" customFormat="false" ht="12" hidden="false" customHeight="false" outlineLevel="0" collapsed="false">
      <c r="A5352" s="182" t="s">
        <v>7815</v>
      </c>
    </row>
    <row r="5353" customFormat="false" ht="12" hidden="false" customHeight="false" outlineLevel="0" collapsed="false">
      <c r="A5353" s="182" t="s">
        <v>7816</v>
      </c>
    </row>
    <row r="5354" customFormat="false" ht="12" hidden="false" customHeight="false" outlineLevel="0" collapsed="false">
      <c r="A5354" s="182" t="s">
        <v>7817</v>
      </c>
    </row>
    <row r="5355" customFormat="false" ht="12" hidden="false" customHeight="false" outlineLevel="0" collapsed="false">
      <c r="A5355" s="182" t="s">
        <v>7818</v>
      </c>
    </row>
    <row r="5356" customFormat="false" ht="12" hidden="false" customHeight="false" outlineLevel="0" collapsed="false">
      <c r="A5356" s="182" t="s">
        <v>7819</v>
      </c>
    </row>
    <row r="5357" customFormat="false" ht="12" hidden="false" customHeight="false" outlineLevel="0" collapsed="false">
      <c r="A5357" s="182" t="s">
        <v>7820</v>
      </c>
    </row>
    <row r="5358" customFormat="false" ht="12" hidden="false" customHeight="false" outlineLevel="0" collapsed="false">
      <c r="A5358" s="182" t="s">
        <v>7821</v>
      </c>
    </row>
    <row r="5359" customFormat="false" ht="12" hidden="false" customHeight="false" outlineLevel="0" collapsed="false">
      <c r="A5359" s="182" t="s">
        <v>7822</v>
      </c>
    </row>
    <row r="5360" customFormat="false" ht="12" hidden="false" customHeight="false" outlineLevel="0" collapsed="false">
      <c r="A5360" s="182" t="s">
        <v>7823</v>
      </c>
    </row>
    <row r="5361" customFormat="false" ht="12" hidden="false" customHeight="false" outlineLevel="0" collapsed="false">
      <c r="A5361" s="182" t="s">
        <v>7824</v>
      </c>
    </row>
    <row r="5362" customFormat="false" ht="12" hidden="false" customHeight="false" outlineLevel="0" collapsed="false">
      <c r="A5362" s="182" t="s">
        <v>7825</v>
      </c>
    </row>
    <row r="5363" customFormat="false" ht="12" hidden="false" customHeight="false" outlineLevel="0" collapsed="false">
      <c r="A5363" s="182" t="s">
        <v>7826</v>
      </c>
    </row>
    <row r="5364" customFormat="false" ht="12" hidden="false" customHeight="false" outlineLevel="0" collapsed="false">
      <c r="A5364" s="182" t="s">
        <v>7827</v>
      </c>
    </row>
    <row r="5365" customFormat="false" ht="12" hidden="false" customHeight="false" outlineLevel="0" collapsed="false">
      <c r="A5365" s="182" t="s">
        <v>7828</v>
      </c>
    </row>
    <row r="5366" customFormat="false" ht="12" hidden="false" customHeight="false" outlineLevel="0" collapsed="false">
      <c r="A5366" s="182" t="s">
        <v>7829</v>
      </c>
    </row>
    <row r="5367" customFormat="false" ht="12" hidden="false" customHeight="false" outlineLevel="0" collapsed="false">
      <c r="A5367" s="182" t="s">
        <v>7830</v>
      </c>
    </row>
    <row r="5368" customFormat="false" ht="12" hidden="false" customHeight="false" outlineLevel="0" collapsed="false">
      <c r="A5368" s="182" t="s">
        <v>7831</v>
      </c>
    </row>
    <row r="5369" customFormat="false" ht="12" hidden="false" customHeight="false" outlineLevel="0" collapsed="false">
      <c r="A5369" s="182" t="s">
        <v>7832</v>
      </c>
    </row>
    <row r="5370" customFormat="false" ht="12" hidden="false" customHeight="false" outlineLevel="0" collapsed="false">
      <c r="A5370" s="182" t="s">
        <v>7833</v>
      </c>
    </row>
    <row r="5371" customFormat="false" ht="12" hidden="false" customHeight="false" outlineLevel="0" collapsed="false">
      <c r="A5371" s="182" t="s">
        <v>7834</v>
      </c>
    </row>
    <row r="5372" customFormat="false" ht="12" hidden="false" customHeight="false" outlineLevel="0" collapsed="false">
      <c r="A5372" s="182" t="s">
        <v>7835</v>
      </c>
    </row>
    <row r="5373" customFormat="false" ht="12" hidden="false" customHeight="false" outlineLevel="0" collapsed="false">
      <c r="A5373" s="182" t="s">
        <v>7836</v>
      </c>
    </row>
    <row r="5374" customFormat="false" ht="12" hidden="false" customHeight="false" outlineLevel="0" collapsed="false">
      <c r="A5374" s="182" t="s">
        <v>7837</v>
      </c>
    </row>
    <row r="5375" customFormat="false" ht="12" hidden="false" customHeight="false" outlineLevel="0" collapsed="false">
      <c r="A5375" s="182" t="s">
        <v>7838</v>
      </c>
    </row>
    <row r="5376" customFormat="false" ht="12" hidden="false" customHeight="false" outlineLevel="0" collapsed="false">
      <c r="A5376" s="182" t="s">
        <v>7839</v>
      </c>
    </row>
    <row r="5377" customFormat="false" ht="12" hidden="false" customHeight="false" outlineLevel="0" collapsed="false">
      <c r="A5377" s="182" t="s">
        <v>7840</v>
      </c>
    </row>
    <row r="5378" customFormat="false" ht="12" hidden="false" customHeight="false" outlineLevel="0" collapsed="false">
      <c r="A5378" s="182" t="s">
        <v>7841</v>
      </c>
    </row>
    <row r="5379" customFormat="false" ht="12" hidden="false" customHeight="false" outlineLevel="0" collapsed="false">
      <c r="A5379" s="182" t="s">
        <v>7842</v>
      </c>
    </row>
    <row r="5380" customFormat="false" ht="12" hidden="false" customHeight="false" outlineLevel="0" collapsed="false">
      <c r="A5380" s="182" t="s">
        <v>7843</v>
      </c>
    </row>
    <row r="5381" customFormat="false" ht="12" hidden="false" customHeight="false" outlineLevel="0" collapsed="false">
      <c r="A5381" s="182" t="s">
        <v>7844</v>
      </c>
    </row>
    <row r="5382" customFormat="false" ht="12" hidden="false" customHeight="false" outlineLevel="0" collapsed="false">
      <c r="A5382" s="182" t="s">
        <v>7845</v>
      </c>
    </row>
    <row r="5383" customFormat="false" ht="12" hidden="false" customHeight="false" outlineLevel="0" collapsed="false">
      <c r="A5383" s="182" t="s">
        <v>7846</v>
      </c>
    </row>
    <row r="5384" customFormat="false" ht="12" hidden="false" customHeight="false" outlineLevel="0" collapsed="false">
      <c r="A5384" s="182" t="s">
        <v>7847</v>
      </c>
    </row>
    <row r="5385" customFormat="false" ht="12" hidden="false" customHeight="false" outlineLevel="0" collapsed="false">
      <c r="A5385" s="182" t="s">
        <v>7848</v>
      </c>
    </row>
    <row r="5386" customFormat="false" ht="12" hidden="false" customHeight="false" outlineLevel="0" collapsed="false">
      <c r="A5386" s="182" t="s">
        <v>7849</v>
      </c>
    </row>
    <row r="5387" customFormat="false" ht="12" hidden="false" customHeight="false" outlineLevel="0" collapsed="false">
      <c r="A5387" s="182" t="s">
        <v>7850</v>
      </c>
    </row>
    <row r="5388" customFormat="false" ht="12" hidden="false" customHeight="false" outlineLevel="0" collapsed="false">
      <c r="A5388" s="182" t="s">
        <v>7851</v>
      </c>
    </row>
    <row r="5389" customFormat="false" ht="12" hidden="false" customHeight="false" outlineLevel="0" collapsed="false">
      <c r="A5389" s="182" t="s">
        <v>7852</v>
      </c>
    </row>
    <row r="5390" customFormat="false" ht="12" hidden="false" customHeight="false" outlineLevel="0" collapsed="false">
      <c r="A5390" s="182" t="s">
        <v>7853</v>
      </c>
    </row>
    <row r="5391" customFormat="false" ht="12" hidden="false" customHeight="false" outlineLevel="0" collapsed="false">
      <c r="A5391" s="182" t="s">
        <v>7854</v>
      </c>
    </row>
    <row r="5392" customFormat="false" ht="12" hidden="false" customHeight="false" outlineLevel="0" collapsed="false">
      <c r="A5392" s="182" t="s">
        <v>7855</v>
      </c>
    </row>
    <row r="5393" customFormat="false" ht="12" hidden="false" customHeight="false" outlineLevel="0" collapsed="false">
      <c r="A5393" s="182" t="s">
        <v>7856</v>
      </c>
    </row>
    <row r="5394" customFormat="false" ht="12" hidden="false" customHeight="false" outlineLevel="0" collapsed="false">
      <c r="A5394" s="182" t="s">
        <v>7857</v>
      </c>
    </row>
    <row r="5395" customFormat="false" ht="12" hidden="false" customHeight="false" outlineLevel="0" collapsed="false">
      <c r="A5395" s="182" t="s">
        <v>7858</v>
      </c>
    </row>
    <row r="5396" customFormat="false" ht="12" hidden="false" customHeight="false" outlineLevel="0" collapsed="false">
      <c r="A5396" s="182" t="s">
        <v>7859</v>
      </c>
    </row>
    <row r="5397" customFormat="false" ht="12" hidden="false" customHeight="false" outlineLevel="0" collapsed="false">
      <c r="A5397" s="182" t="s">
        <v>7860</v>
      </c>
    </row>
    <row r="5398" customFormat="false" ht="12" hidden="false" customHeight="false" outlineLevel="0" collapsed="false">
      <c r="A5398" s="182" t="s">
        <v>7861</v>
      </c>
    </row>
    <row r="5399" customFormat="false" ht="12" hidden="false" customHeight="false" outlineLevel="0" collapsed="false">
      <c r="A5399" s="182" t="s">
        <v>7862</v>
      </c>
    </row>
    <row r="5400" customFormat="false" ht="12" hidden="false" customHeight="false" outlineLevel="0" collapsed="false">
      <c r="A5400" s="182" t="s">
        <v>7863</v>
      </c>
    </row>
    <row r="5401" customFormat="false" ht="12" hidden="false" customHeight="false" outlineLevel="0" collapsed="false">
      <c r="A5401" s="182" t="s">
        <v>7864</v>
      </c>
    </row>
    <row r="5402" customFormat="false" ht="12" hidden="false" customHeight="false" outlineLevel="0" collapsed="false">
      <c r="A5402" s="182" t="s">
        <v>7865</v>
      </c>
    </row>
    <row r="5403" customFormat="false" ht="12" hidden="false" customHeight="false" outlineLevel="0" collapsed="false">
      <c r="A5403" s="182" t="s">
        <v>7866</v>
      </c>
    </row>
    <row r="5404" customFormat="false" ht="12" hidden="false" customHeight="false" outlineLevel="0" collapsed="false">
      <c r="A5404" s="182" t="s">
        <v>7867</v>
      </c>
    </row>
    <row r="5405" customFormat="false" ht="12" hidden="false" customHeight="false" outlineLevel="0" collapsed="false">
      <c r="A5405" s="182" t="s">
        <v>7868</v>
      </c>
    </row>
    <row r="5406" customFormat="false" ht="12" hidden="false" customHeight="false" outlineLevel="0" collapsed="false">
      <c r="A5406" s="182" t="s">
        <v>7869</v>
      </c>
    </row>
    <row r="5407" customFormat="false" ht="12" hidden="false" customHeight="false" outlineLevel="0" collapsed="false">
      <c r="A5407" s="182" t="s">
        <v>7870</v>
      </c>
    </row>
    <row r="5408" customFormat="false" ht="12" hidden="false" customHeight="false" outlineLevel="0" collapsed="false">
      <c r="A5408" s="182" t="s">
        <v>7871</v>
      </c>
    </row>
    <row r="5409" customFormat="false" ht="12" hidden="false" customHeight="false" outlineLevel="0" collapsed="false">
      <c r="A5409" s="182" t="s">
        <v>7872</v>
      </c>
    </row>
    <row r="5410" customFormat="false" ht="12" hidden="false" customHeight="false" outlineLevel="0" collapsed="false">
      <c r="A5410" s="182" t="s">
        <v>7873</v>
      </c>
    </row>
    <row r="5411" customFormat="false" ht="12" hidden="false" customHeight="false" outlineLevel="0" collapsed="false">
      <c r="A5411" s="182" t="s">
        <v>7874</v>
      </c>
    </row>
    <row r="5412" customFormat="false" ht="12" hidden="false" customHeight="false" outlineLevel="0" collapsed="false">
      <c r="A5412" s="182" t="s">
        <v>7875</v>
      </c>
    </row>
    <row r="5413" customFormat="false" ht="12" hidden="false" customHeight="false" outlineLevel="0" collapsed="false">
      <c r="A5413" s="182" t="s">
        <v>7876</v>
      </c>
    </row>
    <row r="5414" customFormat="false" ht="12" hidden="false" customHeight="false" outlineLevel="0" collapsed="false">
      <c r="A5414" s="182" t="s">
        <v>7877</v>
      </c>
    </row>
    <row r="5415" customFormat="false" ht="12" hidden="false" customHeight="false" outlineLevel="0" collapsed="false">
      <c r="A5415" s="182" t="s">
        <v>7878</v>
      </c>
    </row>
    <row r="5416" customFormat="false" ht="12" hidden="false" customHeight="false" outlineLevel="0" collapsed="false">
      <c r="A5416" s="182" t="s">
        <v>7879</v>
      </c>
    </row>
    <row r="5417" customFormat="false" ht="12" hidden="false" customHeight="false" outlineLevel="0" collapsed="false">
      <c r="A5417" s="182" t="s">
        <v>7880</v>
      </c>
    </row>
    <row r="5418" customFormat="false" ht="12" hidden="false" customHeight="false" outlineLevel="0" collapsed="false">
      <c r="A5418" s="182" t="s">
        <v>7881</v>
      </c>
    </row>
    <row r="5419" customFormat="false" ht="12" hidden="false" customHeight="false" outlineLevel="0" collapsed="false">
      <c r="A5419" s="182" t="s">
        <v>7882</v>
      </c>
    </row>
    <row r="5420" customFormat="false" ht="12" hidden="false" customHeight="false" outlineLevel="0" collapsed="false">
      <c r="A5420" s="182" t="s">
        <v>7883</v>
      </c>
    </row>
    <row r="5421" customFormat="false" ht="12" hidden="false" customHeight="false" outlineLevel="0" collapsed="false">
      <c r="A5421" s="182" t="s">
        <v>7884</v>
      </c>
    </row>
    <row r="5422" customFormat="false" ht="12" hidden="false" customHeight="false" outlineLevel="0" collapsed="false">
      <c r="A5422" s="182" t="s">
        <v>7885</v>
      </c>
    </row>
    <row r="5423" customFormat="false" ht="12" hidden="false" customHeight="false" outlineLevel="0" collapsed="false">
      <c r="A5423" s="182" t="s">
        <v>7886</v>
      </c>
    </row>
    <row r="5424" customFormat="false" ht="12" hidden="false" customHeight="false" outlineLevel="0" collapsed="false">
      <c r="A5424" s="182" t="s">
        <v>7887</v>
      </c>
    </row>
    <row r="5425" customFormat="false" ht="12" hidden="false" customHeight="false" outlineLevel="0" collapsed="false">
      <c r="A5425" s="182" t="s">
        <v>7888</v>
      </c>
    </row>
    <row r="5426" customFormat="false" ht="12" hidden="false" customHeight="false" outlineLevel="0" collapsed="false">
      <c r="A5426" s="182" t="s">
        <v>7889</v>
      </c>
    </row>
    <row r="5427" customFormat="false" ht="12" hidden="false" customHeight="false" outlineLevel="0" collapsed="false">
      <c r="A5427" s="182" t="s">
        <v>7890</v>
      </c>
    </row>
    <row r="5428" customFormat="false" ht="12" hidden="false" customHeight="false" outlineLevel="0" collapsed="false">
      <c r="A5428" s="182" t="s">
        <v>7891</v>
      </c>
    </row>
    <row r="5429" customFormat="false" ht="12" hidden="false" customHeight="false" outlineLevel="0" collapsed="false">
      <c r="A5429" s="182" t="s">
        <v>7892</v>
      </c>
    </row>
    <row r="5430" customFormat="false" ht="12" hidden="false" customHeight="false" outlineLevel="0" collapsed="false">
      <c r="A5430" s="182" t="s">
        <v>7893</v>
      </c>
    </row>
    <row r="5431" customFormat="false" ht="12" hidden="false" customHeight="false" outlineLevel="0" collapsed="false">
      <c r="A5431" s="182" t="s">
        <v>7894</v>
      </c>
    </row>
    <row r="5432" customFormat="false" ht="12" hidden="false" customHeight="false" outlineLevel="0" collapsed="false">
      <c r="A5432" s="182" t="s">
        <v>7895</v>
      </c>
    </row>
    <row r="5433" customFormat="false" ht="12" hidden="false" customHeight="false" outlineLevel="0" collapsed="false">
      <c r="A5433" s="182" t="s">
        <v>7896</v>
      </c>
    </row>
    <row r="5434" customFormat="false" ht="12" hidden="false" customHeight="false" outlineLevel="0" collapsed="false">
      <c r="A5434" s="182" t="s">
        <v>7897</v>
      </c>
    </row>
    <row r="5435" customFormat="false" ht="12" hidden="false" customHeight="false" outlineLevel="0" collapsed="false">
      <c r="A5435" s="182" t="s">
        <v>7898</v>
      </c>
    </row>
    <row r="5436" customFormat="false" ht="12" hidden="false" customHeight="false" outlineLevel="0" collapsed="false">
      <c r="A5436" s="182" t="s">
        <v>7899</v>
      </c>
    </row>
    <row r="5437" customFormat="false" ht="12" hidden="false" customHeight="false" outlineLevel="0" collapsed="false">
      <c r="A5437" s="182" t="s">
        <v>7900</v>
      </c>
    </row>
    <row r="5438" customFormat="false" ht="12" hidden="false" customHeight="false" outlineLevel="0" collapsed="false">
      <c r="A5438" s="182" t="s">
        <v>7901</v>
      </c>
    </row>
    <row r="5439" customFormat="false" ht="12" hidden="false" customHeight="false" outlineLevel="0" collapsed="false">
      <c r="A5439" s="182" t="s">
        <v>7902</v>
      </c>
    </row>
    <row r="5440" customFormat="false" ht="12" hidden="false" customHeight="false" outlineLevel="0" collapsed="false">
      <c r="A5440" s="182" t="s">
        <v>7903</v>
      </c>
    </row>
    <row r="5441" customFormat="false" ht="12" hidden="false" customHeight="false" outlineLevel="0" collapsed="false">
      <c r="A5441" s="182" t="s">
        <v>7904</v>
      </c>
    </row>
    <row r="5442" customFormat="false" ht="12" hidden="false" customHeight="false" outlineLevel="0" collapsed="false">
      <c r="A5442" s="182" t="s">
        <v>7905</v>
      </c>
    </row>
    <row r="5443" customFormat="false" ht="12" hidden="false" customHeight="false" outlineLevel="0" collapsed="false">
      <c r="A5443" s="182" t="s">
        <v>7906</v>
      </c>
    </row>
    <row r="5444" customFormat="false" ht="12" hidden="false" customHeight="false" outlineLevel="0" collapsed="false">
      <c r="A5444" s="182" t="s">
        <v>7907</v>
      </c>
    </row>
    <row r="5445" customFormat="false" ht="12" hidden="false" customHeight="false" outlineLevel="0" collapsed="false">
      <c r="A5445" s="182" t="s">
        <v>7908</v>
      </c>
    </row>
    <row r="5446" customFormat="false" ht="12" hidden="false" customHeight="false" outlineLevel="0" collapsed="false">
      <c r="A5446" s="182" t="s">
        <v>7909</v>
      </c>
    </row>
    <row r="5447" customFormat="false" ht="12" hidden="false" customHeight="false" outlineLevel="0" collapsed="false">
      <c r="A5447" s="182" t="s">
        <v>7910</v>
      </c>
    </row>
    <row r="5448" customFormat="false" ht="12" hidden="false" customHeight="false" outlineLevel="0" collapsed="false">
      <c r="A5448" s="182" t="s">
        <v>7911</v>
      </c>
    </row>
    <row r="5449" customFormat="false" ht="12" hidden="false" customHeight="false" outlineLevel="0" collapsed="false">
      <c r="A5449" s="182" t="s">
        <v>7912</v>
      </c>
    </row>
    <row r="5450" customFormat="false" ht="12" hidden="false" customHeight="false" outlineLevel="0" collapsed="false">
      <c r="A5450" s="182" t="s">
        <v>7913</v>
      </c>
    </row>
    <row r="5451" customFormat="false" ht="12" hidden="false" customHeight="false" outlineLevel="0" collapsed="false">
      <c r="A5451" s="182" t="s">
        <v>7914</v>
      </c>
    </row>
    <row r="5452" customFormat="false" ht="12" hidden="false" customHeight="false" outlineLevel="0" collapsed="false">
      <c r="A5452" s="182" t="s">
        <v>7915</v>
      </c>
    </row>
    <row r="5453" customFormat="false" ht="12" hidden="false" customHeight="false" outlineLevel="0" collapsed="false">
      <c r="A5453" s="182" t="s">
        <v>7916</v>
      </c>
    </row>
    <row r="5454" customFormat="false" ht="12" hidden="false" customHeight="false" outlineLevel="0" collapsed="false">
      <c r="A5454" s="182" t="s">
        <v>7917</v>
      </c>
    </row>
    <row r="5455" customFormat="false" ht="12" hidden="false" customHeight="false" outlineLevel="0" collapsed="false">
      <c r="A5455" s="182" t="s">
        <v>7918</v>
      </c>
    </row>
    <row r="5456" customFormat="false" ht="12" hidden="false" customHeight="false" outlineLevel="0" collapsed="false">
      <c r="A5456" s="182" t="s">
        <v>7919</v>
      </c>
    </row>
    <row r="5457" customFormat="false" ht="12" hidden="false" customHeight="false" outlineLevel="0" collapsed="false">
      <c r="A5457" s="182" t="s">
        <v>7920</v>
      </c>
    </row>
    <row r="5458" customFormat="false" ht="12" hidden="false" customHeight="false" outlineLevel="0" collapsed="false">
      <c r="A5458" s="182" t="s">
        <v>7921</v>
      </c>
    </row>
    <row r="5459" customFormat="false" ht="12" hidden="false" customHeight="false" outlineLevel="0" collapsed="false">
      <c r="A5459" s="182" t="s">
        <v>7922</v>
      </c>
    </row>
    <row r="5460" customFormat="false" ht="12" hidden="false" customHeight="false" outlineLevel="0" collapsed="false">
      <c r="A5460" s="182" t="s">
        <v>7923</v>
      </c>
    </row>
    <row r="5461" customFormat="false" ht="12" hidden="false" customHeight="false" outlineLevel="0" collapsed="false">
      <c r="A5461" s="182" t="s">
        <v>7924</v>
      </c>
    </row>
    <row r="5462" customFormat="false" ht="12" hidden="false" customHeight="false" outlineLevel="0" collapsed="false">
      <c r="A5462" s="182" t="s">
        <v>7925</v>
      </c>
    </row>
    <row r="5463" customFormat="false" ht="12" hidden="false" customHeight="false" outlineLevel="0" collapsed="false">
      <c r="A5463" s="182" t="s">
        <v>7926</v>
      </c>
    </row>
    <row r="5464" customFormat="false" ht="12" hidden="false" customHeight="false" outlineLevel="0" collapsed="false">
      <c r="A5464" s="182" t="s">
        <v>7927</v>
      </c>
    </row>
    <row r="5465" customFormat="false" ht="12" hidden="false" customHeight="false" outlineLevel="0" collapsed="false">
      <c r="A5465" s="182" t="s">
        <v>7928</v>
      </c>
    </row>
    <row r="5466" customFormat="false" ht="12" hidden="false" customHeight="false" outlineLevel="0" collapsed="false">
      <c r="A5466" s="182" t="s">
        <v>7929</v>
      </c>
    </row>
    <row r="5467" customFormat="false" ht="12" hidden="false" customHeight="false" outlineLevel="0" collapsed="false">
      <c r="A5467" s="182" t="s">
        <v>7930</v>
      </c>
    </row>
    <row r="5468" customFormat="false" ht="12" hidden="false" customHeight="false" outlineLevel="0" collapsed="false">
      <c r="A5468" s="182" t="s">
        <v>7931</v>
      </c>
    </row>
    <row r="5469" customFormat="false" ht="12" hidden="false" customHeight="false" outlineLevel="0" collapsed="false">
      <c r="A5469" s="182" t="s">
        <v>7932</v>
      </c>
    </row>
    <row r="5470" customFormat="false" ht="12" hidden="false" customHeight="false" outlineLevel="0" collapsed="false">
      <c r="A5470" s="182" t="s">
        <v>7933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1" zoomScaleNormal="121" zoomScalePageLayoutView="100" workbookViewId="0">
      <selection pane="topLeft" activeCell="E15" activeCellId="1" sqref="A26:A49 E15"/>
    </sheetView>
  </sheetViews>
  <sheetFormatPr defaultColWidth="11.43359375" defaultRowHeight="12.75" customHeight="true" zeroHeight="false" outlineLevelRow="0" outlineLevelCol="0"/>
  <cols>
    <col collapsed="false" customWidth="true" hidden="false" outlineLevel="0" max="1" min="1" style="183" width="17.71"/>
    <col collapsed="false" customWidth="true" hidden="false" outlineLevel="0" max="2" min="2" style="183" width="19.43"/>
    <col collapsed="false" customWidth="true" hidden="false" outlineLevel="0" max="255" min="3" style="183" width="9.14"/>
    <col collapsed="false" customWidth="false" hidden="false" outlineLevel="0" max="16384" min="256" style="183" width="11.4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10" activeCellId="1" sqref="A26:A49 J10"/>
    </sheetView>
  </sheetViews>
  <sheetFormatPr defaultColWidth="11.43359375" defaultRowHeight="15" customHeight="true" zeroHeight="false" outlineLevelRow="0" outlineLevelCol="0"/>
  <cols>
    <col collapsed="false" customWidth="true" hidden="false" outlineLevel="0" max="1" min="1" style="184" width="28"/>
    <col collapsed="false" customWidth="false" hidden="false" outlineLevel="0" max="6" min="2" style="184" width="11.43"/>
    <col collapsed="false" customWidth="false" hidden="false" outlineLevel="0" max="16384" min="7" style="185" width="11.43"/>
  </cols>
  <sheetData>
    <row r="3" customFormat="false" ht="15" hidden="false" customHeight="false" outlineLevel="0" collapsed="false">
      <c r="A3" s="186" t="s">
        <v>7934</v>
      </c>
      <c r="B3" s="186"/>
      <c r="C3" s="187" t="s">
        <v>7935</v>
      </c>
      <c r="D3" s="187" t="s">
        <v>7936</v>
      </c>
      <c r="E3" s="187" t="s">
        <v>7937</v>
      </c>
    </row>
    <row r="4" customFormat="false" ht="15" hidden="false" customHeight="false" outlineLevel="0" collapsed="false">
      <c r="A4" s="186"/>
      <c r="B4" s="186"/>
      <c r="C4" s="188" t="n">
        <v>0.58</v>
      </c>
      <c r="D4" s="188" t="n">
        <v>0.24</v>
      </c>
      <c r="E4" s="188" t="n">
        <v>0.18</v>
      </c>
    </row>
    <row r="8" customFormat="false" ht="15" hidden="false" customHeight="false" outlineLevel="0" collapsed="false">
      <c r="A8" s="189" t="s">
        <v>7938</v>
      </c>
      <c r="B8" s="190" t="s">
        <v>7939</v>
      </c>
      <c r="F8" s="185"/>
    </row>
    <row r="9" customFormat="false" ht="15" hidden="false" customHeight="false" outlineLevel="0" collapsed="false">
      <c r="A9" s="191" t="s">
        <v>7940</v>
      </c>
      <c r="B9" s="192" t="s">
        <v>7941</v>
      </c>
      <c r="F9" s="185"/>
    </row>
    <row r="10" customFormat="false" ht="15" hidden="false" customHeight="false" outlineLevel="0" collapsed="false">
      <c r="A10" s="191" t="s">
        <v>7942</v>
      </c>
      <c r="B10" s="192" t="s">
        <v>7943</v>
      </c>
      <c r="F10" s="185"/>
    </row>
    <row r="11" customFormat="false" ht="15" hidden="false" customHeight="false" outlineLevel="0" collapsed="false">
      <c r="A11" s="191" t="s">
        <v>7944</v>
      </c>
      <c r="B11" s="192" t="s">
        <v>7945</v>
      </c>
      <c r="F11" s="185"/>
    </row>
    <row r="12" customFormat="false" ht="15" hidden="false" customHeight="false" outlineLevel="0" collapsed="false">
      <c r="A12" s="189" t="s">
        <v>7946</v>
      </c>
      <c r="B12" s="193" t="s">
        <v>7947</v>
      </c>
      <c r="F12" s="185"/>
    </row>
    <row r="13" customFormat="false" ht="15" hidden="false" customHeight="false" outlineLevel="0" collapsed="false">
      <c r="A13" s="194" t="s">
        <v>7948</v>
      </c>
      <c r="B13" s="195"/>
      <c r="C13" s="195"/>
    </row>
  </sheetData>
  <mergeCells count="1">
    <mergeCell ref="A3:B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0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X30" activeCellId="1" sqref="A26:A49 X30"/>
    </sheetView>
  </sheetViews>
  <sheetFormatPr defaultColWidth="11.43359375" defaultRowHeight="12.75" customHeight="true" zeroHeight="false" outlineLevelRow="0" outlineLevelCol="0"/>
  <cols>
    <col collapsed="false" customWidth="true" hidden="false" outlineLevel="0" max="1" min="1" style="196" width="11.71"/>
    <col collapsed="false" customWidth="true" hidden="false" outlineLevel="0" max="2" min="2" style="196" width="10.14"/>
    <col collapsed="false" customWidth="true" hidden="false" outlineLevel="0" max="4" min="3" style="196" width="3"/>
    <col collapsed="false" customWidth="true" hidden="false" outlineLevel="0" max="5" min="5" style="196" width="8.86"/>
    <col collapsed="false" customWidth="true" hidden="false" outlineLevel="0" max="6" min="6" style="196" width="11.14"/>
    <col collapsed="false" customWidth="true" hidden="false" outlineLevel="0" max="7" min="7" style="196" width="6.29"/>
    <col collapsed="false" customWidth="true" hidden="false" outlineLevel="0" max="8" min="8" style="196" width="4.14"/>
    <col collapsed="false" customWidth="true" hidden="false" outlineLevel="0" max="9" min="9" style="196" width="8.43"/>
    <col collapsed="false" customWidth="true" hidden="false" outlineLevel="0" max="10" min="10" style="196" width="12"/>
    <col collapsed="false" customWidth="true" hidden="false" outlineLevel="0" max="11" min="11" style="196" width="4.14"/>
    <col collapsed="false" customWidth="true" hidden="false" outlineLevel="0" max="12" min="12" style="196" width="12"/>
    <col collapsed="false" customWidth="true" hidden="false" outlineLevel="0" max="13" min="13" style="196" width="14.29"/>
    <col collapsed="false" customWidth="true" hidden="false" outlineLevel="0" max="14" min="14" style="196" width="11.14"/>
    <col collapsed="false" customWidth="true" hidden="false" outlineLevel="0" max="15" min="15" style="196" width="9.86"/>
    <col collapsed="false" customWidth="true" hidden="false" outlineLevel="0" max="16" min="16" style="196" width="14.43"/>
    <col collapsed="false" customWidth="true" hidden="false" outlineLevel="0" max="17" min="17" style="196" width="11.29"/>
    <col collapsed="false" customWidth="true" hidden="false" outlineLevel="0" max="18" min="18" style="196" width="10.43"/>
    <col collapsed="false" customWidth="true" hidden="false" outlineLevel="0" max="19" min="19" style="197" width="13"/>
    <col collapsed="false" customWidth="false" hidden="false" outlineLevel="0" max="20" min="20" style="197" width="11.43"/>
    <col collapsed="false" customWidth="true" hidden="false" outlineLevel="0" max="21" min="21" style="196" width="12.43"/>
    <col collapsed="false" customWidth="true" hidden="false" outlineLevel="0" max="22" min="22" style="196" width="11.86"/>
    <col collapsed="false" customWidth="false" hidden="false" outlineLevel="0" max="23" min="23" style="197" width="11.43"/>
    <col collapsed="false" customWidth="true" hidden="false" outlineLevel="0" max="24" min="24" style="197" width="15.86"/>
    <col collapsed="false" customWidth="false" hidden="false" outlineLevel="0" max="16384" min="25" style="197" width="11.43"/>
  </cols>
  <sheetData>
    <row r="1" customFormat="false" ht="15" hidden="false" customHeight="false" outlineLevel="0" collapsed="false">
      <c r="A1" s="198"/>
      <c r="B1" s="198"/>
      <c r="C1" s="198"/>
      <c r="D1" s="198"/>
      <c r="E1" s="198"/>
      <c r="F1" s="198"/>
      <c r="G1" s="198"/>
      <c r="H1" s="199" t="s">
        <v>7949</v>
      </c>
      <c r="I1" s="199"/>
      <c r="J1" s="199"/>
      <c r="K1" s="200" t="s">
        <v>7950</v>
      </c>
      <c r="L1" s="200"/>
      <c r="M1" s="200"/>
      <c r="N1" s="200"/>
      <c r="O1" s="200"/>
      <c r="P1" s="200"/>
      <c r="Q1" s="200"/>
      <c r="R1" s="200"/>
      <c r="S1" s="201" t="s">
        <v>7951</v>
      </c>
      <c r="T1" s="201"/>
      <c r="U1" s="202" t="s">
        <v>7952</v>
      </c>
      <c r="V1" s="202"/>
      <c r="W1" s="202"/>
      <c r="X1" s="203"/>
      <c r="Y1" s="204"/>
    </row>
    <row r="2" customFormat="false" ht="12.75" hidden="false" customHeight="false" outlineLevel="0" collapsed="false">
      <c r="A2" s="205" t="s">
        <v>7953</v>
      </c>
      <c r="B2" s="205" t="s">
        <v>213</v>
      </c>
      <c r="C2" s="205" t="s">
        <v>22</v>
      </c>
      <c r="D2" s="205" t="s">
        <v>21</v>
      </c>
      <c r="E2" s="205" t="s">
        <v>7954</v>
      </c>
      <c r="F2" s="205" t="s">
        <v>7955</v>
      </c>
      <c r="G2" s="206" t="s">
        <v>7956</v>
      </c>
      <c r="H2" s="207" t="s">
        <v>7957</v>
      </c>
      <c r="I2" s="205" t="s">
        <v>7958</v>
      </c>
      <c r="J2" s="208" t="s">
        <v>7959</v>
      </c>
      <c r="K2" s="209" t="s">
        <v>7957</v>
      </c>
      <c r="L2" s="205" t="s">
        <v>7960</v>
      </c>
      <c r="M2" s="205" t="s">
        <v>7961</v>
      </c>
      <c r="N2" s="205" t="s">
        <v>7962</v>
      </c>
      <c r="O2" s="205" t="s">
        <v>7963</v>
      </c>
      <c r="P2" s="205" t="s">
        <v>7964</v>
      </c>
      <c r="Q2" s="205" t="s">
        <v>7965</v>
      </c>
      <c r="R2" s="208" t="s">
        <v>7966</v>
      </c>
      <c r="S2" s="209" t="s">
        <v>7967</v>
      </c>
      <c r="T2" s="205" t="s">
        <v>7968</v>
      </c>
      <c r="U2" s="210" t="s">
        <v>7969</v>
      </c>
      <c r="V2" s="210" t="s">
        <v>7970</v>
      </c>
      <c r="W2" s="211" t="s">
        <v>7971</v>
      </c>
      <c r="X2" s="205" t="s">
        <v>7972</v>
      </c>
      <c r="Y2" s="212" t="s">
        <v>7973</v>
      </c>
    </row>
    <row r="3" s="229" customFormat="true" ht="12.75" hidden="false" customHeight="false" outlineLevel="0" collapsed="false">
      <c r="A3" s="213" t="s">
        <v>7974</v>
      </c>
      <c r="B3" s="214" t="n">
        <v>40875</v>
      </c>
      <c r="C3" s="215"/>
      <c r="D3" s="216"/>
      <c r="E3" s="217" t="s">
        <v>665</v>
      </c>
      <c r="F3" s="217" t="s">
        <v>661</v>
      </c>
      <c r="G3" s="218"/>
      <c r="H3" s="219"/>
      <c r="I3" s="220" t="s">
        <v>759</v>
      </c>
      <c r="J3" s="221" t="e">
        <f aca="false">I3*L3</f>
        <v>#VALUE!</v>
      </c>
      <c r="K3" s="222" t="n">
        <v>8</v>
      </c>
      <c r="L3" s="216" t="n">
        <f aca="false">R3/O3</f>
        <v>0.0969498732521057</v>
      </c>
      <c r="M3" s="223" t="n">
        <v>582.5</v>
      </c>
      <c r="N3" s="223" t="n">
        <v>28.95</v>
      </c>
      <c r="O3" s="224" t="n">
        <f aca="false">M3+N3</f>
        <v>611.45</v>
      </c>
      <c r="P3" s="225" t="n">
        <v>55.07</v>
      </c>
      <c r="Q3" s="225" t="n">
        <v>4.21</v>
      </c>
      <c r="R3" s="225" t="n">
        <v>59.28</v>
      </c>
      <c r="S3" s="226" t="n">
        <v>2.964</v>
      </c>
      <c r="T3" s="226" t="n">
        <f aca="false">MIN(4.63,4.48*S3^(-0.25))</f>
        <v>3.41435335088452</v>
      </c>
      <c r="U3" s="227" t="n">
        <v>4.06612901523149</v>
      </c>
      <c r="V3" s="227" t="n">
        <v>3.97067195808775</v>
      </c>
      <c r="W3" s="228"/>
      <c r="X3" s="229" t="n">
        <v>3.65341478460042</v>
      </c>
      <c r="Y3" s="228" t="n">
        <f aca="false">X3/T3</f>
        <v>1.07001660611781</v>
      </c>
    </row>
    <row r="4" s="229" customFormat="true" ht="12.75" hidden="false" customHeight="false" outlineLevel="0" collapsed="false">
      <c r="A4" s="213" t="s">
        <v>7974</v>
      </c>
      <c r="B4" s="214" t="n">
        <v>40875</v>
      </c>
      <c r="C4" s="215"/>
      <c r="D4" s="216"/>
      <c r="E4" s="217" t="s">
        <v>665</v>
      </c>
      <c r="F4" s="217" t="s">
        <v>661</v>
      </c>
      <c r="G4" s="218"/>
      <c r="H4" s="219"/>
      <c r="I4" s="220" t="s">
        <v>759</v>
      </c>
      <c r="J4" s="221" t="e">
        <f aca="false">I4*L4</f>
        <v>#VALUE!</v>
      </c>
      <c r="K4" s="222" t="n">
        <v>8</v>
      </c>
      <c r="L4" s="216" t="n">
        <f aca="false">R4/O4</f>
        <v>0.106702670465841</v>
      </c>
      <c r="M4" s="223" t="n">
        <v>583.4</v>
      </c>
      <c r="N4" s="223" t="n">
        <v>20.24</v>
      </c>
      <c r="O4" s="224" t="n">
        <f aca="false">M4+N4</f>
        <v>603.64</v>
      </c>
      <c r="P4" s="223" t="n">
        <v>61.12</v>
      </c>
      <c r="Q4" s="223" t="n">
        <v>3.29</v>
      </c>
      <c r="R4" s="225" t="n">
        <v>64.41</v>
      </c>
      <c r="S4" s="226" t="n">
        <v>3.2205</v>
      </c>
      <c r="T4" s="226" t="n">
        <f aca="false">MIN(4.63,4.48*S4^(-0.25))</f>
        <v>3.34423808272661</v>
      </c>
      <c r="U4" s="230" t="n">
        <v>3.60760986406414</v>
      </c>
      <c r="V4" s="230" t="n">
        <v>3.6727918367347</v>
      </c>
      <c r="W4" s="228"/>
      <c r="X4" s="229" t="n">
        <v>3.34011884849982</v>
      </c>
      <c r="Y4" s="228" t="n">
        <f aca="false">X4/T4</f>
        <v>0.998768259279127</v>
      </c>
    </row>
    <row r="5" s="229" customFormat="true" ht="12.75" hidden="false" customHeight="false" outlineLevel="0" collapsed="false">
      <c r="A5" s="213" t="s">
        <v>7974</v>
      </c>
      <c r="B5" s="214" t="n">
        <v>40875</v>
      </c>
      <c r="C5" s="215"/>
      <c r="D5" s="216"/>
      <c r="E5" s="217" t="s">
        <v>665</v>
      </c>
      <c r="F5" s="217" t="s">
        <v>661</v>
      </c>
      <c r="G5" s="218"/>
      <c r="H5" s="219"/>
      <c r="I5" s="220" t="s">
        <v>759</v>
      </c>
      <c r="J5" s="221" t="e">
        <f aca="false">I5*L5</f>
        <v>#VALUE!</v>
      </c>
      <c r="K5" s="222" t="n">
        <v>9</v>
      </c>
      <c r="L5" s="216" t="n">
        <f aca="false">R5/O5</f>
        <v>0.091588785046729</v>
      </c>
      <c r="M5" s="223" t="n">
        <v>533.1</v>
      </c>
      <c r="N5" s="223" t="n">
        <v>23.3</v>
      </c>
      <c r="O5" s="224" t="n">
        <f aca="false">M5+N5</f>
        <v>556.4</v>
      </c>
      <c r="P5" s="223" t="n">
        <v>47.71</v>
      </c>
      <c r="Q5" s="223" t="n">
        <v>3.25</v>
      </c>
      <c r="R5" s="225" t="n">
        <v>50.96</v>
      </c>
      <c r="S5" s="226" t="n">
        <v>2.548</v>
      </c>
      <c r="T5" s="226" t="n">
        <f aca="false">MIN(4.63,4.48*S5^(-0.25))</f>
        <v>3.54591367136674</v>
      </c>
      <c r="U5" s="230" t="n">
        <v>4.04758920786377</v>
      </c>
      <c r="V5" s="230" t="n">
        <v>4.1265418747599</v>
      </c>
      <c r="W5" s="228"/>
      <c r="X5" s="229" t="n">
        <v>3.87250781205584</v>
      </c>
      <c r="Y5" s="228" t="n">
        <f aca="false">X5/T5</f>
        <v>1.09210436884754</v>
      </c>
    </row>
    <row r="6" s="229" customFormat="true" ht="12.75" hidden="false" customHeight="false" outlineLevel="0" collapsed="false">
      <c r="A6" s="213" t="s">
        <v>7974</v>
      </c>
      <c r="B6" s="214" t="n">
        <v>40875</v>
      </c>
      <c r="C6" s="215"/>
      <c r="D6" s="216"/>
      <c r="E6" s="217" t="s">
        <v>665</v>
      </c>
      <c r="F6" s="217" t="s">
        <v>661</v>
      </c>
      <c r="G6" s="218"/>
      <c r="H6" s="219"/>
      <c r="I6" s="220" t="s">
        <v>759</v>
      </c>
      <c r="J6" s="221" t="e">
        <f aca="false">I6*L6</f>
        <v>#VALUE!</v>
      </c>
      <c r="K6" s="222" t="n">
        <v>9</v>
      </c>
      <c r="L6" s="216" t="n">
        <f aca="false">R6/O6</f>
        <v>0.0900124367388654</v>
      </c>
      <c r="M6" s="223" t="n">
        <v>773.58</v>
      </c>
      <c r="N6" s="223" t="n">
        <v>38.53</v>
      </c>
      <c r="O6" s="224" t="n">
        <f aca="false">M6+N6</f>
        <v>812.11</v>
      </c>
      <c r="P6" s="223" t="n">
        <v>67.5</v>
      </c>
      <c r="Q6" s="223" t="n">
        <v>5.6</v>
      </c>
      <c r="R6" s="225" t="n">
        <v>73.1</v>
      </c>
      <c r="S6" s="226" t="n">
        <v>3.655</v>
      </c>
      <c r="T6" s="226" t="n">
        <f aca="false">MIN(4.63,4.48*S6^(-0.25))</f>
        <v>3.24008324743344</v>
      </c>
      <c r="U6" s="230" t="n">
        <v>4.32865734704113</v>
      </c>
      <c r="V6" s="230" t="n">
        <v>4.46417558563249</v>
      </c>
      <c r="W6" s="228"/>
      <c r="X6" s="229" t="n">
        <v>3.85692359574183</v>
      </c>
      <c r="Y6" s="228" t="n">
        <f aca="false">X6/T6</f>
        <v>1.19037793204758</v>
      </c>
    </row>
    <row r="7" s="229" customFormat="true" ht="12.75" hidden="false" customHeight="false" outlineLevel="0" collapsed="false">
      <c r="A7" s="213" t="s">
        <v>7974</v>
      </c>
      <c r="B7" s="214" t="n">
        <v>40875</v>
      </c>
      <c r="C7" s="215"/>
      <c r="D7" s="216"/>
      <c r="E7" s="217" t="s">
        <v>665</v>
      </c>
      <c r="F7" s="217" t="s">
        <v>661</v>
      </c>
      <c r="G7" s="218"/>
      <c r="H7" s="219"/>
      <c r="I7" s="220" t="s">
        <v>759</v>
      </c>
      <c r="J7" s="221" t="e">
        <f aca="false">I7*L7</f>
        <v>#VALUE!</v>
      </c>
      <c r="K7" s="222" t="n">
        <v>7</v>
      </c>
      <c r="L7" s="216" t="n">
        <f aca="false">R7/O7</f>
        <v>0.0941211079629028</v>
      </c>
      <c r="M7" s="223" t="n">
        <v>618.12</v>
      </c>
      <c r="N7" s="223" t="n">
        <v>27.75</v>
      </c>
      <c r="O7" s="224" t="n">
        <f aca="false">M7+N7</f>
        <v>645.87</v>
      </c>
      <c r="P7" s="223" t="n">
        <v>56.81</v>
      </c>
      <c r="Q7" s="223" t="n">
        <v>3.98</v>
      </c>
      <c r="R7" s="225" t="n">
        <v>60.79</v>
      </c>
      <c r="S7" s="226" t="n">
        <v>3.0395</v>
      </c>
      <c r="T7" s="226" t="n">
        <f aca="false">MIN(4.63,4.48*S7^(-0.25))</f>
        <v>3.39295013539008</v>
      </c>
      <c r="U7" s="230" t="n">
        <v>3.98186568047337</v>
      </c>
      <c r="V7" s="230" t="n">
        <v>3.89363690943202</v>
      </c>
      <c r="W7" s="228"/>
      <c r="X7" s="229" t="n">
        <v>3.86248667922162</v>
      </c>
      <c r="Y7" s="228" t="n">
        <f aca="false">X7/T7</f>
        <v>1.13838592525544</v>
      </c>
    </row>
    <row r="8" s="229" customFormat="true" ht="12.75" hidden="false" customHeight="false" outlineLevel="0" collapsed="false">
      <c r="A8" s="213" t="s">
        <v>7974</v>
      </c>
      <c r="B8" s="214" t="n">
        <v>40875</v>
      </c>
      <c r="C8" s="215"/>
      <c r="D8" s="216"/>
      <c r="E8" s="217" t="s">
        <v>665</v>
      </c>
      <c r="F8" s="217" t="s">
        <v>663</v>
      </c>
      <c r="G8" s="218"/>
      <c r="H8" s="219"/>
      <c r="I8" s="220" t="s">
        <v>759</v>
      </c>
      <c r="J8" s="221" t="e">
        <f aca="false">I8*L8</f>
        <v>#VALUE!</v>
      </c>
      <c r="K8" s="222" t="n">
        <v>7</v>
      </c>
      <c r="L8" s="216" t="n">
        <f aca="false">R8/O8</f>
        <v>0.0996806185913599</v>
      </c>
      <c r="M8" s="223" t="n">
        <v>450.48</v>
      </c>
      <c r="N8" s="223" t="n">
        <v>25.44</v>
      </c>
      <c r="O8" s="224" t="n">
        <f aca="false">M8+N8</f>
        <v>475.92</v>
      </c>
      <c r="P8" s="223" t="n">
        <v>43.33</v>
      </c>
      <c r="Q8" s="223" t="n">
        <v>4.11</v>
      </c>
      <c r="R8" s="225" t="n">
        <v>47.44</v>
      </c>
      <c r="S8" s="226" t="n">
        <v>2.372</v>
      </c>
      <c r="T8" s="226" t="n">
        <f aca="false">MIN(4.63,4.48*S8^(-0.25))</f>
        <v>3.60993467330271</v>
      </c>
      <c r="U8" s="230" t="n">
        <v>4.20111581697143</v>
      </c>
      <c r="V8" s="230" t="n">
        <v>4.34336828946283</v>
      </c>
      <c r="W8" s="228"/>
      <c r="X8" s="229" t="n">
        <v>3.85228796953147</v>
      </c>
      <c r="Y8" s="228" t="n">
        <f aca="false">X8/T8</f>
        <v>1.06713509195086</v>
      </c>
    </row>
    <row r="9" s="229" customFormat="true" ht="12.75" hidden="false" customHeight="false" outlineLevel="0" collapsed="false">
      <c r="A9" s="213" t="s">
        <v>7974</v>
      </c>
      <c r="B9" s="214" t="n">
        <v>40875</v>
      </c>
      <c r="C9" s="215"/>
      <c r="D9" s="216"/>
      <c r="E9" s="217" t="s">
        <v>665</v>
      </c>
      <c r="F9" s="217" t="s">
        <v>663</v>
      </c>
      <c r="G9" s="218"/>
      <c r="H9" s="219"/>
      <c r="I9" s="220" t="s">
        <v>759</v>
      </c>
      <c r="J9" s="221" t="e">
        <f aca="false">I9*L9</f>
        <v>#VALUE!</v>
      </c>
      <c r="K9" s="222" t="n">
        <v>8</v>
      </c>
      <c r="L9" s="216" t="n">
        <f aca="false">R9/O9</f>
        <v>0.106091553526373</v>
      </c>
      <c r="M9" s="223" t="n">
        <v>549.55</v>
      </c>
      <c r="N9" s="223" t="n">
        <v>33.06</v>
      </c>
      <c r="O9" s="224" t="n">
        <f aca="false">M9+N9</f>
        <v>582.61</v>
      </c>
      <c r="P9" s="223" t="n">
        <v>56.08</v>
      </c>
      <c r="Q9" s="223" t="n">
        <v>5.73</v>
      </c>
      <c r="R9" s="225" t="n">
        <v>61.81</v>
      </c>
      <c r="S9" s="226" t="n">
        <v>3.0905</v>
      </c>
      <c r="T9" s="226" t="n">
        <f aca="false">MIN(4.63,4.48*S9^(-0.25))</f>
        <v>3.37886489732401</v>
      </c>
      <c r="U9" s="230" t="n">
        <v>3.70620236770897</v>
      </c>
      <c r="V9" s="230" t="n">
        <v>3.83447514128333</v>
      </c>
      <c r="W9" s="228"/>
      <c r="X9" s="229" t="n">
        <v>3.25333198387135</v>
      </c>
      <c r="Y9" s="228" t="n">
        <f aca="false">X9/T9</f>
        <v>0.962847607919429</v>
      </c>
    </row>
    <row r="10" s="229" customFormat="true" ht="12.75" hidden="false" customHeight="false" outlineLevel="0" collapsed="false">
      <c r="A10" s="213" t="s">
        <v>7974</v>
      </c>
      <c r="B10" s="214" t="n">
        <v>40875</v>
      </c>
      <c r="C10" s="215"/>
      <c r="D10" s="216"/>
      <c r="E10" s="217" t="s">
        <v>665</v>
      </c>
      <c r="F10" s="217" t="s">
        <v>663</v>
      </c>
      <c r="G10" s="218"/>
      <c r="H10" s="219"/>
      <c r="I10" s="220" t="s">
        <v>759</v>
      </c>
      <c r="J10" s="221" t="e">
        <f aca="false">I10*L10</f>
        <v>#VALUE!</v>
      </c>
      <c r="K10" s="222" t="n">
        <v>7</v>
      </c>
      <c r="L10" s="216" t="n">
        <f aca="false">R10/O10</f>
        <v>0.105351693920663</v>
      </c>
      <c r="M10" s="223" t="n">
        <v>476.9</v>
      </c>
      <c r="N10" s="223" t="n">
        <v>34.34</v>
      </c>
      <c r="O10" s="224" t="n">
        <f aca="false">M10+N10</f>
        <v>511.24</v>
      </c>
      <c r="P10" s="223" t="n">
        <v>48.23</v>
      </c>
      <c r="Q10" s="223" t="n">
        <v>5.63</v>
      </c>
      <c r="R10" s="225" t="n">
        <v>53.86</v>
      </c>
      <c r="S10" s="226" t="n">
        <v>2.693</v>
      </c>
      <c r="T10" s="226" t="n">
        <f aca="false">MIN(4.63,4.48*S10^(-0.25))</f>
        <v>3.49718756623435</v>
      </c>
      <c r="U10" s="230" t="n">
        <v>3.75186867893323</v>
      </c>
      <c r="V10" s="230" t="n">
        <v>4.00785214044798</v>
      </c>
      <c r="W10" s="228"/>
      <c r="X10" s="229" t="n">
        <v>4.1025089860249</v>
      </c>
      <c r="Y10" s="228" t="n">
        <f aca="false">X10/T10</f>
        <v>1.17308806242907</v>
      </c>
    </row>
    <row r="11" s="229" customFormat="true" ht="12.75" hidden="false" customHeight="false" outlineLevel="0" collapsed="false">
      <c r="A11" s="213" t="s">
        <v>7974</v>
      </c>
      <c r="B11" s="214" t="n">
        <v>40875</v>
      </c>
      <c r="C11" s="215"/>
      <c r="D11" s="216"/>
      <c r="E11" s="217" t="s">
        <v>665</v>
      </c>
      <c r="F11" s="217" t="s">
        <v>663</v>
      </c>
      <c r="G11" s="218"/>
      <c r="H11" s="219"/>
      <c r="I11" s="220" t="s">
        <v>759</v>
      </c>
      <c r="J11" s="221" t="e">
        <f aca="false">I11*L11</f>
        <v>#VALUE!</v>
      </c>
      <c r="K11" s="222" t="n">
        <v>9</v>
      </c>
      <c r="L11" s="216" t="n">
        <f aca="false">R11/O11</f>
        <v>0.102073492914899</v>
      </c>
      <c r="M11" s="223" t="n">
        <v>354.55</v>
      </c>
      <c r="N11" s="223" t="n">
        <v>20.18</v>
      </c>
      <c r="O11" s="224" t="n">
        <f aca="false">M11+N11</f>
        <v>374.73</v>
      </c>
      <c r="P11" s="223" t="n">
        <v>34.98</v>
      </c>
      <c r="Q11" s="223" t="n">
        <v>3.27</v>
      </c>
      <c r="R11" s="225" t="n">
        <v>38.25</v>
      </c>
      <c r="S11" s="226" t="n">
        <v>1.9125</v>
      </c>
      <c r="T11" s="226" t="n">
        <f aca="false">MIN(4.63,4.48*S11^(-0.25))</f>
        <v>3.80958486828664</v>
      </c>
      <c r="U11" s="230" t="n">
        <v>4.03496367212195</v>
      </c>
      <c r="V11" s="230" t="n">
        <v>4.32103335836304</v>
      </c>
      <c r="W11" s="228"/>
      <c r="X11" s="229" t="n">
        <v>3.969210496231</v>
      </c>
      <c r="Y11" s="228" t="n">
        <f aca="false">X11/T11</f>
        <v>1.0419010557484</v>
      </c>
    </row>
    <row r="12" s="229" customFormat="true" ht="12.75" hidden="false" customHeight="false" outlineLevel="0" collapsed="false">
      <c r="A12" s="213" t="s">
        <v>7974</v>
      </c>
      <c r="B12" s="214" t="n">
        <v>40875</v>
      </c>
      <c r="C12" s="215"/>
      <c r="D12" s="216"/>
      <c r="E12" s="217" t="s">
        <v>665</v>
      </c>
      <c r="F12" s="217" t="s">
        <v>663</v>
      </c>
      <c r="G12" s="218"/>
      <c r="H12" s="219"/>
      <c r="I12" s="220" t="s">
        <v>759</v>
      </c>
      <c r="J12" s="221" t="e">
        <f aca="false">I12*L12</f>
        <v>#VALUE!</v>
      </c>
      <c r="K12" s="222" t="n">
        <v>8</v>
      </c>
      <c r="L12" s="216" t="n">
        <f aca="false">R12/O12</f>
        <v>0.109174161225412</v>
      </c>
      <c r="M12" s="223" t="n">
        <v>462.41</v>
      </c>
      <c r="N12" s="223" t="n">
        <v>24.61</v>
      </c>
      <c r="O12" s="224" t="n">
        <f aca="false">M12+N12</f>
        <v>487.02</v>
      </c>
      <c r="P12" s="223" t="n">
        <v>48.91</v>
      </c>
      <c r="Q12" s="223" t="n">
        <v>4.26</v>
      </c>
      <c r="R12" s="225" t="n">
        <v>53.17</v>
      </c>
      <c r="S12" s="226" t="n">
        <v>2.6585</v>
      </c>
      <c r="T12" s="226" t="n">
        <f aca="false">MIN(4.63,4.48*S12^(-0.25))</f>
        <v>3.50847872882234</v>
      </c>
      <c r="U12" s="230" t="n">
        <v>3.80528472982457</v>
      </c>
      <c r="V12" s="230" t="n">
        <v>3.94532622446739</v>
      </c>
      <c r="W12" s="228"/>
      <c r="X12" s="229" t="n">
        <v>3.72109228334873</v>
      </c>
      <c r="Y12" s="228" t="n">
        <f aca="false">X12/T12</f>
        <v>1.06059992690842</v>
      </c>
    </row>
    <row r="13" s="246" customFormat="true" ht="12.75" hidden="false" customHeight="false" outlineLevel="0" collapsed="false">
      <c r="A13" s="231" t="s">
        <v>7975</v>
      </c>
      <c r="B13" s="232" t="n">
        <v>40929</v>
      </c>
      <c r="C13" s="233"/>
      <c r="D13" s="234"/>
      <c r="E13" s="235" t="s">
        <v>668</v>
      </c>
      <c r="F13" s="235" t="s">
        <v>661</v>
      </c>
      <c r="G13" s="236"/>
      <c r="H13" s="237"/>
      <c r="I13" s="238" t="n">
        <v>1628</v>
      </c>
      <c r="J13" s="239" t="n">
        <f aca="false">I13*L13</f>
        <v>217.42056864033</v>
      </c>
      <c r="K13" s="240" t="n">
        <v>15</v>
      </c>
      <c r="L13" s="234" t="n">
        <f aca="false">R13/O13</f>
        <v>0.133550717838041</v>
      </c>
      <c r="M13" s="241" t="n">
        <v>371.87</v>
      </c>
      <c r="N13" s="241" t="n">
        <v>54.41</v>
      </c>
      <c r="O13" s="242" t="n">
        <f aca="false">M13+N13</f>
        <v>426.28</v>
      </c>
      <c r="P13" s="241" t="n">
        <v>47.71</v>
      </c>
      <c r="Q13" s="241" t="n">
        <v>9.22</v>
      </c>
      <c r="R13" s="243" t="n">
        <v>56.93</v>
      </c>
      <c r="S13" s="244" t="n">
        <v>2.7435056864033</v>
      </c>
      <c r="T13" s="244" t="n">
        <f aca="false">MIN(4.63,4.48*S13^(-0.25))</f>
        <v>3.48098015852497</v>
      </c>
      <c r="U13" s="238" t="n">
        <v>4.93021462264153</v>
      </c>
      <c r="V13" s="238" t="n">
        <v>4.20774040140605</v>
      </c>
      <c r="W13" s="245"/>
      <c r="X13" s="246" t="n">
        <v>4.72755944650655</v>
      </c>
      <c r="Y13" s="245" t="n">
        <f aca="false">X13/T13</f>
        <v>1.35811157524948</v>
      </c>
    </row>
    <row r="14" s="246" customFormat="true" ht="12.75" hidden="false" customHeight="false" outlineLevel="0" collapsed="false">
      <c r="A14" s="231" t="s">
        <v>7975</v>
      </c>
      <c r="B14" s="232" t="n">
        <v>40929</v>
      </c>
      <c r="C14" s="233"/>
      <c r="D14" s="234"/>
      <c r="E14" s="235" t="s">
        <v>668</v>
      </c>
      <c r="F14" s="235" t="s">
        <v>661</v>
      </c>
      <c r="G14" s="236"/>
      <c r="H14" s="237"/>
      <c r="I14" s="238" t="n">
        <v>1214</v>
      </c>
      <c r="J14" s="239" t="n">
        <f aca="false">I14*L14</f>
        <v>167.149477604221</v>
      </c>
      <c r="K14" s="247" t="n">
        <v>8</v>
      </c>
      <c r="L14" s="234" t="n">
        <f aca="false">R14/O14</f>
        <v>0.137684907416986</v>
      </c>
      <c r="M14" s="241" t="n">
        <v>349.22</v>
      </c>
      <c r="N14" s="241" t="n">
        <v>37.46</v>
      </c>
      <c r="O14" s="242" t="n">
        <f aca="false">M14+N14</f>
        <v>386.68</v>
      </c>
      <c r="P14" s="241" t="n">
        <v>46.52</v>
      </c>
      <c r="Q14" s="241" t="n">
        <v>6.72</v>
      </c>
      <c r="R14" s="243" t="n">
        <v>53.24</v>
      </c>
      <c r="S14" s="244" t="n">
        <v>2.20389477604221</v>
      </c>
      <c r="T14" s="244" t="n">
        <f aca="false">MIN(4.63,4.48*S14^(-0.25))</f>
        <v>3.67688714407439</v>
      </c>
      <c r="U14" s="238" t="n">
        <v>4.13460845332096</v>
      </c>
      <c r="V14" s="238" t="n">
        <v>4.37508414786506</v>
      </c>
      <c r="W14" s="245"/>
      <c r="X14" s="246" t="n">
        <v>4.77916245085748</v>
      </c>
      <c r="Y14" s="245" t="n">
        <f aca="false">X14/T14</f>
        <v>1.29978491685814</v>
      </c>
    </row>
    <row r="15" s="246" customFormat="true" ht="12.75" hidden="false" customHeight="false" outlineLevel="0" collapsed="false">
      <c r="A15" s="231" t="s">
        <v>7975</v>
      </c>
      <c r="B15" s="232" t="n">
        <v>40929</v>
      </c>
      <c r="C15" s="233"/>
      <c r="D15" s="234"/>
      <c r="E15" s="235" t="s">
        <v>668</v>
      </c>
      <c r="F15" s="235" t="s">
        <v>661</v>
      </c>
      <c r="G15" s="236"/>
      <c r="H15" s="237"/>
      <c r="I15" s="238" t="n">
        <v>1361</v>
      </c>
      <c r="J15" s="239" t="n">
        <f aca="false">I15*L15</f>
        <v>184.356468198962</v>
      </c>
      <c r="K15" s="247" t="n">
        <v>9</v>
      </c>
      <c r="L15" s="234" t="n">
        <f aca="false">R15/O15</f>
        <v>0.135456626156475</v>
      </c>
      <c r="M15" s="241" t="n">
        <v>282.66</v>
      </c>
      <c r="N15" s="241" t="n">
        <v>27.55</v>
      </c>
      <c r="O15" s="242" t="n">
        <f aca="false">M15+N15</f>
        <v>310.21</v>
      </c>
      <c r="P15" s="241" t="n">
        <v>36.99</v>
      </c>
      <c r="Q15" s="241" t="n">
        <v>5.03</v>
      </c>
      <c r="R15" s="243" t="n">
        <v>42.02</v>
      </c>
      <c r="S15" s="244" t="n">
        <v>2.26376468198962</v>
      </c>
      <c r="T15" s="244" t="n">
        <f aca="false">MIN(4.63,4.48*S15^(-0.25))</f>
        <v>3.65233154259347</v>
      </c>
      <c r="U15" s="238" t="n">
        <v>4.2394691573204</v>
      </c>
      <c r="V15" s="238" t="n">
        <v>4.12244415020086</v>
      </c>
      <c r="W15" s="245"/>
      <c r="X15" s="246" t="n">
        <v>3.7473545056988</v>
      </c>
      <c r="Y15" s="245" t="n">
        <f aca="false">X15/T15</f>
        <v>1.02601706936984</v>
      </c>
    </row>
    <row r="16" s="246" customFormat="true" ht="12.75" hidden="false" customHeight="false" outlineLevel="0" collapsed="false">
      <c r="A16" s="231" t="s">
        <v>7975</v>
      </c>
      <c r="B16" s="232" t="n">
        <v>40929</v>
      </c>
      <c r="C16" s="233"/>
      <c r="D16" s="234"/>
      <c r="E16" s="235" t="s">
        <v>668</v>
      </c>
      <c r="F16" s="235" t="s">
        <v>661</v>
      </c>
      <c r="G16" s="236"/>
      <c r="H16" s="237"/>
      <c r="I16" s="238" t="n">
        <v>1609</v>
      </c>
      <c r="J16" s="239" t="n">
        <f aca="false">I16*L16</f>
        <v>211.736234940722</v>
      </c>
      <c r="K16" s="247" t="n">
        <v>8</v>
      </c>
      <c r="L16" s="234" t="n">
        <f aca="false">R16/O16</f>
        <v>0.131594925382673</v>
      </c>
      <c r="M16" s="241" t="n">
        <v>286.94</v>
      </c>
      <c r="N16" s="241" t="n">
        <v>25.99</v>
      </c>
      <c r="O16" s="242" t="n">
        <f aca="false">M16+N16</f>
        <v>312.93</v>
      </c>
      <c r="P16" s="241" t="n">
        <v>36.9</v>
      </c>
      <c r="Q16" s="241" t="n">
        <v>4.28</v>
      </c>
      <c r="R16" s="243" t="n">
        <v>41.18</v>
      </c>
      <c r="S16" s="244" t="n">
        <v>2.52916234940722</v>
      </c>
      <c r="T16" s="244" t="n">
        <f aca="false">MIN(4.63,4.48*S16^(-0.25))</f>
        <v>3.55249795822249</v>
      </c>
      <c r="U16" s="238" t="n">
        <v>4.50198101777061</v>
      </c>
      <c r="V16" s="238" t="n">
        <v>4.79967316647989</v>
      </c>
      <c r="W16" s="245"/>
      <c r="X16" s="246" t="n">
        <v>3.59801058704712</v>
      </c>
      <c r="Y16" s="245" t="n">
        <f aca="false">X16/T16</f>
        <v>1.01281144404863</v>
      </c>
    </row>
    <row r="17" s="246" customFormat="true" ht="12.75" hidden="false" customHeight="false" outlineLevel="0" collapsed="false">
      <c r="A17" s="231" t="s">
        <v>7975</v>
      </c>
      <c r="B17" s="232" t="n">
        <v>40929</v>
      </c>
      <c r="C17" s="233"/>
      <c r="D17" s="234"/>
      <c r="E17" s="235" t="s">
        <v>668</v>
      </c>
      <c r="F17" s="235" t="s">
        <v>661</v>
      </c>
      <c r="G17" s="236"/>
      <c r="H17" s="237"/>
      <c r="I17" s="238" t="n">
        <v>1251</v>
      </c>
      <c r="J17" s="239" t="n">
        <f aca="false">I17*L17</f>
        <v>170.215767634855</v>
      </c>
      <c r="K17" s="247" t="n">
        <v>7</v>
      </c>
      <c r="L17" s="234" t="n">
        <f aca="false">R17/O17</f>
        <v>0.136063763097406</v>
      </c>
      <c r="M17" s="241" t="n">
        <v>300.3</v>
      </c>
      <c r="N17" s="241" t="n">
        <v>34.69</v>
      </c>
      <c r="O17" s="242" t="n">
        <f aca="false">M17+N17</f>
        <v>334.99</v>
      </c>
      <c r="P17" s="241" t="n">
        <v>39.66</v>
      </c>
      <c r="Q17" s="241" t="n">
        <v>5.92</v>
      </c>
      <c r="R17" s="243" t="n">
        <v>45.58</v>
      </c>
      <c r="S17" s="244" t="n">
        <v>2.15795767634855</v>
      </c>
      <c r="T17" s="244" t="n">
        <f aca="false">MIN(4.63,4.48*S17^(-0.25))</f>
        <v>3.69630060456718</v>
      </c>
      <c r="U17" s="238" t="n">
        <v>4.55932162562489</v>
      </c>
      <c r="V17" s="238" t="n">
        <v>4.5615460920997</v>
      </c>
      <c r="W17" s="245"/>
      <c r="X17" s="246" t="n">
        <v>4.67778249494279</v>
      </c>
      <c r="Y17" s="245" t="n">
        <f aca="false">X17/T17</f>
        <v>1.26553086325362</v>
      </c>
    </row>
    <row r="18" s="246" customFormat="true" ht="12.75" hidden="false" customHeight="false" outlineLevel="0" collapsed="false">
      <c r="A18" s="231" t="s">
        <v>7975</v>
      </c>
      <c r="B18" s="232" t="n">
        <v>40929</v>
      </c>
      <c r="C18" s="233"/>
      <c r="D18" s="234"/>
      <c r="E18" s="235" t="s">
        <v>668</v>
      </c>
      <c r="F18" s="235" t="s">
        <v>663</v>
      </c>
      <c r="G18" s="236"/>
      <c r="H18" s="237"/>
      <c r="I18" s="238" t="n">
        <v>1471</v>
      </c>
      <c r="J18" s="239" t="n">
        <f aca="false">I18*L18</f>
        <v>197.641005954833</v>
      </c>
      <c r="K18" s="247" t="n">
        <v>8</v>
      </c>
      <c r="L18" s="234" t="n">
        <f aca="false">R18/O18</f>
        <v>0.134358263735441</v>
      </c>
      <c r="M18" s="241" t="n">
        <v>472.77</v>
      </c>
      <c r="N18" s="241" t="n">
        <v>61.25</v>
      </c>
      <c r="O18" s="242" t="n">
        <f aca="false">M18+N18</f>
        <v>534.02</v>
      </c>
      <c r="P18" s="241" t="n">
        <v>60.42</v>
      </c>
      <c r="Q18" s="241" t="n">
        <v>11.33</v>
      </c>
      <c r="R18" s="243" t="n">
        <v>71.75</v>
      </c>
      <c r="S18" s="244" t="n">
        <v>2.69391005954833</v>
      </c>
      <c r="T18" s="244" t="n">
        <f aca="false">MIN(4.63,4.48*S18^(-0.25))</f>
        <v>3.49689217290892</v>
      </c>
      <c r="U18" s="238" t="n">
        <v>4.38342625782768</v>
      </c>
      <c r="V18" s="238" t="n">
        <v>4.91523078012357</v>
      </c>
      <c r="W18" s="245"/>
      <c r="X18" s="246" t="n">
        <v>4.90815101515777</v>
      </c>
      <c r="Y18" s="245" t="n">
        <f aca="false">X18/T18</f>
        <v>1.40357516688165</v>
      </c>
    </row>
    <row r="19" s="246" customFormat="true" ht="12.75" hidden="false" customHeight="false" outlineLevel="0" collapsed="false">
      <c r="A19" s="231" t="s">
        <v>7975</v>
      </c>
      <c r="B19" s="232" t="n">
        <v>40929</v>
      </c>
      <c r="C19" s="233"/>
      <c r="D19" s="234"/>
      <c r="E19" s="235" t="s">
        <v>668</v>
      </c>
      <c r="F19" s="235" t="s">
        <v>663</v>
      </c>
      <c r="G19" s="236"/>
      <c r="H19" s="237"/>
      <c r="I19" s="238" t="n">
        <v>1310</v>
      </c>
      <c r="J19" s="239" t="n">
        <f aca="false">I19*L19</f>
        <v>201.018166917088</v>
      </c>
      <c r="K19" s="247" t="n">
        <v>9</v>
      </c>
      <c r="L19" s="234" t="n">
        <f aca="false">R19/O19</f>
        <v>0.153448982379456</v>
      </c>
      <c r="M19" s="241" t="n">
        <v>317.32</v>
      </c>
      <c r="N19" s="241" t="n">
        <v>48.73</v>
      </c>
      <c r="O19" s="242" t="n">
        <f aca="false">M19+N19</f>
        <v>366.05</v>
      </c>
      <c r="P19" s="241" t="n">
        <v>45.58</v>
      </c>
      <c r="Q19" s="241" t="n">
        <v>10.59</v>
      </c>
      <c r="R19" s="243" t="n">
        <v>56.17</v>
      </c>
      <c r="S19" s="244" t="n">
        <v>2.57188166917088</v>
      </c>
      <c r="T19" s="244" t="n">
        <f aca="false">MIN(4.63,4.48*S19^(-0.25))</f>
        <v>3.53765329719962</v>
      </c>
      <c r="U19" s="238" t="n">
        <v>4.29215409359558</v>
      </c>
      <c r="V19" s="238" t="n">
        <v>4.5053294874607</v>
      </c>
      <c r="W19" s="245"/>
      <c r="X19" s="246" t="n">
        <v>4.41553430296353</v>
      </c>
      <c r="Y19" s="245" t="n">
        <f aca="false">X19/T19</f>
        <v>1.24815348820611</v>
      </c>
    </row>
    <row r="20" s="246" customFormat="true" ht="12.75" hidden="false" customHeight="false" outlineLevel="0" collapsed="false">
      <c r="A20" s="231" t="s">
        <v>7975</v>
      </c>
      <c r="B20" s="232" t="n">
        <v>40929</v>
      </c>
      <c r="C20" s="233"/>
      <c r="D20" s="234"/>
      <c r="E20" s="235" t="s">
        <v>668</v>
      </c>
      <c r="F20" s="235" t="s">
        <v>663</v>
      </c>
      <c r="G20" s="236"/>
      <c r="H20" s="237"/>
      <c r="I20" s="238" t="n">
        <v>1646</v>
      </c>
      <c r="J20" s="239" t="n">
        <f aca="false">I20*L20</f>
        <v>237.334871472185</v>
      </c>
      <c r="K20" s="247" t="n">
        <v>8</v>
      </c>
      <c r="L20" s="234" t="n">
        <f aca="false">R20/O20</f>
        <v>0.144188864806917</v>
      </c>
      <c r="M20" s="241" t="n">
        <v>374.71</v>
      </c>
      <c r="N20" s="241" t="n">
        <v>54.38</v>
      </c>
      <c r="O20" s="242" t="n">
        <f aca="false">M20+N20</f>
        <v>429.09</v>
      </c>
      <c r="P20" s="241" t="n">
        <v>50.54</v>
      </c>
      <c r="Q20" s="241" t="n">
        <v>11.33</v>
      </c>
      <c r="R20" s="243" t="n">
        <v>61.87</v>
      </c>
      <c r="S20" s="244" t="n">
        <v>2.99204871472185</v>
      </c>
      <c r="T20" s="244" t="n">
        <f aca="false">MIN(4.63,4.48*S20^(-0.25))</f>
        <v>3.40632317244492</v>
      </c>
      <c r="U20" s="238" t="n">
        <v>4.13623490530061</v>
      </c>
      <c r="V20" s="238" t="n">
        <v>4.63777100186682</v>
      </c>
      <c r="W20" s="245"/>
      <c r="X20" s="246" t="n">
        <v>4.15286845872584</v>
      </c>
      <c r="Y20" s="245" t="n">
        <f aca="false">X20/T20</f>
        <v>1.21916455030457</v>
      </c>
    </row>
    <row r="21" s="246" customFormat="true" ht="12.75" hidden="false" customHeight="false" outlineLevel="0" collapsed="false">
      <c r="A21" s="231" t="s">
        <v>7975</v>
      </c>
      <c r="B21" s="232" t="n">
        <v>40929</v>
      </c>
      <c r="C21" s="233"/>
      <c r="D21" s="234"/>
      <c r="E21" s="235" t="s">
        <v>668</v>
      </c>
      <c r="F21" s="235" t="s">
        <v>663</v>
      </c>
      <c r="G21" s="236"/>
      <c r="H21" s="237"/>
      <c r="I21" s="238" t="n">
        <v>1641</v>
      </c>
      <c r="J21" s="239" t="n">
        <f aca="false">I21*L21</f>
        <v>225.225651783039</v>
      </c>
      <c r="K21" s="247" t="n">
        <v>8</v>
      </c>
      <c r="L21" s="234" t="n">
        <f aca="false">R21/O21</f>
        <v>0.137249026071322</v>
      </c>
      <c r="M21" s="241" t="n">
        <v>269.6</v>
      </c>
      <c r="N21" s="241" t="n">
        <v>30.73</v>
      </c>
      <c r="O21" s="242" t="n">
        <f aca="false">M21+N21</f>
        <v>300.33</v>
      </c>
      <c r="P21" s="241" t="n">
        <v>35.49</v>
      </c>
      <c r="Q21" s="241" t="n">
        <v>5.73</v>
      </c>
      <c r="R21" s="243" t="n">
        <v>41.22</v>
      </c>
      <c r="S21" s="244" t="n">
        <v>2.66445651783039</v>
      </c>
      <c r="T21" s="244" t="n">
        <f aca="false">MIN(4.63,4.48*S21^(-0.25))</f>
        <v>3.50651624054978</v>
      </c>
      <c r="U21" s="238" t="n">
        <v>4.46454598090172</v>
      </c>
      <c r="V21" s="238" t="n">
        <v>4.90889330636259</v>
      </c>
      <c r="W21" s="245"/>
      <c r="X21" s="246" t="n">
        <v>3.50117733689991</v>
      </c>
      <c r="Y21" s="245" t="n">
        <f aca="false">X21/T21</f>
        <v>0.998477433645357</v>
      </c>
    </row>
    <row r="22" s="246" customFormat="true" ht="12.75" hidden="false" customHeight="false" outlineLevel="0" collapsed="false">
      <c r="A22" s="231" t="s">
        <v>7975</v>
      </c>
      <c r="B22" s="232" t="n">
        <v>40929</v>
      </c>
      <c r="C22" s="233"/>
      <c r="D22" s="234"/>
      <c r="E22" s="235" t="s">
        <v>668</v>
      </c>
      <c r="F22" s="235" t="s">
        <v>663</v>
      </c>
      <c r="G22" s="236"/>
      <c r="H22" s="237"/>
      <c r="I22" s="238" t="n">
        <v>1472</v>
      </c>
      <c r="J22" s="239" t="n">
        <f aca="false">I22*L22</f>
        <v>207.333420399634</v>
      </c>
      <c r="K22" s="247" t="n">
        <v>8</v>
      </c>
      <c r="L22" s="234" t="n">
        <f aca="false">R22/O22</f>
        <v>0.140851508423665</v>
      </c>
      <c r="M22" s="241" t="n">
        <v>542.36</v>
      </c>
      <c r="N22" s="241" t="n">
        <v>70.2</v>
      </c>
      <c r="O22" s="242" t="n">
        <f aca="false">M22+N22</f>
        <v>612.56</v>
      </c>
      <c r="P22" s="241" t="n">
        <v>71.92</v>
      </c>
      <c r="Q22" s="241" t="n">
        <v>14.36</v>
      </c>
      <c r="R22" s="243" t="n">
        <v>86.28</v>
      </c>
      <c r="S22" s="244" t="n">
        <v>2.93613420399634</v>
      </c>
      <c r="T22" s="244" t="n">
        <f aca="false">MIN(4.63,4.48*S22^(-0.25))</f>
        <v>3.42242577830515</v>
      </c>
      <c r="U22" s="238" t="n">
        <v>4.0774917850525</v>
      </c>
      <c r="V22" s="238" t="n">
        <v>4.52759388538795</v>
      </c>
      <c r="W22" s="245"/>
      <c r="X22" s="246" t="n">
        <v>5.79598820863049</v>
      </c>
      <c r="Y22" s="245" t="n">
        <f aca="false">X22/T22</f>
        <v>1.69353218567117</v>
      </c>
    </row>
    <row r="23" s="229" customFormat="true" ht="12.75" hidden="false" customHeight="false" outlineLevel="0" collapsed="false">
      <c r="A23" s="213" t="s">
        <v>7976</v>
      </c>
      <c r="B23" s="248" t="n">
        <v>40996</v>
      </c>
      <c r="C23" s="215"/>
      <c r="D23" s="216"/>
      <c r="E23" s="213" t="s">
        <v>665</v>
      </c>
      <c r="F23" s="213" t="s">
        <v>661</v>
      </c>
      <c r="G23" s="218"/>
      <c r="H23" s="219"/>
      <c r="I23" s="230" t="n">
        <v>3220.5</v>
      </c>
      <c r="J23" s="221" t="n">
        <f aca="false">I23*L23</f>
        <v>492.624539877301</v>
      </c>
      <c r="K23" s="222" t="n">
        <v>7</v>
      </c>
      <c r="L23" s="216" t="n">
        <f aca="false">R23/O23</f>
        <v>0.152965235173824</v>
      </c>
      <c r="M23" s="230" t="n">
        <v>431.36</v>
      </c>
      <c r="N23" s="230" t="n">
        <v>595.54</v>
      </c>
      <c r="O23" s="224" t="n">
        <f aca="false">M23+N23</f>
        <v>1026.9</v>
      </c>
      <c r="P23" s="230" t="n">
        <v>49.86</v>
      </c>
      <c r="Q23" s="230" t="n">
        <v>107.22</v>
      </c>
      <c r="R23" s="225" t="n">
        <v>157.08</v>
      </c>
      <c r="S23" s="226" t="n">
        <v>6.49704539877301</v>
      </c>
      <c r="T23" s="226" t="n">
        <f aca="false">MIN(4.63,4.48*S23^(-0.25))</f>
        <v>2.80607347569375</v>
      </c>
      <c r="U23" s="230" t="n">
        <v>3.00191238444896</v>
      </c>
      <c r="V23" s="230" t="n">
        <v>3.10787092151307</v>
      </c>
      <c r="W23" s="228"/>
      <c r="X23" s="229" t="n">
        <v>3.29159278315254</v>
      </c>
      <c r="Y23" s="228" t="n">
        <f aca="false">X23/T23</f>
        <v>1.173024445605</v>
      </c>
    </row>
    <row r="24" s="229" customFormat="true" ht="12.75" hidden="false" customHeight="false" outlineLevel="0" collapsed="false">
      <c r="A24" s="213" t="s">
        <v>7976</v>
      </c>
      <c r="B24" s="248" t="n">
        <v>40996</v>
      </c>
      <c r="C24" s="215"/>
      <c r="D24" s="216"/>
      <c r="E24" s="249" t="s">
        <v>668</v>
      </c>
      <c r="F24" s="249" t="s">
        <v>661</v>
      </c>
      <c r="G24" s="218"/>
      <c r="H24" s="219"/>
      <c r="I24" s="230" t="n">
        <v>4480.9</v>
      </c>
      <c r="J24" s="221" t="n">
        <f aca="false">I24*L24</f>
        <v>504.592004779119</v>
      </c>
      <c r="K24" s="222" t="n">
        <v>9</v>
      </c>
      <c r="L24" s="216" t="n">
        <f aca="false">R24/O24</f>
        <v>0.1126095214754</v>
      </c>
      <c r="M24" s="223" t="n">
        <v>831.9</v>
      </c>
      <c r="N24" s="223" t="n">
        <v>800.2</v>
      </c>
      <c r="O24" s="224" t="n">
        <f aca="false">M24+N24</f>
        <v>1632.1</v>
      </c>
      <c r="P24" s="223" t="n">
        <v>80.22</v>
      </c>
      <c r="Q24" s="230" t="n">
        <v>103.57</v>
      </c>
      <c r="R24" s="225" t="n">
        <v>183.79</v>
      </c>
      <c r="S24" s="226" t="n">
        <v>6.88382004779119</v>
      </c>
      <c r="T24" s="226" t="n">
        <f aca="false">MIN(4.63,4.48*S24^(-0.25))</f>
        <v>2.765799137176</v>
      </c>
      <c r="U24" s="230" t="n">
        <v>3.90343637412655</v>
      </c>
      <c r="V24" s="230" t="n">
        <v>2.48909499271055</v>
      </c>
      <c r="W24" s="228"/>
      <c r="X24" s="229" t="n">
        <v>4.23904566500919</v>
      </c>
      <c r="Y24" s="228" t="n">
        <f aca="false">X24/T24</f>
        <v>1.53266577027623</v>
      </c>
    </row>
    <row r="25" s="229" customFormat="true" ht="12.75" hidden="false" customHeight="false" outlineLevel="0" collapsed="false">
      <c r="A25" s="213" t="s">
        <v>7976</v>
      </c>
      <c r="B25" s="248" t="n">
        <v>40996</v>
      </c>
      <c r="C25" s="215"/>
      <c r="D25" s="216"/>
      <c r="E25" s="249" t="s">
        <v>665</v>
      </c>
      <c r="F25" s="249" t="s">
        <v>661</v>
      </c>
      <c r="G25" s="218"/>
      <c r="H25" s="219"/>
      <c r="I25" s="230" t="n">
        <v>3630</v>
      </c>
      <c r="J25" s="221" t="n">
        <f aca="false">I25*L25</f>
        <v>404.173861268235</v>
      </c>
      <c r="K25" s="222" t="n">
        <v>7</v>
      </c>
      <c r="L25" s="216" t="n">
        <f aca="false">R25/O25</f>
        <v>0.111342661506401</v>
      </c>
      <c r="M25" s="223" t="n">
        <v>524.8</v>
      </c>
      <c r="N25" s="223" t="n">
        <v>684.44</v>
      </c>
      <c r="O25" s="224" t="n">
        <f aca="false">M25+N25</f>
        <v>1209.24</v>
      </c>
      <c r="P25" s="223" t="n">
        <v>58.41</v>
      </c>
      <c r="Q25" s="230" t="n">
        <v>76.23</v>
      </c>
      <c r="R25" s="225" t="n">
        <v>134.64</v>
      </c>
      <c r="S25" s="226" t="n">
        <v>5.38813861268235</v>
      </c>
      <c r="T25" s="226" t="n">
        <f aca="false">MIN(4.63,4.48*S25^(-0.25))</f>
        <v>2.94048063807268</v>
      </c>
      <c r="U25" s="230" t="s">
        <v>759</v>
      </c>
      <c r="V25" s="230" t="n">
        <v>2.03971985628743</v>
      </c>
      <c r="W25" s="228"/>
      <c r="X25" s="229" t="s">
        <v>759</v>
      </c>
      <c r="Y25" s="228" t="s">
        <v>759</v>
      </c>
    </row>
    <row r="26" s="229" customFormat="true" ht="12.75" hidden="false" customHeight="false" outlineLevel="0" collapsed="false">
      <c r="A26" s="213" t="s">
        <v>7976</v>
      </c>
      <c r="B26" s="248" t="n">
        <v>40996</v>
      </c>
      <c r="C26" s="215"/>
      <c r="D26" s="216"/>
      <c r="E26" s="250" t="s">
        <v>668</v>
      </c>
      <c r="F26" s="249" t="s">
        <v>661</v>
      </c>
      <c r="G26" s="218"/>
      <c r="H26" s="219"/>
      <c r="I26" s="230" t="n">
        <v>3805.8</v>
      </c>
      <c r="J26" s="221" t="n">
        <f aca="false">I26*L26</f>
        <v>519.87446471578</v>
      </c>
      <c r="K26" s="222" t="n">
        <v>8</v>
      </c>
      <c r="L26" s="216" t="n">
        <f aca="false">R26/O26</f>
        <v>0.136600574049025</v>
      </c>
      <c r="M26" s="223" t="n">
        <v>583.95</v>
      </c>
      <c r="N26" s="223" t="n">
        <v>628.49</v>
      </c>
      <c r="O26" s="224" t="n">
        <f aca="false">M26+N26</f>
        <v>1212.44</v>
      </c>
      <c r="P26" s="223" t="n">
        <v>62.03</v>
      </c>
      <c r="Q26" s="230" t="n">
        <v>103.59</v>
      </c>
      <c r="R26" s="225" t="n">
        <v>165.62</v>
      </c>
      <c r="S26" s="226" t="n">
        <v>6.8549446471578</v>
      </c>
      <c r="T26" s="226" t="n">
        <f aca="false">MIN(4.63,4.48*S26^(-0.25))</f>
        <v>2.7687071735094</v>
      </c>
      <c r="U26" s="230" t="n">
        <v>3.40662866736622</v>
      </c>
      <c r="V26" s="230" t="n">
        <v>2.27028701226751</v>
      </c>
      <c r="W26" s="228"/>
      <c r="X26" s="229" t="n">
        <v>2.93104472565201</v>
      </c>
      <c r="Y26" s="228" t="n">
        <f aca="false">X26/T26</f>
        <v>1.05863297993223</v>
      </c>
    </row>
    <row r="27" s="229" customFormat="true" ht="12.75" hidden="false" customHeight="false" outlineLevel="0" collapsed="false">
      <c r="A27" s="213" t="s">
        <v>7976</v>
      </c>
      <c r="B27" s="248" t="n">
        <v>40996</v>
      </c>
      <c r="C27" s="215"/>
      <c r="D27" s="216"/>
      <c r="E27" s="250" t="s">
        <v>668</v>
      </c>
      <c r="F27" s="249" t="s">
        <v>661</v>
      </c>
      <c r="G27" s="218"/>
      <c r="H27" s="219"/>
      <c r="I27" s="230" t="n">
        <v>4312</v>
      </c>
      <c r="J27" s="221" t="n">
        <f aca="false">I27*L27</f>
        <v>390.137484836231</v>
      </c>
      <c r="K27" s="222" t="n">
        <v>7</v>
      </c>
      <c r="L27" s="216" t="n">
        <f aca="false">R27/O27</f>
        <v>0.0904771532551557</v>
      </c>
      <c r="M27" s="223" t="n">
        <v>570.44</v>
      </c>
      <c r="N27" s="223" t="n">
        <v>517.68</v>
      </c>
      <c r="O27" s="224" t="n">
        <f aca="false">M27+N27</f>
        <v>1088.12</v>
      </c>
      <c r="P27" s="223" t="n">
        <v>57.04</v>
      </c>
      <c r="Q27" s="230" t="n">
        <v>41.41</v>
      </c>
      <c r="R27" s="225" t="n">
        <v>98.45</v>
      </c>
      <c r="S27" s="226" t="n">
        <v>4.88587484836231</v>
      </c>
      <c r="T27" s="226" t="n">
        <f aca="false">MIN(4.63,4.48*S27^(-0.25))</f>
        <v>3.01330040123816</v>
      </c>
      <c r="U27" s="230" t="n">
        <v>3.8750735061195</v>
      </c>
      <c r="V27" s="230" t="n">
        <v>2.37435988968899</v>
      </c>
      <c r="W27" s="228"/>
      <c r="X27" s="229" t="n">
        <v>3.08140820197461</v>
      </c>
      <c r="Y27" s="228" t="n">
        <f aca="false">X27/T27</f>
        <v>1.02260239327896</v>
      </c>
    </row>
    <row r="28" s="229" customFormat="true" ht="12.75" hidden="false" customHeight="false" outlineLevel="0" collapsed="false">
      <c r="A28" s="213" t="s">
        <v>7976</v>
      </c>
      <c r="B28" s="248" t="n">
        <v>40996</v>
      </c>
      <c r="C28" s="215"/>
      <c r="D28" s="216"/>
      <c r="E28" s="250" t="s">
        <v>665</v>
      </c>
      <c r="F28" s="249" t="s">
        <v>661</v>
      </c>
      <c r="G28" s="218"/>
      <c r="H28" s="219"/>
      <c r="I28" s="230" t="n">
        <v>3289.9</v>
      </c>
      <c r="J28" s="221" t="n">
        <f aca="false">I28*L28</f>
        <v>362.961348594178</v>
      </c>
      <c r="K28" s="222" t="n">
        <v>9</v>
      </c>
      <c r="L28" s="216" t="n">
        <f aca="false">R28/O28</f>
        <v>0.110325951729286</v>
      </c>
      <c r="M28" s="223" t="n">
        <v>451.54</v>
      </c>
      <c r="N28" s="223" t="n">
        <v>553.21</v>
      </c>
      <c r="O28" s="224" t="n">
        <f aca="false">M28+N28</f>
        <v>1004.75</v>
      </c>
      <c r="P28" s="223" t="n">
        <v>54.5</v>
      </c>
      <c r="Q28" s="230" t="n">
        <v>56.35</v>
      </c>
      <c r="R28" s="225" t="n">
        <v>110.85</v>
      </c>
      <c r="S28" s="226" t="n">
        <v>4.73811348594178</v>
      </c>
      <c r="T28" s="226" t="n">
        <f aca="false">MIN(4.63,4.48*S28^(-0.25))</f>
        <v>3.03652351971754</v>
      </c>
      <c r="U28" s="230" t="n">
        <v>2.86986207198529</v>
      </c>
      <c r="V28" s="230" t="n">
        <v>2.28030601425265</v>
      </c>
      <c r="W28" s="228"/>
      <c r="X28" s="229" t="n">
        <v>2.7392551990102</v>
      </c>
      <c r="Y28" s="228" t="n">
        <f aca="false">X28/T28</f>
        <v>0.902102414561575</v>
      </c>
    </row>
    <row r="29" s="229" customFormat="true" ht="12.75" hidden="false" customHeight="false" outlineLevel="0" collapsed="false">
      <c r="A29" s="213" t="s">
        <v>7976</v>
      </c>
      <c r="B29" s="248" t="n">
        <v>40996</v>
      </c>
      <c r="C29" s="215"/>
      <c r="D29" s="216"/>
      <c r="E29" s="213" t="s">
        <v>668</v>
      </c>
      <c r="F29" s="213" t="s">
        <v>661</v>
      </c>
      <c r="G29" s="218"/>
      <c r="H29" s="219"/>
      <c r="I29" s="230" t="n">
        <v>4730.6</v>
      </c>
      <c r="J29" s="221" t="n">
        <f aca="false">I29*L29</f>
        <v>436.807785672766</v>
      </c>
      <c r="K29" s="222" t="n">
        <v>9</v>
      </c>
      <c r="L29" s="216" t="n">
        <f aca="false">R29/O29</f>
        <v>0.0923366561689354</v>
      </c>
      <c r="M29" s="230" t="n">
        <v>564.69</v>
      </c>
      <c r="N29" s="230" t="n">
        <v>587.94</v>
      </c>
      <c r="O29" s="224" t="n">
        <f aca="false">M29+N29</f>
        <v>1152.63</v>
      </c>
      <c r="P29" s="230" t="n">
        <v>58.42</v>
      </c>
      <c r="Q29" s="230" t="n">
        <v>48.01</v>
      </c>
      <c r="R29" s="225" t="n">
        <v>106.43</v>
      </c>
      <c r="S29" s="226" t="n">
        <v>5.43237785672766</v>
      </c>
      <c r="T29" s="226" t="n">
        <f aca="false">MIN(4.63,4.48*S29^(-0.25))</f>
        <v>2.9344757263215</v>
      </c>
      <c r="U29" s="230" t="n">
        <v>3.48757072889657</v>
      </c>
      <c r="V29" s="230" t="n">
        <v>2.46706361666879</v>
      </c>
      <c r="W29" s="228"/>
      <c r="X29" s="229" t="n">
        <v>2.76774223370806</v>
      </c>
      <c r="Y29" s="228" t="n">
        <f aca="false">X29/T29</f>
        <v>0.943181164826863</v>
      </c>
    </row>
    <row r="30" s="229" customFormat="true" ht="12.75" hidden="false" customHeight="false" outlineLevel="0" collapsed="false">
      <c r="A30" s="213" t="s">
        <v>7976</v>
      </c>
      <c r="B30" s="248" t="n">
        <v>40996</v>
      </c>
      <c r="C30" s="215"/>
      <c r="D30" s="216"/>
      <c r="E30" s="213" t="s">
        <v>665</v>
      </c>
      <c r="F30" s="249" t="s">
        <v>661</v>
      </c>
      <c r="G30" s="218"/>
      <c r="H30" s="219"/>
      <c r="I30" s="230" t="n">
        <v>3457</v>
      </c>
      <c r="J30" s="221" t="n">
        <f aca="false">I30*L30</f>
        <v>382.885789174252</v>
      </c>
      <c r="K30" s="222" t="n">
        <v>8</v>
      </c>
      <c r="L30" s="216" t="n">
        <f aca="false">R30/O30</f>
        <v>0.11075666449935</v>
      </c>
      <c r="M30" s="230" t="n">
        <v>411.82</v>
      </c>
      <c r="N30" s="230" t="n">
        <v>572.5</v>
      </c>
      <c r="O30" s="224" t="n">
        <f aca="false">M30+N30</f>
        <v>984.32</v>
      </c>
      <c r="P30" s="230" t="n">
        <v>50.71</v>
      </c>
      <c r="Q30" s="230" t="n">
        <v>58.31</v>
      </c>
      <c r="R30" s="225" t="n">
        <v>109.02</v>
      </c>
      <c r="S30" s="226" t="n">
        <v>4.91905789174252</v>
      </c>
      <c r="T30" s="226" t="n">
        <f aca="false">MIN(4.63,4.48*S30^(-0.25))</f>
        <v>3.0082057050577</v>
      </c>
      <c r="U30" s="230" t="n">
        <v>2.82768994469582</v>
      </c>
      <c r="V30" s="230" t="n">
        <v>2.27616559883509</v>
      </c>
      <c r="W30" s="228"/>
      <c r="X30" s="229" t="n">
        <v>2.59609386387862</v>
      </c>
      <c r="Y30" s="228" t="n">
        <f aca="false">X30/T30</f>
        <v>0.863004102250655</v>
      </c>
    </row>
    <row r="31" s="229" customFormat="true" ht="12.75" hidden="false" customHeight="false" outlineLevel="0" collapsed="false">
      <c r="A31" s="213" t="s">
        <v>7976</v>
      </c>
      <c r="B31" s="248" t="n">
        <v>40996</v>
      </c>
      <c r="C31" s="215"/>
      <c r="D31" s="216"/>
      <c r="E31" s="250" t="s">
        <v>665</v>
      </c>
      <c r="F31" s="249" t="s">
        <v>661</v>
      </c>
      <c r="G31" s="218"/>
      <c r="H31" s="219"/>
      <c r="I31" s="230" t="n">
        <v>4526.2</v>
      </c>
      <c r="J31" s="221" t="n">
        <f aca="false">I31*L31</f>
        <v>466.009334601249</v>
      </c>
      <c r="K31" s="222" t="n">
        <v>8</v>
      </c>
      <c r="L31" s="216" t="n">
        <f aca="false">R31/O31</f>
        <v>0.102958184481739</v>
      </c>
      <c r="M31" s="223" t="n">
        <v>325.42</v>
      </c>
      <c r="N31" s="223" t="n">
        <v>452.76</v>
      </c>
      <c r="O31" s="224" t="n">
        <f aca="false">M31+N31</f>
        <v>778.18</v>
      </c>
      <c r="P31" s="223" t="n">
        <v>36.76</v>
      </c>
      <c r="Q31" s="230" t="n">
        <v>43.36</v>
      </c>
      <c r="R31" s="225" t="n">
        <v>80.12</v>
      </c>
      <c r="S31" s="226" t="n">
        <v>5.46129334601249</v>
      </c>
      <c r="T31" s="226" t="n">
        <f aca="false">MIN(4.63,4.48*S31^(-0.25))</f>
        <v>2.93058375467082</v>
      </c>
      <c r="U31" s="230" t="n">
        <v>3.45762131311686</v>
      </c>
      <c r="V31" s="230" t="n">
        <v>2.29907185200756</v>
      </c>
      <c r="W31" s="228"/>
      <c r="X31" s="229" t="n">
        <v>2.07633888718697</v>
      </c>
      <c r="Y31" s="228" t="n">
        <f aca="false">X31/T31</f>
        <v>0.708506925924797</v>
      </c>
    </row>
    <row r="32" s="229" customFormat="true" ht="12.75" hidden="false" customHeight="false" outlineLevel="0" collapsed="false">
      <c r="A32" s="213" t="s">
        <v>7976</v>
      </c>
      <c r="B32" s="248" t="n">
        <v>40996</v>
      </c>
      <c r="C32" s="215"/>
      <c r="D32" s="216"/>
      <c r="E32" s="213" t="s">
        <v>668</v>
      </c>
      <c r="F32" s="213" t="s">
        <v>663</v>
      </c>
      <c r="G32" s="218"/>
      <c r="H32" s="219"/>
      <c r="I32" s="230" t="n">
        <v>3909</v>
      </c>
      <c r="J32" s="221" t="n">
        <f aca="false">I32*L32</f>
        <v>405.781459495899</v>
      </c>
      <c r="K32" s="222" t="n">
        <v>9</v>
      </c>
      <c r="L32" s="216" t="n">
        <f aca="false">R32/O32</f>
        <v>0.103806973521591</v>
      </c>
      <c r="M32" s="230" t="n">
        <v>476.66</v>
      </c>
      <c r="N32" s="230" t="n">
        <v>591.38</v>
      </c>
      <c r="O32" s="224" t="n">
        <f aca="false">M32+N32</f>
        <v>1068.04</v>
      </c>
      <c r="P32" s="230" t="n">
        <v>49.05</v>
      </c>
      <c r="Q32" s="230" t="n">
        <v>61.82</v>
      </c>
      <c r="R32" s="225" t="n">
        <v>110.87</v>
      </c>
      <c r="S32" s="226" t="n">
        <v>5.16651459495899</v>
      </c>
      <c r="T32" s="226" t="n">
        <f aca="false">MIN(4.63,4.48*S32^(-0.25))</f>
        <v>2.9715195977156</v>
      </c>
      <c r="U32" s="230" t="n">
        <v>3.7226426034971</v>
      </c>
      <c r="V32" s="230" t="n">
        <v>2.66422058533377</v>
      </c>
      <c r="W32" s="228"/>
      <c r="X32" s="229" t="n">
        <v>3.21166499427471</v>
      </c>
      <c r="Y32" s="228" t="n">
        <f aca="false">X32/T32</f>
        <v>1.0808156866082</v>
      </c>
    </row>
    <row r="33" s="229" customFormat="true" ht="12.75" hidden="false" customHeight="false" outlineLevel="0" collapsed="false">
      <c r="A33" s="213" t="s">
        <v>7976</v>
      </c>
      <c r="B33" s="248" t="n">
        <v>40996</v>
      </c>
      <c r="C33" s="215"/>
      <c r="D33" s="216"/>
      <c r="E33" s="213" t="s">
        <v>665</v>
      </c>
      <c r="F33" s="213" t="s">
        <v>663</v>
      </c>
      <c r="G33" s="218"/>
      <c r="H33" s="219"/>
      <c r="I33" s="230" t="n">
        <v>2851.8</v>
      </c>
      <c r="J33" s="221" t="n">
        <f aca="false">I33*L33</f>
        <v>360.392666452972</v>
      </c>
      <c r="K33" s="222" t="n">
        <v>9</v>
      </c>
      <c r="L33" s="216" t="n">
        <f aca="false">R33/O33</f>
        <v>0.126373752175108</v>
      </c>
      <c r="M33" s="230" t="n">
        <v>351.73</v>
      </c>
      <c r="N33" s="230" t="n">
        <v>521.79</v>
      </c>
      <c r="O33" s="224" t="n">
        <f aca="false">M33+N33</f>
        <v>873.52</v>
      </c>
      <c r="P33" s="230" t="n">
        <v>43.55</v>
      </c>
      <c r="Q33" s="230" t="n">
        <v>66.84</v>
      </c>
      <c r="R33" s="225" t="n">
        <v>110.39</v>
      </c>
      <c r="S33" s="226" t="n">
        <v>4.70782666452972</v>
      </c>
      <c r="T33" s="226" t="n">
        <f aca="false">MIN(4.63,4.48*S33^(-0.25))</f>
        <v>3.04139549212399</v>
      </c>
      <c r="U33" s="230" t="n">
        <v>2.85217181208054</v>
      </c>
      <c r="V33" s="230" t="n">
        <v>1.96130537138465</v>
      </c>
      <c r="W33" s="228"/>
      <c r="X33" s="229" t="n">
        <v>2.47048061709275</v>
      </c>
      <c r="Y33" s="228" t="n">
        <f aca="false">X33/T33</f>
        <v>0.812285223506879</v>
      </c>
    </row>
    <row r="34" s="229" customFormat="true" ht="12.75" hidden="false" customHeight="false" outlineLevel="0" collapsed="false">
      <c r="A34" s="213" t="s">
        <v>7976</v>
      </c>
      <c r="B34" s="248" t="n">
        <v>40996</v>
      </c>
      <c r="C34" s="215"/>
      <c r="D34" s="216"/>
      <c r="E34" s="213" t="s">
        <v>665</v>
      </c>
      <c r="F34" s="213" t="s">
        <v>663</v>
      </c>
      <c r="G34" s="218"/>
      <c r="H34" s="219"/>
      <c r="I34" s="230" t="n">
        <v>3385</v>
      </c>
      <c r="J34" s="221" t="n">
        <f aca="false">I34*L34</f>
        <v>449.279977786322</v>
      </c>
      <c r="K34" s="222" t="n">
        <v>9</v>
      </c>
      <c r="L34" s="216" t="n">
        <f aca="false">R34/O34</f>
        <v>0.132726729035841</v>
      </c>
      <c r="M34" s="230" t="n">
        <v>259.66</v>
      </c>
      <c r="N34" s="230" t="n">
        <v>442.61</v>
      </c>
      <c r="O34" s="224" t="n">
        <f aca="false">M34+N34</f>
        <v>702.27</v>
      </c>
      <c r="P34" s="230" t="n">
        <v>34.21</v>
      </c>
      <c r="Q34" s="230" t="n">
        <v>59</v>
      </c>
      <c r="R34" s="225" t="n">
        <v>93.21</v>
      </c>
      <c r="S34" s="226" t="n">
        <v>5.42489977786322</v>
      </c>
      <c r="T34" s="226" t="n">
        <f aca="false">MIN(4.63,4.48*S34^(-0.25))</f>
        <v>2.93548647800991</v>
      </c>
      <c r="U34" s="230" t="n">
        <v>3.11406062113062</v>
      </c>
      <c r="V34" s="230" t="n">
        <v>1.63464781192104</v>
      </c>
      <c r="W34" s="228"/>
      <c r="X34" s="229" t="n">
        <v>1.78763734543708</v>
      </c>
      <c r="Y34" s="228" t="n">
        <f aca="false">X34/T34</f>
        <v>0.608974818595996</v>
      </c>
    </row>
    <row r="35" s="229" customFormat="true" ht="12.75" hidden="false" customHeight="false" outlineLevel="0" collapsed="false">
      <c r="A35" s="213" t="s">
        <v>7976</v>
      </c>
      <c r="B35" s="248" t="n">
        <v>40996</v>
      </c>
      <c r="C35" s="215"/>
      <c r="D35" s="216"/>
      <c r="E35" s="249" t="s">
        <v>668</v>
      </c>
      <c r="F35" s="249" t="s">
        <v>663</v>
      </c>
      <c r="G35" s="218"/>
      <c r="H35" s="219"/>
      <c r="I35" s="230" t="n">
        <v>4275</v>
      </c>
      <c r="J35" s="221" t="n">
        <f aca="false">I35*L35</f>
        <v>466.562357436131</v>
      </c>
      <c r="K35" s="222" t="n">
        <v>9</v>
      </c>
      <c r="L35" s="216" t="n">
        <f aca="false">R35/O35</f>
        <v>0.109137393552311</v>
      </c>
      <c r="M35" s="230" t="n">
        <v>446.36</v>
      </c>
      <c r="N35" s="223" t="n">
        <v>605.8</v>
      </c>
      <c r="O35" s="224" t="n">
        <f aca="false">M35+N35</f>
        <v>1052.16</v>
      </c>
      <c r="P35" s="223" t="n">
        <v>49.08</v>
      </c>
      <c r="Q35" s="230" t="n">
        <v>65.75</v>
      </c>
      <c r="R35" s="225" t="n">
        <v>114.83</v>
      </c>
      <c r="S35" s="226" t="n">
        <v>5.81392357436131</v>
      </c>
      <c r="T35" s="226" t="n">
        <f aca="false">MIN(4.63,4.48*S35^(-0.25))</f>
        <v>2.88509876167521</v>
      </c>
      <c r="U35" s="230" t="n">
        <v>3.92622800767333</v>
      </c>
      <c r="V35" s="230" t="n">
        <v>2.76632282515073</v>
      </c>
      <c r="W35" s="228"/>
      <c r="X35" s="229" t="n">
        <v>3.14985982061222</v>
      </c>
      <c r="Y35" s="228" t="n">
        <f aca="false">X35/T35</f>
        <v>1.09176845605912</v>
      </c>
    </row>
    <row r="36" s="229" customFormat="true" ht="12.75" hidden="false" customHeight="false" outlineLevel="0" collapsed="false">
      <c r="A36" s="213" t="s">
        <v>7976</v>
      </c>
      <c r="B36" s="248" t="n">
        <v>40996</v>
      </c>
      <c r="C36" s="251"/>
      <c r="D36" s="216"/>
      <c r="E36" s="250" t="s">
        <v>665</v>
      </c>
      <c r="F36" s="249" t="s">
        <v>663</v>
      </c>
      <c r="G36" s="218"/>
      <c r="H36" s="219"/>
      <c r="I36" s="230" t="n">
        <v>2860</v>
      </c>
      <c r="J36" s="221" t="n">
        <f aca="false">I36*L36</f>
        <v>355.792052319459</v>
      </c>
      <c r="K36" s="222" t="n">
        <v>8</v>
      </c>
      <c r="L36" s="216" t="n">
        <f aca="false">R36/O36</f>
        <v>0.124402815496314</v>
      </c>
      <c r="M36" s="223" t="n">
        <v>363.29</v>
      </c>
      <c r="N36" s="223" t="n">
        <v>538.86</v>
      </c>
      <c r="O36" s="224" t="n">
        <f aca="false">M36+N36</f>
        <v>902.15</v>
      </c>
      <c r="P36" s="223" t="n">
        <v>43.3</v>
      </c>
      <c r="Q36" s="230" t="n">
        <v>68.93</v>
      </c>
      <c r="R36" s="225" t="n">
        <v>112.23</v>
      </c>
      <c r="S36" s="226" t="n">
        <v>4.68022052319459</v>
      </c>
      <c r="T36" s="226" t="n">
        <f aca="false">MIN(4.63,4.48*S36^(-0.25))</f>
        <v>3.04587050103906</v>
      </c>
      <c r="U36" s="230" t="n">
        <v>3.19100563712638</v>
      </c>
      <c r="V36" s="230" t="n">
        <v>2.77675438216165</v>
      </c>
      <c r="W36" s="228"/>
      <c r="X36" s="229" t="n">
        <v>3.34485961629183</v>
      </c>
      <c r="Y36" s="228" t="n">
        <f aca="false">X36/T36</f>
        <v>1.09816212316012</v>
      </c>
    </row>
    <row r="37" s="229" customFormat="true" ht="12.75" hidden="false" customHeight="false" outlineLevel="0" collapsed="false">
      <c r="A37" s="213" t="s">
        <v>7976</v>
      </c>
      <c r="B37" s="248" t="n">
        <v>40996</v>
      </c>
      <c r="C37" s="251"/>
      <c r="D37" s="216"/>
      <c r="E37" s="250" t="s">
        <v>668</v>
      </c>
      <c r="F37" s="249" t="s">
        <v>663</v>
      </c>
      <c r="G37" s="218"/>
      <c r="H37" s="219"/>
      <c r="I37" s="230" t="n">
        <v>3614</v>
      </c>
      <c r="J37" s="221" t="n">
        <f aca="false">I37*L37</f>
        <v>388.019594617382</v>
      </c>
      <c r="K37" s="222" t="n">
        <v>8</v>
      </c>
      <c r="L37" s="216" t="n">
        <f aca="false">R37/O37</f>
        <v>0.107365687497892</v>
      </c>
      <c r="M37" s="223" t="n">
        <v>539.34</v>
      </c>
      <c r="N37" s="223" t="n">
        <v>646.7</v>
      </c>
      <c r="O37" s="224" t="n">
        <f aca="false">M37+N37</f>
        <v>1186.04</v>
      </c>
      <c r="P37" s="223" t="n">
        <v>56.58</v>
      </c>
      <c r="Q37" s="230" t="n">
        <v>70.76</v>
      </c>
      <c r="R37" s="225" t="n">
        <v>127.34</v>
      </c>
      <c r="S37" s="226" t="n">
        <v>5.15359594617382</v>
      </c>
      <c r="T37" s="226" t="n">
        <f aca="false">MIN(4.63,4.48*S37^(-0.25))</f>
        <v>2.97338004552417</v>
      </c>
      <c r="U37" s="230" t="n">
        <v>3.73717131871973</v>
      </c>
      <c r="V37" s="230" t="n">
        <v>2.67392458975323</v>
      </c>
      <c r="W37" s="228"/>
      <c r="X37" s="229" t="n">
        <v>3.69279293817632</v>
      </c>
      <c r="Y37" s="228" t="n">
        <f aca="false">X37/T37</f>
        <v>1.24195120759456</v>
      </c>
    </row>
    <row r="38" s="229" customFormat="true" ht="12.75" hidden="false" customHeight="false" outlineLevel="0" collapsed="false">
      <c r="A38" s="213" t="s">
        <v>7976</v>
      </c>
      <c r="B38" s="248" t="n">
        <v>40996</v>
      </c>
      <c r="C38" s="251"/>
      <c r="D38" s="216"/>
      <c r="E38" s="250" t="s">
        <v>668</v>
      </c>
      <c r="F38" s="249" t="s">
        <v>663</v>
      </c>
      <c r="G38" s="218"/>
      <c r="H38" s="219"/>
      <c r="I38" s="230" t="n">
        <v>3994</v>
      </c>
      <c r="J38" s="221" t="n">
        <f aca="false">I38*L38</f>
        <v>443.588101560511</v>
      </c>
      <c r="K38" s="222" t="n">
        <v>8</v>
      </c>
      <c r="L38" s="216" t="n">
        <f aca="false">R38/O38</f>
        <v>0.11106362082136</v>
      </c>
      <c r="M38" s="223" t="n">
        <v>496.29</v>
      </c>
      <c r="N38" s="223" t="n">
        <v>603.35</v>
      </c>
      <c r="O38" s="224" t="n">
        <f aca="false">M38+N38</f>
        <v>1099.64</v>
      </c>
      <c r="P38" s="223" t="n">
        <v>52.8</v>
      </c>
      <c r="Q38" s="230" t="n">
        <v>69.33</v>
      </c>
      <c r="R38" s="225" t="n">
        <v>122.13</v>
      </c>
      <c r="S38" s="226" t="n">
        <v>5.65718101560511</v>
      </c>
      <c r="T38" s="226" t="n">
        <f aca="false">MIN(4.63,4.48*S38^(-0.25))</f>
        <v>2.90487865351421</v>
      </c>
      <c r="U38" s="230" t="n">
        <v>3.88868919892504</v>
      </c>
      <c r="V38" s="230" t="n">
        <v>2.51712569832402</v>
      </c>
      <c r="W38" s="228"/>
      <c r="X38" s="229" t="n">
        <v>3.10532294990442</v>
      </c>
      <c r="Y38" s="228" t="n">
        <f aca="false">X38/T38</f>
        <v>1.06900264014393</v>
      </c>
    </row>
    <row r="39" s="229" customFormat="true" ht="12.75" hidden="false" customHeight="false" outlineLevel="0" collapsed="false">
      <c r="A39" s="213" t="s">
        <v>7976</v>
      </c>
      <c r="B39" s="248" t="n">
        <v>40996</v>
      </c>
      <c r="C39" s="251"/>
      <c r="D39" s="216"/>
      <c r="E39" s="250" t="s">
        <v>665</v>
      </c>
      <c r="F39" s="249" t="s">
        <v>663</v>
      </c>
      <c r="G39" s="218"/>
      <c r="H39" s="219"/>
      <c r="I39" s="230" t="n">
        <v>3609</v>
      </c>
      <c r="J39" s="221" t="n">
        <f aca="false">I39*L39</f>
        <v>426.350075773977</v>
      </c>
      <c r="K39" s="222" t="n">
        <v>9</v>
      </c>
      <c r="L39" s="216" t="n">
        <f aca="false">R39/O39</f>
        <v>0.118135238507613</v>
      </c>
      <c r="M39" s="223" t="n">
        <v>396.31</v>
      </c>
      <c r="N39" s="223" t="n">
        <v>573.68</v>
      </c>
      <c r="O39" s="224" t="n">
        <f aca="false">M39+N39</f>
        <v>969.99</v>
      </c>
      <c r="P39" s="223" t="n">
        <v>45.79</v>
      </c>
      <c r="Q39" s="230" t="n">
        <v>68.8</v>
      </c>
      <c r="R39" s="225" t="n">
        <v>114.59</v>
      </c>
      <c r="S39" s="226" t="n">
        <v>5.40940075773977</v>
      </c>
      <c r="T39" s="226" t="n">
        <f aca="false">MIN(4.63,4.48*S39^(-0.25))</f>
        <v>2.93758691219521</v>
      </c>
      <c r="U39" s="230" t="n">
        <v>3.43169340562351</v>
      </c>
      <c r="V39" s="230" t="n">
        <v>2.0772784461664</v>
      </c>
      <c r="W39" s="228"/>
      <c r="X39" s="229" t="n">
        <v>2.58855288049299</v>
      </c>
      <c r="Y39" s="228" t="n">
        <f aca="false">X39/T39</f>
        <v>0.88118341954302</v>
      </c>
    </row>
    <row r="40" s="229" customFormat="true" ht="12.75" hidden="false" customHeight="false" outlineLevel="0" collapsed="false">
      <c r="A40" s="213" t="s">
        <v>7976</v>
      </c>
      <c r="B40" s="248" t="n">
        <v>40996</v>
      </c>
      <c r="C40" s="252"/>
      <c r="D40" s="216"/>
      <c r="E40" s="250" t="s">
        <v>665</v>
      </c>
      <c r="F40" s="249" t="s">
        <v>663</v>
      </c>
      <c r="G40" s="218"/>
      <c r="H40" s="219"/>
      <c r="I40" s="230" t="n">
        <v>3378</v>
      </c>
      <c r="J40" s="221" t="n">
        <f aca="false">I40*L40</f>
        <v>404.882859538145</v>
      </c>
      <c r="K40" s="222" t="n">
        <v>9</v>
      </c>
      <c r="L40" s="216" t="n">
        <f aca="false">R40/O40</f>
        <v>0.119858750603358</v>
      </c>
      <c r="M40" s="223" t="n">
        <v>337.22</v>
      </c>
      <c r="N40" s="223" t="n">
        <v>450.04</v>
      </c>
      <c r="O40" s="224" t="n">
        <f aca="false">M40+N40</f>
        <v>787.26</v>
      </c>
      <c r="P40" s="253" t="n">
        <v>39.66</v>
      </c>
      <c r="Q40" s="254" t="n">
        <v>54.7</v>
      </c>
      <c r="R40" s="255" t="n">
        <v>94.36</v>
      </c>
      <c r="S40" s="226" t="n">
        <v>4.99242859538145</v>
      </c>
      <c r="T40" s="226" t="n">
        <f aca="false">MIN(4.63,4.48*S40^(-0.25))</f>
        <v>2.99709182090105</v>
      </c>
      <c r="U40" s="254" t="n">
        <v>3.05490597689603</v>
      </c>
      <c r="V40" s="254" t="n">
        <v>2.08103398976586</v>
      </c>
      <c r="W40" s="228"/>
      <c r="X40" s="229" t="n">
        <v>2.14426821147895</v>
      </c>
      <c r="Y40" s="228" t="n">
        <f aca="false">X40/T40</f>
        <v>0.715449622372361</v>
      </c>
    </row>
    <row r="43" customFormat="false" ht="12.75" hidden="false" customHeight="false" outlineLevel="0" collapsed="false">
      <c r="A43" s="256" t="s">
        <v>7977</v>
      </c>
    </row>
    <row r="44" customFormat="false" ht="12.75" hidden="false" customHeight="false" outlineLevel="0" collapsed="false">
      <c r="A44" s="256" t="s">
        <v>7978</v>
      </c>
    </row>
    <row r="45" customFormat="false" ht="12.75" hidden="false" customHeight="false" outlineLevel="0" collapsed="false">
      <c r="A45" s="256" t="s">
        <v>7979</v>
      </c>
    </row>
    <row r="46" customFormat="false" ht="12.75" hidden="false" customHeight="false" outlineLevel="0" collapsed="false">
      <c r="A46" s="256" t="s">
        <v>7980</v>
      </c>
    </row>
    <row r="47" customFormat="false" ht="12.75" hidden="false" customHeight="false" outlineLevel="0" collapsed="false">
      <c r="A47" s="256" t="s">
        <v>7981</v>
      </c>
    </row>
    <row r="48" customFormat="false" ht="12.75" hidden="false" customHeight="false" outlineLevel="0" collapsed="false">
      <c r="A48" s="256" t="s">
        <v>7982</v>
      </c>
    </row>
    <row r="49" customFormat="false" ht="12.75" hidden="false" customHeight="false" outlineLevel="0" collapsed="false">
      <c r="A49" s="256" t="s">
        <v>7983</v>
      </c>
    </row>
    <row r="50" customFormat="false" ht="12.75" hidden="false" customHeight="false" outlineLevel="0" collapsed="false">
      <c r="A50" s="256" t="s">
        <v>7984</v>
      </c>
    </row>
    <row r="51" customFormat="false" ht="12.75" hidden="false" customHeight="false" outlineLevel="0" collapsed="false">
      <c r="A51" s="256" t="s">
        <v>7985</v>
      </c>
    </row>
    <row r="52" customFormat="false" ht="12.75" hidden="false" customHeight="false" outlineLevel="0" collapsed="false">
      <c r="A52" s="256" t="s">
        <v>7986</v>
      </c>
    </row>
    <row r="53" customFormat="false" ht="12.75" hidden="false" customHeight="false" outlineLevel="0" collapsed="false">
      <c r="A53" s="256" t="s">
        <v>7987</v>
      </c>
    </row>
    <row r="55" customFormat="false" ht="12.75" hidden="false" customHeight="false" outlineLevel="0" collapsed="false">
      <c r="A55" s="256" t="s">
        <v>7988</v>
      </c>
    </row>
    <row r="57" customFormat="false" ht="19.7" hidden="false" customHeight="false" outlineLevel="0" collapsed="false">
      <c r="A57" s="257" t="s">
        <v>7989</v>
      </c>
    </row>
    <row r="58" customFormat="false" ht="19.7" hidden="false" customHeight="false" outlineLevel="0" collapsed="false">
      <c r="A58" s="257" t="s">
        <v>7990</v>
      </c>
    </row>
    <row r="59" customFormat="false" ht="19.7" hidden="false" customHeight="false" outlineLevel="0" collapsed="false">
      <c r="A59" s="257" t="s">
        <v>7991</v>
      </c>
    </row>
    <row r="60" customFormat="false" ht="19.7" hidden="false" customHeight="false" outlineLevel="0" collapsed="false">
      <c r="A60" s="257" t="s">
        <v>7992</v>
      </c>
    </row>
  </sheetData>
  <mergeCells count="4">
    <mergeCell ref="H1:J1"/>
    <mergeCell ref="K1:R1"/>
    <mergeCell ref="S1:T1"/>
    <mergeCell ref="U1:W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T4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N24" activeCellId="1" sqref="A26:A49 BN24"/>
    </sheetView>
  </sheetViews>
  <sheetFormatPr defaultColWidth="10.6015625" defaultRowHeight="12" customHeight="true" zeroHeight="false" outlineLevelRow="0" outlineLevelCol="0"/>
  <cols>
    <col collapsed="false" customWidth="true" hidden="false" outlineLevel="0" max="1" min="1" style="157" width="6.29"/>
    <col collapsed="false" customWidth="true" hidden="false" outlineLevel="0" max="4" min="2" style="157" width="5.57"/>
    <col collapsed="false" customWidth="true" hidden="false" outlineLevel="0" max="6" min="5" style="157" width="4.43"/>
    <col collapsed="false" customWidth="true" hidden="false" outlineLevel="0" max="7" min="7" style="157" width="9.43"/>
    <col collapsed="false" customWidth="true" hidden="false" outlineLevel="0" max="8" min="8" style="157" width="4.43"/>
    <col collapsed="false" customWidth="true" hidden="false" outlineLevel="0" max="9" min="9" style="157" width="8.71"/>
    <col collapsed="false" customWidth="true" hidden="false" outlineLevel="0" max="36" min="10" style="157" width="4.43"/>
    <col collapsed="false" customWidth="true" hidden="false" outlineLevel="0" max="37" min="37" style="157" width="2.43"/>
    <col collapsed="false" customWidth="true" hidden="false" outlineLevel="0" max="38" min="38" style="258" width="5.57"/>
    <col collapsed="false" customWidth="true" hidden="false" outlineLevel="0" max="39" min="39" style="157" width="3.86"/>
    <col collapsed="false" customWidth="true" hidden="false" outlineLevel="0" max="55" min="40" style="157" width="4.43"/>
    <col collapsed="false" customWidth="true" hidden="false" outlineLevel="0" max="56" min="56" style="258" width="4.43"/>
    <col collapsed="false" customWidth="true" hidden="false" outlineLevel="0" max="71" min="57" style="157" width="4.43"/>
    <col collapsed="false" customWidth="true" hidden="false" outlineLevel="0" max="72" min="72" style="157" width="2.43"/>
    <col collapsed="false" customWidth="true" hidden="false" outlineLevel="0" max="73" min="73" style="157" width="13.43"/>
    <col collapsed="false" customWidth="true" hidden="false" outlineLevel="0" max="257" min="257" style="157" width="6.29"/>
    <col collapsed="false" customWidth="true" hidden="false" outlineLevel="0" max="260" min="258" style="157" width="5.57"/>
    <col collapsed="false" customWidth="true" hidden="false" outlineLevel="0" max="293" min="261" style="157" width="4"/>
    <col collapsed="false" customWidth="true" hidden="false" outlineLevel="0" max="294" min="294" style="157" width="6"/>
    <col collapsed="false" customWidth="true" hidden="false" outlineLevel="0" max="295" min="295" style="157" width="4.29"/>
    <col collapsed="false" customWidth="true" hidden="false" outlineLevel="0" max="296" min="296" style="157" width="4.14"/>
    <col collapsed="false" customWidth="true" hidden="false" outlineLevel="0" max="301" min="297" style="157" width="4"/>
    <col collapsed="false" customWidth="true" hidden="false" outlineLevel="0" max="302" min="302" style="157" width="4.14"/>
    <col collapsed="false" customWidth="true" hidden="false" outlineLevel="0" max="311" min="303" style="157" width="4"/>
    <col collapsed="false" customWidth="true" hidden="false" outlineLevel="0" max="312" min="312" style="157" width="4.29"/>
    <col collapsed="false" customWidth="true" hidden="false" outlineLevel="0" max="327" min="313" style="157" width="4.14"/>
    <col collapsed="false" customWidth="true" hidden="false" outlineLevel="0" max="328" min="328" style="157" width="4.86"/>
    <col collapsed="false" customWidth="true" hidden="false" outlineLevel="0" max="329" min="329" style="157" width="13.43"/>
    <col collapsed="false" customWidth="true" hidden="false" outlineLevel="0" max="513" min="513" style="157" width="6.29"/>
    <col collapsed="false" customWidth="true" hidden="false" outlineLevel="0" max="516" min="514" style="157" width="5.57"/>
    <col collapsed="false" customWidth="true" hidden="false" outlineLevel="0" max="549" min="517" style="157" width="4"/>
    <col collapsed="false" customWidth="true" hidden="false" outlineLevel="0" max="550" min="550" style="157" width="6"/>
    <col collapsed="false" customWidth="true" hidden="false" outlineLevel="0" max="551" min="551" style="157" width="4.29"/>
    <col collapsed="false" customWidth="true" hidden="false" outlineLevel="0" max="552" min="552" style="157" width="4.14"/>
    <col collapsed="false" customWidth="true" hidden="false" outlineLevel="0" max="557" min="553" style="157" width="4"/>
    <col collapsed="false" customWidth="true" hidden="false" outlineLevel="0" max="558" min="558" style="157" width="4.14"/>
    <col collapsed="false" customWidth="true" hidden="false" outlineLevel="0" max="567" min="559" style="157" width="4"/>
    <col collapsed="false" customWidth="true" hidden="false" outlineLevel="0" max="568" min="568" style="157" width="4.29"/>
    <col collapsed="false" customWidth="true" hidden="false" outlineLevel="0" max="583" min="569" style="157" width="4.14"/>
    <col collapsed="false" customWidth="true" hidden="false" outlineLevel="0" max="584" min="584" style="157" width="4.86"/>
    <col collapsed="false" customWidth="true" hidden="false" outlineLevel="0" max="585" min="585" style="157" width="13.43"/>
    <col collapsed="false" customWidth="true" hidden="false" outlineLevel="0" max="769" min="769" style="157" width="6.29"/>
    <col collapsed="false" customWidth="true" hidden="false" outlineLevel="0" max="772" min="770" style="157" width="5.57"/>
    <col collapsed="false" customWidth="true" hidden="false" outlineLevel="0" max="805" min="773" style="157" width="4"/>
    <col collapsed="false" customWidth="true" hidden="false" outlineLevel="0" max="806" min="806" style="157" width="6"/>
    <col collapsed="false" customWidth="true" hidden="false" outlineLevel="0" max="807" min="807" style="157" width="4.29"/>
    <col collapsed="false" customWidth="true" hidden="false" outlineLevel="0" max="808" min="808" style="157" width="4.14"/>
    <col collapsed="false" customWidth="true" hidden="false" outlineLevel="0" max="813" min="809" style="157" width="4"/>
    <col collapsed="false" customWidth="true" hidden="false" outlineLevel="0" max="814" min="814" style="157" width="4.14"/>
    <col collapsed="false" customWidth="true" hidden="false" outlineLevel="0" max="823" min="815" style="157" width="4"/>
    <col collapsed="false" customWidth="true" hidden="false" outlineLevel="0" max="824" min="824" style="157" width="4.29"/>
    <col collapsed="false" customWidth="true" hidden="false" outlineLevel="0" max="839" min="825" style="157" width="4.14"/>
    <col collapsed="false" customWidth="true" hidden="false" outlineLevel="0" max="840" min="840" style="157" width="4.86"/>
    <col collapsed="false" customWidth="true" hidden="false" outlineLevel="0" max="841" min="841" style="157" width="13.43"/>
    <col collapsed="false" customWidth="true" hidden="false" outlineLevel="0" max="1025" min="1025" style="157" width="6.29"/>
    <col collapsed="false" customWidth="true" hidden="false" outlineLevel="0" max="1028" min="1026" style="157" width="5.57"/>
    <col collapsed="false" customWidth="true" hidden="false" outlineLevel="0" max="1061" min="1029" style="157" width="4"/>
    <col collapsed="false" customWidth="true" hidden="false" outlineLevel="0" max="1062" min="1062" style="157" width="6"/>
    <col collapsed="false" customWidth="true" hidden="false" outlineLevel="0" max="1063" min="1063" style="157" width="4.29"/>
    <col collapsed="false" customWidth="true" hidden="false" outlineLevel="0" max="1064" min="1064" style="157" width="4.14"/>
    <col collapsed="false" customWidth="true" hidden="false" outlineLevel="0" max="1069" min="1065" style="157" width="4"/>
    <col collapsed="false" customWidth="true" hidden="false" outlineLevel="0" max="1070" min="1070" style="157" width="4.14"/>
    <col collapsed="false" customWidth="true" hidden="false" outlineLevel="0" max="1079" min="1071" style="157" width="4"/>
    <col collapsed="false" customWidth="true" hidden="false" outlineLevel="0" max="1080" min="1080" style="157" width="4.29"/>
    <col collapsed="false" customWidth="true" hidden="false" outlineLevel="0" max="1095" min="1081" style="157" width="4.14"/>
    <col collapsed="false" customWidth="true" hidden="false" outlineLevel="0" max="1096" min="1096" style="157" width="4.86"/>
    <col collapsed="false" customWidth="true" hidden="false" outlineLevel="0" max="1097" min="1097" style="157" width="13.43"/>
    <col collapsed="false" customWidth="true" hidden="false" outlineLevel="0" max="1281" min="1281" style="157" width="6.29"/>
    <col collapsed="false" customWidth="true" hidden="false" outlineLevel="0" max="1284" min="1282" style="157" width="5.57"/>
    <col collapsed="false" customWidth="true" hidden="false" outlineLevel="0" max="1317" min="1285" style="157" width="4"/>
    <col collapsed="false" customWidth="true" hidden="false" outlineLevel="0" max="1318" min="1318" style="157" width="6"/>
    <col collapsed="false" customWidth="true" hidden="false" outlineLevel="0" max="1319" min="1319" style="157" width="4.29"/>
    <col collapsed="false" customWidth="true" hidden="false" outlineLevel="0" max="1320" min="1320" style="157" width="4.14"/>
    <col collapsed="false" customWidth="true" hidden="false" outlineLevel="0" max="1325" min="1321" style="157" width="4"/>
    <col collapsed="false" customWidth="true" hidden="false" outlineLevel="0" max="1326" min="1326" style="157" width="4.14"/>
    <col collapsed="false" customWidth="true" hidden="false" outlineLevel="0" max="1335" min="1327" style="157" width="4"/>
    <col collapsed="false" customWidth="true" hidden="false" outlineLevel="0" max="1336" min="1336" style="157" width="4.29"/>
    <col collapsed="false" customWidth="true" hidden="false" outlineLevel="0" max="1351" min="1337" style="157" width="4.14"/>
    <col collapsed="false" customWidth="true" hidden="false" outlineLevel="0" max="1352" min="1352" style="157" width="4.86"/>
    <col collapsed="false" customWidth="true" hidden="false" outlineLevel="0" max="1353" min="1353" style="157" width="13.43"/>
    <col collapsed="false" customWidth="true" hidden="false" outlineLevel="0" max="1537" min="1537" style="157" width="6.29"/>
    <col collapsed="false" customWidth="true" hidden="false" outlineLevel="0" max="1540" min="1538" style="157" width="5.57"/>
    <col collapsed="false" customWidth="true" hidden="false" outlineLevel="0" max="1573" min="1541" style="157" width="4"/>
    <col collapsed="false" customWidth="true" hidden="false" outlineLevel="0" max="1574" min="1574" style="157" width="6"/>
    <col collapsed="false" customWidth="true" hidden="false" outlineLevel="0" max="1575" min="1575" style="157" width="4.29"/>
    <col collapsed="false" customWidth="true" hidden="false" outlineLevel="0" max="1576" min="1576" style="157" width="4.14"/>
    <col collapsed="false" customWidth="true" hidden="false" outlineLevel="0" max="1581" min="1577" style="157" width="4"/>
    <col collapsed="false" customWidth="true" hidden="false" outlineLevel="0" max="1582" min="1582" style="157" width="4.14"/>
    <col collapsed="false" customWidth="true" hidden="false" outlineLevel="0" max="1591" min="1583" style="157" width="4"/>
    <col collapsed="false" customWidth="true" hidden="false" outlineLevel="0" max="1592" min="1592" style="157" width="4.29"/>
    <col collapsed="false" customWidth="true" hidden="false" outlineLevel="0" max="1607" min="1593" style="157" width="4.14"/>
    <col collapsed="false" customWidth="true" hidden="false" outlineLevel="0" max="1608" min="1608" style="157" width="4.86"/>
    <col collapsed="false" customWidth="true" hidden="false" outlineLevel="0" max="1609" min="1609" style="157" width="13.43"/>
    <col collapsed="false" customWidth="true" hidden="false" outlineLevel="0" max="1793" min="1793" style="157" width="6.29"/>
    <col collapsed="false" customWidth="true" hidden="false" outlineLevel="0" max="1796" min="1794" style="157" width="5.57"/>
    <col collapsed="false" customWidth="true" hidden="false" outlineLevel="0" max="1829" min="1797" style="157" width="4"/>
    <col collapsed="false" customWidth="true" hidden="false" outlineLevel="0" max="1830" min="1830" style="157" width="6"/>
    <col collapsed="false" customWidth="true" hidden="false" outlineLevel="0" max="1831" min="1831" style="157" width="4.29"/>
    <col collapsed="false" customWidth="true" hidden="false" outlineLevel="0" max="1832" min="1832" style="157" width="4.14"/>
    <col collapsed="false" customWidth="true" hidden="false" outlineLevel="0" max="1837" min="1833" style="157" width="4"/>
    <col collapsed="false" customWidth="true" hidden="false" outlineLevel="0" max="1838" min="1838" style="157" width="4.14"/>
    <col collapsed="false" customWidth="true" hidden="false" outlineLevel="0" max="1847" min="1839" style="157" width="4"/>
    <col collapsed="false" customWidth="true" hidden="false" outlineLevel="0" max="1848" min="1848" style="157" width="4.29"/>
    <col collapsed="false" customWidth="true" hidden="false" outlineLevel="0" max="1863" min="1849" style="157" width="4.14"/>
    <col collapsed="false" customWidth="true" hidden="false" outlineLevel="0" max="1864" min="1864" style="157" width="4.86"/>
    <col collapsed="false" customWidth="true" hidden="false" outlineLevel="0" max="1865" min="1865" style="157" width="13.43"/>
    <col collapsed="false" customWidth="true" hidden="false" outlineLevel="0" max="2049" min="2049" style="157" width="6.29"/>
    <col collapsed="false" customWidth="true" hidden="false" outlineLevel="0" max="2052" min="2050" style="157" width="5.57"/>
    <col collapsed="false" customWidth="true" hidden="false" outlineLevel="0" max="2085" min="2053" style="157" width="4"/>
    <col collapsed="false" customWidth="true" hidden="false" outlineLevel="0" max="2086" min="2086" style="157" width="6"/>
    <col collapsed="false" customWidth="true" hidden="false" outlineLevel="0" max="2087" min="2087" style="157" width="4.29"/>
    <col collapsed="false" customWidth="true" hidden="false" outlineLevel="0" max="2088" min="2088" style="157" width="4.14"/>
    <col collapsed="false" customWidth="true" hidden="false" outlineLevel="0" max="2093" min="2089" style="157" width="4"/>
    <col collapsed="false" customWidth="true" hidden="false" outlineLevel="0" max="2094" min="2094" style="157" width="4.14"/>
    <col collapsed="false" customWidth="true" hidden="false" outlineLevel="0" max="2103" min="2095" style="157" width="4"/>
    <col collapsed="false" customWidth="true" hidden="false" outlineLevel="0" max="2104" min="2104" style="157" width="4.29"/>
    <col collapsed="false" customWidth="true" hidden="false" outlineLevel="0" max="2119" min="2105" style="157" width="4.14"/>
    <col collapsed="false" customWidth="true" hidden="false" outlineLevel="0" max="2120" min="2120" style="157" width="4.86"/>
    <col collapsed="false" customWidth="true" hidden="false" outlineLevel="0" max="2121" min="2121" style="157" width="13.43"/>
    <col collapsed="false" customWidth="true" hidden="false" outlineLevel="0" max="2305" min="2305" style="157" width="6.29"/>
    <col collapsed="false" customWidth="true" hidden="false" outlineLevel="0" max="2308" min="2306" style="157" width="5.57"/>
    <col collapsed="false" customWidth="true" hidden="false" outlineLevel="0" max="2341" min="2309" style="157" width="4"/>
    <col collapsed="false" customWidth="true" hidden="false" outlineLevel="0" max="2342" min="2342" style="157" width="6"/>
    <col collapsed="false" customWidth="true" hidden="false" outlineLevel="0" max="2343" min="2343" style="157" width="4.29"/>
    <col collapsed="false" customWidth="true" hidden="false" outlineLevel="0" max="2344" min="2344" style="157" width="4.14"/>
    <col collapsed="false" customWidth="true" hidden="false" outlineLevel="0" max="2349" min="2345" style="157" width="4"/>
    <col collapsed="false" customWidth="true" hidden="false" outlineLevel="0" max="2350" min="2350" style="157" width="4.14"/>
    <col collapsed="false" customWidth="true" hidden="false" outlineLevel="0" max="2359" min="2351" style="157" width="4"/>
    <col collapsed="false" customWidth="true" hidden="false" outlineLevel="0" max="2360" min="2360" style="157" width="4.29"/>
    <col collapsed="false" customWidth="true" hidden="false" outlineLevel="0" max="2375" min="2361" style="157" width="4.14"/>
    <col collapsed="false" customWidth="true" hidden="false" outlineLevel="0" max="2376" min="2376" style="157" width="4.86"/>
    <col collapsed="false" customWidth="true" hidden="false" outlineLevel="0" max="2377" min="2377" style="157" width="13.43"/>
    <col collapsed="false" customWidth="true" hidden="false" outlineLevel="0" max="2561" min="2561" style="157" width="6.29"/>
    <col collapsed="false" customWidth="true" hidden="false" outlineLevel="0" max="2564" min="2562" style="157" width="5.57"/>
    <col collapsed="false" customWidth="true" hidden="false" outlineLevel="0" max="2597" min="2565" style="157" width="4"/>
    <col collapsed="false" customWidth="true" hidden="false" outlineLevel="0" max="2598" min="2598" style="157" width="6"/>
    <col collapsed="false" customWidth="true" hidden="false" outlineLevel="0" max="2599" min="2599" style="157" width="4.29"/>
    <col collapsed="false" customWidth="true" hidden="false" outlineLevel="0" max="2600" min="2600" style="157" width="4.14"/>
    <col collapsed="false" customWidth="true" hidden="false" outlineLevel="0" max="2605" min="2601" style="157" width="4"/>
    <col collapsed="false" customWidth="true" hidden="false" outlineLevel="0" max="2606" min="2606" style="157" width="4.14"/>
    <col collapsed="false" customWidth="true" hidden="false" outlineLevel="0" max="2615" min="2607" style="157" width="4"/>
    <col collapsed="false" customWidth="true" hidden="false" outlineLevel="0" max="2616" min="2616" style="157" width="4.29"/>
    <col collapsed="false" customWidth="true" hidden="false" outlineLevel="0" max="2631" min="2617" style="157" width="4.14"/>
    <col collapsed="false" customWidth="true" hidden="false" outlineLevel="0" max="2632" min="2632" style="157" width="4.86"/>
    <col collapsed="false" customWidth="true" hidden="false" outlineLevel="0" max="2633" min="2633" style="157" width="13.43"/>
    <col collapsed="false" customWidth="true" hidden="false" outlineLevel="0" max="2817" min="2817" style="157" width="6.29"/>
    <col collapsed="false" customWidth="true" hidden="false" outlineLevel="0" max="2820" min="2818" style="157" width="5.57"/>
    <col collapsed="false" customWidth="true" hidden="false" outlineLevel="0" max="2853" min="2821" style="157" width="4"/>
    <col collapsed="false" customWidth="true" hidden="false" outlineLevel="0" max="2854" min="2854" style="157" width="6"/>
    <col collapsed="false" customWidth="true" hidden="false" outlineLevel="0" max="2855" min="2855" style="157" width="4.29"/>
    <col collapsed="false" customWidth="true" hidden="false" outlineLevel="0" max="2856" min="2856" style="157" width="4.14"/>
    <col collapsed="false" customWidth="true" hidden="false" outlineLevel="0" max="2861" min="2857" style="157" width="4"/>
    <col collapsed="false" customWidth="true" hidden="false" outlineLevel="0" max="2862" min="2862" style="157" width="4.14"/>
    <col collapsed="false" customWidth="true" hidden="false" outlineLevel="0" max="2871" min="2863" style="157" width="4"/>
    <col collapsed="false" customWidth="true" hidden="false" outlineLevel="0" max="2872" min="2872" style="157" width="4.29"/>
    <col collapsed="false" customWidth="true" hidden="false" outlineLevel="0" max="2887" min="2873" style="157" width="4.14"/>
    <col collapsed="false" customWidth="true" hidden="false" outlineLevel="0" max="2888" min="2888" style="157" width="4.86"/>
    <col collapsed="false" customWidth="true" hidden="false" outlineLevel="0" max="2889" min="2889" style="157" width="13.43"/>
    <col collapsed="false" customWidth="true" hidden="false" outlineLevel="0" max="3073" min="3073" style="157" width="6.29"/>
    <col collapsed="false" customWidth="true" hidden="false" outlineLevel="0" max="3076" min="3074" style="157" width="5.57"/>
    <col collapsed="false" customWidth="true" hidden="false" outlineLevel="0" max="3109" min="3077" style="157" width="4"/>
    <col collapsed="false" customWidth="true" hidden="false" outlineLevel="0" max="3110" min="3110" style="157" width="6"/>
    <col collapsed="false" customWidth="true" hidden="false" outlineLevel="0" max="3111" min="3111" style="157" width="4.29"/>
    <col collapsed="false" customWidth="true" hidden="false" outlineLevel="0" max="3112" min="3112" style="157" width="4.14"/>
    <col collapsed="false" customWidth="true" hidden="false" outlineLevel="0" max="3117" min="3113" style="157" width="4"/>
    <col collapsed="false" customWidth="true" hidden="false" outlineLevel="0" max="3118" min="3118" style="157" width="4.14"/>
    <col collapsed="false" customWidth="true" hidden="false" outlineLevel="0" max="3127" min="3119" style="157" width="4"/>
    <col collapsed="false" customWidth="true" hidden="false" outlineLevel="0" max="3128" min="3128" style="157" width="4.29"/>
    <col collapsed="false" customWidth="true" hidden="false" outlineLevel="0" max="3143" min="3129" style="157" width="4.14"/>
    <col collapsed="false" customWidth="true" hidden="false" outlineLevel="0" max="3144" min="3144" style="157" width="4.86"/>
    <col collapsed="false" customWidth="true" hidden="false" outlineLevel="0" max="3145" min="3145" style="157" width="13.43"/>
    <col collapsed="false" customWidth="true" hidden="false" outlineLevel="0" max="3329" min="3329" style="157" width="6.29"/>
    <col collapsed="false" customWidth="true" hidden="false" outlineLevel="0" max="3332" min="3330" style="157" width="5.57"/>
    <col collapsed="false" customWidth="true" hidden="false" outlineLevel="0" max="3365" min="3333" style="157" width="4"/>
    <col collapsed="false" customWidth="true" hidden="false" outlineLevel="0" max="3366" min="3366" style="157" width="6"/>
    <col collapsed="false" customWidth="true" hidden="false" outlineLevel="0" max="3367" min="3367" style="157" width="4.29"/>
    <col collapsed="false" customWidth="true" hidden="false" outlineLevel="0" max="3368" min="3368" style="157" width="4.14"/>
    <col collapsed="false" customWidth="true" hidden="false" outlineLevel="0" max="3373" min="3369" style="157" width="4"/>
    <col collapsed="false" customWidth="true" hidden="false" outlineLevel="0" max="3374" min="3374" style="157" width="4.14"/>
    <col collapsed="false" customWidth="true" hidden="false" outlineLevel="0" max="3383" min="3375" style="157" width="4"/>
    <col collapsed="false" customWidth="true" hidden="false" outlineLevel="0" max="3384" min="3384" style="157" width="4.29"/>
    <col collapsed="false" customWidth="true" hidden="false" outlineLevel="0" max="3399" min="3385" style="157" width="4.14"/>
    <col collapsed="false" customWidth="true" hidden="false" outlineLevel="0" max="3400" min="3400" style="157" width="4.86"/>
    <col collapsed="false" customWidth="true" hidden="false" outlineLevel="0" max="3401" min="3401" style="157" width="13.43"/>
    <col collapsed="false" customWidth="true" hidden="false" outlineLevel="0" max="3585" min="3585" style="157" width="6.29"/>
    <col collapsed="false" customWidth="true" hidden="false" outlineLevel="0" max="3588" min="3586" style="157" width="5.57"/>
    <col collapsed="false" customWidth="true" hidden="false" outlineLevel="0" max="3621" min="3589" style="157" width="4"/>
    <col collapsed="false" customWidth="true" hidden="false" outlineLevel="0" max="3622" min="3622" style="157" width="6"/>
    <col collapsed="false" customWidth="true" hidden="false" outlineLevel="0" max="3623" min="3623" style="157" width="4.29"/>
    <col collapsed="false" customWidth="true" hidden="false" outlineLevel="0" max="3624" min="3624" style="157" width="4.14"/>
    <col collapsed="false" customWidth="true" hidden="false" outlineLevel="0" max="3629" min="3625" style="157" width="4"/>
    <col collapsed="false" customWidth="true" hidden="false" outlineLevel="0" max="3630" min="3630" style="157" width="4.14"/>
    <col collapsed="false" customWidth="true" hidden="false" outlineLevel="0" max="3639" min="3631" style="157" width="4"/>
    <col collapsed="false" customWidth="true" hidden="false" outlineLevel="0" max="3640" min="3640" style="157" width="4.29"/>
    <col collapsed="false" customWidth="true" hidden="false" outlineLevel="0" max="3655" min="3641" style="157" width="4.14"/>
    <col collapsed="false" customWidth="true" hidden="false" outlineLevel="0" max="3656" min="3656" style="157" width="4.86"/>
    <col collapsed="false" customWidth="true" hidden="false" outlineLevel="0" max="3657" min="3657" style="157" width="13.43"/>
    <col collapsed="false" customWidth="true" hidden="false" outlineLevel="0" max="3841" min="3841" style="157" width="6.29"/>
    <col collapsed="false" customWidth="true" hidden="false" outlineLevel="0" max="3844" min="3842" style="157" width="5.57"/>
    <col collapsed="false" customWidth="true" hidden="false" outlineLevel="0" max="3877" min="3845" style="157" width="4"/>
    <col collapsed="false" customWidth="true" hidden="false" outlineLevel="0" max="3878" min="3878" style="157" width="6"/>
    <col collapsed="false" customWidth="true" hidden="false" outlineLevel="0" max="3879" min="3879" style="157" width="4.29"/>
    <col collapsed="false" customWidth="true" hidden="false" outlineLevel="0" max="3880" min="3880" style="157" width="4.14"/>
    <col collapsed="false" customWidth="true" hidden="false" outlineLevel="0" max="3885" min="3881" style="157" width="4"/>
    <col collapsed="false" customWidth="true" hidden="false" outlineLevel="0" max="3886" min="3886" style="157" width="4.14"/>
    <col collapsed="false" customWidth="true" hidden="false" outlineLevel="0" max="3895" min="3887" style="157" width="4"/>
    <col collapsed="false" customWidth="true" hidden="false" outlineLevel="0" max="3896" min="3896" style="157" width="4.29"/>
    <col collapsed="false" customWidth="true" hidden="false" outlineLevel="0" max="3911" min="3897" style="157" width="4.14"/>
    <col collapsed="false" customWidth="true" hidden="false" outlineLevel="0" max="3912" min="3912" style="157" width="4.86"/>
    <col collapsed="false" customWidth="true" hidden="false" outlineLevel="0" max="3913" min="3913" style="157" width="13.43"/>
    <col collapsed="false" customWidth="true" hidden="false" outlineLevel="0" max="4097" min="4097" style="157" width="6.29"/>
    <col collapsed="false" customWidth="true" hidden="false" outlineLevel="0" max="4100" min="4098" style="157" width="5.57"/>
    <col collapsed="false" customWidth="true" hidden="false" outlineLevel="0" max="4133" min="4101" style="157" width="4"/>
    <col collapsed="false" customWidth="true" hidden="false" outlineLevel="0" max="4134" min="4134" style="157" width="6"/>
    <col collapsed="false" customWidth="true" hidden="false" outlineLevel="0" max="4135" min="4135" style="157" width="4.29"/>
    <col collapsed="false" customWidth="true" hidden="false" outlineLevel="0" max="4136" min="4136" style="157" width="4.14"/>
    <col collapsed="false" customWidth="true" hidden="false" outlineLevel="0" max="4141" min="4137" style="157" width="4"/>
    <col collapsed="false" customWidth="true" hidden="false" outlineLevel="0" max="4142" min="4142" style="157" width="4.14"/>
    <col collapsed="false" customWidth="true" hidden="false" outlineLevel="0" max="4151" min="4143" style="157" width="4"/>
    <col collapsed="false" customWidth="true" hidden="false" outlineLevel="0" max="4152" min="4152" style="157" width="4.29"/>
    <col collapsed="false" customWidth="true" hidden="false" outlineLevel="0" max="4167" min="4153" style="157" width="4.14"/>
    <col collapsed="false" customWidth="true" hidden="false" outlineLevel="0" max="4168" min="4168" style="157" width="4.86"/>
    <col collapsed="false" customWidth="true" hidden="false" outlineLevel="0" max="4169" min="4169" style="157" width="13.43"/>
    <col collapsed="false" customWidth="true" hidden="false" outlineLevel="0" max="4353" min="4353" style="157" width="6.29"/>
    <col collapsed="false" customWidth="true" hidden="false" outlineLevel="0" max="4356" min="4354" style="157" width="5.57"/>
    <col collapsed="false" customWidth="true" hidden="false" outlineLevel="0" max="4389" min="4357" style="157" width="4"/>
    <col collapsed="false" customWidth="true" hidden="false" outlineLevel="0" max="4390" min="4390" style="157" width="6"/>
    <col collapsed="false" customWidth="true" hidden="false" outlineLevel="0" max="4391" min="4391" style="157" width="4.29"/>
    <col collapsed="false" customWidth="true" hidden="false" outlineLevel="0" max="4392" min="4392" style="157" width="4.14"/>
    <col collapsed="false" customWidth="true" hidden="false" outlineLevel="0" max="4397" min="4393" style="157" width="4"/>
    <col collapsed="false" customWidth="true" hidden="false" outlineLevel="0" max="4398" min="4398" style="157" width="4.14"/>
    <col collapsed="false" customWidth="true" hidden="false" outlineLevel="0" max="4407" min="4399" style="157" width="4"/>
    <col collapsed="false" customWidth="true" hidden="false" outlineLevel="0" max="4408" min="4408" style="157" width="4.29"/>
    <col collapsed="false" customWidth="true" hidden="false" outlineLevel="0" max="4423" min="4409" style="157" width="4.14"/>
    <col collapsed="false" customWidth="true" hidden="false" outlineLevel="0" max="4424" min="4424" style="157" width="4.86"/>
    <col collapsed="false" customWidth="true" hidden="false" outlineLevel="0" max="4425" min="4425" style="157" width="13.43"/>
    <col collapsed="false" customWidth="true" hidden="false" outlineLevel="0" max="4609" min="4609" style="157" width="6.29"/>
    <col collapsed="false" customWidth="true" hidden="false" outlineLevel="0" max="4612" min="4610" style="157" width="5.57"/>
    <col collapsed="false" customWidth="true" hidden="false" outlineLevel="0" max="4645" min="4613" style="157" width="4"/>
    <col collapsed="false" customWidth="true" hidden="false" outlineLevel="0" max="4646" min="4646" style="157" width="6"/>
    <col collapsed="false" customWidth="true" hidden="false" outlineLevel="0" max="4647" min="4647" style="157" width="4.29"/>
    <col collapsed="false" customWidth="true" hidden="false" outlineLevel="0" max="4648" min="4648" style="157" width="4.14"/>
    <col collapsed="false" customWidth="true" hidden="false" outlineLevel="0" max="4653" min="4649" style="157" width="4"/>
    <col collapsed="false" customWidth="true" hidden="false" outlineLevel="0" max="4654" min="4654" style="157" width="4.14"/>
    <col collapsed="false" customWidth="true" hidden="false" outlineLevel="0" max="4663" min="4655" style="157" width="4"/>
    <col collapsed="false" customWidth="true" hidden="false" outlineLevel="0" max="4664" min="4664" style="157" width="4.29"/>
    <col collapsed="false" customWidth="true" hidden="false" outlineLevel="0" max="4679" min="4665" style="157" width="4.14"/>
    <col collapsed="false" customWidth="true" hidden="false" outlineLevel="0" max="4680" min="4680" style="157" width="4.86"/>
    <col collapsed="false" customWidth="true" hidden="false" outlineLevel="0" max="4681" min="4681" style="157" width="13.43"/>
    <col collapsed="false" customWidth="true" hidden="false" outlineLevel="0" max="4865" min="4865" style="157" width="6.29"/>
    <col collapsed="false" customWidth="true" hidden="false" outlineLevel="0" max="4868" min="4866" style="157" width="5.57"/>
    <col collapsed="false" customWidth="true" hidden="false" outlineLevel="0" max="4901" min="4869" style="157" width="4"/>
    <col collapsed="false" customWidth="true" hidden="false" outlineLevel="0" max="4902" min="4902" style="157" width="6"/>
    <col collapsed="false" customWidth="true" hidden="false" outlineLevel="0" max="4903" min="4903" style="157" width="4.29"/>
    <col collapsed="false" customWidth="true" hidden="false" outlineLevel="0" max="4904" min="4904" style="157" width="4.14"/>
    <col collapsed="false" customWidth="true" hidden="false" outlineLevel="0" max="4909" min="4905" style="157" width="4"/>
    <col collapsed="false" customWidth="true" hidden="false" outlineLevel="0" max="4910" min="4910" style="157" width="4.14"/>
    <col collapsed="false" customWidth="true" hidden="false" outlineLevel="0" max="4919" min="4911" style="157" width="4"/>
    <col collapsed="false" customWidth="true" hidden="false" outlineLevel="0" max="4920" min="4920" style="157" width="4.29"/>
    <col collapsed="false" customWidth="true" hidden="false" outlineLevel="0" max="4935" min="4921" style="157" width="4.14"/>
    <col collapsed="false" customWidth="true" hidden="false" outlineLevel="0" max="4936" min="4936" style="157" width="4.86"/>
    <col collapsed="false" customWidth="true" hidden="false" outlineLevel="0" max="4937" min="4937" style="157" width="13.43"/>
    <col collapsed="false" customWidth="true" hidden="false" outlineLevel="0" max="5121" min="5121" style="157" width="6.29"/>
    <col collapsed="false" customWidth="true" hidden="false" outlineLevel="0" max="5124" min="5122" style="157" width="5.57"/>
    <col collapsed="false" customWidth="true" hidden="false" outlineLevel="0" max="5157" min="5125" style="157" width="4"/>
    <col collapsed="false" customWidth="true" hidden="false" outlineLevel="0" max="5158" min="5158" style="157" width="6"/>
    <col collapsed="false" customWidth="true" hidden="false" outlineLevel="0" max="5159" min="5159" style="157" width="4.29"/>
    <col collapsed="false" customWidth="true" hidden="false" outlineLevel="0" max="5160" min="5160" style="157" width="4.14"/>
    <col collapsed="false" customWidth="true" hidden="false" outlineLevel="0" max="5165" min="5161" style="157" width="4"/>
    <col collapsed="false" customWidth="true" hidden="false" outlineLevel="0" max="5166" min="5166" style="157" width="4.14"/>
    <col collapsed="false" customWidth="true" hidden="false" outlineLevel="0" max="5175" min="5167" style="157" width="4"/>
    <col collapsed="false" customWidth="true" hidden="false" outlineLevel="0" max="5176" min="5176" style="157" width="4.29"/>
    <col collapsed="false" customWidth="true" hidden="false" outlineLevel="0" max="5191" min="5177" style="157" width="4.14"/>
    <col collapsed="false" customWidth="true" hidden="false" outlineLevel="0" max="5192" min="5192" style="157" width="4.86"/>
    <col collapsed="false" customWidth="true" hidden="false" outlineLevel="0" max="5193" min="5193" style="157" width="13.43"/>
    <col collapsed="false" customWidth="true" hidden="false" outlineLevel="0" max="5377" min="5377" style="157" width="6.29"/>
    <col collapsed="false" customWidth="true" hidden="false" outlineLevel="0" max="5380" min="5378" style="157" width="5.57"/>
    <col collapsed="false" customWidth="true" hidden="false" outlineLevel="0" max="5413" min="5381" style="157" width="4"/>
    <col collapsed="false" customWidth="true" hidden="false" outlineLevel="0" max="5414" min="5414" style="157" width="6"/>
    <col collapsed="false" customWidth="true" hidden="false" outlineLevel="0" max="5415" min="5415" style="157" width="4.29"/>
    <col collapsed="false" customWidth="true" hidden="false" outlineLevel="0" max="5416" min="5416" style="157" width="4.14"/>
    <col collapsed="false" customWidth="true" hidden="false" outlineLevel="0" max="5421" min="5417" style="157" width="4"/>
    <col collapsed="false" customWidth="true" hidden="false" outlineLevel="0" max="5422" min="5422" style="157" width="4.14"/>
    <col collapsed="false" customWidth="true" hidden="false" outlineLevel="0" max="5431" min="5423" style="157" width="4"/>
    <col collapsed="false" customWidth="true" hidden="false" outlineLevel="0" max="5432" min="5432" style="157" width="4.29"/>
    <col collapsed="false" customWidth="true" hidden="false" outlineLevel="0" max="5447" min="5433" style="157" width="4.14"/>
    <col collapsed="false" customWidth="true" hidden="false" outlineLevel="0" max="5448" min="5448" style="157" width="4.86"/>
    <col collapsed="false" customWidth="true" hidden="false" outlineLevel="0" max="5449" min="5449" style="157" width="13.43"/>
    <col collapsed="false" customWidth="true" hidden="false" outlineLevel="0" max="5633" min="5633" style="157" width="6.29"/>
    <col collapsed="false" customWidth="true" hidden="false" outlineLevel="0" max="5636" min="5634" style="157" width="5.57"/>
    <col collapsed="false" customWidth="true" hidden="false" outlineLevel="0" max="5669" min="5637" style="157" width="4"/>
    <col collapsed="false" customWidth="true" hidden="false" outlineLevel="0" max="5670" min="5670" style="157" width="6"/>
    <col collapsed="false" customWidth="true" hidden="false" outlineLevel="0" max="5671" min="5671" style="157" width="4.29"/>
    <col collapsed="false" customWidth="true" hidden="false" outlineLevel="0" max="5672" min="5672" style="157" width="4.14"/>
    <col collapsed="false" customWidth="true" hidden="false" outlineLevel="0" max="5677" min="5673" style="157" width="4"/>
    <col collapsed="false" customWidth="true" hidden="false" outlineLevel="0" max="5678" min="5678" style="157" width="4.14"/>
    <col collapsed="false" customWidth="true" hidden="false" outlineLevel="0" max="5687" min="5679" style="157" width="4"/>
    <col collapsed="false" customWidth="true" hidden="false" outlineLevel="0" max="5688" min="5688" style="157" width="4.29"/>
    <col collapsed="false" customWidth="true" hidden="false" outlineLevel="0" max="5703" min="5689" style="157" width="4.14"/>
    <col collapsed="false" customWidth="true" hidden="false" outlineLevel="0" max="5704" min="5704" style="157" width="4.86"/>
    <col collapsed="false" customWidth="true" hidden="false" outlineLevel="0" max="5705" min="5705" style="157" width="13.43"/>
    <col collapsed="false" customWidth="true" hidden="false" outlineLevel="0" max="5889" min="5889" style="157" width="6.29"/>
    <col collapsed="false" customWidth="true" hidden="false" outlineLevel="0" max="5892" min="5890" style="157" width="5.57"/>
    <col collapsed="false" customWidth="true" hidden="false" outlineLevel="0" max="5925" min="5893" style="157" width="4"/>
    <col collapsed="false" customWidth="true" hidden="false" outlineLevel="0" max="5926" min="5926" style="157" width="6"/>
    <col collapsed="false" customWidth="true" hidden="false" outlineLevel="0" max="5927" min="5927" style="157" width="4.29"/>
    <col collapsed="false" customWidth="true" hidden="false" outlineLevel="0" max="5928" min="5928" style="157" width="4.14"/>
    <col collapsed="false" customWidth="true" hidden="false" outlineLevel="0" max="5933" min="5929" style="157" width="4"/>
    <col collapsed="false" customWidth="true" hidden="false" outlineLevel="0" max="5934" min="5934" style="157" width="4.14"/>
    <col collapsed="false" customWidth="true" hidden="false" outlineLevel="0" max="5943" min="5935" style="157" width="4"/>
    <col collapsed="false" customWidth="true" hidden="false" outlineLevel="0" max="5944" min="5944" style="157" width="4.29"/>
    <col collapsed="false" customWidth="true" hidden="false" outlineLevel="0" max="5959" min="5945" style="157" width="4.14"/>
    <col collapsed="false" customWidth="true" hidden="false" outlineLevel="0" max="5960" min="5960" style="157" width="4.86"/>
    <col collapsed="false" customWidth="true" hidden="false" outlineLevel="0" max="5961" min="5961" style="157" width="13.43"/>
    <col collapsed="false" customWidth="true" hidden="false" outlineLevel="0" max="6145" min="6145" style="157" width="6.29"/>
    <col collapsed="false" customWidth="true" hidden="false" outlineLevel="0" max="6148" min="6146" style="157" width="5.57"/>
    <col collapsed="false" customWidth="true" hidden="false" outlineLevel="0" max="6181" min="6149" style="157" width="4"/>
    <col collapsed="false" customWidth="true" hidden="false" outlineLevel="0" max="6182" min="6182" style="157" width="6"/>
    <col collapsed="false" customWidth="true" hidden="false" outlineLevel="0" max="6183" min="6183" style="157" width="4.29"/>
    <col collapsed="false" customWidth="true" hidden="false" outlineLevel="0" max="6184" min="6184" style="157" width="4.14"/>
    <col collapsed="false" customWidth="true" hidden="false" outlineLevel="0" max="6189" min="6185" style="157" width="4"/>
    <col collapsed="false" customWidth="true" hidden="false" outlineLevel="0" max="6190" min="6190" style="157" width="4.14"/>
    <col collapsed="false" customWidth="true" hidden="false" outlineLevel="0" max="6199" min="6191" style="157" width="4"/>
    <col collapsed="false" customWidth="true" hidden="false" outlineLevel="0" max="6200" min="6200" style="157" width="4.29"/>
    <col collapsed="false" customWidth="true" hidden="false" outlineLevel="0" max="6215" min="6201" style="157" width="4.14"/>
    <col collapsed="false" customWidth="true" hidden="false" outlineLevel="0" max="6216" min="6216" style="157" width="4.86"/>
    <col collapsed="false" customWidth="true" hidden="false" outlineLevel="0" max="6217" min="6217" style="157" width="13.43"/>
    <col collapsed="false" customWidth="true" hidden="false" outlineLevel="0" max="6401" min="6401" style="157" width="6.29"/>
    <col collapsed="false" customWidth="true" hidden="false" outlineLevel="0" max="6404" min="6402" style="157" width="5.57"/>
    <col collapsed="false" customWidth="true" hidden="false" outlineLevel="0" max="6437" min="6405" style="157" width="4"/>
    <col collapsed="false" customWidth="true" hidden="false" outlineLevel="0" max="6438" min="6438" style="157" width="6"/>
    <col collapsed="false" customWidth="true" hidden="false" outlineLevel="0" max="6439" min="6439" style="157" width="4.29"/>
    <col collapsed="false" customWidth="true" hidden="false" outlineLevel="0" max="6440" min="6440" style="157" width="4.14"/>
    <col collapsed="false" customWidth="true" hidden="false" outlineLevel="0" max="6445" min="6441" style="157" width="4"/>
    <col collapsed="false" customWidth="true" hidden="false" outlineLevel="0" max="6446" min="6446" style="157" width="4.14"/>
    <col collapsed="false" customWidth="true" hidden="false" outlineLevel="0" max="6455" min="6447" style="157" width="4"/>
    <col collapsed="false" customWidth="true" hidden="false" outlineLevel="0" max="6456" min="6456" style="157" width="4.29"/>
    <col collapsed="false" customWidth="true" hidden="false" outlineLevel="0" max="6471" min="6457" style="157" width="4.14"/>
    <col collapsed="false" customWidth="true" hidden="false" outlineLevel="0" max="6472" min="6472" style="157" width="4.86"/>
    <col collapsed="false" customWidth="true" hidden="false" outlineLevel="0" max="6473" min="6473" style="157" width="13.43"/>
    <col collapsed="false" customWidth="true" hidden="false" outlineLevel="0" max="6657" min="6657" style="157" width="6.29"/>
    <col collapsed="false" customWidth="true" hidden="false" outlineLevel="0" max="6660" min="6658" style="157" width="5.57"/>
    <col collapsed="false" customWidth="true" hidden="false" outlineLevel="0" max="6693" min="6661" style="157" width="4"/>
    <col collapsed="false" customWidth="true" hidden="false" outlineLevel="0" max="6694" min="6694" style="157" width="6"/>
    <col collapsed="false" customWidth="true" hidden="false" outlineLevel="0" max="6695" min="6695" style="157" width="4.29"/>
    <col collapsed="false" customWidth="true" hidden="false" outlineLevel="0" max="6696" min="6696" style="157" width="4.14"/>
    <col collapsed="false" customWidth="true" hidden="false" outlineLevel="0" max="6701" min="6697" style="157" width="4"/>
    <col collapsed="false" customWidth="true" hidden="false" outlineLevel="0" max="6702" min="6702" style="157" width="4.14"/>
    <col collapsed="false" customWidth="true" hidden="false" outlineLevel="0" max="6711" min="6703" style="157" width="4"/>
    <col collapsed="false" customWidth="true" hidden="false" outlineLevel="0" max="6712" min="6712" style="157" width="4.29"/>
    <col collapsed="false" customWidth="true" hidden="false" outlineLevel="0" max="6727" min="6713" style="157" width="4.14"/>
    <col collapsed="false" customWidth="true" hidden="false" outlineLevel="0" max="6728" min="6728" style="157" width="4.86"/>
    <col collapsed="false" customWidth="true" hidden="false" outlineLevel="0" max="6729" min="6729" style="157" width="13.43"/>
    <col collapsed="false" customWidth="true" hidden="false" outlineLevel="0" max="6913" min="6913" style="157" width="6.29"/>
    <col collapsed="false" customWidth="true" hidden="false" outlineLevel="0" max="6916" min="6914" style="157" width="5.57"/>
    <col collapsed="false" customWidth="true" hidden="false" outlineLevel="0" max="6949" min="6917" style="157" width="4"/>
    <col collapsed="false" customWidth="true" hidden="false" outlineLevel="0" max="6950" min="6950" style="157" width="6"/>
    <col collapsed="false" customWidth="true" hidden="false" outlineLevel="0" max="6951" min="6951" style="157" width="4.29"/>
    <col collapsed="false" customWidth="true" hidden="false" outlineLevel="0" max="6952" min="6952" style="157" width="4.14"/>
    <col collapsed="false" customWidth="true" hidden="false" outlineLevel="0" max="6957" min="6953" style="157" width="4"/>
    <col collapsed="false" customWidth="true" hidden="false" outlineLevel="0" max="6958" min="6958" style="157" width="4.14"/>
    <col collapsed="false" customWidth="true" hidden="false" outlineLevel="0" max="6967" min="6959" style="157" width="4"/>
    <col collapsed="false" customWidth="true" hidden="false" outlineLevel="0" max="6968" min="6968" style="157" width="4.29"/>
    <col collapsed="false" customWidth="true" hidden="false" outlineLevel="0" max="6983" min="6969" style="157" width="4.14"/>
    <col collapsed="false" customWidth="true" hidden="false" outlineLevel="0" max="6984" min="6984" style="157" width="4.86"/>
    <col collapsed="false" customWidth="true" hidden="false" outlineLevel="0" max="6985" min="6985" style="157" width="13.43"/>
    <col collapsed="false" customWidth="true" hidden="false" outlineLevel="0" max="7169" min="7169" style="157" width="6.29"/>
    <col collapsed="false" customWidth="true" hidden="false" outlineLevel="0" max="7172" min="7170" style="157" width="5.57"/>
    <col collapsed="false" customWidth="true" hidden="false" outlineLevel="0" max="7205" min="7173" style="157" width="4"/>
    <col collapsed="false" customWidth="true" hidden="false" outlineLevel="0" max="7206" min="7206" style="157" width="6"/>
    <col collapsed="false" customWidth="true" hidden="false" outlineLevel="0" max="7207" min="7207" style="157" width="4.29"/>
    <col collapsed="false" customWidth="true" hidden="false" outlineLevel="0" max="7208" min="7208" style="157" width="4.14"/>
    <col collapsed="false" customWidth="true" hidden="false" outlineLevel="0" max="7213" min="7209" style="157" width="4"/>
    <col collapsed="false" customWidth="true" hidden="false" outlineLevel="0" max="7214" min="7214" style="157" width="4.14"/>
    <col collapsed="false" customWidth="true" hidden="false" outlineLevel="0" max="7223" min="7215" style="157" width="4"/>
    <col collapsed="false" customWidth="true" hidden="false" outlineLevel="0" max="7224" min="7224" style="157" width="4.29"/>
    <col collapsed="false" customWidth="true" hidden="false" outlineLevel="0" max="7239" min="7225" style="157" width="4.14"/>
    <col collapsed="false" customWidth="true" hidden="false" outlineLevel="0" max="7240" min="7240" style="157" width="4.86"/>
    <col collapsed="false" customWidth="true" hidden="false" outlineLevel="0" max="7241" min="7241" style="157" width="13.43"/>
    <col collapsed="false" customWidth="true" hidden="false" outlineLevel="0" max="7425" min="7425" style="157" width="6.29"/>
    <col collapsed="false" customWidth="true" hidden="false" outlineLevel="0" max="7428" min="7426" style="157" width="5.57"/>
    <col collapsed="false" customWidth="true" hidden="false" outlineLevel="0" max="7461" min="7429" style="157" width="4"/>
    <col collapsed="false" customWidth="true" hidden="false" outlineLevel="0" max="7462" min="7462" style="157" width="6"/>
    <col collapsed="false" customWidth="true" hidden="false" outlineLevel="0" max="7463" min="7463" style="157" width="4.29"/>
    <col collapsed="false" customWidth="true" hidden="false" outlineLevel="0" max="7464" min="7464" style="157" width="4.14"/>
    <col collapsed="false" customWidth="true" hidden="false" outlineLevel="0" max="7469" min="7465" style="157" width="4"/>
    <col collapsed="false" customWidth="true" hidden="false" outlineLevel="0" max="7470" min="7470" style="157" width="4.14"/>
    <col collapsed="false" customWidth="true" hidden="false" outlineLevel="0" max="7479" min="7471" style="157" width="4"/>
    <col collapsed="false" customWidth="true" hidden="false" outlineLevel="0" max="7480" min="7480" style="157" width="4.29"/>
    <col collapsed="false" customWidth="true" hidden="false" outlineLevel="0" max="7495" min="7481" style="157" width="4.14"/>
    <col collapsed="false" customWidth="true" hidden="false" outlineLevel="0" max="7496" min="7496" style="157" width="4.86"/>
    <col collapsed="false" customWidth="true" hidden="false" outlineLevel="0" max="7497" min="7497" style="157" width="13.43"/>
    <col collapsed="false" customWidth="true" hidden="false" outlineLevel="0" max="7681" min="7681" style="157" width="6.29"/>
    <col collapsed="false" customWidth="true" hidden="false" outlineLevel="0" max="7684" min="7682" style="157" width="5.57"/>
    <col collapsed="false" customWidth="true" hidden="false" outlineLevel="0" max="7717" min="7685" style="157" width="4"/>
    <col collapsed="false" customWidth="true" hidden="false" outlineLevel="0" max="7718" min="7718" style="157" width="6"/>
    <col collapsed="false" customWidth="true" hidden="false" outlineLevel="0" max="7719" min="7719" style="157" width="4.29"/>
    <col collapsed="false" customWidth="true" hidden="false" outlineLevel="0" max="7720" min="7720" style="157" width="4.14"/>
    <col collapsed="false" customWidth="true" hidden="false" outlineLevel="0" max="7725" min="7721" style="157" width="4"/>
    <col collapsed="false" customWidth="true" hidden="false" outlineLevel="0" max="7726" min="7726" style="157" width="4.14"/>
    <col collapsed="false" customWidth="true" hidden="false" outlineLevel="0" max="7735" min="7727" style="157" width="4"/>
    <col collapsed="false" customWidth="true" hidden="false" outlineLevel="0" max="7736" min="7736" style="157" width="4.29"/>
    <col collapsed="false" customWidth="true" hidden="false" outlineLevel="0" max="7751" min="7737" style="157" width="4.14"/>
    <col collapsed="false" customWidth="true" hidden="false" outlineLevel="0" max="7752" min="7752" style="157" width="4.86"/>
    <col collapsed="false" customWidth="true" hidden="false" outlineLevel="0" max="7753" min="7753" style="157" width="13.43"/>
    <col collapsed="false" customWidth="true" hidden="false" outlineLevel="0" max="7937" min="7937" style="157" width="6.29"/>
    <col collapsed="false" customWidth="true" hidden="false" outlineLevel="0" max="7940" min="7938" style="157" width="5.57"/>
    <col collapsed="false" customWidth="true" hidden="false" outlineLevel="0" max="7973" min="7941" style="157" width="4"/>
    <col collapsed="false" customWidth="true" hidden="false" outlineLevel="0" max="7974" min="7974" style="157" width="6"/>
    <col collapsed="false" customWidth="true" hidden="false" outlineLevel="0" max="7975" min="7975" style="157" width="4.29"/>
    <col collapsed="false" customWidth="true" hidden="false" outlineLevel="0" max="7976" min="7976" style="157" width="4.14"/>
    <col collapsed="false" customWidth="true" hidden="false" outlineLevel="0" max="7981" min="7977" style="157" width="4"/>
    <col collapsed="false" customWidth="true" hidden="false" outlineLevel="0" max="7982" min="7982" style="157" width="4.14"/>
    <col collapsed="false" customWidth="true" hidden="false" outlineLevel="0" max="7991" min="7983" style="157" width="4"/>
    <col collapsed="false" customWidth="true" hidden="false" outlineLevel="0" max="7992" min="7992" style="157" width="4.29"/>
    <col collapsed="false" customWidth="true" hidden="false" outlineLevel="0" max="8007" min="7993" style="157" width="4.14"/>
    <col collapsed="false" customWidth="true" hidden="false" outlineLevel="0" max="8008" min="8008" style="157" width="4.86"/>
    <col collapsed="false" customWidth="true" hidden="false" outlineLevel="0" max="8009" min="8009" style="157" width="13.43"/>
    <col collapsed="false" customWidth="true" hidden="false" outlineLevel="0" max="8193" min="8193" style="157" width="6.29"/>
    <col collapsed="false" customWidth="true" hidden="false" outlineLevel="0" max="8196" min="8194" style="157" width="5.57"/>
    <col collapsed="false" customWidth="true" hidden="false" outlineLevel="0" max="8229" min="8197" style="157" width="4"/>
    <col collapsed="false" customWidth="true" hidden="false" outlineLevel="0" max="8230" min="8230" style="157" width="6"/>
    <col collapsed="false" customWidth="true" hidden="false" outlineLevel="0" max="8231" min="8231" style="157" width="4.29"/>
    <col collapsed="false" customWidth="true" hidden="false" outlineLevel="0" max="8232" min="8232" style="157" width="4.14"/>
    <col collapsed="false" customWidth="true" hidden="false" outlineLevel="0" max="8237" min="8233" style="157" width="4"/>
    <col collapsed="false" customWidth="true" hidden="false" outlineLevel="0" max="8238" min="8238" style="157" width="4.14"/>
    <col collapsed="false" customWidth="true" hidden="false" outlineLevel="0" max="8247" min="8239" style="157" width="4"/>
    <col collapsed="false" customWidth="true" hidden="false" outlineLevel="0" max="8248" min="8248" style="157" width="4.29"/>
    <col collapsed="false" customWidth="true" hidden="false" outlineLevel="0" max="8263" min="8249" style="157" width="4.14"/>
    <col collapsed="false" customWidth="true" hidden="false" outlineLevel="0" max="8264" min="8264" style="157" width="4.86"/>
    <col collapsed="false" customWidth="true" hidden="false" outlineLevel="0" max="8265" min="8265" style="157" width="13.43"/>
    <col collapsed="false" customWidth="true" hidden="false" outlineLevel="0" max="8449" min="8449" style="157" width="6.29"/>
    <col collapsed="false" customWidth="true" hidden="false" outlineLevel="0" max="8452" min="8450" style="157" width="5.57"/>
    <col collapsed="false" customWidth="true" hidden="false" outlineLevel="0" max="8485" min="8453" style="157" width="4"/>
    <col collapsed="false" customWidth="true" hidden="false" outlineLevel="0" max="8486" min="8486" style="157" width="6"/>
    <col collapsed="false" customWidth="true" hidden="false" outlineLevel="0" max="8487" min="8487" style="157" width="4.29"/>
    <col collapsed="false" customWidth="true" hidden="false" outlineLevel="0" max="8488" min="8488" style="157" width="4.14"/>
    <col collapsed="false" customWidth="true" hidden="false" outlineLevel="0" max="8493" min="8489" style="157" width="4"/>
    <col collapsed="false" customWidth="true" hidden="false" outlineLevel="0" max="8494" min="8494" style="157" width="4.14"/>
    <col collapsed="false" customWidth="true" hidden="false" outlineLevel="0" max="8503" min="8495" style="157" width="4"/>
    <col collapsed="false" customWidth="true" hidden="false" outlineLevel="0" max="8504" min="8504" style="157" width="4.29"/>
    <col collapsed="false" customWidth="true" hidden="false" outlineLevel="0" max="8519" min="8505" style="157" width="4.14"/>
    <col collapsed="false" customWidth="true" hidden="false" outlineLevel="0" max="8520" min="8520" style="157" width="4.86"/>
    <col collapsed="false" customWidth="true" hidden="false" outlineLevel="0" max="8521" min="8521" style="157" width="13.43"/>
    <col collapsed="false" customWidth="true" hidden="false" outlineLevel="0" max="8705" min="8705" style="157" width="6.29"/>
    <col collapsed="false" customWidth="true" hidden="false" outlineLevel="0" max="8708" min="8706" style="157" width="5.57"/>
    <col collapsed="false" customWidth="true" hidden="false" outlineLevel="0" max="8741" min="8709" style="157" width="4"/>
    <col collapsed="false" customWidth="true" hidden="false" outlineLevel="0" max="8742" min="8742" style="157" width="6"/>
    <col collapsed="false" customWidth="true" hidden="false" outlineLevel="0" max="8743" min="8743" style="157" width="4.29"/>
    <col collapsed="false" customWidth="true" hidden="false" outlineLevel="0" max="8744" min="8744" style="157" width="4.14"/>
    <col collapsed="false" customWidth="true" hidden="false" outlineLevel="0" max="8749" min="8745" style="157" width="4"/>
    <col collapsed="false" customWidth="true" hidden="false" outlineLevel="0" max="8750" min="8750" style="157" width="4.14"/>
    <col collapsed="false" customWidth="true" hidden="false" outlineLevel="0" max="8759" min="8751" style="157" width="4"/>
    <col collapsed="false" customWidth="true" hidden="false" outlineLevel="0" max="8760" min="8760" style="157" width="4.29"/>
    <col collapsed="false" customWidth="true" hidden="false" outlineLevel="0" max="8775" min="8761" style="157" width="4.14"/>
    <col collapsed="false" customWidth="true" hidden="false" outlineLevel="0" max="8776" min="8776" style="157" width="4.86"/>
    <col collapsed="false" customWidth="true" hidden="false" outlineLevel="0" max="8777" min="8777" style="157" width="13.43"/>
    <col collapsed="false" customWidth="true" hidden="false" outlineLevel="0" max="8961" min="8961" style="157" width="6.29"/>
    <col collapsed="false" customWidth="true" hidden="false" outlineLevel="0" max="8964" min="8962" style="157" width="5.57"/>
    <col collapsed="false" customWidth="true" hidden="false" outlineLevel="0" max="8997" min="8965" style="157" width="4"/>
    <col collapsed="false" customWidth="true" hidden="false" outlineLevel="0" max="8998" min="8998" style="157" width="6"/>
    <col collapsed="false" customWidth="true" hidden="false" outlineLevel="0" max="8999" min="8999" style="157" width="4.29"/>
    <col collapsed="false" customWidth="true" hidden="false" outlineLevel="0" max="9000" min="9000" style="157" width="4.14"/>
    <col collapsed="false" customWidth="true" hidden="false" outlineLevel="0" max="9005" min="9001" style="157" width="4"/>
    <col collapsed="false" customWidth="true" hidden="false" outlineLevel="0" max="9006" min="9006" style="157" width="4.14"/>
    <col collapsed="false" customWidth="true" hidden="false" outlineLevel="0" max="9015" min="9007" style="157" width="4"/>
    <col collapsed="false" customWidth="true" hidden="false" outlineLevel="0" max="9016" min="9016" style="157" width="4.29"/>
    <col collapsed="false" customWidth="true" hidden="false" outlineLevel="0" max="9031" min="9017" style="157" width="4.14"/>
    <col collapsed="false" customWidth="true" hidden="false" outlineLevel="0" max="9032" min="9032" style="157" width="4.86"/>
    <col collapsed="false" customWidth="true" hidden="false" outlineLevel="0" max="9033" min="9033" style="157" width="13.43"/>
    <col collapsed="false" customWidth="true" hidden="false" outlineLevel="0" max="9217" min="9217" style="157" width="6.29"/>
    <col collapsed="false" customWidth="true" hidden="false" outlineLevel="0" max="9220" min="9218" style="157" width="5.57"/>
    <col collapsed="false" customWidth="true" hidden="false" outlineLevel="0" max="9253" min="9221" style="157" width="4"/>
    <col collapsed="false" customWidth="true" hidden="false" outlineLevel="0" max="9254" min="9254" style="157" width="6"/>
    <col collapsed="false" customWidth="true" hidden="false" outlineLevel="0" max="9255" min="9255" style="157" width="4.29"/>
    <col collapsed="false" customWidth="true" hidden="false" outlineLevel="0" max="9256" min="9256" style="157" width="4.14"/>
    <col collapsed="false" customWidth="true" hidden="false" outlineLevel="0" max="9261" min="9257" style="157" width="4"/>
    <col collapsed="false" customWidth="true" hidden="false" outlineLevel="0" max="9262" min="9262" style="157" width="4.14"/>
    <col collapsed="false" customWidth="true" hidden="false" outlineLevel="0" max="9271" min="9263" style="157" width="4"/>
    <col collapsed="false" customWidth="true" hidden="false" outlineLevel="0" max="9272" min="9272" style="157" width="4.29"/>
    <col collapsed="false" customWidth="true" hidden="false" outlineLevel="0" max="9287" min="9273" style="157" width="4.14"/>
    <col collapsed="false" customWidth="true" hidden="false" outlineLevel="0" max="9288" min="9288" style="157" width="4.86"/>
    <col collapsed="false" customWidth="true" hidden="false" outlineLevel="0" max="9289" min="9289" style="157" width="13.43"/>
    <col collapsed="false" customWidth="true" hidden="false" outlineLevel="0" max="9473" min="9473" style="157" width="6.29"/>
    <col collapsed="false" customWidth="true" hidden="false" outlineLevel="0" max="9476" min="9474" style="157" width="5.57"/>
    <col collapsed="false" customWidth="true" hidden="false" outlineLevel="0" max="9509" min="9477" style="157" width="4"/>
    <col collapsed="false" customWidth="true" hidden="false" outlineLevel="0" max="9510" min="9510" style="157" width="6"/>
    <col collapsed="false" customWidth="true" hidden="false" outlineLevel="0" max="9511" min="9511" style="157" width="4.29"/>
    <col collapsed="false" customWidth="true" hidden="false" outlineLevel="0" max="9512" min="9512" style="157" width="4.14"/>
    <col collapsed="false" customWidth="true" hidden="false" outlineLevel="0" max="9517" min="9513" style="157" width="4"/>
    <col collapsed="false" customWidth="true" hidden="false" outlineLevel="0" max="9518" min="9518" style="157" width="4.14"/>
    <col collapsed="false" customWidth="true" hidden="false" outlineLevel="0" max="9527" min="9519" style="157" width="4"/>
    <col collapsed="false" customWidth="true" hidden="false" outlineLevel="0" max="9528" min="9528" style="157" width="4.29"/>
    <col collapsed="false" customWidth="true" hidden="false" outlineLevel="0" max="9543" min="9529" style="157" width="4.14"/>
    <col collapsed="false" customWidth="true" hidden="false" outlineLevel="0" max="9544" min="9544" style="157" width="4.86"/>
    <col collapsed="false" customWidth="true" hidden="false" outlineLevel="0" max="9545" min="9545" style="157" width="13.43"/>
    <col collapsed="false" customWidth="true" hidden="false" outlineLevel="0" max="9729" min="9729" style="157" width="6.29"/>
    <col collapsed="false" customWidth="true" hidden="false" outlineLevel="0" max="9732" min="9730" style="157" width="5.57"/>
    <col collapsed="false" customWidth="true" hidden="false" outlineLevel="0" max="9765" min="9733" style="157" width="4"/>
    <col collapsed="false" customWidth="true" hidden="false" outlineLevel="0" max="9766" min="9766" style="157" width="6"/>
    <col collapsed="false" customWidth="true" hidden="false" outlineLevel="0" max="9767" min="9767" style="157" width="4.29"/>
    <col collapsed="false" customWidth="true" hidden="false" outlineLevel="0" max="9768" min="9768" style="157" width="4.14"/>
    <col collapsed="false" customWidth="true" hidden="false" outlineLevel="0" max="9773" min="9769" style="157" width="4"/>
    <col collapsed="false" customWidth="true" hidden="false" outlineLevel="0" max="9774" min="9774" style="157" width="4.14"/>
    <col collapsed="false" customWidth="true" hidden="false" outlineLevel="0" max="9783" min="9775" style="157" width="4"/>
    <col collapsed="false" customWidth="true" hidden="false" outlineLevel="0" max="9784" min="9784" style="157" width="4.29"/>
    <col collapsed="false" customWidth="true" hidden="false" outlineLevel="0" max="9799" min="9785" style="157" width="4.14"/>
    <col collapsed="false" customWidth="true" hidden="false" outlineLevel="0" max="9800" min="9800" style="157" width="4.86"/>
    <col collapsed="false" customWidth="true" hidden="false" outlineLevel="0" max="9801" min="9801" style="157" width="13.43"/>
    <col collapsed="false" customWidth="true" hidden="false" outlineLevel="0" max="9985" min="9985" style="157" width="6.29"/>
    <col collapsed="false" customWidth="true" hidden="false" outlineLevel="0" max="9988" min="9986" style="157" width="5.57"/>
    <col collapsed="false" customWidth="true" hidden="false" outlineLevel="0" max="10021" min="9989" style="157" width="4"/>
    <col collapsed="false" customWidth="true" hidden="false" outlineLevel="0" max="10022" min="10022" style="157" width="6"/>
    <col collapsed="false" customWidth="true" hidden="false" outlineLevel="0" max="10023" min="10023" style="157" width="4.29"/>
    <col collapsed="false" customWidth="true" hidden="false" outlineLevel="0" max="10024" min="10024" style="157" width="4.14"/>
    <col collapsed="false" customWidth="true" hidden="false" outlineLevel="0" max="10029" min="10025" style="157" width="4"/>
    <col collapsed="false" customWidth="true" hidden="false" outlineLevel="0" max="10030" min="10030" style="157" width="4.14"/>
    <col collapsed="false" customWidth="true" hidden="false" outlineLevel="0" max="10039" min="10031" style="157" width="4"/>
    <col collapsed="false" customWidth="true" hidden="false" outlineLevel="0" max="10040" min="10040" style="157" width="4.29"/>
    <col collapsed="false" customWidth="true" hidden="false" outlineLevel="0" max="10055" min="10041" style="157" width="4.14"/>
    <col collapsed="false" customWidth="true" hidden="false" outlineLevel="0" max="10056" min="10056" style="157" width="4.86"/>
    <col collapsed="false" customWidth="true" hidden="false" outlineLevel="0" max="10057" min="10057" style="157" width="13.43"/>
    <col collapsed="false" customWidth="true" hidden="false" outlineLevel="0" max="10241" min="10241" style="157" width="6.29"/>
    <col collapsed="false" customWidth="true" hidden="false" outlineLevel="0" max="10244" min="10242" style="157" width="5.57"/>
    <col collapsed="false" customWidth="true" hidden="false" outlineLevel="0" max="10277" min="10245" style="157" width="4"/>
    <col collapsed="false" customWidth="true" hidden="false" outlineLevel="0" max="10278" min="10278" style="157" width="6"/>
    <col collapsed="false" customWidth="true" hidden="false" outlineLevel="0" max="10279" min="10279" style="157" width="4.29"/>
    <col collapsed="false" customWidth="true" hidden="false" outlineLevel="0" max="10280" min="10280" style="157" width="4.14"/>
    <col collapsed="false" customWidth="true" hidden="false" outlineLevel="0" max="10285" min="10281" style="157" width="4"/>
    <col collapsed="false" customWidth="true" hidden="false" outlineLevel="0" max="10286" min="10286" style="157" width="4.14"/>
    <col collapsed="false" customWidth="true" hidden="false" outlineLevel="0" max="10295" min="10287" style="157" width="4"/>
    <col collapsed="false" customWidth="true" hidden="false" outlineLevel="0" max="10296" min="10296" style="157" width="4.29"/>
    <col collapsed="false" customWidth="true" hidden="false" outlineLevel="0" max="10311" min="10297" style="157" width="4.14"/>
    <col collapsed="false" customWidth="true" hidden="false" outlineLevel="0" max="10312" min="10312" style="157" width="4.86"/>
    <col collapsed="false" customWidth="true" hidden="false" outlineLevel="0" max="10313" min="10313" style="157" width="13.43"/>
    <col collapsed="false" customWidth="true" hidden="false" outlineLevel="0" max="10497" min="10497" style="157" width="6.29"/>
    <col collapsed="false" customWidth="true" hidden="false" outlineLevel="0" max="10500" min="10498" style="157" width="5.57"/>
    <col collapsed="false" customWidth="true" hidden="false" outlineLevel="0" max="10533" min="10501" style="157" width="4"/>
    <col collapsed="false" customWidth="true" hidden="false" outlineLevel="0" max="10534" min="10534" style="157" width="6"/>
    <col collapsed="false" customWidth="true" hidden="false" outlineLevel="0" max="10535" min="10535" style="157" width="4.29"/>
    <col collapsed="false" customWidth="true" hidden="false" outlineLevel="0" max="10536" min="10536" style="157" width="4.14"/>
    <col collapsed="false" customWidth="true" hidden="false" outlineLevel="0" max="10541" min="10537" style="157" width="4"/>
    <col collapsed="false" customWidth="true" hidden="false" outlineLevel="0" max="10542" min="10542" style="157" width="4.14"/>
    <col collapsed="false" customWidth="true" hidden="false" outlineLevel="0" max="10551" min="10543" style="157" width="4"/>
    <col collapsed="false" customWidth="true" hidden="false" outlineLevel="0" max="10552" min="10552" style="157" width="4.29"/>
    <col collapsed="false" customWidth="true" hidden="false" outlineLevel="0" max="10567" min="10553" style="157" width="4.14"/>
    <col collapsed="false" customWidth="true" hidden="false" outlineLevel="0" max="10568" min="10568" style="157" width="4.86"/>
    <col collapsed="false" customWidth="true" hidden="false" outlineLevel="0" max="10569" min="10569" style="157" width="13.43"/>
    <col collapsed="false" customWidth="true" hidden="false" outlineLevel="0" max="10753" min="10753" style="157" width="6.29"/>
    <col collapsed="false" customWidth="true" hidden="false" outlineLevel="0" max="10756" min="10754" style="157" width="5.57"/>
    <col collapsed="false" customWidth="true" hidden="false" outlineLevel="0" max="10789" min="10757" style="157" width="4"/>
    <col collapsed="false" customWidth="true" hidden="false" outlineLevel="0" max="10790" min="10790" style="157" width="6"/>
    <col collapsed="false" customWidth="true" hidden="false" outlineLevel="0" max="10791" min="10791" style="157" width="4.29"/>
    <col collapsed="false" customWidth="true" hidden="false" outlineLevel="0" max="10792" min="10792" style="157" width="4.14"/>
    <col collapsed="false" customWidth="true" hidden="false" outlineLevel="0" max="10797" min="10793" style="157" width="4"/>
    <col collapsed="false" customWidth="true" hidden="false" outlineLevel="0" max="10798" min="10798" style="157" width="4.14"/>
    <col collapsed="false" customWidth="true" hidden="false" outlineLevel="0" max="10807" min="10799" style="157" width="4"/>
    <col collapsed="false" customWidth="true" hidden="false" outlineLevel="0" max="10808" min="10808" style="157" width="4.29"/>
    <col collapsed="false" customWidth="true" hidden="false" outlineLevel="0" max="10823" min="10809" style="157" width="4.14"/>
    <col collapsed="false" customWidth="true" hidden="false" outlineLevel="0" max="10824" min="10824" style="157" width="4.86"/>
    <col collapsed="false" customWidth="true" hidden="false" outlineLevel="0" max="10825" min="10825" style="157" width="13.43"/>
    <col collapsed="false" customWidth="true" hidden="false" outlineLevel="0" max="11009" min="11009" style="157" width="6.29"/>
    <col collapsed="false" customWidth="true" hidden="false" outlineLevel="0" max="11012" min="11010" style="157" width="5.57"/>
    <col collapsed="false" customWidth="true" hidden="false" outlineLevel="0" max="11045" min="11013" style="157" width="4"/>
    <col collapsed="false" customWidth="true" hidden="false" outlineLevel="0" max="11046" min="11046" style="157" width="6"/>
    <col collapsed="false" customWidth="true" hidden="false" outlineLevel="0" max="11047" min="11047" style="157" width="4.29"/>
    <col collapsed="false" customWidth="true" hidden="false" outlineLevel="0" max="11048" min="11048" style="157" width="4.14"/>
    <col collapsed="false" customWidth="true" hidden="false" outlineLevel="0" max="11053" min="11049" style="157" width="4"/>
    <col collapsed="false" customWidth="true" hidden="false" outlineLevel="0" max="11054" min="11054" style="157" width="4.14"/>
    <col collapsed="false" customWidth="true" hidden="false" outlineLevel="0" max="11063" min="11055" style="157" width="4"/>
    <col collapsed="false" customWidth="true" hidden="false" outlineLevel="0" max="11064" min="11064" style="157" width="4.29"/>
    <col collapsed="false" customWidth="true" hidden="false" outlineLevel="0" max="11079" min="11065" style="157" width="4.14"/>
    <col collapsed="false" customWidth="true" hidden="false" outlineLevel="0" max="11080" min="11080" style="157" width="4.86"/>
    <col collapsed="false" customWidth="true" hidden="false" outlineLevel="0" max="11081" min="11081" style="157" width="13.43"/>
    <col collapsed="false" customWidth="true" hidden="false" outlineLevel="0" max="11265" min="11265" style="157" width="6.29"/>
    <col collapsed="false" customWidth="true" hidden="false" outlineLevel="0" max="11268" min="11266" style="157" width="5.57"/>
    <col collapsed="false" customWidth="true" hidden="false" outlineLevel="0" max="11301" min="11269" style="157" width="4"/>
    <col collapsed="false" customWidth="true" hidden="false" outlineLevel="0" max="11302" min="11302" style="157" width="6"/>
    <col collapsed="false" customWidth="true" hidden="false" outlineLevel="0" max="11303" min="11303" style="157" width="4.29"/>
    <col collapsed="false" customWidth="true" hidden="false" outlineLevel="0" max="11304" min="11304" style="157" width="4.14"/>
    <col collapsed="false" customWidth="true" hidden="false" outlineLevel="0" max="11309" min="11305" style="157" width="4"/>
    <col collapsed="false" customWidth="true" hidden="false" outlineLevel="0" max="11310" min="11310" style="157" width="4.14"/>
    <col collapsed="false" customWidth="true" hidden="false" outlineLevel="0" max="11319" min="11311" style="157" width="4"/>
    <col collapsed="false" customWidth="true" hidden="false" outlineLevel="0" max="11320" min="11320" style="157" width="4.29"/>
    <col collapsed="false" customWidth="true" hidden="false" outlineLevel="0" max="11335" min="11321" style="157" width="4.14"/>
    <col collapsed="false" customWidth="true" hidden="false" outlineLevel="0" max="11336" min="11336" style="157" width="4.86"/>
    <col collapsed="false" customWidth="true" hidden="false" outlineLevel="0" max="11337" min="11337" style="157" width="13.43"/>
    <col collapsed="false" customWidth="true" hidden="false" outlineLevel="0" max="11521" min="11521" style="157" width="6.29"/>
    <col collapsed="false" customWidth="true" hidden="false" outlineLevel="0" max="11524" min="11522" style="157" width="5.57"/>
    <col collapsed="false" customWidth="true" hidden="false" outlineLevel="0" max="11557" min="11525" style="157" width="4"/>
    <col collapsed="false" customWidth="true" hidden="false" outlineLevel="0" max="11558" min="11558" style="157" width="6"/>
    <col collapsed="false" customWidth="true" hidden="false" outlineLevel="0" max="11559" min="11559" style="157" width="4.29"/>
    <col collapsed="false" customWidth="true" hidden="false" outlineLevel="0" max="11560" min="11560" style="157" width="4.14"/>
    <col collapsed="false" customWidth="true" hidden="false" outlineLevel="0" max="11565" min="11561" style="157" width="4"/>
    <col collapsed="false" customWidth="true" hidden="false" outlineLevel="0" max="11566" min="11566" style="157" width="4.14"/>
    <col collapsed="false" customWidth="true" hidden="false" outlineLevel="0" max="11575" min="11567" style="157" width="4"/>
    <col collapsed="false" customWidth="true" hidden="false" outlineLevel="0" max="11576" min="11576" style="157" width="4.29"/>
    <col collapsed="false" customWidth="true" hidden="false" outlineLevel="0" max="11591" min="11577" style="157" width="4.14"/>
    <col collapsed="false" customWidth="true" hidden="false" outlineLevel="0" max="11592" min="11592" style="157" width="4.86"/>
    <col collapsed="false" customWidth="true" hidden="false" outlineLevel="0" max="11593" min="11593" style="157" width="13.43"/>
    <col collapsed="false" customWidth="true" hidden="false" outlineLevel="0" max="11777" min="11777" style="157" width="6.29"/>
    <col collapsed="false" customWidth="true" hidden="false" outlineLevel="0" max="11780" min="11778" style="157" width="5.57"/>
    <col collapsed="false" customWidth="true" hidden="false" outlineLevel="0" max="11813" min="11781" style="157" width="4"/>
    <col collapsed="false" customWidth="true" hidden="false" outlineLevel="0" max="11814" min="11814" style="157" width="6"/>
    <col collapsed="false" customWidth="true" hidden="false" outlineLevel="0" max="11815" min="11815" style="157" width="4.29"/>
    <col collapsed="false" customWidth="true" hidden="false" outlineLevel="0" max="11816" min="11816" style="157" width="4.14"/>
    <col collapsed="false" customWidth="true" hidden="false" outlineLevel="0" max="11821" min="11817" style="157" width="4"/>
    <col collapsed="false" customWidth="true" hidden="false" outlineLevel="0" max="11822" min="11822" style="157" width="4.14"/>
    <col collapsed="false" customWidth="true" hidden="false" outlineLevel="0" max="11831" min="11823" style="157" width="4"/>
    <col collapsed="false" customWidth="true" hidden="false" outlineLevel="0" max="11832" min="11832" style="157" width="4.29"/>
    <col collapsed="false" customWidth="true" hidden="false" outlineLevel="0" max="11847" min="11833" style="157" width="4.14"/>
    <col collapsed="false" customWidth="true" hidden="false" outlineLevel="0" max="11848" min="11848" style="157" width="4.86"/>
    <col collapsed="false" customWidth="true" hidden="false" outlineLevel="0" max="11849" min="11849" style="157" width="13.43"/>
    <col collapsed="false" customWidth="true" hidden="false" outlineLevel="0" max="12033" min="12033" style="157" width="6.29"/>
    <col collapsed="false" customWidth="true" hidden="false" outlineLevel="0" max="12036" min="12034" style="157" width="5.57"/>
    <col collapsed="false" customWidth="true" hidden="false" outlineLevel="0" max="12069" min="12037" style="157" width="4"/>
    <col collapsed="false" customWidth="true" hidden="false" outlineLevel="0" max="12070" min="12070" style="157" width="6"/>
    <col collapsed="false" customWidth="true" hidden="false" outlineLevel="0" max="12071" min="12071" style="157" width="4.29"/>
    <col collapsed="false" customWidth="true" hidden="false" outlineLevel="0" max="12072" min="12072" style="157" width="4.14"/>
    <col collapsed="false" customWidth="true" hidden="false" outlineLevel="0" max="12077" min="12073" style="157" width="4"/>
    <col collapsed="false" customWidth="true" hidden="false" outlineLevel="0" max="12078" min="12078" style="157" width="4.14"/>
    <col collapsed="false" customWidth="true" hidden="false" outlineLevel="0" max="12087" min="12079" style="157" width="4"/>
    <col collapsed="false" customWidth="true" hidden="false" outlineLevel="0" max="12088" min="12088" style="157" width="4.29"/>
    <col collapsed="false" customWidth="true" hidden="false" outlineLevel="0" max="12103" min="12089" style="157" width="4.14"/>
    <col collapsed="false" customWidth="true" hidden="false" outlineLevel="0" max="12104" min="12104" style="157" width="4.86"/>
    <col collapsed="false" customWidth="true" hidden="false" outlineLevel="0" max="12105" min="12105" style="157" width="13.43"/>
    <col collapsed="false" customWidth="true" hidden="false" outlineLevel="0" max="12289" min="12289" style="157" width="6.29"/>
    <col collapsed="false" customWidth="true" hidden="false" outlineLevel="0" max="12292" min="12290" style="157" width="5.57"/>
    <col collapsed="false" customWidth="true" hidden="false" outlineLevel="0" max="12325" min="12293" style="157" width="4"/>
    <col collapsed="false" customWidth="true" hidden="false" outlineLevel="0" max="12326" min="12326" style="157" width="6"/>
    <col collapsed="false" customWidth="true" hidden="false" outlineLevel="0" max="12327" min="12327" style="157" width="4.29"/>
    <col collapsed="false" customWidth="true" hidden="false" outlineLevel="0" max="12328" min="12328" style="157" width="4.14"/>
    <col collapsed="false" customWidth="true" hidden="false" outlineLevel="0" max="12333" min="12329" style="157" width="4"/>
    <col collapsed="false" customWidth="true" hidden="false" outlineLevel="0" max="12334" min="12334" style="157" width="4.14"/>
    <col collapsed="false" customWidth="true" hidden="false" outlineLevel="0" max="12343" min="12335" style="157" width="4"/>
    <col collapsed="false" customWidth="true" hidden="false" outlineLevel="0" max="12344" min="12344" style="157" width="4.29"/>
    <col collapsed="false" customWidth="true" hidden="false" outlineLevel="0" max="12359" min="12345" style="157" width="4.14"/>
    <col collapsed="false" customWidth="true" hidden="false" outlineLevel="0" max="12360" min="12360" style="157" width="4.86"/>
    <col collapsed="false" customWidth="true" hidden="false" outlineLevel="0" max="12361" min="12361" style="157" width="13.43"/>
    <col collapsed="false" customWidth="true" hidden="false" outlineLevel="0" max="12545" min="12545" style="157" width="6.29"/>
    <col collapsed="false" customWidth="true" hidden="false" outlineLevel="0" max="12548" min="12546" style="157" width="5.57"/>
    <col collapsed="false" customWidth="true" hidden="false" outlineLevel="0" max="12581" min="12549" style="157" width="4"/>
    <col collapsed="false" customWidth="true" hidden="false" outlineLevel="0" max="12582" min="12582" style="157" width="6"/>
    <col collapsed="false" customWidth="true" hidden="false" outlineLevel="0" max="12583" min="12583" style="157" width="4.29"/>
    <col collapsed="false" customWidth="true" hidden="false" outlineLevel="0" max="12584" min="12584" style="157" width="4.14"/>
    <col collapsed="false" customWidth="true" hidden="false" outlineLevel="0" max="12589" min="12585" style="157" width="4"/>
    <col collapsed="false" customWidth="true" hidden="false" outlineLevel="0" max="12590" min="12590" style="157" width="4.14"/>
    <col collapsed="false" customWidth="true" hidden="false" outlineLevel="0" max="12599" min="12591" style="157" width="4"/>
    <col collapsed="false" customWidth="true" hidden="false" outlineLevel="0" max="12600" min="12600" style="157" width="4.29"/>
    <col collapsed="false" customWidth="true" hidden="false" outlineLevel="0" max="12615" min="12601" style="157" width="4.14"/>
    <col collapsed="false" customWidth="true" hidden="false" outlineLevel="0" max="12616" min="12616" style="157" width="4.86"/>
    <col collapsed="false" customWidth="true" hidden="false" outlineLevel="0" max="12617" min="12617" style="157" width="13.43"/>
    <col collapsed="false" customWidth="true" hidden="false" outlineLevel="0" max="12801" min="12801" style="157" width="6.29"/>
    <col collapsed="false" customWidth="true" hidden="false" outlineLevel="0" max="12804" min="12802" style="157" width="5.57"/>
    <col collapsed="false" customWidth="true" hidden="false" outlineLevel="0" max="12837" min="12805" style="157" width="4"/>
    <col collapsed="false" customWidth="true" hidden="false" outlineLevel="0" max="12838" min="12838" style="157" width="6"/>
    <col collapsed="false" customWidth="true" hidden="false" outlineLevel="0" max="12839" min="12839" style="157" width="4.29"/>
    <col collapsed="false" customWidth="true" hidden="false" outlineLevel="0" max="12840" min="12840" style="157" width="4.14"/>
    <col collapsed="false" customWidth="true" hidden="false" outlineLevel="0" max="12845" min="12841" style="157" width="4"/>
    <col collapsed="false" customWidth="true" hidden="false" outlineLevel="0" max="12846" min="12846" style="157" width="4.14"/>
    <col collapsed="false" customWidth="true" hidden="false" outlineLevel="0" max="12855" min="12847" style="157" width="4"/>
    <col collapsed="false" customWidth="true" hidden="false" outlineLevel="0" max="12856" min="12856" style="157" width="4.29"/>
    <col collapsed="false" customWidth="true" hidden="false" outlineLevel="0" max="12871" min="12857" style="157" width="4.14"/>
    <col collapsed="false" customWidth="true" hidden="false" outlineLevel="0" max="12872" min="12872" style="157" width="4.86"/>
    <col collapsed="false" customWidth="true" hidden="false" outlineLevel="0" max="12873" min="12873" style="157" width="13.43"/>
    <col collapsed="false" customWidth="true" hidden="false" outlineLevel="0" max="13057" min="13057" style="157" width="6.29"/>
    <col collapsed="false" customWidth="true" hidden="false" outlineLevel="0" max="13060" min="13058" style="157" width="5.57"/>
    <col collapsed="false" customWidth="true" hidden="false" outlineLevel="0" max="13093" min="13061" style="157" width="4"/>
    <col collapsed="false" customWidth="true" hidden="false" outlineLevel="0" max="13094" min="13094" style="157" width="6"/>
    <col collapsed="false" customWidth="true" hidden="false" outlineLevel="0" max="13095" min="13095" style="157" width="4.29"/>
    <col collapsed="false" customWidth="true" hidden="false" outlineLevel="0" max="13096" min="13096" style="157" width="4.14"/>
    <col collapsed="false" customWidth="true" hidden="false" outlineLevel="0" max="13101" min="13097" style="157" width="4"/>
    <col collapsed="false" customWidth="true" hidden="false" outlineLevel="0" max="13102" min="13102" style="157" width="4.14"/>
    <col collapsed="false" customWidth="true" hidden="false" outlineLevel="0" max="13111" min="13103" style="157" width="4"/>
    <col collapsed="false" customWidth="true" hidden="false" outlineLevel="0" max="13112" min="13112" style="157" width="4.29"/>
    <col collapsed="false" customWidth="true" hidden="false" outlineLevel="0" max="13127" min="13113" style="157" width="4.14"/>
    <col collapsed="false" customWidth="true" hidden="false" outlineLevel="0" max="13128" min="13128" style="157" width="4.86"/>
    <col collapsed="false" customWidth="true" hidden="false" outlineLevel="0" max="13129" min="13129" style="157" width="13.43"/>
    <col collapsed="false" customWidth="true" hidden="false" outlineLevel="0" max="13313" min="13313" style="157" width="6.29"/>
    <col collapsed="false" customWidth="true" hidden="false" outlineLevel="0" max="13316" min="13314" style="157" width="5.57"/>
    <col collapsed="false" customWidth="true" hidden="false" outlineLevel="0" max="13349" min="13317" style="157" width="4"/>
    <col collapsed="false" customWidth="true" hidden="false" outlineLevel="0" max="13350" min="13350" style="157" width="6"/>
    <col collapsed="false" customWidth="true" hidden="false" outlineLevel="0" max="13351" min="13351" style="157" width="4.29"/>
    <col collapsed="false" customWidth="true" hidden="false" outlineLevel="0" max="13352" min="13352" style="157" width="4.14"/>
    <col collapsed="false" customWidth="true" hidden="false" outlineLevel="0" max="13357" min="13353" style="157" width="4"/>
    <col collapsed="false" customWidth="true" hidden="false" outlineLevel="0" max="13358" min="13358" style="157" width="4.14"/>
    <col collapsed="false" customWidth="true" hidden="false" outlineLevel="0" max="13367" min="13359" style="157" width="4"/>
    <col collapsed="false" customWidth="true" hidden="false" outlineLevel="0" max="13368" min="13368" style="157" width="4.29"/>
    <col collapsed="false" customWidth="true" hidden="false" outlineLevel="0" max="13383" min="13369" style="157" width="4.14"/>
    <col collapsed="false" customWidth="true" hidden="false" outlineLevel="0" max="13384" min="13384" style="157" width="4.86"/>
    <col collapsed="false" customWidth="true" hidden="false" outlineLevel="0" max="13385" min="13385" style="157" width="13.43"/>
    <col collapsed="false" customWidth="true" hidden="false" outlineLevel="0" max="13569" min="13569" style="157" width="6.29"/>
    <col collapsed="false" customWidth="true" hidden="false" outlineLevel="0" max="13572" min="13570" style="157" width="5.57"/>
    <col collapsed="false" customWidth="true" hidden="false" outlineLevel="0" max="13605" min="13573" style="157" width="4"/>
    <col collapsed="false" customWidth="true" hidden="false" outlineLevel="0" max="13606" min="13606" style="157" width="6"/>
    <col collapsed="false" customWidth="true" hidden="false" outlineLevel="0" max="13607" min="13607" style="157" width="4.29"/>
    <col collapsed="false" customWidth="true" hidden="false" outlineLevel="0" max="13608" min="13608" style="157" width="4.14"/>
    <col collapsed="false" customWidth="true" hidden="false" outlineLevel="0" max="13613" min="13609" style="157" width="4"/>
    <col collapsed="false" customWidth="true" hidden="false" outlineLevel="0" max="13614" min="13614" style="157" width="4.14"/>
    <col collapsed="false" customWidth="true" hidden="false" outlineLevel="0" max="13623" min="13615" style="157" width="4"/>
    <col collapsed="false" customWidth="true" hidden="false" outlineLevel="0" max="13624" min="13624" style="157" width="4.29"/>
    <col collapsed="false" customWidth="true" hidden="false" outlineLevel="0" max="13639" min="13625" style="157" width="4.14"/>
    <col collapsed="false" customWidth="true" hidden="false" outlineLevel="0" max="13640" min="13640" style="157" width="4.86"/>
    <col collapsed="false" customWidth="true" hidden="false" outlineLevel="0" max="13641" min="13641" style="157" width="13.43"/>
    <col collapsed="false" customWidth="true" hidden="false" outlineLevel="0" max="13825" min="13825" style="157" width="6.29"/>
    <col collapsed="false" customWidth="true" hidden="false" outlineLevel="0" max="13828" min="13826" style="157" width="5.57"/>
    <col collapsed="false" customWidth="true" hidden="false" outlineLevel="0" max="13861" min="13829" style="157" width="4"/>
    <col collapsed="false" customWidth="true" hidden="false" outlineLevel="0" max="13862" min="13862" style="157" width="6"/>
    <col collapsed="false" customWidth="true" hidden="false" outlineLevel="0" max="13863" min="13863" style="157" width="4.29"/>
    <col collapsed="false" customWidth="true" hidden="false" outlineLevel="0" max="13864" min="13864" style="157" width="4.14"/>
    <col collapsed="false" customWidth="true" hidden="false" outlineLevel="0" max="13869" min="13865" style="157" width="4"/>
    <col collapsed="false" customWidth="true" hidden="false" outlineLevel="0" max="13870" min="13870" style="157" width="4.14"/>
    <col collapsed="false" customWidth="true" hidden="false" outlineLevel="0" max="13879" min="13871" style="157" width="4"/>
    <col collapsed="false" customWidth="true" hidden="false" outlineLevel="0" max="13880" min="13880" style="157" width="4.29"/>
    <col collapsed="false" customWidth="true" hidden="false" outlineLevel="0" max="13895" min="13881" style="157" width="4.14"/>
    <col collapsed="false" customWidth="true" hidden="false" outlineLevel="0" max="13896" min="13896" style="157" width="4.86"/>
    <col collapsed="false" customWidth="true" hidden="false" outlineLevel="0" max="13897" min="13897" style="157" width="13.43"/>
    <col collapsed="false" customWidth="true" hidden="false" outlineLevel="0" max="14081" min="14081" style="157" width="6.29"/>
    <col collapsed="false" customWidth="true" hidden="false" outlineLevel="0" max="14084" min="14082" style="157" width="5.57"/>
    <col collapsed="false" customWidth="true" hidden="false" outlineLevel="0" max="14117" min="14085" style="157" width="4"/>
    <col collapsed="false" customWidth="true" hidden="false" outlineLevel="0" max="14118" min="14118" style="157" width="6"/>
    <col collapsed="false" customWidth="true" hidden="false" outlineLevel="0" max="14119" min="14119" style="157" width="4.29"/>
    <col collapsed="false" customWidth="true" hidden="false" outlineLevel="0" max="14120" min="14120" style="157" width="4.14"/>
    <col collapsed="false" customWidth="true" hidden="false" outlineLevel="0" max="14125" min="14121" style="157" width="4"/>
    <col collapsed="false" customWidth="true" hidden="false" outlineLevel="0" max="14126" min="14126" style="157" width="4.14"/>
    <col collapsed="false" customWidth="true" hidden="false" outlineLevel="0" max="14135" min="14127" style="157" width="4"/>
    <col collapsed="false" customWidth="true" hidden="false" outlineLevel="0" max="14136" min="14136" style="157" width="4.29"/>
    <col collapsed="false" customWidth="true" hidden="false" outlineLevel="0" max="14151" min="14137" style="157" width="4.14"/>
    <col collapsed="false" customWidth="true" hidden="false" outlineLevel="0" max="14152" min="14152" style="157" width="4.86"/>
    <col collapsed="false" customWidth="true" hidden="false" outlineLevel="0" max="14153" min="14153" style="157" width="13.43"/>
    <col collapsed="false" customWidth="true" hidden="false" outlineLevel="0" max="14337" min="14337" style="157" width="6.29"/>
    <col collapsed="false" customWidth="true" hidden="false" outlineLevel="0" max="14340" min="14338" style="157" width="5.57"/>
    <col collapsed="false" customWidth="true" hidden="false" outlineLevel="0" max="14373" min="14341" style="157" width="4"/>
    <col collapsed="false" customWidth="true" hidden="false" outlineLevel="0" max="14374" min="14374" style="157" width="6"/>
    <col collapsed="false" customWidth="true" hidden="false" outlineLevel="0" max="14375" min="14375" style="157" width="4.29"/>
    <col collapsed="false" customWidth="true" hidden="false" outlineLevel="0" max="14376" min="14376" style="157" width="4.14"/>
    <col collapsed="false" customWidth="true" hidden="false" outlineLevel="0" max="14381" min="14377" style="157" width="4"/>
    <col collapsed="false" customWidth="true" hidden="false" outlineLevel="0" max="14382" min="14382" style="157" width="4.14"/>
    <col collapsed="false" customWidth="true" hidden="false" outlineLevel="0" max="14391" min="14383" style="157" width="4"/>
    <col collapsed="false" customWidth="true" hidden="false" outlineLevel="0" max="14392" min="14392" style="157" width="4.29"/>
    <col collapsed="false" customWidth="true" hidden="false" outlineLevel="0" max="14407" min="14393" style="157" width="4.14"/>
    <col collapsed="false" customWidth="true" hidden="false" outlineLevel="0" max="14408" min="14408" style="157" width="4.86"/>
    <col collapsed="false" customWidth="true" hidden="false" outlineLevel="0" max="14409" min="14409" style="157" width="13.43"/>
    <col collapsed="false" customWidth="true" hidden="false" outlineLevel="0" max="14593" min="14593" style="157" width="6.29"/>
    <col collapsed="false" customWidth="true" hidden="false" outlineLevel="0" max="14596" min="14594" style="157" width="5.57"/>
    <col collapsed="false" customWidth="true" hidden="false" outlineLevel="0" max="14629" min="14597" style="157" width="4"/>
    <col collapsed="false" customWidth="true" hidden="false" outlineLevel="0" max="14630" min="14630" style="157" width="6"/>
    <col collapsed="false" customWidth="true" hidden="false" outlineLevel="0" max="14631" min="14631" style="157" width="4.29"/>
    <col collapsed="false" customWidth="true" hidden="false" outlineLevel="0" max="14632" min="14632" style="157" width="4.14"/>
    <col collapsed="false" customWidth="true" hidden="false" outlineLevel="0" max="14637" min="14633" style="157" width="4"/>
    <col collapsed="false" customWidth="true" hidden="false" outlineLevel="0" max="14638" min="14638" style="157" width="4.14"/>
    <col collapsed="false" customWidth="true" hidden="false" outlineLevel="0" max="14647" min="14639" style="157" width="4"/>
    <col collapsed="false" customWidth="true" hidden="false" outlineLevel="0" max="14648" min="14648" style="157" width="4.29"/>
    <col collapsed="false" customWidth="true" hidden="false" outlineLevel="0" max="14663" min="14649" style="157" width="4.14"/>
    <col collapsed="false" customWidth="true" hidden="false" outlineLevel="0" max="14664" min="14664" style="157" width="4.86"/>
    <col collapsed="false" customWidth="true" hidden="false" outlineLevel="0" max="14665" min="14665" style="157" width="13.43"/>
    <col collapsed="false" customWidth="true" hidden="false" outlineLevel="0" max="14849" min="14849" style="157" width="6.29"/>
    <col collapsed="false" customWidth="true" hidden="false" outlineLevel="0" max="14852" min="14850" style="157" width="5.57"/>
    <col collapsed="false" customWidth="true" hidden="false" outlineLevel="0" max="14885" min="14853" style="157" width="4"/>
    <col collapsed="false" customWidth="true" hidden="false" outlineLevel="0" max="14886" min="14886" style="157" width="6"/>
    <col collapsed="false" customWidth="true" hidden="false" outlineLevel="0" max="14887" min="14887" style="157" width="4.29"/>
    <col collapsed="false" customWidth="true" hidden="false" outlineLevel="0" max="14888" min="14888" style="157" width="4.14"/>
    <col collapsed="false" customWidth="true" hidden="false" outlineLevel="0" max="14893" min="14889" style="157" width="4"/>
    <col collapsed="false" customWidth="true" hidden="false" outlineLevel="0" max="14894" min="14894" style="157" width="4.14"/>
    <col collapsed="false" customWidth="true" hidden="false" outlineLevel="0" max="14903" min="14895" style="157" width="4"/>
    <col collapsed="false" customWidth="true" hidden="false" outlineLevel="0" max="14904" min="14904" style="157" width="4.29"/>
    <col collapsed="false" customWidth="true" hidden="false" outlineLevel="0" max="14919" min="14905" style="157" width="4.14"/>
    <col collapsed="false" customWidth="true" hidden="false" outlineLevel="0" max="14920" min="14920" style="157" width="4.86"/>
    <col collapsed="false" customWidth="true" hidden="false" outlineLevel="0" max="14921" min="14921" style="157" width="13.43"/>
    <col collapsed="false" customWidth="true" hidden="false" outlineLevel="0" max="15105" min="15105" style="157" width="6.29"/>
    <col collapsed="false" customWidth="true" hidden="false" outlineLevel="0" max="15108" min="15106" style="157" width="5.57"/>
    <col collapsed="false" customWidth="true" hidden="false" outlineLevel="0" max="15141" min="15109" style="157" width="4"/>
    <col collapsed="false" customWidth="true" hidden="false" outlineLevel="0" max="15142" min="15142" style="157" width="6"/>
    <col collapsed="false" customWidth="true" hidden="false" outlineLevel="0" max="15143" min="15143" style="157" width="4.29"/>
    <col collapsed="false" customWidth="true" hidden="false" outlineLevel="0" max="15144" min="15144" style="157" width="4.14"/>
    <col collapsed="false" customWidth="true" hidden="false" outlineLevel="0" max="15149" min="15145" style="157" width="4"/>
    <col collapsed="false" customWidth="true" hidden="false" outlineLevel="0" max="15150" min="15150" style="157" width="4.14"/>
    <col collapsed="false" customWidth="true" hidden="false" outlineLevel="0" max="15159" min="15151" style="157" width="4"/>
    <col collapsed="false" customWidth="true" hidden="false" outlineLevel="0" max="15160" min="15160" style="157" width="4.29"/>
    <col collapsed="false" customWidth="true" hidden="false" outlineLevel="0" max="15175" min="15161" style="157" width="4.14"/>
    <col collapsed="false" customWidth="true" hidden="false" outlineLevel="0" max="15176" min="15176" style="157" width="4.86"/>
    <col collapsed="false" customWidth="true" hidden="false" outlineLevel="0" max="15177" min="15177" style="157" width="13.43"/>
    <col collapsed="false" customWidth="true" hidden="false" outlineLevel="0" max="15361" min="15361" style="157" width="6.29"/>
    <col collapsed="false" customWidth="true" hidden="false" outlineLevel="0" max="15364" min="15362" style="157" width="5.57"/>
    <col collapsed="false" customWidth="true" hidden="false" outlineLevel="0" max="15397" min="15365" style="157" width="4"/>
    <col collapsed="false" customWidth="true" hidden="false" outlineLevel="0" max="15398" min="15398" style="157" width="6"/>
    <col collapsed="false" customWidth="true" hidden="false" outlineLevel="0" max="15399" min="15399" style="157" width="4.29"/>
    <col collapsed="false" customWidth="true" hidden="false" outlineLevel="0" max="15400" min="15400" style="157" width="4.14"/>
    <col collapsed="false" customWidth="true" hidden="false" outlineLevel="0" max="15405" min="15401" style="157" width="4"/>
    <col collapsed="false" customWidth="true" hidden="false" outlineLevel="0" max="15406" min="15406" style="157" width="4.14"/>
    <col collapsed="false" customWidth="true" hidden="false" outlineLevel="0" max="15415" min="15407" style="157" width="4"/>
    <col collapsed="false" customWidth="true" hidden="false" outlineLevel="0" max="15416" min="15416" style="157" width="4.29"/>
    <col collapsed="false" customWidth="true" hidden="false" outlineLevel="0" max="15431" min="15417" style="157" width="4.14"/>
    <col collapsed="false" customWidth="true" hidden="false" outlineLevel="0" max="15432" min="15432" style="157" width="4.86"/>
    <col collapsed="false" customWidth="true" hidden="false" outlineLevel="0" max="15433" min="15433" style="157" width="13.43"/>
    <col collapsed="false" customWidth="true" hidden="false" outlineLevel="0" max="15617" min="15617" style="157" width="6.29"/>
    <col collapsed="false" customWidth="true" hidden="false" outlineLevel="0" max="15620" min="15618" style="157" width="5.57"/>
    <col collapsed="false" customWidth="true" hidden="false" outlineLevel="0" max="15653" min="15621" style="157" width="4"/>
    <col collapsed="false" customWidth="true" hidden="false" outlineLevel="0" max="15654" min="15654" style="157" width="6"/>
    <col collapsed="false" customWidth="true" hidden="false" outlineLevel="0" max="15655" min="15655" style="157" width="4.29"/>
    <col collapsed="false" customWidth="true" hidden="false" outlineLevel="0" max="15656" min="15656" style="157" width="4.14"/>
    <col collapsed="false" customWidth="true" hidden="false" outlineLevel="0" max="15661" min="15657" style="157" width="4"/>
    <col collapsed="false" customWidth="true" hidden="false" outlineLevel="0" max="15662" min="15662" style="157" width="4.14"/>
    <col collapsed="false" customWidth="true" hidden="false" outlineLevel="0" max="15671" min="15663" style="157" width="4"/>
    <col collapsed="false" customWidth="true" hidden="false" outlineLevel="0" max="15672" min="15672" style="157" width="4.29"/>
    <col collapsed="false" customWidth="true" hidden="false" outlineLevel="0" max="15687" min="15673" style="157" width="4.14"/>
    <col collapsed="false" customWidth="true" hidden="false" outlineLevel="0" max="15688" min="15688" style="157" width="4.86"/>
    <col collapsed="false" customWidth="true" hidden="false" outlineLevel="0" max="15689" min="15689" style="157" width="13.43"/>
    <col collapsed="false" customWidth="true" hidden="false" outlineLevel="0" max="15873" min="15873" style="157" width="6.29"/>
    <col collapsed="false" customWidth="true" hidden="false" outlineLevel="0" max="15876" min="15874" style="157" width="5.57"/>
    <col collapsed="false" customWidth="true" hidden="false" outlineLevel="0" max="15909" min="15877" style="157" width="4"/>
    <col collapsed="false" customWidth="true" hidden="false" outlineLevel="0" max="15910" min="15910" style="157" width="6"/>
    <col collapsed="false" customWidth="true" hidden="false" outlineLevel="0" max="15911" min="15911" style="157" width="4.29"/>
    <col collapsed="false" customWidth="true" hidden="false" outlineLevel="0" max="15912" min="15912" style="157" width="4.14"/>
    <col collapsed="false" customWidth="true" hidden="false" outlineLevel="0" max="15917" min="15913" style="157" width="4"/>
    <col collapsed="false" customWidth="true" hidden="false" outlineLevel="0" max="15918" min="15918" style="157" width="4.14"/>
    <col collapsed="false" customWidth="true" hidden="false" outlineLevel="0" max="15927" min="15919" style="157" width="4"/>
    <col collapsed="false" customWidth="true" hidden="false" outlineLevel="0" max="15928" min="15928" style="157" width="4.29"/>
    <col collapsed="false" customWidth="true" hidden="false" outlineLevel="0" max="15943" min="15929" style="157" width="4.14"/>
    <col collapsed="false" customWidth="true" hidden="false" outlineLevel="0" max="15944" min="15944" style="157" width="4.86"/>
    <col collapsed="false" customWidth="true" hidden="false" outlineLevel="0" max="15945" min="15945" style="157" width="13.43"/>
    <col collapsed="false" customWidth="true" hidden="false" outlineLevel="0" max="16129" min="16129" style="157" width="6.29"/>
    <col collapsed="false" customWidth="true" hidden="false" outlineLevel="0" max="16132" min="16130" style="157" width="5.57"/>
    <col collapsed="false" customWidth="true" hidden="false" outlineLevel="0" max="16165" min="16133" style="157" width="4"/>
    <col collapsed="false" customWidth="true" hidden="false" outlineLevel="0" max="16166" min="16166" style="157" width="6"/>
    <col collapsed="false" customWidth="true" hidden="false" outlineLevel="0" max="16167" min="16167" style="157" width="4.29"/>
    <col collapsed="false" customWidth="true" hidden="false" outlineLevel="0" max="16168" min="16168" style="157" width="4.14"/>
    <col collapsed="false" customWidth="true" hidden="false" outlineLevel="0" max="16173" min="16169" style="157" width="4"/>
    <col collapsed="false" customWidth="true" hidden="false" outlineLevel="0" max="16174" min="16174" style="157" width="4.14"/>
    <col collapsed="false" customWidth="true" hidden="false" outlineLevel="0" max="16183" min="16175" style="157" width="4"/>
    <col collapsed="false" customWidth="true" hidden="false" outlineLevel="0" max="16184" min="16184" style="157" width="4.29"/>
    <col collapsed="false" customWidth="true" hidden="false" outlineLevel="0" max="16199" min="16185" style="157" width="4.14"/>
    <col collapsed="false" customWidth="true" hidden="false" outlineLevel="0" max="16200" min="16200" style="157" width="4.86"/>
    <col collapsed="false" customWidth="true" hidden="false" outlineLevel="0" max="16201" min="16201" style="157" width="13.43"/>
  </cols>
  <sheetData>
    <row r="2" customFormat="false" ht="12" hidden="false" customHeight="false" outlineLevel="0" collapsed="false">
      <c r="C2" s="157" t="s">
        <v>672</v>
      </c>
      <c r="E2" s="157" t="n">
        <v>1</v>
      </c>
      <c r="F2" s="157" t="n">
        <v>2</v>
      </c>
      <c r="G2" s="157" t="n">
        <v>3</v>
      </c>
      <c r="H2" s="157" t="n">
        <v>4</v>
      </c>
      <c r="I2" s="157" t="n">
        <v>5</v>
      </c>
      <c r="J2" s="157" t="n">
        <v>6</v>
      </c>
      <c r="K2" s="157" t="n">
        <v>7</v>
      </c>
      <c r="L2" s="157" t="n">
        <v>8</v>
      </c>
      <c r="M2" s="157" t="n">
        <v>9</v>
      </c>
      <c r="N2" s="157" t="n">
        <v>10</v>
      </c>
      <c r="O2" s="157" t="n">
        <v>11</v>
      </c>
      <c r="P2" s="157" t="n">
        <v>12</v>
      </c>
      <c r="Q2" s="157" t="n">
        <v>13</v>
      </c>
      <c r="R2" s="157" t="n">
        <v>14</v>
      </c>
      <c r="S2" s="157" t="n">
        <v>15</v>
      </c>
      <c r="T2" s="157" t="n">
        <v>16</v>
      </c>
      <c r="U2" s="157" t="n">
        <v>17</v>
      </c>
      <c r="V2" s="157" t="n">
        <v>18</v>
      </c>
      <c r="W2" s="157" t="n">
        <v>19</v>
      </c>
      <c r="X2" s="157" t="n">
        <v>20</v>
      </c>
      <c r="Y2" s="157" t="n">
        <v>21</v>
      </c>
      <c r="Z2" s="157" t="n">
        <v>22</v>
      </c>
      <c r="AA2" s="157" t="n">
        <v>23</v>
      </c>
      <c r="AB2" s="157" t="n">
        <v>24</v>
      </c>
      <c r="AC2" s="157" t="n">
        <v>25</v>
      </c>
      <c r="AD2" s="157" t="n">
        <v>26</v>
      </c>
      <c r="AE2" s="157" t="n">
        <v>27</v>
      </c>
      <c r="AF2" s="157" t="n">
        <v>28</v>
      </c>
      <c r="AG2" s="157" t="n">
        <v>29</v>
      </c>
      <c r="AH2" s="157" t="n">
        <v>30</v>
      </c>
      <c r="AI2" s="157" t="n">
        <v>31</v>
      </c>
      <c r="AJ2" s="157" t="n">
        <v>32</v>
      </c>
      <c r="AL2" s="258" t="s">
        <v>672</v>
      </c>
      <c r="AN2" s="157" t="n">
        <v>33</v>
      </c>
      <c r="AO2" s="157" t="n">
        <v>34</v>
      </c>
      <c r="AP2" s="157" t="n">
        <v>35</v>
      </c>
      <c r="AQ2" s="157" t="n">
        <v>36</v>
      </c>
      <c r="AR2" s="157" t="n">
        <v>37</v>
      </c>
      <c r="AS2" s="157" t="n">
        <v>38</v>
      </c>
      <c r="AT2" s="157" t="n">
        <v>39</v>
      </c>
      <c r="AU2" s="157" t="n">
        <v>40</v>
      </c>
      <c r="AV2" s="157" t="n">
        <v>41</v>
      </c>
      <c r="AW2" s="157" t="n">
        <v>42</v>
      </c>
      <c r="AX2" s="157" t="n">
        <v>43</v>
      </c>
      <c r="AY2" s="157" t="n">
        <v>44</v>
      </c>
      <c r="AZ2" s="157" t="n">
        <v>45</v>
      </c>
      <c r="BA2" s="157" t="n">
        <v>46</v>
      </c>
      <c r="BB2" s="157" t="n">
        <v>47</v>
      </c>
      <c r="BC2" s="157" t="n">
        <v>48</v>
      </c>
      <c r="BD2" s="258" t="n">
        <v>49</v>
      </c>
      <c r="BE2" s="157" t="n">
        <v>50</v>
      </c>
      <c r="BF2" s="157" t="n">
        <v>51</v>
      </c>
      <c r="BG2" s="157" t="n">
        <v>52</v>
      </c>
      <c r="BH2" s="157" t="n">
        <v>53</v>
      </c>
      <c r="BI2" s="157" t="n">
        <v>54</v>
      </c>
      <c r="BJ2" s="157" t="n">
        <v>55</v>
      </c>
      <c r="BK2" s="157" t="n">
        <v>56</v>
      </c>
      <c r="BL2" s="157" t="n">
        <v>57</v>
      </c>
      <c r="BM2" s="157" t="n">
        <v>58</v>
      </c>
      <c r="BN2" s="157" t="n">
        <v>59</v>
      </c>
      <c r="BO2" s="157" t="n">
        <v>60</v>
      </c>
      <c r="BP2" s="157" t="n">
        <v>61</v>
      </c>
      <c r="BQ2" s="157" t="n">
        <v>62</v>
      </c>
      <c r="BR2" s="157" t="n">
        <v>63</v>
      </c>
      <c r="BS2" s="157" t="n">
        <v>64</v>
      </c>
    </row>
    <row r="3" customFormat="false" ht="12" hidden="false" customHeight="false" outlineLevel="0" collapsed="false">
      <c r="C3" s="157" t="s">
        <v>7993</v>
      </c>
      <c r="D3" s="258" t="s">
        <v>674</v>
      </c>
      <c r="E3" s="157" t="n">
        <v>1</v>
      </c>
      <c r="AL3" s="258" t="s">
        <v>7993</v>
      </c>
      <c r="AM3" s="258" t="s">
        <v>674</v>
      </c>
      <c r="AN3" s="157" t="n">
        <v>5</v>
      </c>
    </row>
    <row r="4" customFormat="false" ht="12" hidden="false" customHeight="false" outlineLevel="0" collapsed="false">
      <c r="B4" s="259" t="s">
        <v>7994</v>
      </c>
      <c r="C4" s="258" t="n">
        <v>1</v>
      </c>
      <c r="D4" s="259" t="s">
        <v>7994</v>
      </c>
      <c r="E4" s="260" t="n">
        <v>83</v>
      </c>
      <c r="F4" s="260" t="n">
        <v>96</v>
      </c>
      <c r="G4" s="260" t="n">
        <v>79</v>
      </c>
      <c r="H4" s="260" t="n">
        <v>125</v>
      </c>
      <c r="I4" s="260" t="n">
        <v>90</v>
      </c>
      <c r="J4" s="260" t="n">
        <v>65</v>
      </c>
      <c r="K4" s="260" t="n">
        <v>46</v>
      </c>
      <c r="L4" s="260" t="n">
        <v>88</v>
      </c>
      <c r="M4" s="260" t="n">
        <v>41</v>
      </c>
      <c r="N4" s="260" t="n">
        <v>28</v>
      </c>
      <c r="O4" s="260" t="n">
        <v>97</v>
      </c>
      <c r="P4" s="260" t="n">
        <v>107</v>
      </c>
      <c r="Q4" s="260" t="n">
        <v>67</v>
      </c>
      <c r="R4" s="260" t="n">
        <v>27</v>
      </c>
      <c r="S4" s="260" t="n">
        <v>19</v>
      </c>
      <c r="T4" s="260" t="n">
        <v>120</v>
      </c>
      <c r="U4" s="261" t="n">
        <v>84</v>
      </c>
      <c r="V4" s="262" t="n">
        <v>128</v>
      </c>
      <c r="W4" s="263" t="n">
        <v>68</v>
      </c>
      <c r="X4" s="260" t="n">
        <v>58</v>
      </c>
      <c r="Y4" s="260" t="n">
        <v>100</v>
      </c>
      <c r="Z4" s="260" t="n">
        <v>47</v>
      </c>
      <c r="AA4" s="260" t="n">
        <v>45</v>
      </c>
      <c r="AB4" s="260" t="n">
        <v>9</v>
      </c>
      <c r="AC4" s="260" t="n">
        <v>78</v>
      </c>
      <c r="AD4" s="260" t="n">
        <v>110</v>
      </c>
      <c r="AE4" s="260" t="n">
        <v>6</v>
      </c>
      <c r="AF4" s="260" t="n">
        <v>116</v>
      </c>
      <c r="AG4" s="260" t="n">
        <v>101</v>
      </c>
      <c r="AH4" s="260" t="n">
        <v>35</v>
      </c>
      <c r="AI4" s="260" t="n">
        <v>92</v>
      </c>
      <c r="AJ4" s="260" t="n">
        <v>30</v>
      </c>
      <c r="AK4" s="259" t="s">
        <v>7994</v>
      </c>
      <c r="AL4" s="258" t="n">
        <v>1</v>
      </c>
      <c r="AM4" s="259" t="s">
        <v>7994</v>
      </c>
      <c r="AN4" s="260" t="n">
        <v>16</v>
      </c>
      <c r="AO4" s="260" t="n">
        <v>66</v>
      </c>
      <c r="AP4" s="260" t="n">
        <v>100</v>
      </c>
      <c r="AQ4" s="260" t="n">
        <v>38</v>
      </c>
      <c r="AR4" s="260" t="n">
        <v>90</v>
      </c>
      <c r="AS4" s="260" t="n">
        <v>50</v>
      </c>
      <c r="AT4" s="260" t="n">
        <v>74</v>
      </c>
      <c r="AU4" s="260" t="n">
        <v>76</v>
      </c>
      <c r="AV4" s="260" t="n">
        <v>35</v>
      </c>
      <c r="AW4" s="260" t="n">
        <v>96</v>
      </c>
      <c r="AX4" s="260" t="n">
        <v>12</v>
      </c>
      <c r="AY4" s="260" t="n">
        <v>8</v>
      </c>
      <c r="AZ4" s="260" t="n">
        <v>18</v>
      </c>
      <c r="BA4" s="260" t="n">
        <v>80</v>
      </c>
      <c r="BB4" s="260" t="n">
        <v>31</v>
      </c>
      <c r="BC4" s="261" t="n">
        <v>58</v>
      </c>
      <c r="BD4" s="262" t="n">
        <v>127</v>
      </c>
      <c r="BE4" s="263" t="n">
        <v>116</v>
      </c>
      <c r="BF4" s="260" t="n">
        <v>86</v>
      </c>
      <c r="BG4" s="260" t="n">
        <v>40</v>
      </c>
      <c r="BH4" s="260" t="n">
        <v>106</v>
      </c>
      <c r="BI4" s="260" t="n">
        <v>57</v>
      </c>
      <c r="BJ4" s="260" t="n">
        <v>71</v>
      </c>
      <c r="BK4" s="260" t="n">
        <v>10</v>
      </c>
      <c r="BL4" s="260" t="n">
        <v>124</v>
      </c>
      <c r="BM4" s="260" t="n">
        <v>107</v>
      </c>
      <c r="BN4" s="260" t="n">
        <v>62</v>
      </c>
      <c r="BO4" s="260" t="n">
        <v>11</v>
      </c>
      <c r="BP4" s="260" t="n">
        <v>73</v>
      </c>
      <c r="BQ4" s="260" t="n">
        <v>108</v>
      </c>
      <c r="BR4" s="260" t="n">
        <v>70</v>
      </c>
      <c r="BS4" s="260" t="n">
        <v>26</v>
      </c>
      <c r="BT4" s="259" t="s">
        <v>7994</v>
      </c>
    </row>
    <row r="5" customFormat="false" ht="12" hidden="false" customHeight="false" outlineLevel="0" collapsed="false">
      <c r="B5" s="259" t="s">
        <v>7994</v>
      </c>
      <c r="C5" s="258" t="n">
        <v>2</v>
      </c>
      <c r="D5" s="259" t="s">
        <v>7994</v>
      </c>
      <c r="E5" s="264" t="n">
        <v>77</v>
      </c>
      <c r="F5" s="260" t="n">
        <v>76</v>
      </c>
      <c r="G5" s="260" t="n">
        <v>109</v>
      </c>
      <c r="H5" s="260" t="n">
        <v>55</v>
      </c>
      <c r="I5" s="260" t="n">
        <v>39</v>
      </c>
      <c r="J5" s="260" t="n">
        <v>71</v>
      </c>
      <c r="K5" s="260" t="n">
        <v>38</v>
      </c>
      <c r="L5" s="260" t="n">
        <v>94</v>
      </c>
      <c r="M5" s="260" t="n">
        <v>66</v>
      </c>
      <c r="N5" s="260" t="n">
        <v>119</v>
      </c>
      <c r="O5" s="260" t="n">
        <v>23</v>
      </c>
      <c r="P5" s="260" t="n">
        <v>42</v>
      </c>
      <c r="Q5" s="260" t="n">
        <v>72</v>
      </c>
      <c r="R5" s="260" t="n">
        <v>16</v>
      </c>
      <c r="S5" s="260" t="n">
        <v>53</v>
      </c>
      <c r="T5" s="260" t="n">
        <v>8</v>
      </c>
      <c r="U5" s="260" t="n">
        <v>63</v>
      </c>
      <c r="V5" s="265" t="n">
        <v>21</v>
      </c>
      <c r="W5" s="260" t="n">
        <v>15</v>
      </c>
      <c r="X5" s="260" t="n">
        <v>86</v>
      </c>
      <c r="Y5" s="260" t="n">
        <v>14</v>
      </c>
      <c r="Z5" s="260" t="n">
        <v>104</v>
      </c>
      <c r="AA5" s="260" t="n">
        <v>20</v>
      </c>
      <c r="AB5" s="260" t="n">
        <v>82</v>
      </c>
      <c r="AC5" s="260" t="n">
        <v>95</v>
      </c>
      <c r="AD5" s="260" t="n">
        <v>74</v>
      </c>
      <c r="AE5" s="260" t="n">
        <v>44</v>
      </c>
      <c r="AF5" s="260" t="n">
        <v>87</v>
      </c>
      <c r="AG5" s="260" t="n">
        <v>32</v>
      </c>
      <c r="AH5" s="260" t="n">
        <v>26</v>
      </c>
      <c r="AI5" s="260" t="n">
        <v>113</v>
      </c>
      <c r="AJ5" s="260" t="n">
        <v>123</v>
      </c>
      <c r="AK5" s="259" t="s">
        <v>7994</v>
      </c>
      <c r="AL5" s="258" t="n">
        <v>2</v>
      </c>
      <c r="AM5" s="259" t="s">
        <v>7994</v>
      </c>
      <c r="AN5" s="260" t="n">
        <v>22</v>
      </c>
      <c r="AO5" s="260" t="n">
        <v>126</v>
      </c>
      <c r="AP5" s="260" t="n">
        <v>23</v>
      </c>
      <c r="AQ5" s="260" t="n">
        <v>63</v>
      </c>
      <c r="AR5" s="260" t="n">
        <v>115</v>
      </c>
      <c r="AS5" s="260" t="n">
        <v>84</v>
      </c>
      <c r="AT5" s="260" t="n">
        <v>55</v>
      </c>
      <c r="AU5" s="260" t="n">
        <v>104</v>
      </c>
      <c r="AV5" s="260" t="n">
        <v>4</v>
      </c>
      <c r="AW5" s="260" t="n">
        <v>44</v>
      </c>
      <c r="AX5" s="260" t="n">
        <v>77</v>
      </c>
      <c r="AY5" s="260" t="n">
        <v>47</v>
      </c>
      <c r="AZ5" s="260" t="n">
        <v>109</v>
      </c>
      <c r="BA5" s="264" t="n">
        <v>93</v>
      </c>
      <c r="BB5" s="260" t="n">
        <v>39</v>
      </c>
      <c r="BC5" s="260" t="n">
        <v>121</v>
      </c>
      <c r="BD5" s="265" t="n">
        <v>75</v>
      </c>
      <c r="BE5" s="260" t="n">
        <v>81</v>
      </c>
      <c r="BF5" s="260" t="n">
        <v>3</v>
      </c>
      <c r="BG5" s="260" t="n">
        <v>87</v>
      </c>
      <c r="BH5" s="260" t="n">
        <v>59</v>
      </c>
      <c r="BI5" s="260" t="n">
        <v>99</v>
      </c>
      <c r="BJ5" s="260" t="n">
        <v>42</v>
      </c>
      <c r="BK5" s="260" t="n">
        <v>95</v>
      </c>
      <c r="BL5" s="260" t="n">
        <v>65</v>
      </c>
      <c r="BM5" s="260" t="n">
        <v>1</v>
      </c>
      <c r="BN5" s="260" t="n">
        <v>53</v>
      </c>
      <c r="BO5" s="260" t="n">
        <v>68</v>
      </c>
      <c r="BP5" s="260" t="n">
        <v>5</v>
      </c>
      <c r="BQ5" s="260" t="n">
        <v>24</v>
      </c>
      <c r="BR5" s="260" t="n">
        <v>56</v>
      </c>
      <c r="BS5" s="260" t="n">
        <v>25</v>
      </c>
      <c r="BT5" s="259" t="s">
        <v>7994</v>
      </c>
    </row>
    <row r="6" customFormat="false" ht="12" hidden="false" customHeight="false" outlineLevel="0" collapsed="false">
      <c r="B6" s="259" t="s">
        <v>7994</v>
      </c>
      <c r="C6" s="258" t="n">
        <v>3</v>
      </c>
      <c r="D6" s="266" t="s">
        <v>7994</v>
      </c>
      <c r="E6" s="262" t="n">
        <v>127</v>
      </c>
      <c r="F6" s="263" t="n">
        <v>122</v>
      </c>
      <c r="G6" s="260" t="n">
        <v>126</v>
      </c>
      <c r="H6" s="260" t="n">
        <v>52</v>
      </c>
      <c r="I6" s="260" t="n">
        <v>10</v>
      </c>
      <c r="J6" s="260" t="n">
        <v>73</v>
      </c>
      <c r="K6" s="260" t="n">
        <v>103</v>
      </c>
      <c r="L6" s="260" t="n">
        <v>81</v>
      </c>
      <c r="M6" s="260" t="n">
        <v>51</v>
      </c>
      <c r="N6" s="260" t="n">
        <v>34</v>
      </c>
      <c r="O6" s="260" t="n">
        <v>18</v>
      </c>
      <c r="P6" s="260" t="n">
        <v>56</v>
      </c>
      <c r="Q6" s="260" t="n">
        <v>25</v>
      </c>
      <c r="R6" s="260" t="n">
        <v>85</v>
      </c>
      <c r="S6" s="260" t="n">
        <v>115</v>
      </c>
      <c r="T6" s="260" t="n">
        <v>3</v>
      </c>
      <c r="U6" s="260" t="n">
        <v>106</v>
      </c>
      <c r="V6" s="260" t="n">
        <v>48</v>
      </c>
      <c r="W6" s="260" t="n">
        <v>7</v>
      </c>
      <c r="X6" s="260" t="n">
        <v>57</v>
      </c>
      <c r="Y6" s="260" t="n">
        <v>121</v>
      </c>
      <c r="Z6" s="260" t="n">
        <v>40</v>
      </c>
      <c r="AA6" s="260" t="n">
        <v>50</v>
      </c>
      <c r="AB6" s="260" t="n">
        <v>43</v>
      </c>
      <c r="AC6" s="260" t="n">
        <v>17</v>
      </c>
      <c r="AD6" s="260" t="n">
        <v>54</v>
      </c>
      <c r="AE6" s="260" t="n">
        <v>29</v>
      </c>
      <c r="AF6" s="260" t="n">
        <v>5</v>
      </c>
      <c r="AG6" s="260" t="n">
        <v>59</v>
      </c>
      <c r="AH6" s="260" t="n">
        <v>89</v>
      </c>
      <c r="AI6" s="260" t="n">
        <v>124</v>
      </c>
      <c r="AJ6" s="260" t="n">
        <v>114</v>
      </c>
      <c r="AK6" s="259" t="s">
        <v>7994</v>
      </c>
      <c r="AL6" s="258" t="n">
        <v>3</v>
      </c>
      <c r="AM6" s="259" t="s">
        <v>7994</v>
      </c>
      <c r="AN6" s="260" t="n">
        <v>29</v>
      </c>
      <c r="AO6" s="260" t="n">
        <v>114</v>
      </c>
      <c r="AP6" s="260" t="n">
        <v>125</v>
      </c>
      <c r="AQ6" s="260" t="n">
        <v>32</v>
      </c>
      <c r="AR6" s="260" t="n">
        <v>79</v>
      </c>
      <c r="AS6" s="260" t="n">
        <v>97</v>
      </c>
      <c r="AT6" s="260" t="n">
        <v>48</v>
      </c>
      <c r="AU6" s="260" t="n">
        <v>15</v>
      </c>
      <c r="AV6" s="260" t="n">
        <v>51</v>
      </c>
      <c r="AW6" s="260" t="n">
        <v>45</v>
      </c>
      <c r="AX6" s="260" t="n">
        <v>64</v>
      </c>
      <c r="AY6" s="260" t="n">
        <v>94</v>
      </c>
      <c r="AZ6" s="261" t="n">
        <v>103</v>
      </c>
      <c r="BA6" s="262" t="n">
        <v>128</v>
      </c>
      <c r="BB6" s="263" t="n">
        <v>92</v>
      </c>
      <c r="BC6" s="260" t="n">
        <v>13</v>
      </c>
      <c r="BD6" s="260" t="n">
        <v>113</v>
      </c>
      <c r="BE6" s="260" t="n">
        <v>117</v>
      </c>
      <c r="BF6" s="260" t="n">
        <v>54</v>
      </c>
      <c r="BG6" s="260" t="n">
        <v>78</v>
      </c>
      <c r="BH6" s="260" t="n">
        <v>88</v>
      </c>
      <c r="BI6" s="260" t="n">
        <v>85</v>
      </c>
      <c r="BJ6" s="260" t="n">
        <v>67</v>
      </c>
      <c r="BK6" s="260" t="n">
        <v>120</v>
      </c>
      <c r="BL6" s="260" t="n">
        <v>122</v>
      </c>
      <c r="BM6" s="260" t="n">
        <v>7</v>
      </c>
      <c r="BN6" s="260" t="n">
        <v>20</v>
      </c>
      <c r="BO6" s="260" t="n">
        <v>83</v>
      </c>
      <c r="BP6" s="260" t="n">
        <v>33</v>
      </c>
      <c r="BQ6" s="260" t="n">
        <v>91</v>
      </c>
      <c r="BR6" s="260" t="n">
        <v>72</v>
      </c>
      <c r="BS6" s="260" t="n">
        <v>36</v>
      </c>
      <c r="BT6" s="259" t="s">
        <v>7994</v>
      </c>
    </row>
    <row r="7" customFormat="false" ht="13.8" hidden="false" customHeight="false" outlineLevel="0" collapsed="false">
      <c r="B7" s="266" t="s">
        <v>7994</v>
      </c>
      <c r="C7" s="267" t="n">
        <v>4</v>
      </c>
      <c r="D7" s="268" t="s">
        <v>7994</v>
      </c>
      <c r="E7" s="265" t="n">
        <v>70</v>
      </c>
      <c r="F7" s="260" t="n">
        <v>37</v>
      </c>
      <c r="G7" s="260" t="n">
        <v>22</v>
      </c>
      <c r="H7" s="260" t="n">
        <v>4</v>
      </c>
      <c r="I7" s="260" t="n">
        <v>49</v>
      </c>
      <c r="J7" s="260" t="n">
        <v>98</v>
      </c>
      <c r="K7" s="260" t="n">
        <v>105</v>
      </c>
      <c r="L7" s="260" t="n">
        <v>112</v>
      </c>
      <c r="M7" s="260" t="n">
        <v>64</v>
      </c>
      <c r="N7" s="260" t="n">
        <v>2</v>
      </c>
      <c r="O7" s="260" t="n">
        <v>11</v>
      </c>
      <c r="P7" s="260" t="n">
        <v>102</v>
      </c>
      <c r="Q7" s="260" t="n">
        <v>1</v>
      </c>
      <c r="R7" s="260" t="n">
        <v>69</v>
      </c>
      <c r="S7" s="260" t="n">
        <v>33</v>
      </c>
      <c r="T7" s="260" t="n">
        <v>61</v>
      </c>
      <c r="U7" s="260" t="n">
        <v>80</v>
      </c>
      <c r="V7" s="260" t="n">
        <v>117</v>
      </c>
      <c r="W7" s="260" t="n">
        <v>13</v>
      </c>
      <c r="X7" s="260" t="n">
        <v>12</v>
      </c>
      <c r="Y7" s="260" t="n">
        <v>62</v>
      </c>
      <c r="Z7" s="260" t="n">
        <v>111</v>
      </c>
      <c r="AA7" s="260" t="n">
        <v>75</v>
      </c>
      <c r="AB7" s="260" t="n">
        <v>36</v>
      </c>
      <c r="AC7" s="260" t="n">
        <v>91</v>
      </c>
      <c r="AD7" s="260" t="n">
        <v>118</v>
      </c>
      <c r="AE7" s="260" t="n">
        <v>108</v>
      </c>
      <c r="AF7" s="260" t="n">
        <v>99</v>
      </c>
      <c r="AG7" s="260" t="n">
        <v>93</v>
      </c>
      <c r="AH7" s="260" t="n">
        <v>31</v>
      </c>
      <c r="AI7" s="260" t="n">
        <v>60</v>
      </c>
      <c r="AJ7" s="260" t="n">
        <v>24</v>
      </c>
      <c r="AK7" s="259" t="s">
        <v>7994</v>
      </c>
      <c r="AL7" s="258" t="n">
        <v>4</v>
      </c>
      <c r="AM7" s="259" t="s">
        <v>7994</v>
      </c>
      <c r="AN7" s="260" t="n">
        <v>112</v>
      </c>
      <c r="AO7" s="260" t="n">
        <v>49</v>
      </c>
      <c r="AP7" s="260" t="n">
        <v>101</v>
      </c>
      <c r="AQ7" s="260" t="n">
        <v>27</v>
      </c>
      <c r="AR7" s="260" t="n">
        <v>6</v>
      </c>
      <c r="AS7" s="260" t="n">
        <v>61</v>
      </c>
      <c r="AT7" s="260" t="n">
        <v>60</v>
      </c>
      <c r="AU7" s="260" t="n">
        <v>69</v>
      </c>
      <c r="AV7" s="260" t="n">
        <v>82</v>
      </c>
      <c r="AW7" s="260" t="n">
        <v>30</v>
      </c>
      <c r="AX7" s="260" t="n">
        <v>119</v>
      </c>
      <c r="AY7" s="260" t="n">
        <v>110</v>
      </c>
      <c r="AZ7" s="260" t="n">
        <v>52</v>
      </c>
      <c r="BA7" s="265" t="n">
        <v>9</v>
      </c>
      <c r="BB7" s="260" t="n">
        <v>98</v>
      </c>
      <c r="BC7" s="260" t="n">
        <v>28</v>
      </c>
      <c r="BD7" s="260" t="n">
        <v>34</v>
      </c>
      <c r="BE7" s="260" t="n">
        <v>19</v>
      </c>
      <c r="BF7" s="260" t="n">
        <v>37</v>
      </c>
      <c r="BG7" s="260" t="n">
        <v>111</v>
      </c>
      <c r="BH7" s="260" t="n">
        <v>17</v>
      </c>
      <c r="BI7" s="260" t="n">
        <v>43</v>
      </c>
      <c r="BJ7" s="260" t="n">
        <v>105</v>
      </c>
      <c r="BK7" s="260" t="n">
        <v>118</v>
      </c>
      <c r="BL7" s="260" t="n">
        <v>21</v>
      </c>
      <c r="BM7" s="260" t="n">
        <v>14</v>
      </c>
      <c r="BN7" s="260" t="n">
        <v>89</v>
      </c>
      <c r="BO7" s="260" t="n">
        <v>102</v>
      </c>
      <c r="BP7" s="260" t="n">
        <v>123</v>
      </c>
      <c r="BQ7" s="260" t="n">
        <v>46</v>
      </c>
      <c r="BR7" s="260" t="n">
        <v>2</v>
      </c>
      <c r="BS7" s="260" t="n">
        <v>41</v>
      </c>
      <c r="BT7" s="259" t="s">
        <v>7994</v>
      </c>
    </row>
    <row r="9" customFormat="false" ht="12" hidden="false" customHeight="false" outlineLevel="0" collapsed="false">
      <c r="B9" s="258"/>
      <c r="C9" s="157" t="s">
        <v>7993</v>
      </c>
      <c r="D9" s="258" t="s">
        <v>674</v>
      </c>
      <c r="E9" s="157" t="n">
        <v>2</v>
      </c>
      <c r="AK9" s="258"/>
      <c r="AL9" s="258" t="s">
        <v>7993</v>
      </c>
      <c r="AM9" s="258" t="s">
        <v>674</v>
      </c>
      <c r="AN9" s="157" t="n">
        <v>6</v>
      </c>
      <c r="BT9" s="258"/>
    </row>
    <row r="10" customFormat="false" ht="13.8" hidden="false" customHeight="false" outlineLevel="0" collapsed="false">
      <c r="B10" s="259" t="s">
        <v>7994</v>
      </c>
      <c r="C10" s="267" t="n">
        <v>5</v>
      </c>
      <c r="D10" s="259" t="s">
        <v>7994</v>
      </c>
      <c r="E10" s="264" t="n">
        <v>5</v>
      </c>
      <c r="F10" s="260" t="n">
        <v>81</v>
      </c>
      <c r="G10" s="260" t="n">
        <v>119</v>
      </c>
      <c r="H10" s="260" t="n">
        <v>26</v>
      </c>
      <c r="I10" s="260" t="n">
        <v>28</v>
      </c>
      <c r="J10" s="260" t="n">
        <v>59</v>
      </c>
      <c r="K10" s="260" t="n">
        <v>69</v>
      </c>
      <c r="L10" s="260" t="n">
        <v>99</v>
      </c>
      <c r="M10" s="260" t="n">
        <v>24</v>
      </c>
      <c r="N10" s="260" t="n">
        <v>39</v>
      </c>
      <c r="O10" s="261" t="n">
        <v>120</v>
      </c>
      <c r="P10" s="262" t="n">
        <v>127</v>
      </c>
      <c r="Q10" s="263" t="n">
        <v>124</v>
      </c>
      <c r="R10" s="260" t="n">
        <v>63</v>
      </c>
      <c r="S10" s="260" t="n">
        <v>12</v>
      </c>
      <c r="T10" s="260" t="n">
        <v>20</v>
      </c>
      <c r="U10" s="260" t="n">
        <v>54</v>
      </c>
      <c r="V10" s="260" t="n">
        <v>29</v>
      </c>
      <c r="W10" s="260" t="n">
        <v>108</v>
      </c>
      <c r="X10" s="260" t="n">
        <v>47</v>
      </c>
      <c r="Y10" s="260" t="n">
        <v>61</v>
      </c>
      <c r="Z10" s="260" t="n">
        <v>89</v>
      </c>
      <c r="AA10" s="260" t="n">
        <v>101</v>
      </c>
      <c r="AB10" s="260" t="n">
        <v>122</v>
      </c>
      <c r="AC10" s="260" t="n">
        <v>84</v>
      </c>
      <c r="AD10" s="260" t="n">
        <v>111</v>
      </c>
      <c r="AE10" s="260" t="n">
        <v>33</v>
      </c>
      <c r="AF10" s="260" t="n">
        <v>38</v>
      </c>
      <c r="AG10" s="260" t="n">
        <v>27</v>
      </c>
      <c r="AH10" s="260" t="n">
        <v>21</v>
      </c>
      <c r="AI10" s="260" t="n">
        <v>80</v>
      </c>
      <c r="AJ10" s="260" t="n">
        <v>97</v>
      </c>
      <c r="AK10" s="259" t="s">
        <v>7994</v>
      </c>
      <c r="AL10" s="258" t="n">
        <v>5</v>
      </c>
      <c r="AM10" s="259" t="s">
        <v>7994</v>
      </c>
      <c r="AN10" s="260" t="n">
        <v>43</v>
      </c>
      <c r="AO10" s="260" t="n">
        <v>110</v>
      </c>
      <c r="AP10" s="260" t="n">
        <v>25</v>
      </c>
      <c r="AQ10" s="260" t="n">
        <v>31</v>
      </c>
      <c r="AR10" s="260" t="n">
        <v>91</v>
      </c>
      <c r="AS10" s="260" t="n">
        <v>83</v>
      </c>
      <c r="AT10" s="260" t="n">
        <v>12</v>
      </c>
      <c r="AU10" s="260" t="n">
        <v>45</v>
      </c>
      <c r="AV10" s="260" t="n">
        <v>46</v>
      </c>
      <c r="AW10" s="260" t="n">
        <v>55</v>
      </c>
      <c r="AX10" s="260" t="n">
        <v>92</v>
      </c>
      <c r="AY10" s="260" t="n">
        <v>54</v>
      </c>
      <c r="AZ10" s="260" t="n">
        <v>65</v>
      </c>
      <c r="BA10" s="260" t="n">
        <v>57</v>
      </c>
      <c r="BB10" s="260" t="n">
        <v>114</v>
      </c>
      <c r="BC10" s="260" t="n">
        <v>118</v>
      </c>
      <c r="BD10" s="260" t="n">
        <v>72</v>
      </c>
      <c r="BE10" s="260" t="n">
        <v>24</v>
      </c>
      <c r="BF10" s="260" t="n">
        <v>80</v>
      </c>
      <c r="BG10" s="260" t="n">
        <v>105</v>
      </c>
      <c r="BH10" s="260" t="n">
        <v>7</v>
      </c>
      <c r="BI10" s="260" t="n">
        <v>51</v>
      </c>
      <c r="BJ10" s="261" t="n">
        <v>126</v>
      </c>
      <c r="BK10" s="262" t="n">
        <v>127</v>
      </c>
      <c r="BL10" s="263" t="n">
        <v>26</v>
      </c>
      <c r="BM10" s="260" t="n">
        <v>93</v>
      </c>
      <c r="BN10" s="260" t="n">
        <v>74</v>
      </c>
      <c r="BO10" s="260" t="n">
        <v>48</v>
      </c>
      <c r="BP10" s="260" t="n">
        <v>75</v>
      </c>
      <c r="BQ10" s="260" t="n">
        <v>27</v>
      </c>
      <c r="BR10" s="260" t="n">
        <v>23</v>
      </c>
      <c r="BS10" s="260" t="n">
        <v>50</v>
      </c>
      <c r="BT10" s="259" t="s">
        <v>7994</v>
      </c>
    </row>
    <row r="11" customFormat="false" ht="12" hidden="false" customHeight="false" outlineLevel="0" collapsed="false">
      <c r="B11" s="259" t="s">
        <v>7994</v>
      </c>
      <c r="C11" s="258" t="n">
        <v>6</v>
      </c>
      <c r="D11" s="266" t="s">
        <v>7994</v>
      </c>
      <c r="E11" s="262" t="n">
        <v>128</v>
      </c>
      <c r="F11" s="263" t="n">
        <v>41</v>
      </c>
      <c r="G11" s="260" t="n">
        <v>90</v>
      </c>
      <c r="H11" s="260" t="n">
        <v>66</v>
      </c>
      <c r="I11" s="260" t="n">
        <v>6</v>
      </c>
      <c r="J11" s="260" t="n">
        <v>4</v>
      </c>
      <c r="K11" s="260" t="n">
        <v>116</v>
      </c>
      <c r="L11" s="260" t="n">
        <v>30</v>
      </c>
      <c r="M11" s="260" t="n">
        <v>37</v>
      </c>
      <c r="N11" s="260" t="n">
        <v>79</v>
      </c>
      <c r="O11" s="260" t="n">
        <v>55</v>
      </c>
      <c r="P11" s="265" t="n">
        <v>31</v>
      </c>
      <c r="Q11" s="260" t="n">
        <v>94</v>
      </c>
      <c r="R11" s="260" t="n">
        <v>9</v>
      </c>
      <c r="S11" s="260" t="n">
        <v>42</v>
      </c>
      <c r="T11" s="260" t="n">
        <v>83</v>
      </c>
      <c r="U11" s="260" t="n">
        <v>45</v>
      </c>
      <c r="V11" s="260" t="n">
        <v>93</v>
      </c>
      <c r="W11" s="260" t="n">
        <v>87</v>
      </c>
      <c r="X11" s="260" t="n">
        <v>105</v>
      </c>
      <c r="Y11" s="260" t="n">
        <v>15</v>
      </c>
      <c r="Z11" s="260" t="n">
        <v>114</v>
      </c>
      <c r="AA11" s="260" t="n">
        <v>18</v>
      </c>
      <c r="AB11" s="260" t="n">
        <v>68</v>
      </c>
      <c r="AC11" s="260" t="n">
        <v>109</v>
      </c>
      <c r="AD11" s="260" t="n">
        <v>85</v>
      </c>
      <c r="AE11" s="260" t="n">
        <v>46</v>
      </c>
      <c r="AF11" s="260" t="n">
        <v>58</v>
      </c>
      <c r="AG11" s="260" t="n">
        <v>7</v>
      </c>
      <c r="AH11" s="260" t="n">
        <v>14</v>
      </c>
      <c r="AI11" s="260" t="n">
        <v>22</v>
      </c>
      <c r="AJ11" s="260" t="n">
        <v>107</v>
      </c>
      <c r="AK11" s="259" t="s">
        <v>7994</v>
      </c>
      <c r="AL11" s="258" t="n">
        <v>6</v>
      </c>
      <c r="AM11" s="259" t="s">
        <v>7994</v>
      </c>
      <c r="AN11" s="260" t="n">
        <v>122</v>
      </c>
      <c r="AO11" s="260" t="n">
        <v>89</v>
      </c>
      <c r="AP11" s="260" t="n">
        <v>4</v>
      </c>
      <c r="AQ11" s="260" t="n">
        <v>77</v>
      </c>
      <c r="AR11" s="260" t="n">
        <v>125</v>
      </c>
      <c r="AS11" s="260" t="n">
        <v>32</v>
      </c>
      <c r="AT11" s="260" t="n">
        <v>56</v>
      </c>
      <c r="AU11" s="260" t="n">
        <v>19</v>
      </c>
      <c r="AV11" s="260" t="n">
        <v>84</v>
      </c>
      <c r="AW11" s="260" t="n">
        <v>85</v>
      </c>
      <c r="AX11" s="260" t="n">
        <v>108</v>
      </c>
      <c r="AY11" s="260" t="n">
        <v>76</v>
      </c>
      <c r="AZ11" s="260" t="n">
        <v>8</v>
      </c>
      <c r="BA11" s="260" t="n">
        <v>20</v>
      </c>
      <c r="BB11" s="260" t="n">
        <v>42</v>
      </c>
      <c r="BC11" s="260" t="n">
        <v>94</v>
      </c>
      <c r="BD11" s="260" t="n">
        <v>33</v>
      </c>
      <c r="BE11" s="260" t="n">
        <v>96</v>
      </c>
      <c r="BF11" s="260" t="n">
        <v>107</v>
      </c>
      <c r="BG11" s="260" t="n">
        <v>124</v>
      </c>
      <c r="BH11" s="260" t="n">
        <v>16</v>
      </c>
      <c r="BI11" s="260" t="n">
        <v>62</v>
      </c>
      <c r="BJ11" s="260" t="n">
        <v>121</v>
      </c>
      <c r="BK11" s="265" t="n">
        <v>21</v>
      </c>
      <c r="BL11" s="260" t="n">
        <v>95</v>
      </c>
      <c r="BM11" s="260" t="n">
        <v>117</v>
      </c>
      <c r="BN11" s="260" t="n">
        <v>66</v>
      </c>
      <c r="BO11" s="260" t="n">
        <v>67</v>
      </c>
      <c r="BP11" s="260" t="n">
        <v>97</v>
      </c>
      <c r="BQ11" s="260" t="n">
        <v>81</v>
      </c>
      <c r="BR11" s="260" t="n">
        <v>15</v>
      </c>
      <c r="BS11" s="260" t="n">
        <v>35</v>
      </c>
      <c r="BT11" s="259" t="s">
        <v>7994</v>
      </c>
    </row>
    <row r="12" customFormat="false" ht="12" hidden="false" customHeight="false" outlineLevel="0" collapsed="false">
      <c r="B12" s="259" t="s">
        <v>7994</v>
      </c>
      <c r="C12" s="258" t="n">
        <v>7</v>
      </c>
      <c r="D12" s="259" t="s">
        <v>7994</v>
      </c>
      <c r="E12" s="265" t="n">
        <v>92</v>
      </c>
      <c r="F12" s="260" t="n">
        <v>104</v>
      </c>
      <c r="G12" s="260" t="n">
        <v>82</v>
      </c>
      <c r="H12" s="260" t="n">
        <v>100</v>
      </c>
      <c r="I12" s="260" t="n">
        <v>96</v>
      </c>
      <c r="J12" s="260" t="n">
        <v>95</v>
      </c>
      <c r="K12" s="260" t="n">
        <v>11</v>
      </c>
      <c r="L12" s="260" t="n">
        <v>106</v>
      </c>
      <c r="M12" s="260" t="n">
        <v>35</v>
      </c>
      <c r="N12" s="260" t="n">
        <v>78</v>
      </c>
      <c r="O12" s="260" t="n">
        <v>1</v>
      </c>
      <c r="P12" s="260" t="n">
        <v>73</v>
      </c>
      <c r="Q12" s="260" t="n">
        <v>103</v>
      </c>
      <c r="R12" s="260" t="n">
        <v>71</v>
      </c>
      <c r="S12" s="260" t="n">
        <v>121</v>
      </c>
      <c r="T12" s="260" t="n">
        <v>88</v>
      </c>
      <c r="U12" s="260" t="n">
        <v>43</v>
      </c>
      <c r="V12" s="260" t="n">
        <v>102</v>
      </c>
      <c r="W12" s="260" t="n">
        <v>75</v>
      </c>
      <c r="X12" s="260" t="n">
        <v>2</v>
      </c>
      <c r="Y12" s="260" t="n">
        <v>113</v>
      </c>
      <c r="Z12" s="260" t="n">
        <v>34</v>
      </c>
      <c r="AA12" s="260" t="n">
        <v>57</v>
      </c>
      <c r="AB12" s="260" t="n">
        <v>23</v>
      </c>
      <c r="AC12" s="260" t="n">
        <v>67</v>
      </c>
      <c r="AD12" s="260" t="n">
        <v>53</v>
      </c>
      <c r="AE12" s="260" t="n">
        <v>112</v>
      </c>
      <c r="AF12" s="260" t="n">
        <v>76</v>
      </c>
      <c r="AG12" s="260" t="n">
        <v>86</v>
      </c>
      <c r="AH12" s="260" t="n">
        <v>64</v>
      </c>
      <c r="AI12" s="260" t="n">
        <v>110</v>
      </c>
      <c r="AJ12" s="260" t="n">
        <v>117</v>
      </c>
      <c r="AK12" s="259" t="s">
        <v>7994</v>
      </c>
      <c r="AL12" s="258" t="n">
        <v>7</v>
      </c>
      <c r="AM12" s="259" t="s">
        <v>7994</v>
      </c>
      <c r="AN12" s="260" t="n">
        <v>69</v>
      </c>
      <c r="AO12" s="260" t="n">
        <v>90</v>
      </c>
      <c r="AP12" s="260" t="n">
        <v>104</v>
      </c>
      <c r="AQ12" s="260" t="n">
        <v>9</v>
      </c>
      <c r="AR12" s="260" t="n">
        <v>47</v>
      </c>
      <c r="AS12" s="260" t="n">
        <v>18</v>
      </c>
      <c r="AT12" s="260" t="n">
        <v>82</v>
      </c>
      <c r="AU12" s="260" t="n">
        <v>28</v>
      </c>
      <c r="AV12" s="260" t="n">
        <v>115</v>
      </c>
      <c r="AW12" s="260" t="n">
        <v>2</v>
      </c>
      <c r="AX12" s="260" t="n">
        <v>63</v>
      </c>
      <c r="AY12" s="260" t="n">
        <v>41</v>
      </c>
      <c r="AZ12" s="260" t="n">
        <v>123</v>
      </c>
      <c r="BA12" s="260" t="n">
        <v>34</v>
      </c>
      <c r="BB12" s="260" t="n">
        <v>88</v>
      </c>
      <c r="BC12" s="260" t="n">
        <v>106</v>
      </c>
      <c r="BD12" s="264" t="n">
        <v>68</v>
      </c>
      <c r="BE12" s="260" t="n">
        <v>98</v>
      </c>
      <c r="BF12" s="260" t="n">
        <v>61</v>
      </c>
      <c r="BG12" s="260" t="n">
        <v>30</v>
      </c>
      <c r="BH12" s="260" t="n">
        <v>70</v>
      </c>
      <c r="BI12" s="260" t="n">
        <v>37</v>
      </c>
      <c r="BJ12" s="260" t="n">
        <v>3</v>
      </c>
      <c r="BK12" s="260" t="n">
        <v>111</v>
      </c>
      <c r="BL12" s="260" t="n">
        <v>29</v>
      </c>
      <c r="BM12" s="260" t="n">
        <v>73</v>
      </c>
      <c r="BN12" s="260" t="n">
        <v>79</v>
      </c>
      <c r="BO12" s="260" t="n">
        <v>22</v>
      </c>
      <c r="BP12" s="260" t="n">
        <v>101</v>
      </c>
      <c r="BQ12" s="260" t="n">
        <v>17</v>
      </c>
      <c r="BR12" s="260" t="n">
        <v>53</v>
      </c>
      <c r="BS12" s="260" t="n">
        <v>100</v>
      </c>
      <c r="BT12" s="259" t="s">
        <v>7994</v>
      </c>
    </row>
    <row r="13" customFormat="false" ht="12" hidden="false" customHeight="false" outlineLevel="0" collapsed="false">
      <c r="B13" s="259" t="s">
        <v>7994</v>
      </c>
      <c r="C13" s="258" t="n">
        <v>8</v>
      </c>
      <c r="D13" s="259" t="s">
        <v>7994</v>
      </c>
      <c r="E13" s="260" t="n">
        <v>51</v>
      </c>
      <c r="F13" s="260" t="n">
        <v>3</v>
      </c>
      <c r="G13" s="260" t="n">
        <v>19</v>
      </c>
      <c r="H13" s="260" t="n">
        <v>44</v>
      </c>
      <c r="I13" s="260" t="n">
        <v>125</v>
      </c>
      <c r="J13" s="260" t="n">
        <v>48</v>
      </c>
      <c r="K13" s="260" t="n">
        <v>74</v>
      </c>
      <c r="L13" s="260" t="n">
        <v>60</v>
      </c>
      <c r="M13" s="260" t="n">
        <v>36</v>
      </c>
      <c r="N13" s="260" t="n">
        <v>25</v>
      </c>
      <c r="O13" s="260" t="n">
        <v>70</v>
      </c>
      <c r="P13" s="260" t="n">
        <v>115</v>
      </c>
      <c r="Q13" s="260" t="n">
        <v>10</v>
      </c>
      <c r="R13" s="260" t="n">
        <v>52</v>
      </c>
      <c r="S13" s="260" t="n">
        <v>65</v>
      </c>
      <c r="T13" s="260" t="n">
        <v>13</v>
      </c>
      <c r="U13" s="260" t="n">
        <v>16</v>
      </c>
      <c r="V13" s="260" t="n">
        <v>62</v>
      </c>
      <c r="W13" s="260" t="n">
        <v>123</v>
      </c>
      <c r="X13" s="260" t="n">
        <v>32</v>
      </c>
      <c r="Y13" s="260" t="n">
        <v>72</v>
      </c>
      <c r="Z13" s="260" t="n">
        <v>56</v>
      </c>
      <c r="AA13" s="260" t="n">
        <v>77</v>
      </c>
      <c r="AB13" s="260" t="n">
        <v>91</v>
      </c>
      <c r="AC13" s="260" t="n">
        <v>49</v>
      </c>
      <c r="AD13" s="260" t="n">
        <v>40</v>
      </c>
      <c r="AE13" s="260" t="n">
        <v>126</v>
      </c>
      <c r="AF13" s="260" t="n">
        <v>8</v>
      </c>
      <c r="AG13" s="260" t="n">
        <v>17</v>
      </c>
      <c r="AH13" s="260" t="n">
        <v>118</v>
      </c>
      <c r="AI13" s="260" t="n">
        <v>50</v>
      </c>
      <c r="AJ13" s="260" t="n">
        <v>98</v>
      </c>
      <c r="AK13" s="259" t="s">
        <v>7994</v>
      </c>
      <c r="AL13" s="258" t="n">
        <v>8</v>
      </c>
      <c r="AM13" s="259" t="s">
        <v>7994</v>
      </c>
      <c r="AN13" s="260" t="n">
        <v>64</v>
      </c>
      <c r="AO13" s="260" t="n">
        <v>60</v>
      </c>
      <c r="AP13" s="260" t="n">
        <v>103</v>
      </c>
      <c r="AQ13" s="260" t="n">
        <v>13</v>
      </c>
      <c r="AR13" s="260" t="n">
        <v>119</v>
      </c>
      <c r="AS13" s="260" t="n">
        <v>112</v>
      </c>
      <c r="AT13" s="260" t="n">
        <v>38</v>
      </c>
      <c r="AU13" s="260" t="n">
        <v>109</v>
      </c>
      <c r="AV13" s="260" t="n">
        <v>5</v>
      </c>
      <c r="AW13" s="260" t="n">
        <v>6</v>
      </c>
      <c r="AX13" s="260" t="n">
        <v>36</v>
      </c>
      <c r="AY13" s="260" t="n">
        <v>99</v>
      </c>
      <c r="AZ13" s="260" t="n">
        <v>10</v>
      </c>
      <c r="BA13" s="260" t="n">
        <v>71</v>
      </c>
      <c r="BB13" s="260" t="n">
        <v>40</v>
      </c>
      <c r="BC13" s="261" t="n">
        <v>113</v>
      </c>
      <c r="BD13" s="262" t="n">
        <v>128</v>
      </c>
      <c r="BE13" s="263" t="n">
        <v>52</v>
      </c>
      <c r="BF13" s="260" t="n">
        <v>11</v>
      </c>
      <c r="BG13" s="260" t="n">
        <v>59</v>
      </c>
      <c r="BH13" s="260" t="n">
        <v>49</v>
      </c>
      <c r="BI13" s="260" t="n">
        <v>58</v>
      </c>
      <c r="BJ13" s="260" t="n">
        <v>44</v>
      </c>
      <c r="BK13" s="260" t="n">
        <v>102</v>
      </c>
      <c r="BL13" s="260" t="n">
        <v>86</v>
      </c>
      <c r="BM13" s="260" t="n">
        <v>87</v>
      </c>
      <c r="BN13" s="260" t="n">
        <v>120</v>
      </c>
      <c r="BO13" s="260" t="n">
        <v>39</v>
      </c>
      <c r="BP13" s="260" t="n">
        <v>78</v>
      </c>
      <c r="BQ13" s="260" t="n">
        <v>1</v>
      </c>
      <c r="BR13" s="260" t="n">
        <v>14</v>
      </c>
      <c r="BS13" s="260" t="n">
        <v>116</v>
      </c>
      <c r="BT13" s="259" t="s">
        <v>7994</v>
      </c>
    </row>
    <row r="14" customFormat="false" ht="12" hidden="false" customHeight="false" outlineLevel="0" collapsed="false">
      <c r="C14" s="258"/>
    </row>
    <row r="15" customFormat="false" ht="12" hidden="false" customHeight="false" outlineLevel="0" collapsed="false">
      <c r="C15" s="157" t="s">
        <v>7993</v>
      </c>
      <c r="D15" s="258" t="s">
        <v>674</v>
      </c>
      <c r="E15" s="157" t="n">
        <v>3</v>
      </c>
      <c r="AL15" s="258" t="s">
        <v>7993</v>
      </c>
      <c r="AM15" s="258" t="s">
        <v>674</v>
      </c>
      <c r="AN15" s="157" t="n">
        <v>7</v>
      </c>
    </row>
    <row r="16" customFormat="false" ht="12" hidden="false" customHeight="false" outlineLevel="0" collapsed="false">
      <c r="B16" s="259" t="s">
        <v>7994</v>
      </c>
      <c r="C16" s="258" t="n">
        <v>9</v>
      </c>
      <c r="D16" s="259" t="s">
        <v>7994</v>
      </c>
      <c r="E16" s="260" t="n">
        <v>114</v>
      </c>
      <c r="F16" s="260" t="n">
        <v>115</v>
      </c>
      <c r="G16" s="260" t="n">
        <v>36</v>
      </c>
      <c r="H16" s="260" t="n">
        <v>73</v>
      </c>
      <c r="I16" s="260" t="n">
        <v>7</v>
      </c>
      <c r="J16" s="260" t="n">
        <v>13</v>
      </c>
      <c r="K16" s="260" t="n">
        <v>122</v>
      </c>
      <c r="L16" s="260" t="n">
        <v>83</v>
      </c>
      <c r="M16" s="260" t="n">
        <v>60</v>
      </c>
      <c r="N16" s="260" t="n">
        <v>103</v>
      </c>
      <c r="O16" s="260" t="n">
        <v>75</v>
      </c>
      <c r="P16" s="260" t="n">
        <v>86</v>
      </c>
      <c r="Q16" s="260" t="n">
        <v>116</v>
      </c>
      <c r="R16" s="261" t="n">
        <v>102</v>
      </c>
      <c r="S16" s="262" t="n">
        <v>128</v>
      </c>
      <c r="T16" s="263" t="n">
        <v>105</v>
      </c>
      <c r="U16" s="260" t="n">
        <v>31</v>
      </c>
      <c r="V16" s="260" t="n">
        <v>18</v>
      </c>
      <c r="W16" s="260" t="n">
        <v>17</v>
      </c>
      <c r="X16" s="260" t="n">
        <v>25</v>
      </c>
      <c r="Y16" s="260" t="n">
        <v>55</v>
      </c>
      <c r="Z16" s="260" t="n">
        <v>110</v>
      </c>
      <c r="AA16" s="260" t="n">
        <v>107</v>
      </c>
      <c r="AB16" s="260" t="n">
        <v>76</v>
      </c>
      <c r="AC16" s="260" t="n">
        <v>81</v>
      </c>
      <c r="AD16" s="260" t="n">
        <v>100</v>
      </c>
      <c r="AE16" s="260" t="n">
        <v>88</v>
      </c>
      <c r="AF16" s="260" t="n">
        <v>40</v>
      </c>
      <c r="AG16" s="260" t="n">
        <v>119</v>
      </c>
      <c r="AH16" s="260" t="n">
        <v>125</v>
      </c>
      <c r="AI16" s="260" t="n">
        <v>44</v>
      </c>
      <c r="AJ16" s="260" t="n">
        <v>51</v>
      </c>
      <c r="AK16" s="259" t="s">
        <v>7994</v>
      </c>
      <c r="AL16" s="258" t="n">
        <v>9</v>
      </c>
      <c r="AM16" s="259" t="s">
        <v>7994</v>
      </c>
      <c r="AN16" s="260" t="n">
        <v>108</v>
      </c>
      <c r="AO16" s="260" t="n">
        <v>93</v>
      </c>
      <c r="AP16" s="260" t="n">
        <v>82</v>
      </c>
      <c r="AQ16" s="260" t="n">
        <v>91</v>
      </c>
      <c r="AR16" s="260" t="n">
        <v>31</v>
      </c>
      <c r="AS16" s="260" t="n">
        <v>35</v>
      </c>
      <c r="AT16" s="260" t="n">
        <v>1</v>
      </c>
      <c r="AU16" s="260" t="n">
        <v>33</v>
      </c>
      <c r="AV16" s="264" t="n">
        <v>114</v>
      </c>
      <c r="AW16" s="260" t="n">
        <v>40</v>
      </c>
      <c r="AX16" s="260" t="n">
        <v>50</v>
      </c>
      <c r="AY16" s="260" t="n">
        <v>104</v>
      </c>
      <c r="AZ16" s="260" t="n">
        <v>86</v>
      </c>
      <c r="BA16" s="260" t="n">
        <v>124</v>
      </c>
      <c r="BB16" s="260" t="n">
        <v>38</v>
      </c>
      <c r="BC16" s="260" t="n">
        <v>83</v>
      </c>
      <c r="BD16" s="260" t="n">
        <v>95</v>
      </c>
      <c r="BE16" s="260" t="n">
        <v>56</v>
      </c>
      <c r="BF16" s="260" t="n">
        <v>14</v>
      </c>
      <c r="BG16" s="260" t="n">
        <v>6</v>
      </c>
      <c r="BH16" s="260" t="n">
        <v>116</v>
      </c>
      <c r="BI16" s="260" t="n">
        <v>30</v>
      </c>
      <c r="BJ16" s="260" t="n">
        <v>77</v>
      </c>
      <c r="BK16" s="260" t="n">
        <v>4</v>
      </c>
      <c r="BL16" s="260" t="n">
        <v>43</v>
      </c>
      <c r="BM16" s="260" t="n">
        <v>17</v>
      </c>
      <c r="BN16" s="260" t="n">
        <v>16</v>
      </c>
      <c r="BO16" s="260" t="n">
        <v>97</v>
      </c>
      <c r="BP16" s="260" t="n">
        <v>119</v>
      </c>
      <c r="BQ16" s="260" t="n">
        <v>61</v>
      </c>
      <c r="BR16" s="260" t="n">
        <v>110</v>
      </c>
      <c r="BS16" s="260" t="n">
        <v>111</v>
      </c>
      <c r="BT16" s="259" t="s">
        <v>7994</v>
      </c>
    </row>
    <row r="17" customFormat="false" ht="12" hidden="false" customHeight="false" outlineLevel="0" collapsed="false">
      <c r="B17" s="259" t="s">
        <v>7994</v>
      </c>
      <c r="C17" s="258" t="n">
        <v>10</v>
      </c>
      <c r="D17" s="259" t="s">
        <v>7994</v>
      </c>
      <c r="E17" s="260" t="n">
        <v>67</v>
      </c>
      <c r="F17" s="260" t="n">
        <v>118</v>
      </c>
      <c r="G17" s="260" t="n">
        <v>65</v>
      </c>
      <c r="H17" s="260" t="n">
        <v>89</v>
      </c>
      <c r="I17" s="260" t="n">
        <v>37</v>
      </c>
      <c r="J17" s="260" t="n">
        <v>21</v>
      </c>
      <c r="K17" s="260" t="n">
        <v>123</v>
      </c>
      <c r="L17" s="260" t="n">
        <v>54</v>
      </c>
      <c r="M17" s="260" t="n">
        <v>45</v>
      </c>
      <c r="N17" s="260" t="n">
        <v>61</v>
      </c>
      <c r="O17" s="260" t="n">
        <v>3</v>
      </c>
      <c r="P17" s="260" t="n">
        <v>9</v>
      </c>
      <c r="Q17" s="260" t="n">
        <v>41</v>
      </c>
      <c r="R17" s="260" t="n">
        <v>23</v>
      </c>
      <c r="S17" s="265" t="n">
        <v>74</v>
      </c>
      <c r="T17" s="260" t="n">
        <v>108</v>
      </c>
      <c r="U17" s="260" t="n">
        <v>14</v>
      </c>
      <c r="V17" s="260" t="n">
        <v>24</v>
      </c>
      <c r="W17" s="264" t="n">
        <v>101</v>
      </c>
      <c r="X17" s="260" t="n">
        <v>42</v>
      </c>
      <c r="Y17" s="260" t="n">
        <v>80</v>
      </c>
      <c r="Z17" s="260" t="n">
        <v>29</v>
      </c>
      <c r="AA17" s="260" t="n">
        <v>66</v>
      </c>
      <c r="AB17" s="260" t="n">
        <v>124</v>
      </c>
      <c r="AC17" s="260" t="n">
        <v>32</v>
      </c>
      <c r="AD17" s="260" t="n">
        <v>117</v>
      </c>
      <c r="AE17" s="260" t="n">
        <v>96</v>
      </c>
      <c r="AF17" s="260" t="n">
        <v>19</v>
      </c>
      <c r="AG17" s="260" t="n">
        <v>70</v>
      </c>
      <c r="AH17" s="260" t="n">
        <v>57</v>
      </c>
      <c r="AI17" s="260" t="n">
        <v>5</v>
      </c>
      <c r="AJ17" s="260" t="n">
        <v>58</v>
      </c>
      <c r="AK17" s="259" t="s">
        <v>7994</v>
      </c>
      <c r="AL17" s="258" t="n">
        <v>10</v>
      </c>
      <c r="AM17" s="259" t="s">
        <v>7994</v>
      </c>
      <c r="AN17" s="260" t="n">
        <v>123</v>
      </c>
      <c r="AO17" s="260" t="n">
        <v>84</v>
      </c>
      <c r="AP17" s="260" t="n">
        <v>79</v>
      </c>
      <c r="AQ17" s="260" t="n">
        <v>92</v>
      </c>
      <c r="AR17" s="260" t="n">
        <v>29</v>
      </c>
      <c r="AS17" s="260" t="n">
        <v>46</v>
      </c>
      <c r="AT17" s="260" t="n">
        <v>121</v>
      </c>
      <c r="AU17" s="261" t="n">
        <v>23</v>
      </c>
      <c r="AV17" s="262" t="n">
        <v>128</v>
      </c>
      <c r="AW17" s="263" t="n">
        <v>109</v>
      </c>
      <c r="AX17" s="260" t="n">
        <v>101</v>
      </c>
      <c r="AY17" s="260" t="n">
        <v>19</v>
      </c>
      <c r="AZ17" s="260" t="n">
        <v>60</v>
      </c>
      <c r="BA17" s="260" t="n">
        <v>37</v>
      </c>
      <c r="BB17" s="260" t="n">
        <v>51</v>
      </c>
      <c r="BC17" s="260" t="n">
        <v>64</v>
      </c>
      <c r="BD17" s="260" t="n">
        <v>55</v>
      </c>
      <c r="BE17" s="260" t="n">
        <v>15</v>
      </c>
      <c r="BF17" s="260" t="n">
        <v>26</v>
      </c>
      <c r="BG17" s="260" t="n">
        <v>62</v>
      </c>
      <c r="BH17" s="260" t="n">
        <v>53</v>
      </c>
      <c r="BI17" s="260" t="n">
        <v>98</v>
      </c>
      <c r="BJ17" s="260" t="n">
        <v>24</v>
      </c>
      <c r="BK17" s="260" t="n">
        <v>66</v>
      </c>
      <c r="BL17" s="260" t="n">
        <v>32</v>
      </c>
      <c r="BM17" s="260" t="n">
        <v>113</v>
      </c>
      <c r="BN17" s="260" t="n">
        <v>122</v>
      </c>
      <c r="BO17" s="264" t="n">
        <v>88</v>
      </c>
      <c r="BP17" s="260" t="n">
        <v>21</v>
      </c>
      <c r="BQ17" s="260" t="n">
        <v>49</v>
      </c>
      <c r="BR17" s="260" t="n">
        <v>69</v>
      </c>
      <c r="BS17" s="260" t="n">
        <v>22</v>
      </c>
      <c r="BT17" s="259" t="s">
        <v>7994</v>
      </c>
    </row>
    <row r="18" customFormat="false" ht="13.8" hidden="false" customHeight="false" outlineLevel="0" collapsed="false">
      <c r="B18" s="259" t="s">
        <v>7994</v>
      </c>
      <c r="C18" s="267" t="n">
        <v>11</v>
      </c>
      <c r="D18" s="259" t="s">
        <v>7994</v>
      </c>
      <c r="E18" s="260" t="n">
        <v>28</v>
      </c>
      <c r="F18" s="260" t="n">
        <v>27</v>
      </c>
      <c r="G18" s="260" t="n">
        <v>85</v>
      </c>
      <c r="H18" s="260" t="n">
        <v>120</v>
      </c>
      <c r="I18" s="260" t="n">
        <v>64</v>
      </c>
      <c r="J18" s="260" t="n">
        <v>38</v>
      </c>
      <c r="K18" s="260" t="n">
        <v>56</v>
      </c>
      <c r="L18" s="260" t="n">
        <v>126</v>
      </c>
      <c r="M18" s="260" t="n">
        <v>98</v>
      </c>
      <c r="N18" s="260" t="n">
        <v>71</v>
      </c>
      <c r="O18" s="260" t="n">
        <v>69</v>
      </c>
      <c r="P18" s="260" t="n">
        <v>68</v>
      </c>
      <c r="Q18" s="260" t="n">
        <v>111</v>
      </c>
      <c r="R18" s="260" t="n">
        <v>95</v>
      </c>
      <c r="S18" s="260" t="n">
        <v>106</v>
      </c>
      <c r="T18" s="260" t="n">
        <v>15</v>
      </c>
      <c r="U18" s="260" t="n">
        <v>11</v>
      </c>
      <c r="V18" s="261" t="n">
        <v>39</v>
      </c>
      <c r="W18" s="262" t="n">
        <v>127</v>
      </c>
      <c r="X18" s="263" t="n">
        <v>94</v>
      </c>
      <c r="Y18" s="260" t="n">
        <v>8</v>
      </c>
      <c r="Z18" s="260" t="n">
        <v>92</v>
      </c>
      <c r="AA18" s="260" t="n">
        <v>12</v>
      </c>
      <c r="AB18" s="260" t="n">
        <v>52</v>
      </c>
      <c r="AC18" s="260" t="n">
        <v>22</v>
      </c>
      <c r="AD18" s="260" t="n">
        <v>77</v>
      </c>
      <c r="AE18" s="260" t="n">
        <v>121</v>
      </c>
      <c r="AF18" s="260" t="n">
        <v>59</v>
      </c>
      <c r="AG18" s="260" t="n">
        <v>43</v>
      </c>
      <c r="AH18" s="260" t="n">
        <v>109</v>
      </c>
      <c r="AI18" s="260" t="n">
        <v>78</v>
      </c>
      <c r="AJ18" s="260" t="n">
        <v>49</v>
      </c>
      <c r="AK18" s="259" t="s">
        <v>7994</v>
      </c>
      <c r="AL18" s="258" t="n">
        <v>11</v>
      </c>
      <c r="AM18" s="259" t="s">
        <v>7994</v>
      </c>
      <c r="AN18" s="260" t="n">
        <v>106</v>
      </c>
      <c r="AO18" s="260" t="n">
        <v>45</v>
      </c>
      <c r="AP18" s="260" t="n">
        <v>18</v>
      </c>
      <c r="AQ18" s="260" t="n">
        <v>57</v>
      </c>
      <c r="AR18" s="260" t="n">
        <v>96</v>
      </c>
      <c r="AS18" s="260" t="n">
        <v>34</v>
      </c>
      <c r="AT18" s="260" t="n">
        <v>73</v>
      </c>
      <c r="AU18" s="260" t="n">
        <v>89</v>
      </c>
      <c r="AV18" s="265" t="n">
        <v>118</v>
      </c>
      <c r="AW18" s="260" t="n">
        <v>10</v>
      </c>
      <c r="AX18" s="260" t="n">
        <v>58</v>
      </c>
      <c r="AY18" s="260" t="n">
        <v>52</v>
      </c>
      <c r="AZ18" s="260" t="n">
        <v>107</v>
      </c>
      <c r="BA18" s="260" t="n">
        <v>63</v>
      </c>
      <c r="BB18" s="260" t="n">
        <v>67</v>
      </c>
      <c r="BC18" s="260" t="n">
        <v>44</v>
      </c>
      <c r="BD18" s="260" t="n">
        <v>47</v>
      </c>
      <c r="BE18" s="260" t="n">
        <v>94</v>
      </c>
      <c r="BF18" s="260" t="n">
        <v>2</v>
      </c>
      <c r="BG18" s="260" t="n">
        <v>76</v>
      </c>
      <c r="BH18" s="260" t="n">
        <v>36</v>
      </c>
      <c r="BI18" s="260" t="n">
        <v>87</v>
      </c>
      <c r="BJ18" s="260" t="n">
        <v>54</v>
      </c>
      <c r="BK18" s="260" t="n">
        <v>8</v>
      </c>
      <c r="BL18" s="260" t="n">
        <v>71</v>
      </c>
      <c r="BM18" s="260" t="n">
        <v>105</v>
      </c>
      <c r="BN18" s="261" t="n">
        <v>90</v>
      </c>
      <c r="BO18" s="262" t="n">
        <v>127</v>
      </c>
      <c r="BP18" s="263" t="n">
        <v>85</v>
      </c>
      <c r="BQ18" s="260" t="n">
        <v>102</v>
      </c>
      <c r="BR18" s="260" t="n">
        <v>100</v>
      </c>
      <c r="BS18" s="260" t="n">
        <v>120</v>
      </c>
      <c r="BT18" s="259" t="s">
        <v>7994</v>
      </c>
    </row>
    <row r="19" customFormat="false" ht="12" hidden="false" customHeight="false" outlineLevel="0" collapsed="false">
      <c r="B19" s="259" t="s">
        <v>7994</v>
      </c>
      <c r="C19" s="258" t="n">
        <v>12</v>
      </c>
      <c r="D19" s="259" t="s">
        <v>7994</v>
      </c>
      <c r="E19" s="260" t="n">
        <v>46</v>
      </c>
      <c r="F19" s="260" t="n">
        <v>72</v>
      </c>
      <c r="G19" s="260" t="n">
        <v>30</v>
      </c>
      <c r="H19" s="260" t="n">
        <v>91</v>
      </c>
      <c r="I19" s="260" t="n">
        <v>26</v>
      </c>
      <c r="J19" s="260" t="n">
        <v>1</v>
      </c>
      <c r="K19" s="260" t="n">
        <v>79</v>
      </c>
      <c r="L19" s="260" t="n">
        <v>93</v>
      </c>
      <c r="M19" s="260" t="n">
        <v>10</v>
      </c>
      <c r="N19" s="260" t="n">
        <v>82</v>
      </c>
      <c r="O19" s="260" t="n">
        <v>63</v>
      </c>
      <c r="P19" s="260" t="n">
        <v>62</v>
      </c>
      <c r="Q19" s="260" t="n">
        <v>6</v>
      </c>
      <c r="R19" s="260" t="n">
        <v>90</v>
      </c>
      <c r="S19" s="260" t="n">
        <v>112</v>
      </c>
      <c r="T19" s="260" t="n">
        <v>99</v>
      </c>
      <c r="U19" s="260" t="n">
        <v>97</v>
      </c>
      <c r="V19" s="260" t="n">
        <v>20</v>
      </c>
      <c r="W19" s="265" t="n">
        <v>33</v>
      </c>
      <c r="X19" s="260" t="n">
        <v>113</v>
      </c>
      <c r="Y19" s="260" t="n">
        <v>87</v>
      </c>
      <c r="Z19" s="260" t="n">
        <v>84</v>
      </c>
      <c r="AA19" s="260" t="n">
        <v>35</v>
      </c>
      <c r="AB19" s="260" t="n">
        <v>53</v>
      </c>
      <c r="AC19" s="260" t="n">
        <v>4</v>
      </c>
      <c r="AD19" s="260" t="n">
        <v>16</v>
      </c>
      <c r="AE19" s="260" t="n">
        <v>47</v>
      </c>
      <c r="AF19" s="260" t="n">
        <v>50</v>
      </c>
      <c r="AG19" s="260" t="n">
        <v>48</v>
      </c>
      <c r="AH19" s="260" t="n">
        <v>2</v>
      </c>
      <c r="AI19" s="260" t="n">
        <v>104</v>
      </c>
      <c r="AJ19" s="260" t="n">
        <v>34</v>
      </c>
      <c r="AK19" s="259" t="s">
        <v>7994</v>
      </c>
      <c r="AL19" s="258" t="n">
        <v>12</v>
      </c>
      <c r="AM19" s="259" t="s">
        <v>7994</v>
      </c>
      <c r="AN19" s="260" t="n">
        <v>20</v>
      </c>
      <c r="AO19" s="260" t="n">
        <v>41</v>
      </c>
      <c r="AP19" s="260" t="n">
        <v>48</v>
      </c>
      <c r="AQ19" s="260" t="n">
        <v>65</v>
      </c>
      <c r="AR19" s="260" t="n">
        <v>103</v>
      </c>
      <c r="AS19" s="260" t="n">
        <v>25</v>
      </c>
      <c r="AT19" s="260" t="n">
        <v>78</v>
      </c>
      <c r="AU19" s="260" t="n">
        <v>39</v>
      </c>
      <c r="AV19" s="260" t="n">
        <v>13</v>
      </c>
      <c r="AW19" s="260" t="n">
        <v>80</v>
      </c>
      <c r="AX19" s="260" t="n">
        <v>42</v>
      </c>
      <c r="AY19" s="260" t="n">
        <v>70</v>
      </c>
      <c r="AZ19" s="260" t="n">
        <v>126</v>
      </c>
      <c r="BA19" s="260" t="n">
        <v>12</v>
      </c>
      <c r="BB19" s="260" t="n">
        <v>117</v>
      </c>
      <c r="BC19" s="260" t="n">
        <v>59</v>
      </c>
      <c r="BD19" s="260" t="n">
        <v>28</v>
      </c>
      <c r="BE19" s="260" t="n">
        <v>74</v>
      </c>
      <c r="BF19" s="260" t="n">
        <v>99</v>
      </c>
      <c r="BG19" s="260" t="n">
        <v>5</v>
      </c>
      <c r="BH19" s="260" t="n">
        <v>72</v>
      </c>
      <c r="BI19" s="260" t="n">
        <v>68</v>
      </c>
      <c r="BJ19" s="260" t="n">
        <v>11</v>
      </c>
      <c r="BK19" s="260" t="n">
        <v>9</v>
      </c>
      <c r="BL19" s="260" t="n">
        <v>75</v>
      </c>
      <c r="BM19" s="260" t="n">
        <v>3</v>
      </c>
      <c r="BN19" s="260" t="n">
        <v>81</v>
      </c>
      <c r="BO19" s="265" t="n">
        <v>27</v>
      </c>
      <c r="BP19" s="260" t="n">
        <v>112</v>
      </c>
      <c r="BQ19" s="260" t="n">
        <v>115</v>
      </c>
      <c r="BR19" s="260" t="n">
        <v>7</v>
      </c>
      <c r="BS19" s="260" t="n">
        <v>125</v>
      </c>
      <c r="BT19" s="259" t="s">
        <v>7994</v>
      </c>
    </row>
    <row r="20" customFormat="false" ht="12" hidden="false" customHeight="false" outlineLevel="0" collapsed="false">
      <c r="C20" s="258"/>
      <c r="D20" s="258"/>
      <c r="AM20" s="258"/>
    </row>
    <row r="21" customFormat="false" ht="12" hidden="false" customHeight="false" outlineLevel="0" collapsed="false">
      <c r="C21" s="157" t="s">
        <v>7993</v>
      </c>
      <c r="D21" s="258" t="s">
        <v>674</v>
      </c>
      <c r="E21" s="157" t="n">
        <v>4</v>
      </c>
      <c r="AL21" s="258" t="s">
        <v>7993</v>
      </c>
      <c r="AM21" s="258" t="s">
        <v>674</v>
      </c>
      <c r="AN21" s="157" t="n">
        <v>8</v>
      </c>
    </row>
    <row r="22" customFormat="false" ht="12" hidden="false" customHeight="false" outlineLevel="0" collapsed="false">
      <c r="B22" s="259" t="s">
        <v>7994</v>
      </c>
      <c r="C22" s="258" t="n">
        <v>13</v>
      </c>
      <c r="D22" s="259" t="s">
        <v>7994</v>
      </c>
      <c r="E22" s="260" t="n">
        <v>98</v>
      </c>
      <c r="F22" s="260" t="n">
        <v>34</v>
      </c>
      <c r="G22" s="260" t="n">
        <v>110</v>
      </c>
      <c r="H22" s="260" t="n">
        <v>124</v>
      </c>
      <c r="I22" s="260" t="n">
        <v>24</v>
      </c>
      <c r="J22" s="260" t="n">
        <v>115</v>
      </c>
      <c r="K22" s="260" t="n">
        <v>120</v>
      </c>
      <c r="L22" s="264" t="n">
        <v>16</v>
      </c>
      <c r="M22" s="260" t="n">
        <v>72</v>
      </c>
      <c r="N22" s="260" t="n">
        <v>43</v>
      </c>
      <c r="O22" s="260" t="n">
        <v>113</v>
      </c>
      <c r="P22" s="260" t="n">
        <v>94</v>
      </c>
      <c r="Q22" s="260" t="n">
        <v>46</v>
      </c>
      <c r="R22" s="260" t="n">
        <v>36</v>
      </c>
      <c r="S22" s="260" t="n">
        <v>96</v>
      </c>
      <c r="T22" s="260" t="n">
        <v>126</v>
      </c>
      <c r="U22" s="260" t="n">
        <v>64</v>
      </c>
      <c r="V22" s="260" t="n">
        <v>69</v>
      </c>
      <c r="W22" s="260" t="n">
        <v>111</v>
      </c>
      <c r="X22" s="260" t="n">
        <v>121</v>
      </c>
      <c r="Y22" s="260" t="n">
        <v>41</v>
      </c>
      <c r="Z22" s="260" t="n">
        <v>70</v>
      </c>
      <c r="AA22" s="260" t="n">
        <v>5</v>
      </c>
      <c r="AB22" s="260" t="n">
        <v>108</v>
      </c>
      <c r="AC22" s="260" t="n">
        <v>106</v>
      </c>
      <c r="AD22" s="260" t="n">
        <v>89</v>
      </c>
      <c r="AE22" s="260" t="n">
        <v>14</v>
      </c>
      <c r="AF22" s="260" t="n">
        <v>90</v>
      </c>
      <c r="AG22" s="260" t="n">
        <v>81</v>
      </c>
      <c r="AH22" s="260" t="n">
        <v>125</v>
      </c>
      <c r="AI22" s="260" t="n">
        <v>55</v>
      </c>
      <c r="AJ22" s="260" t="n">
        <v>4</v>
      </c>
      <c r="AK22" s="259" t="s">
        <v>7994</v>
      </c>
      <c r="AL22" s="258" t="n">
        <v>13</v>
      </c>
      <c r="AM22" s="259" t="s">
        <v>7994</v>
      </c>
      <c r="AN22" s="260" t="n">
        <v>70</v>
      </c>
      <c r="AO22" s="260" t="n">
        <v>12</v>
      </c>
      <c r="AP22" s="260" t="n">
        <v>115</v>
      </c>
      <c r="AQ22" s="260" t="n">
        <v>35</v>
      </c>
      <c r="AR22" s="260" t="n">
        <v>40</v>
      </c>
      <c r="AS22" s="260" t="n">
        <v>63</v>
      </c>
      <c r="AT22" s="260" t="n">
        <v>65</v>
      </c>
      <c r="AU22" s="260" t="n">
        <v>92</v>
      </c>
      <c r="AV22" s="260" t="n">
        <v>116</v>
      </c>
      <c r="AW22" s="260" t="n">
        <v>111</v>
      </c>
      <c r="AX22" s="261" t="n">
        <v>24</v>
      </c>
      <c r="AY22" s="262" t="n">
        <v>127</v>
      </c>
      <c r="AZ22" s="263" t="n">
        <v>87</v>
      </c>
      <c r="BA22" s="260" t="n">
        <v>29</v>
      </c>
      <c r="BB22" s="260" t="n">
        <v>82</v>
      </c>
      <c r="BC22" s="260" t="n">
        <v>45</v>
      </c>
      <c r="BD22" s="260" t="n">
        <v>73</v>
      </c>
      <c r="BE22" s="260" t="n">
        <v>109</v>
      </c>
      <c r="BF22" s="260" t="n">
        <v>83</v>
      </c>
      <c r="BG22" s="260" t="n">
        <v>58</v>
      </c>
      <c r="BH22" s="260" t="n">
        <v>22</v>
      </c>
      <c r="BI22" s="260" t="n">
        <v>114</v>
      </c>
      <c r="BJ22" s="260" t="n">
        <v>81</v>
      </c>
      <c r="BK22" s="260" t="n">
        <v>80</v>
      </c>
      <c r="BL22" s="260" t="n">
        <v>91</v>
      </c>
      <c r="BM22" s="260" t="n">
        <v>106</v>
      </c>
      <c r="BN22" s="260" t="n">
        <v>48</v>
      </c>
      <c r="BO22" s="260" t="n">
        <v>25</v>
      </c>
      <c r="BP22" s="260" t="n">
        <v>105</v>
      </c>
      <c r="BQ22" s="260" t="n">
        <v>76</v>
      </c>
      <c r="BR22" s="260" t="n">
        <v>54</v>
      </c>
      <c r="BS22" s="260" t="n">
        <v>66</v>
      </c>
      <c r="BT22" s="259" t="s">
        <v>7994</v>
      </c>
    </row>
    <row r="23" customFormat="false" ht="13.8" hidden="false" customHeight="false" outlineLevel="0" collapsed="false">
      <c r="B23" s="259" t="s">
        <v>7994</v>
      </c>
      <c r="C23" s="267" t="n">
        <v>14</v>
      </c>
      <c r="D23" s="259" t="s">
        <v>7994</v>
      </c>
      <c r="E23" s="260" t="n">
        <v>49</v>
      </c>
      <c r="F23" s="260" t="n">
        <v>10</v>
      </c>
      <c r="G23" s="260" t="n">
        <v>103</v>
      </c>
      <c r="H23" s="260" t="n">
        <v>116</v>
      </c>
      <c r="I23" s="260" t="n">
        <v>85</v>
      </c>
      <c r="J23" s="260" t="n">
        <v>22</v>
      </c>
      <c r="K23" s="261" t="n">
        <v>117</v>
      </c>
      <c r="L23" s="262" t="n">
        <v>128</v>
      </c>
      <c r="M23" s="263" t="n">
        <v>105</v>
      </c>
      <c r="N23" s="260" t="n">
        <v>20</v>
      </c>
      <c r="O23" s="260" t="n">
        <v>104</v>
      </c>
      <c r="P23" s="260" t="n">
        <v>93</v>
      </c>
      <c r="Q23" s="260" t="n">
        <v>56</v>
      </c>
      <c r="R23" s="260" t="n">
        <v>100</v>
      </c>
      <c r="S23" s="260" t="n">
        <v>91</v>
      </c>
      <c r="T23" s="260" t="n">
        <v>62</v>
      </c>
      <c r="U23" s="260" t="n">
        <v>1</v>
      </c>
      <c r="V23" s="260" t="n">
        <v>6</v>
      </c>
      <c r="W23" s="260" t="n">
        <v>35</v>
      </c>
      <c r="X23" s="260" t="n">
        <v>71</v>
      </c>
      <c r="Y23" s="260" t="n">
        <v>42</v>
      </c>
      <c r="Z23" s="260" t="n">
        <v>25</v>
      </c>
      <c r="AA23" s="260" t="n">
        <v>31</v>
      </c>
      <c r="AB23" s="260" t="n">
        <v>118</v>
      </c>
      <c r="AC23" s="260" t="n">
        <v>114</v>
      </c>
      <c r="AD23" s="260" t="n">
        <v>21</v>
      </c>
      <c r="AE23" s="260" t="n">
        <v>26</v>
      </c>
      <c r="AF23" s="260" t="n">
        <v>11</v>
      </c>
      <c r="AG23" s="260" t="n">
        <v>77</v>
      </c>
      <c r="AH23" s="260" t="n">
        <v>76</v>
      </c>
      <c r="AI23" s="260" t="n">
        <v>40</v>
      </c>
      <c r="AJ23" s="260" t="n">
        <v>84</v>
      </c>
      <c r="AK23" s="259" t="s">
        <v>7994</v>
      </c>
      <c r="AL23" s="258" t="n">
        <v>14</v>
      </c>
      <c r="AM23" s="259" t="s">
        <v>7994</v>
      </c>
      <c r="AN23" s="260" t="n">
        <v>53</v>
      </c>
      <c r="AO23" s="260" t="n">
        <v>88</v>
      </c>
      <c r="AP23" s="260" t="n">
        <v>10</v>
      </c>
      <c r="AQ23" s="260" t="n">
        <v>39</v>
      </c>
      <c r="AR23" s="260" t="n">
        <v>101</v>
      </c>
      <c r="AS23" s="260" t="n">
        <v>5</v>
      </c>
      <c r="AT23" s="260" t="n">
        <v>64</v>
      </c>
      <c r="AU23" s="260" t="n">
        <v>117</v>
      </c>
      <c r="AV23" s="260" t="n">
        <v>37</v>
      </c>
      <c r="AW23" s="260" t="n">
        <v>61</v>
      </c>
      <c r="AX23" s="260" t="n">
        <v>112</v>
      </c>
      <c r="AY23" s="265" t="n">
        <v>78</v>
      </c>
      <c r="AZ23" s="260" t="n">
        <v>62</v>
      </c>
      <c r="BA23" s="260" t="n">
        <v>43</v>
      </c>
      <c r="BB23" s="260" t="n">
        <v>32</v>
      </c>
      <c r="BC23" s="260" t="n">
        <v>77</v>
      </c>
      <c r="BD23" s="260" t="n">
        <v>50</v>
      </c>
      <c r="BE23" s="260" t="n">
        <v>118</v>
      </c>
      <c r="BF23" s="264" t="n">
        <v>36</v>
      </c>
      <c r="BG23" s="260" t="n">
        <v>7</v>
      </c>
      <c r="BH23" s="260" t="n">
        <v>107</v>
      </c>
      <c r="BI23" s="260" t="n">
        <v>110</v>
      </c>
      <c r="BJ23" s="260" t="n">
        <v>113</v>
      </c>
      <c r="BK23" s="260" t="n">
        <v>41</v>
      </c>
      <c r="BL23" s="260" t="n">
        <v>33</v>
      </c>
      <c r="BM23" s="260" t="n">
        <v>126</v>
      </c>
      <c r="BN23" s="260" t="n">
        <v>125</v>
      </c>
      <c r="BO23" s="260" t="n">
        <v>9</v>
      </c>
      <c r="BP23" s="260" t="n">
        <v>95</v>
      </c>
      <c r="BQ23" s="260" t="n">
        <v>47</v>
      </c>
      <c r="BR23" s="260" t="n">
        <v>84</v>
      </c>
      <c r="BS23" s="260" t="n">
        <v>99</v>
      </c>
      <c r="BT23" s="259" t="s">
        <v>7994</v>
      </c>
    </row>
    <row r="24" customFormat="false" ht="12" hidden="false" customHeight="false" outlineLevel="0" collapsed="false">
      <c r="B24" s="259" t="s">
        <v>7994</v>
      </c>
      <c r="C24" s="258" t="n">
        <v>15</v>
      </c>
      <c r="D24" s="259" t="s">
        <v>7994</v>
      </c>
      <c r="E24" s="260" t="n">
        <v>23</v>
      </c>
      <c r="F24" s="260" t="n">
        <v>53</v>
      </c>
      <c r="G24" s="260" t="n">
        <v>99</v>
      </c>
      <c r="H24" s="260" t="n">
        <v>112</v>
      </c>
      <c r="I24" s="260" t="n">
        <v>58</v>
      </c>
      <c r="J24" s="260" t="n">
        <v>51</v>
      </c>
      <c r="K24" s="260" t="n">
        <v>32</v>
      </c>
      <c r="L24" s="265" t="n">
        <v>33</v>
      </c>
      <c r="M24" s="260" t="n">
        <v>52</v>
      </c>
      <c r="N24" s="260" t="n">
        <v>80</v>
      </c>
      <c r="O24" s="260" t="n">
        <v>122</v>
      </c>
      <c r="P24" s="260" t="n">
        <v>27</v>
      </c>
      <c r="Q24" s="260" t="n">
        <v>54</v>
      </c>
      <c r="R24" s="260" t="n">
        <v>87</v>
      </c>
      <c r="S24" s="260" t="n">
        <v>39</v>
      </c>
      <c r="T24" s="260" t="n">
        <v>66</v>
      </c>
      <c r="U24" s="260" t="n">
        <v>61</v>
      </c>
      <c r="V24" s="260" t="n">
        <v>38</v>
      </c>
      <c r="W24" s="260" t="n">
        <v>78</v>
      </c>
      <c r="X24" s="260" t="n">
        <v>95</v>
      </c>
      <c r="Y24" s="260" t="n">
        <v>63</v>
      </c>
      <c r="Z24" s="260" t="n">
        <v>97</v>
      </c>
      <c r="AA24" s="260" t="n">
        <v>17</v>
      </c>
      <c r="AB24" s="260" t="n">
        <v>102</v>
      </c>
      <c r="AC24" s="260" t="n">
        <v>92</v>
      </c>
      <c r="AD24" s="260" t="n">
        <v>123</v>
      </c>
      <c r="AE24" s="260" t="n">
        <v>30</v>
      </c>
      <c r="AF24" s="260" t="n">
        <v>12</v>
      </c>
      <c r="AG24" s="260" t="n">
        <v>79</v>
      </c>
      <c r="AH24" s="260" t="n">
        <v>45</v>
      </c>
      <c r="AI24" s="264" t="n">
        <v>82</v>
      </c>
      <c r="AJ24" s="260" t="n">
        <v>28</v>
      </c>
      <c r="AK24" s="259" t="s">
        <v>7994</v>
      </c>
      <c r="AL24" s="258" t="n">
        <v>15</v>
      </c>
      <c r="AM24" s="259" t="s">
        <v>7994</v>
      </c>
      <c r="AN24" s="260" t="n">
        <v>17</v>
      </c>
      <c r="AO24" s="260" t="n">
        <v>8</v>
      </c>
      <c r="AP24" s="260" t="n">
        <v>42</v>
      </c>
      <c r="AQ24" s="260" t="n">
        <v>120</v>
      </c>
      <c r="AR24" s="260" t="n">
        <v>26</v>
      </c>
      <c r="AS24" s="260" t="n">
        <v>20</v>
      </c>
      <c r="AT24" s="260" t="n">
        <v>123</v>
      </c>
      <c r="AU24" s="260" t="n">
        <v>14</v>
      </c>
      <c r="AV24" s="260" t="n">
        <v>98</v>
      </c>
      <c r="AW24" s="260" t="n">
        <v>34</v>
      </c>
      <c r="AX24" s="260" t="n">
        <v>28</v>
      </c>
      <c r="AY24" s="260" t="n">
        <v>56</v>
      </c>
      <c r="AZ24" s="260" t="n">
        <v>11</v>
      </c>
      <c r="BA24" s="260" t="n">
        <v>4</v>
      </c>
      <c r="BB24" s="260" t="n">
        <v>68</v>
      </c>
      <c r="BC24" s="260" t="n">
        <v>90</v>
      </c>
      <c r="BD24" s="260" t="n">
        <v>21</v>
      </c>
      <c r="BE24" s="261" t="n">
        <v>51</v>
      </c>
      <c r="BF24" s="262" t="n">
        <v>128</v>
      </c>
      <c r="BG24" s="263" t="n">
        <v>97</v>
      </c>
      <c r="BH24" s="260" t="n">
        <v>94</v>
      </c>
      <c r="BI24" s="260" t="n">
        <v>100</v>
      </c>
      <c r="BJ24" s="260" t="n">
        <v>13</v>
      </c>
      <c r="BK24" s="260" t="n">
        <v>104</v>
      </c>
      <c r="BL24" s="260" t="n">
        <v>15</v>
      </c>
      <c r="BM24" s="260" t="n">
        <v>31</v>
      </c>
      <c r="BN24" s="260" t="n">
        <v>23</v>
      </c>
      <c r="BO24" s="260" t="n">
        <v>57</v>
      </c>
      <c r="BP24" s="260" t="n">
        <v>96</v>
      </c>
      <c r="BQ24" s="260" t="n">
        <v>30</v>
      </c>
      <c r="BR24" s="260" t="n">
        <v>124</v>
      </c>
      <c r="BS24" s="260" t="n">
        <v>55</v>
      </c>
      <c r="BT24" s="259" t="s">
        <v>7994</v>
      </c>
    </row>
    <row r="25" customFormat="false" ht="12" hidden="false" customHeight="false" outlineLevel="0" collapsed="false">
      <c r="B25" s="259" t="s">
        <v>7994</v>
      </c>
      <c r="C25" s="258" t="n">
        <v>16</v>
      </c>
      <c r="D25" s="259" t="s">
        <v>7994</v>
      </c>
      <c r="E25" s="260" t="n">
        <v>74</v>
      </c>
      <c r="F25" s="260" t="n">
        <v>107</v>
      </c>
      <c r="G25" s="260" t="n">
        <v>59</v>
      </c>
      <c r="H25" s="260" t="n">
        <v>60</v>
      </c>
      <c r="I25" s="260" t="n">
        <v>44</v>
      </c>
      <c r="J25" s="260" t="n">
        <v>2</v>
      </c>
      <c r="K25" s="260" t="n">
        <v>109</v>
      </c>
      <c r="L25" s="260" t="n">
        <v>86</v>
      </c>
      <c r="M25" s="260" t="n">
        <v>65</v>
      </c>
      <c r="N25" s="260" t="n">
        <v>15</v>
      </c>
      <c r="O25" s="260" t="n">
        <v>57</v>
      </c>
      <c r="P25" s="260" t="n">
        <v>48</v>
      </c>
      <c r="Q25" s="260" t="n">
        <v>47</v>
      </c>
      <c r="R25" s="260" t="n">
        <v>68</v>
      </c>
      <c r="S25" s="260" t="n">
        <v>29</v>
      </c>
      <c r="T25" s="260" t="n">
        <v>75</v>
      </c>
      <c r="U25" s="260" t="n">
        <v>50</v>
      </c>
      <c r="V25" s="260" t="n">
        <v>9</v>
      </c>
      <c r="W25" s="260" t="n">
        <v>88</v>
      </c>
      <c r="X25" s="260" t="n">
        <v>8</v>
      </c>
      <c r="Y25" s="260" t="n">
        <v>19</v>
      </c>
      <c r="Z25" s="260" t="n">
        <v>3</v>
      </c>
      <c r="AA25" s="260" t="n">
        <v>119</v>
      </c>
      <c r="AB25" s="260" t="n">
        <v>67</v>
      </c>
      <c r="AC25" s="260" t="n">
        <v>7</v>
      </c>
      <c r="AD25" s="260" t="n">
        <v>101</v>
      </c>
      <c r="AE25" s="260" t="n">
        <v>83</v>
      </c>
      <c r="AF25" s="260" t="n">
        <v>13</v>
      </c>
      <c r="AG25" s="260" t="n">
        <v>37</v>
      </c>
      <c r="AH25" s="261" t="n">
        <v>18</v>
      </c>
      <c r="AI25" s="262" t="n">
        <v>127</v>
      </c>
      <c r="AJ25" s="263" t="n">
        <v>73</v>
      </c>
      <c r="AK25" s="259" t="s">
        <v>7994</v>
      </c>
      <c r="AL25" s="258" t="n">
        <v>16</v>
      </c>
      <c r="AM25" s="259" t="s">
        <v>7994</v>
      </c>
      <c r="AN25" s="260" t="n">
        <v>67</v>
      </c>
      <c r="AO25" s="260" t="n">
        <v>46</v>
      </c>
      <c r="AP25" s="260" t="n">
        <v>1</v>
      </c>
      <c r="AQ25" s="260" t="n">
        <v>71</v>
      </c>
      <c r="AR25" s="260" t="n">
        <v>52</v>
      </c>
      <c r="AS25" s="260" t="n">
        <v>122</v>
      </c>
      <c r="AT25" s="260" t="n">
        <v>2</v>
      </c>
      <c r="AU25" s="260" t="n">
        <v>27</v>
      </c>
      <c r="AV25" s="260" t="n">
        <v>38</v>
      </c>
      <c r="AW25" s="260" t="n">
        <v>18</v>
      </c>
      <c r="AX25" s="260" t="n">
        <v>103</v>
      </c>
      <c r="AY25" s="260" t="n">
        <v>60</v>
      </c>
      <c r="AZ25" s="260" t="n">
        <v>79</v>
      </c>
      <c r="BA25" s="260" t="n">
        <v>19</v>
      </c>
      <c r="BB25" s="260" t="n">
        <v>6</v>
      </c>
      <c r="BC25" s="260" t="n">
        <v>3</v>
      </c>
      <c r="BD25" s="260" t="n">
        <v>44</v>
      </c>
      <c r="BE25" s="260" t="n">
        <v>85</v>
      </c>
      <c r="BF25" s="265" t="n">
        <v>119</v>
      </c>
      <c r="BG25" s="260" t="n">
        <v>102</v>
      </c>
      <c r="BH25" s="260" t="n">
        <v>108</v>
      </c>
      <c r="BI25" s="260" t="n">
        <v>93</v>
      </c>
      <c r="BJ25" s="260" t="n">
        <v>86</v>
      </c>
      <c r="BK25" s="260" t="n">
        <v>75</v>
      </c>
      <c r="BL25" s="260" t="n">
        <v>59</v>
      </c>
      <c r="BM25" s="260" t="n">
        <v>121</v>
      </c>
      <c r="BN25" s="260" t="n">
        <v>69</v>
      </c>
      <c r="BO25" s="260" t="n">
        <v>49</v>
      </c>
      <c r="BP25" s="260" t="n">
        <v>16</v>
      </c>
      <c r="BQ25" s="260" t="n">
        <v>74</v>
      </c>
      <c r="BR25" s="260" t="n">
        <v>89</v>
      </c>
      <c r="BS25" s="260" t="n">
        <v>72</v>
      </c>
      <c r="BT25" s="259" t="s">
        <v>7994</v>
      </c>
    </row>
    <row r="27" customFormat="false" ht="12" hidden="false" customHeight="false" outlineLevel="0" collapsed="false">
      <c r="C27" s="260" t="n">
        <v>1</v>
      </c>
      <c r="D27" s="269" t="s">
        <v>661</v>
      </c>
      <c r="H27" s="260" t="n">
        <v>2</v>
      </c>
      <c r="I27" s="157" t="s">
        <v>663</v>
      </c>
    </row>
    <row r="28" customFormat="false" ht="12" hidden="false" customHeight="false" outlineLevel="0" collapsed="false">
      <c r="C28" s="260" t="n">
        <v>123</v>
      </c>
      <c r="D28" s="269" t="s">
        <v>661</v>
      </c>
      <c r="H28" s="260" t="n">
        <v>124</v>
      </c>
      <c r="I28" s="157" t="s">
        <v>663</v>
      </c>
    </row>
    <row r="29" customFormat="false" ht="12" hidden="false" customHeight="false" outlineLevel="0" collapsed="false">
      <c r="C29" s="260" t="n">
        <v>125</v>
      </c>
      <c r="D29" s="269" t="s">
        <v>661</v>
      </c>
      <c r="H29" s="260" t="n">
        <v>126</v>
      </c>
      <c r="I29" s="157" t="s">
        <v>663</v>
      </c>
    </row>
    <row r="30" customFormat="false" ht="12" hidden="false" customHeight="false" outlineLevel="0" collapsed="false">
      <c r="C30" s="260" t="n">
        <v>127</v>
      </c>
      <c r="D30" s="269" t="s">
        <v>661</v>
      </c>
      <c r="H30" s="260" t="n">
        <v>128</v>
      </c>
      <c r="I30" s="157" t="s">
        <v>663</v>
      </c>
    </row>
    <row r="31" customFormat="false" ht="12" hidden="false" customHeight="false" outlineLevel="0" collapsed="false"/>
    <row r="32" customFormat="false" ht="12" hidden="false" customHeight="false" outlineLevel="0" collapsed="false">
      <c r="C32" s="260" t="n">
        <v>121</v>
      </c>
      <c r="D32" s="269" t="s">
        <v>7995</v>
      </c>
      <c r="H32" s="260" t="n">
        <v>122</v>
      </c>
      <c r="I32" s="157" t="s">
        <v>7996</v>
      </c>
    </row>
    <row r="34" customFormat="false" ht="12" hidden="false" customHeight="false" outlineLevel="0" collapsed="false">
      <c r="C34" s="270" t="s">
        <v>7997</v>
      </c>
      <c r="AJ34" s="258"/>
      <c r="BB34" s="258"/>
    </row>
    <row r="35" customFormat="false" ht="12" hidden="false" customHeight="false" outlineLevel="0" collapsed="false">
      <c r="F35" s="157" t="s">
        <v>7998</v>
      </c>
      <c r="AJ35" s="258"/>
      <c r="BB35" s="258"/>
    </row>
    <row r="36" customFormat="false" ht="12" hidden="false" customHeight="false" outlineLevel="0" collapsed="false">
      <c r="AJ36" s="258"/>
      <c r="BB36" s="258"/>
    </row>
    <row r="37" customFormat="false" ht="12" hidden="false" customHeight="false" outlineLevel="0" collapsed="false">
      <c r="D37" s="157" t="s">
        <v>7999</v>
      </c>
      <c r="G37" s="271"/>
      <c r="H37" s="272"/>
      <c r="I37" s="272" t="s">
        <v>172</v>
      </c>
      <c r="J37" s="272" t="s">
        <v>665</v>
      </c>
      <c r="K37" s="273" t="s">
        <v>668</v>
      </c>
      <c r="AJ37" s="258"/>
      <c r="BB37" s="258"/>
    </row>
    <row r="38" customFormat="false" ht="12" hidden="false" customHeight="false" outlineLevel="0" collapsed="false">
      <c r="G38" s="274" t="s">
        <v>661</v>
      </c>
      <c r="H38" s="275"/>
      <c r="I38" s="260" t="n">
        <v>2</v>
      </c>
      <c r="J38" s="260" t="n">
        <v>4</v>
      </c>
      <c r="K38" s="276" t="n">
        <v>4</v>
      </c>
      <c r="AJ38" s="258"/>
      <c r="BB38" s="258"/>
    </row>
    <row r="39" customFormat="false" ht="12" hidden="false" customHeight="false" outlineLevel="0" collapsed="false">
      <c r="G39" s="277" t="s">
        <v>8000</v>
      </c>
      <c r="H39" s="278"/>
      <c r="I39" s="260" t="n">
        <v>2</v>
      </c>
      <c r="J39" s="260" t="n">
        <v>4</v>
      </c>
      <c r="K39" s="276" t="n">
        <v>4</v>
      </c>
      <c r="AJ39" s="258"/>
      <c r="BB39" s="258"/>
    </row>
    <row r="40" customFormat="false" ht="12" hidden="false" customHeight="false" outlineLevel="0" collapsed="false">
      <c r="G40" s="279"/>
      <c r="H40" s="260"/>
      <c r="I40" s="260"/>
      <c r="J40" s="260"/>
      <c r="K40" s="276"/>
      <c r="AJ40" s="258"/>
      <c r="BB40" s="258"/>
    </row>
    <row r="41" customFormat="false" ht="12" hidden="false" customHeight="false" outlineLevel="0" collapsed="false">
      <c r="G41" s="280" t="s">
        <v>8001</v>
      </c>
      <c r="H41" s="281"/>
      <c r="I41" s="260" t="n">
        <v>2</v>
      </c>
      <c r="J41" s="260" t="n">
        <v>2</v>
      </c>
      <c r="K41" s="276" t="n">
        <v>2</v>
      </c>
      <c r="AJ41" s="258"/>
      <c r="BB41" s="258"/>
    </row>
    <row r="42" customFormat="false" ht="12" hidden="false" customHeight="false" outlineLevel="0" collapsed="false">
      <c r="G42" s="279" t="s">
        <v>8002</v>
      </c>
      <c r="H42" s="260"/>
      <c r="I42" s="260"/>
      <c r="J42" s="260"/>
      <c r="K42" s="276" t="n">
        <f aca="false">SUM(I38:K39,I41:K41)</f>
        <v>26</v>
      </c>
      <c r="AJ42" s="258"/>
      <c r="BB42" s="258"/>
    </row>
    <row r="43" customFormat="false" ht="12" hidden="false" customHeight="false" outlineLevel="0" collapsed="false">
      <c r="G43" s="282" t="s">
        <v>8003</v>
      </c>
      <c r="H43" s="283"/>
      <c r="I43" s="283"/>
      <c r="J43" s="283"/>
      <c r="K43" s="284" t="n">
        <f aca="false">3*K42</f>
        <v>78</v>
      </c>
      <c r="AJ43" s="258"/>
      <c r="BB43" s="258"/>
    </row>
  </sheetData>
  <conditionalFormatting sqref="AK26:AM29 U22:AJ29 E22:T25 B4:B7 B10:B13 C19 E4:AK7 E10:AK13 AN4:BS7 AN10:BS13 AN16:BS19 AN22:BS25 B16:B19 C16:C17 B22:B25 C22 C24:C25 C27:C30 H27:H30 C32 H32 E16:AL19 AK22:AL25">
    <cfRule type="cellIs" priority="2" operator="equal" aboveAverage="0" equalAverage="0" bottom="0" percent="0" rank="0" text="" dxfId="6">
      <formula>2</formula>
    </cfRule>
    <cfRule type="cellIs" priority="3" operator="equal" aboveAverage="0" equalAverage="0" bottom="0" percent="0" rank="0" text="" dxfId="7">
      <formula>1</formula>
    </cfRule>
  </conditionalFormatting>
  <conditionalFormatting sqref="BD22:BT25 AK22:AM29 BD16:BT19 AK16:AM19 AN14:BD14 A14 U20:AJ29 BT9 U2:AJ2 BD4:BT7 U10:BT13 AN15:BC25 A4:A7 AK9:BC9 C1:C6 U4:AN7 F1:T7 D2:E7 AL15:AM15 AK1:AL3 AO1:BC1 AO3:BC7 AN3 AM2:AM3 AN2:BS2 AK14:AL14 AL20:AM21 B1:B7 A9:B13 D9:T13 C9 D14:AJ19 C11:C17 B14:B25 D20:T25 C19:C22 C24:C25 C27:D30 H27:H30 C32:D32 H32">
    <cfRule type="cellIs" priority="4" operator="equal" aboveAverage="0" equalAverage="0" bottom="0" percent="0" rank="0" text="" dxfId="8">
      <formula>124</formula>
    </cfRule>
    <cfRule type="cellIs" priority="5" operator="equal" aboveAverage="0" equalAverage="0" bottom="0" percent="0" rank="0" text="" dxfId="9">
      <formula>126</formula>
    </cfRule>
    <cfRule type="cellIs" priority="6" operator="equal" aboveAverage="0" equalAverage="0" bottom="0" percent="0" rank="0" text="" dxfId="10">
      <formula>123</formula>
    </cfRule>
    <cfRule type="cellIs" priority="7" operator="equal" aboveAverage="0" equalAverage="0" bottom="0" percent="0" rank="0" text="" dxfId="11">
      <formula>125</formula>
    </cfRule>
  </conditionalFormatting>
  <conditionalFormatting sqref="BD22:BS25 AK22:AM29 BD16:BS19 AK16:AM19 BD14 AK14 C4:C6 E9:T25 U14:AJ29 AL9:AL15 U10:AK13 AM10:BS13 AN14:BC25 AK9 AM9:BC9 AM15 AL20:AM21 D9:D19 AM2:AM3 D3 AL1:AL7 B4:B7 D4:AK7 AM4:BS7 C9 C11:C17 B10:B25 D21:D25 C19:C22 C24:C25 C27:D30 H27:H30 C32:D32 H32">
    <cfRule type="cellIs" priority="8" operator="equal" aboveAverage="0" equalAverage="0" bottom="0" percent="0" rank="0" text="" dxfId="12">
      <formula>122</formula>
    </cfRule>
    <cfRule type="cellIs" priority="9" operator="equal" aboveAverage="0" equalAverage="0" bottom="0" percent="0" rank="0" text="" dxfId="13">
      <formula>121</formula>
    </cfRule>
    <cfRule type="cellIs" priority="10" operator="equal" aboveAverage="0" equalAverage="0" bottom="0" percent="0" rank="0" text="" dxfId="14">
      <formula>127</formula>
    </cfRule>
    <cfRule type="cellIs" priority="11" operator="equal" aboveAverage="0" equalAverage="0" bottom="0" percent="0" rank="0" text="" dxfId="15">
      <formula>128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22" activeCellId="1" sqref="A26:A49 D22"/>
    </sheetView>
  </sheetViews>
  <sheetFormatPr defaultColWidth="11.43359375" defaultRowHeight="12" customHeight="true" zeroHeight="false" outlineLevelRow="0" outlineLevelCol="0"/>
  <cols>
    <col collapsed="false" customWidth="true" hidden="false" outlineLevel="0" max="1" min="1" style="204" width="21.57"/>
    <col collapsed="false" customWidth="true" hidden="false" outlineLevel="0" max="2" min="2" style="204" width="14.86"/>
    <col collapsed="false" customWidth="true" hidden="false" outlineLevel="0" max="3" min="3" style="204" width="24.57"/>
    <col collapsed="false" customWidth="true" hidden="false" outlineLevel="0" max="4" min="4" style="204" width="13.71"/>
    <col collapsed="false" customWidth="true" hidden="false" outlineLevel="0" max="5" min="5" style="204" width="29.57"/>
    <col collapsed="false" customWidth="false" hidden="false" outlineLevel="0" max="16384" min="6" style="285" width="11.43"/>
  </cols>
  <sheetData>
    <row r="1" customFormat="false" ht="15" hidden="false" customHeight="false" outlineLevel="0" collapsed="false">
      <c r="A1" s="286" t="s">
        <v>8004</v>
      </c>
      <c r="B1" s="286" t="s">
        <v>213</v>
      </c>
      <c r="C1" s="286" t="s">
        <v>8005</v>
      </c>
      <c r="D1" s="286" t="s">
        <v>8006</v>
      </c>
      <c r="E1" s="286" t="s">
        <v>8007</v>
      </c>
    </row>
    <row r="2" customFormat="false" ht="15" hidden="false" customHeight="false" outlineLevel="0" collapsed="false">
      <c r="A2" s="287" t="s">
        <v>8008</v>
      </c>
      <c r="B2" s="288" t="n">
        <v>40732</v>
      </c>
      <c r="C2" s="289"/>
      <c r="D2" s="203"/>
      <c r="E2" s="289"/>
    </row>
    <row r="3" customFormat="false" ht="15" hidden="false" customHeight="false" outlineLevel="0" collapsed="false">
      <c r="A3" s="287" t="s">
        <v>8009</v>
      </c>
      <c r="B3" s="288" t="n">
        <v>40732</v>
      </c>
      <c r="C3" s="289"/>
      <c r="D3" s="203"/>
      <c r="E3" s="289"/>
    </row>
    <row r="4" customFormat="false" ht="15" hidden="false" customHeight="false" outlineLevel="0" collapsed="false">
      <c r="A4" s="287" t="s">
        <v>8008</v>
      </c>
      <c r="B4" s="288" t="n">
        <v>40766</v>
      </c>
      <c r="C4" s="289"/>
      <c r="D4" s="203"/>
      <c r="E4" s="289"/>
    </row>
    <row r="5" customFormat="false" ht="15" hidden="false" customHeight="false" outlineLevel="0" collapsed="false">
      <c r="A5" s="287" t="s">
        <v>8010</v>
      </c>
      <c r="B5" s="288" t="n">
        <v>40785</v>
      </c>
      <c r="C5" s="289"/>
      <c r="D5" s="203"/>
      <c r="E5" s="289" t="s">
        <v>8011</v>
      </c>
    </row>
    <row r="6" customFormat="false" ht="15" hidden="false" customHeight="false" outlineLevel="0" collapsed="false">
      <c r="A6" s="287" t="s">
        <v>8010</v>
      </c>
      <c r="B6" s="288" t="n">
        <v>40787</v>
      </c>
      <c r="C6" s="289"/>
      <c r="D6" s="203"/>
      <c r="E6" s="289"/>
    </row>
    <row r="7" customFormat="false" ht="15" hidden="false" customHeight="false" outlineLevel="0" collapsed="false">
      <c r="A7" s="287" t="s">
        <v>8012</v>
      </c>
      <c r="B7" s="288" t="n">
        <v>40787</v>
      </c>
      <c r="C7" s="290"/>
      <c r="D7" s="203"/>
      <c r="E7" s="289"/>
    </row>
    <row r="8" customFormat="false" ht="15" hidden="false" customHeight="false" outlineLevel="0" collapsed="false">
      <c r="A8" s="287" t="s">
        <v>8008</v>
      </c>
      <c r="B8" s="291" t="n">
        <v>40799</v>
      </c>
      <c r="C8" s="289"/>
      <c r="D8" s="203"/>
      <c r="E8" s="289"/>
    </row>
    <row r="9" customFormat="false" ht="15" hidden="false" customHeight="false" outlineLevel="0" collapsed="false">
      <c r="A9" s="287" t="s">
        <v>8009</v>
      </c>
      <c r="B9" s="291" t="n">
        <v>40799</v>
      </c>
      <c r="C9" s="289"/>
      <c r="D9" s="203"/>
      <c r="E9" s="289"/>
    </row>
    <row r="10" customFormat="false" ht="15" hidden="false" customHeight="false" outlineLevel="0" collapsed="false">
      <c r="A10" s="287" t="s">
        <v>8008</v>
      </c>
      <c r="B10" s="288" t="n">
        <v>40799</v>
      </c>
      <c r="C10" s="289"/>
      <c r="D10" s="203"/>
      <c r="E10" s="289"/>
    </row>
    <row r="11" customFormat="false" ht="15" hidden="false" customHeight="false" outlineLevel="0" collapsed="false">
      <c r="A11" s="287" t="s">
        <v>8013</v>
      </c>
      <c r="B11" s="288" t="n">
        <v>40800</v>
      </c>
      <c r="C11" s="289"/>
      <c r="D11" s="203"/>
      <c r="E11" s="289"/>
    </row>
    <row r="12" customFormat="false" ht="15" hidden="false" customHeight="false" outlineLevel="0" collapsed="false">
      <c r="A12" s="287" t="s">
        <v>8014</v>
      </c>
      <c r="B12" s="288" t="n">
        <v>40802</v>
      </c>
      <c r="C12" s="289" t="s">
        <v>8015</v>
      </c>
      <c r="D12" s="203"/>
      <c r="E12" s="290" t="s">
        <v>8016</v>
      </c>
    </row>
    <row r="13" customFormat="false" ht="15" hidden="false" customHeight="false" outlineLevel="0" collapsed="false">
      <c r="A13" s="287" t="s">
        <v>8017</v>
      </c>
      <c r="B13" s="288" t="n">
        <v>40805</v>
      </c>
      <c r="C13" s="289" t="s">
        <v>8018</v>
      </c>
      <c r="D13" s="203"/>
      <c r="E13" s="289" t="s">
        <v>8019</v>
      </c>
    </row>
    <row r="14" customFormat="false" ht="15" hidden="false" customHeight="false" outlineLevel="0" collapsed="false">
      <c r="A14" s="287" t="s">
        <v>8017</v>
      </c>
      <c r="B14" s="288" t="n">
        <v>40807</v>
      </c>
      <c r="C14" s="289" t="s">
        <v>8020</v>
      </c>
      <c r="D14" s="203"/>
      <c r="E14" s="289" t="s">
        <v>8021</v>
      </c>
    </row>
    <row r="15" customFormat="false" ht="15" hidden="false" customHeight="false" outlineLevel="0" collapsed="false">
      <c r="A15" s="287" t="s">
        <v>8014</v>
      </c>
      <c r="B15" s="288" t="n">
        <v>40807</v>
      </c>
      <c r="C15" s="289" t="s">
        <v>8022</v>
      </c>
      <c r="D15" s="203"/>
      <c r="E15" s="289" t="s">
        <v>8023</v>
      </c>
    </row>
    <row r="16" customFormat="false" ht="15" hidden="false" customHeight="false" outlineLevel="0" collapsed="false">
      <c r="A16" s="287" t="s">
        <v>8014</v>
      </c>
      <c r="B16" s="288" t="n">
        <v>40808</v>
      </c>
      <c r="C16" s="289" t="s">
        <v>8024</v>
      </c>
      <c r="D16" s="203"/>
      <c r="E16" s="289" t="s">
        <v>8025</v>
      </c>
    </row>
    <row r="17" customFormat="false" ht="15" hidden="false" customHeight="false" outlineLevel="0" collapsed="false">
      <c r="A17" s="287" t="s">
        <v>8026</v>
      </c>
      <c r="B17" s="288" t="n">
        <v>40809</v>
      </c>
      <c r="C17" s="289"/>
      <c r="D17" s="203"/>
      <c r="E17" s="289"/>
    </row>
    <row r="18" customFormat="false" ht="15" hidden="false" customHeight="false" outlineLevel="0" collapsed="false">
      <c r="A18" s="287" t="s">
        <v>8017</v>
      </c>
      <c r="B18" s="288" t="n">
        <v>40813</v>
      </c>
      <c r="C18" s="289" t="s">
        <v>8018</v>
      </c>
      <c r="D18" s="203"/>
      <c r="E18" s="289" t="s">
        <v>8027</v>
      </c>
    </row>
    <row r="19" customFormat="false" ht="15" hidden="false" customHeight="false" outlineLevel="0" collapsed="false">
      <c r="A19" s="287" t="s">
        <v>8014</v>
      </c>
      <c r="B19" s="288" t="n">
        <v>40816</v>
      </c>
      <c r="C19" s="289" t="s">
        <v>8028</v>
      </c>
      <c r="D19" s="203"/>
      <c r="E19" s="289" t="s">
        <v>8029</v>
      </c>
    </row>
    <row r="20" customFormat="false" ht="15" hidden="false" customHeight="false" outlineLevel="0" collapsed="false">
      <c r="A20" s="287" t="s">
        <v>8014</v>
      </c>
      <c r="B20" s="288" t="n">
        <v>40836</v>
      </c>
      <c r="C20" s="289" t="s">
        <v>8030</v>
      </c>
      <c r="D20" s="203"/>
      <c r="E20" s="289" t="s">
        <v>8031</v>
      </c>
    </row>
    <row r="21" customFormat="false" ht="15" hidden="false" customHeight="false" outlineLevel="0" collapsed="false">
      <c r="A21" s="287" t="s">
        <v>8014</v>
      </c>
      <c r="B21" s="288" t="n">
        <v>40864</v>
      </c>
      <c r="C21" s="289" t="s">
        <v>8032</v>
      </c>
      <c r="D21" s="203"/>
      <c r="E21" s="289" t="s">
        <v>8033</v>
      </c>
    </row>
    <row r="22" customFormat="false" ht="15" hidden="false" customHeight="false" outlineLevel="0" collapsed="false">
      <c r="A22" s="287" t="s">
        <v>8010</v>
      </c>
      <c r="B22" s="288" t="n">
        <v>40960</v>
      </c>
      <c r="C22" s="289" t="s">
        <v>8034</v>
      </c>
      <c r="D22" s="203"/>
      <c r="E22" s="289" t="s">
        <v>8035</v>
      </c>
    </row>
    <row r="23" customFormat="false" ht="15" hidden="false" customHeight="false" outlineLevel="0" collapsed="false">
      <c r="A23" s="287" t="s">
        <v>8010</v>
      </c>
      <c r="B23" s="288" t="n">
        <v>40962</v>
      </c>
      <c r="C23" s="289" t="s">
        <v>8036</v>
      </c>
      <c r="D23" s="203"/>
      <c r="E23" s="289" t="s">
        <v>8037</v>
      </c>
    </row>
    <row r="24" customFormat="false" ht="15" hidden="false" customHeight="false" outlineLevel="0" collapsed="false">
      <c r="A24" s="287" t="s">
        <v>8010</v>
      </c>
      <c r="B24" s="288" t="n">
        <v>40982</v>
      </c>
      <c r="C24" s="289" t="s">
        <v>8034</v>
      </c>
      <c r="D24" s="203"/>
      <c r="E24" s="289" t="s">
        <v>8038</v>
      </c>
    </row>
    <row r="25" customFormat="false" ht="15" hidden="false" customHeight="false" outlineLevel="0" collapsed="false">
      <c r="A25" s="287" t="s">
        <v>8014</v>
      </c>
      <c r="B25" s="288" t="n">
        <v>40984</v>
      </c>
      <c r="C25" s="289" t="s">
        <v>8039</v>
      </c>
      <c r="D25" s="203"/>
      <c r="E25" s="289" t="s">
        <v>8040</v>
      </c>
    </row>
    <row r="26" customFormat="false" ht="15" hidden="false" customHeight="false" outlineLevel="0" collapsed="false">
      <c r="A26" s="287" t="s">
        <v>8014</v>
      </c>
      <c r="B26" s="288" t="n">
        <v>40997</v>
      </c>
      <c r="C26" s="289" t="s">
        <v>8028</v>
      </c>
      <c r="D26" s="203"/>
      <c r="E26" s="289" t="s">
        <v>8041</v>
      </c>
    </row>
    <row r="27" customFormat="false" ht="15" hidden="false" customHeight="false" outlineLevel="0" collapsed="false">
      <c r="A27" s="287" t="s">
        <v>8014</v>
      </c>
      <c r="B27" s="288" t="n">
        <v>41012</v>
      </c>
      <c r="C27" s="289" t="s">
        <v>8030</v>
      </c>
      <c r="D27" s="203"/>
      <c r="E27" s="289" t="s">
        <v>8042</v>
      </c>
    </row>
    <row r="28" customFormat="false" ht="15" hidden="false" customHeight="false" outlineLevel="0" collapsed="false">
      <c r="A28" s="287" t="s">
        <v>8014</v>
      </c>
      <c r="B28" s="288" t="n">
        <v>41032</v>
      </c>
      <c r="C28" s="290" t="s">
        <v>8043</v>
      </c>
      <c r="D28" s="203"/>
      <c r="E28" s="289" t="s">
        <v>8044</v>
      </c>
    </row>
    <row r="29" customFormat="false" ht="15" hidden="false" customHeight="false" outlineLevel="0" collapsed="false">
      <c r="A29" s="287" t="s">
        <v>8045</v>
      </c>
      <c r="B29" s="288" t="n">
        <v>41058</v>
      </c>
      <c r="C29" s="290"/>
      <c r="D29" s="203"/>
      <c r="E29" s="289"/>
    </row>
    <row r="30" customFormat="false" ht="15" hidden="false" customHeight="false" outlineLevel="0" collapsed="false">
      <c r="A30" s="287" t="s">
        <v>8046</v>
      </c>
      <c r="B30" s="288" t="s">
        <v>8047</v>
      </c>
      <c r="C30" s="289"/>
      <c r="D30" s="292"/>
      <c r="E30" s="292"/>
    </row>
    <row r="31" customFormat="false" ht="15" hidden="false" customHeight="false" outlineLevel="0" collapsed="false">
      <c r="A31" s="287" t="s">
        <v>8048</v>
      </c>
      <c r="B31" s="288" t="n">
        <v>41127</v>
      </c>
      <c r="C31" s="289"/>
      <c r="D31" s="292"/>
      <c r="E31" s="292"/>
    </row>
    <row r="32" customFormat="false" ht="12" hidden="false" customHeight="false" outlineLevel="0" collapsed="false">
      <c r="A32" s="287" t="s">
        <v>8012</v>
      </c>
      <c r="B32" s="288" t="n">
        <v>41128</v>
      </c>
      <c r="C32" s="289"/>
      <c r="D32" s="292"/>
      <c r="E32" s="292"/>
    </row>
    <row r="33" customFormat="false" ht="15" hidden="false" customHeight="false" outlineLevel="0" collapsed="false">
      <c r="A33" s="287" t="s">
        <v>8014</v>
      </c>
      <c r="B33" s="288" t="n">
        <v>41158</v>
      </c>
      <c r="C33" s="289" t="s">
        <v>8049</v>
      </c>
      <c r="D33" s="292"/>
      <c r="E33" s="289" t="s">
        <v>8050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2013-10-04T13:51:10Z</dcterms:created>
  <dc:creator>cmichotey</dc:creator>
  <dc:description/>
  <dc:language>fr-FR</dc:language>
  <cp:lastModifiedBy/>
  <cp:lastPrinted>1601-01-01T00:00:00Z</cp:lastPrinted>
  <dcterms:modified xsi:type="dcterms:W3CDTF">2025-12-10T10:42:38Z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